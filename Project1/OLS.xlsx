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3"/>
  <workbookPr/>
  <mc:AlternateContent xmlns:mc="http://schemas.openxmlformats.org/markup-compatibility/2006">
    <mc:Choice Requires="x15">
      <x15ac:absPath xmlns:x15ac="http://schemas.microsoft.com/office/spreadsheetml/2010/11/ac" url="/Users/Brian/Documents/Brian/大專生計畫/"/>
    </mc:Choice>
  </mc:AlternateContent>
  <xr:revisionPtr revIDLastSave="0" documentId="13_ncr:1_{2F9683CE-8677-1A4E-84A9-246A9CCA7E7E}" xr6:coauthVersionLast="47" xr6:coauthVersionMax="47" xr10:uidLastSave="{00000000-0000-0000-0000-000000000000}"/>
  <bookViews>
    <workbookView xWindow="0" yWindow="760" windowWidth="29400" windowHeight="16660" firstSheet="1" activeTab="4" xr2:uid="{00000000-000D-0000-FFFF-FFFF00000000}"/>
  </bookViews>
  <sheets>
    <sheet name="預測IC" sheetId="1" r:id="rId1"/>
    <sheet name="真實IC" sheetId="13" r:id="rId2"/>
    <sheet name="預測OLS勝率" sheetId="4" r:id="rId3"/>
    <sheet name="真實OLS勝率" sheetId="2" r:id="rId4"/>
    <sheet name="預測OLS累積報酬" sheetId="5" r:id="rId5"/>
    <sheet name="真實OLS累積報酬 " sheetId="6" r:id="rId6"/>
    <sheet name="預測ＯＬＳ再投資累積報酬" sheetId="10" r:id="rId7"/>
    <sheet name="真實OLS再投資累積報酬" sheetId="12" r:id="rId8"/>
    <sheet name="預測OLS夏普比率" sheetId="8" r:id="rId9"/>
    <sheet name="真實OLS夏普比率" sheetId="7" r:id="rId10"/>
    <sheet name="OLS樣本外R2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I14" i="7" l="1"/>
  <c r="C10" i="1"/>
  <c r="C9" i="1"/>
  <c r="C8" i="1" a="1"/>
  <c r="C8" i="1" s="1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BD27" i="9"/>
  <c r="BE27" i="9"/>
  <c r="BF27" i="9"/>
  <c r="BG27" i="9"/>
  <c r="BH27" i="9"/>
  <c r="BI27" i="9"/>
  <c r="BJ27" i="9"/>
  <c r="BK27" i="9"/>
  <c r="BL27" i="9"/>
  <c r="BM27" i="9"/>
  <c r="BN27" i="9"/>
  <c r="BO27" i="9"/>
  <c r="BP27" i="9"/>
  <c r="BQ27" i="9"/>
  <c r="BR27" i="9"/>
  <c r="BS27" i="9"/>
  <c r="BT27" i="9"/>
  <c r="BU27" i="9"/>
  <c r="BV27" i="9"/>
  <c r="BW27" i="9"/>
  <c r="BX27" i="9"/>
  <c r="BY27" i="9"/>
  <c r="BZ27" i="9"/>
  <c r="CA27" i="9"/>
  <c r="CB27" i="9"/>
  <c r="CC27" i="9"/>
  <c r="CD27" i="9"/>
  <c r="CE27" i="9"/>
  <c r="CF27" i="9"/>
  <c r="CG27" i="9"/>
  <c r="CH27" i="9"/>
  <c r="CI27" i="9"/>
  <c r="CJ27" i="9"/>
  <c r="CK27" i="9"/>
  <c r="CL27" i="9"/>
  <c r="CM27" i="9"/>
  <c r="CN27" i="9"/>
  <c r="CO27" i="9"/>
  <c r="CP27" i="9"/>
  <c r="CQ27" i="9"/>
  <c r="CR27" i="9"/>
  <c r="CS27" i="9"/>
  <c r="CT27" i="9"/>
  <c r="CU27" i="9"/>
  <c r="CV27" i="9"/>
  <c r="CW27" i="9"/>
  <c r="CX27" i="9"/>
  <c r="CY27" i="9"/>
  <c r="CZ27" i="9"/>
  <c r="DA27" i="9"/>
  <c r="DB27" i="9"/>
  <c r="DC27" i="9"/>
  <c r="DD27" i="9"/>
  <c r="DE27" i="9"/>
  <c r="DF27" i="9"/>
  <c r="DG27" i="9"/>
  <c r="DH27" i="9"/>
  <c r="DI27" i="9"/>
  <c r="DJ27" i="9"/>
  <c r="DK27" i="9"/>
  <c r="DL27" i="9"/>
  <c r="DM27" i="9"/>
  <c r="DN27" i="9"/>
  <c r="DO27" i="9"/>
  <c r="DP27" i="9"/>
  <c r="DQ27" i="9"/>
  <c r="DR27" i="9"/>
  <c r="DS27" i="9"/>
  <c r="DT27" i="9"/>
  <c r="DU27" i="9"/>
  <c r="DV27" i="9"/>
  <c r="DW27" i="9"/>
  <c r="DX27" i="9"/>
  <c r="DY27" i="9"/>
  <c r="DZ27" i="9"/>
  <c r="EA27" i="9"/>
  <c r="EB27" i="9"/>
  <c r="EC27" i="9"/>
  <c r="ED27" i="9"/>
  <c r="EE27" i="9"/>
  <c r="EF27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BD28" i="9"/>
  <c r="BE28" i="9"/>
  <c r="BF28" i="9"/>
  <c r="BG28" i="9"/>
  <c r="BH28" i="9"/>
  <c r="BI28" i="9"/>
  <c r="BJ28" i="9"/>
  <c r="BK28" i="9"/>
  <c r="BL28" i="9"/>
  <c r="BM28" i="9"/>
  <c r="BN28" i="9"/>
  <c r="BO28" i="9"/>
  <c r="BP28" i="9"/>
  <c r="BQ28" i="9"/>
  <c r="BR28" i="9"/>
  <c r="BS28" i="9"/>
  <c r="BT28" i="9"/>
  <c r="BU28" i="9"/>
  <c r="BV28" i="9"/>
  <c r="BW28" i="9"/>
  <c r="BX28" i="9"/>
  <c r="BY28" i="9"/>
  <c r="BZ28" i="9"/>
  <c r="CA28" i="9"/>
  <c r="CB28" i="9"/>
  <c r="CC28" i="9"/>
  <c r="CD28" i="9"/>
  <c r="CE28" i="9"/>
  <c r="CF28" i="9"/>
  <c r="CG28" i="9"/>
  <c r="CH28" i="9"/>
  <c r="CI28" i="9"/>
  <c r="CJ28" i="9"/>
  <c r="CK28" i="9"/>
  <c r="CL28" i="9"/>
  <c r="CM28" i="9"/>
  <c r="CN28" i="9"/>
  <c r="CO28" i="9"/>
  <c r="CP28" i="9"/>
  <c r="CQ28" i="9"/>
  <c r="CR28" i="9"/>
  <c r="CS28" i="9"/>
  <c r="CT28" i="9"/>
  <c r="CU28" i="9"/>
  <c r="CV28" i="9"/>
  <c r="CW28" i="9"/>
  <c r="CX28" i="9"/>
  <c r="CY28" i="9"/>
  <c r="CZ28" i="9"/>
  <c r="DA28" i="9"/>
  <c r="DB28" i="9"/>
  <c r="DC28" i="9"/>
  <c r="DD28" i="9"/>
  <c r="DE28" i="9"/>
  <c r="DF28" i="9"/>
  <c r="DG28" i="9"/>
  <c r="DH28" i="9"/>
  <c r="DI28" i="9"/>
  <c r="DJ28" i="9"/>
  <c r="DK28" i="9"/>
  <c r="DL28" i="9"/>
  <c r="DM28" i="9"/>
  <c r="DN28" i="9"/>
  <c r="DO28" i="9"/>
  <c r="DP28" i="9"/>
  <c r="DQ28" i="9"/>
  <c r="DR28" i="9"/>
  <c r="DS28" i="9"/>
  <c r="DT28" i="9"/>
  <c r="DU28" i="9"/>
  <c r="DV28" i="9"/>
  <c r="DW28" i="9"/>
  <c r="DX28" i="9"/>
  <c r="DY28" i="9"/>
  <c r="DZ28" i="9"/>
  <c r="EA28" i="9"/>
  <c r="EB28" i="9"/>
  <c r="EC28" i="9"/>
  <c r="ED28" i="9"/>
  <c r="EE28" i="9"/>
  <c r="EF28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BD29" i="9"/>
  <c r="BE29" i="9"/>
  <c r="BF29" i="9"/>
  <c r="BG29" i="9"/>
  <c r="BH29" i="9"/>
  <c r="BI29" i="9"/>
  <c r="BJ29" i="9"/>
  <c r="BK29" i="9"/>
  <c r="BL29" i="9"/>
  <c r="BM29" i="9"/>
  <c r="BN29" i="9"/>
  <c r="BO29" i="9"/>
  <c r="BP29" i="9"/>
  <c r="BQ29" i="9"/>
  <c r="BR29" i="9"/>
  <c r="BS29" i="9"/>
  <c r="BT29" i="9"/>
  <c r="BU29" i="9"/>
  <c r="BV29" i="9"/>
  <c r="BW29" i="9"/>
  <c r="BX29" i="9"/>
  <c r="BY29" i="9"/>
  <c r="BZ29" i="9"/>
  <c r="CA29" i="9"/>
  <c r="CB29" i="9"/>
  <c r="CC29" i="9"/>
  <c r="CD29" i="9"/>
  <c r="CE29" i="9"/>
  <c r="CF29" i="9"/>
  <c r="CG29" i="9"/>
  <c r="CH29" i="9"/>
  <c r="CI29" i="9"/>
  <c r="CJ29" i="9"/>
  <c r="CK29" i="9"/>
  <c r="CL29" i="9"/>
  <c r="CM29" i="9"/>
  <c r="CN29" i="9"/>
  <c r="CO29" i="9"/>
  <c r="CP29" i="9"/>
  <c r="CQ29" i="9"/>
  <c r="CR29" i="9"/>
  <c r="CS29" i="9"/>
  <c r="CT29" i="9"/>
  <c r="CU29" i="9"/>
  <c r="CV29" i="9"/>
  <c r="CW29" i="9"/>
  <c r="CX29" i="9"/>
  <c r="CY29" i="9"/>
  <c r="CZ29" i="9"/>
  <c r="DA29" i="9"/>
  <c r="DB29" i="9"/>
  <c r="DC29" i="9"/>
  <c r="DD29" i="9"/>
  <c r="DE29" i="9"/>
  <c r="DF29" i="9"/>
  <c r="DG29" i="9"/>
  <c r="DH29" i="9"/>
  <c r="DI29" i="9"/>
  <c r="DJ29" i="9"/>
  <c r="DK29" i="9"/>
  <c r="DL29" i="9"/>
  <c r="DM29" i="9"/>
  <c r="DN29" i="9"/>
  <c r="DO29" i="9"/>
  <c r="DP29" i="9"/>
  <c r="DQ29" i="9"/>
  <c r="DR29" i="9"/>
  <c r="DS29" i="9"/>
  <c r="DT29" i="9"/>
  <c r="DU29" i="9"/>
  <c r="DV29" i="9"/>
  <c r="DW29" i="9"/>
  <c r="DX29" i="9"/>
  <c r="DY29" i="9"/>
  <c r="DZ29" i="9"/>
  <c r="EA29" i="9"/>
  <c r="EB29" i="9"/>
  <c r="EC29" i="9"/>
  <c r="ED29" i="9"/>
  <c r="EE29" i="9"/>
  <c r="EF29" i="9"/>
  <c r="D30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D30" i="9"/>
  <c r="BE30" i="9"/>
  <c r="BF30" i="9"/>
  <c r="BG30" i="9"/>
  <c r="BH30" i="9"/>
  <c r="BI30" i="9"/>
  <c r="BJ30" i="9"/>
  <c r="BK30" i="9"/>
  <c r="BL30" i="9"/>
  <c r="BM30" i="9"/>
  <c r="BN30" i="9"/>
  <c r="BO30" i="9"/>
  <c r="BP30" i="9"/>
  <c r="BQ30" i="9"/>
  <c r="BR30" i="9"/>
  <c r="BS30" i="9"/>
  <c r="BT30" i="9"/>
  <c r="BU30" i="9"/>
  <c r="BV30" i="9"/>
  <c r="BW30" i="9"/>
  <c r="BX30" i="9"/>
  <c r="BY30" i="9"/>
  <c r="BZ30" i="9"/>
  <c r="CA30" i="9"/>
  <c r="CB30" i="9"/>
  <c r="CC30" i="9"/>
  <c r="CD30" i="9"/>
  <c r="CE30" i="9"/>
  <c r="CF30" i="9"/>
  <c r="CG30" i="9"/>
  <c r="CH30" i="9"/>
  <c r="CI30" i="9"/>
  <c r="CJ30" i="9"/>
  <c r="CK30" i="9"/>
  <c r="CL30" i="9"/>
  <c r="CM30" i="9"/>
  <c r="CN30" i="9"/>
  <c r="CO30" i="9"/>
  <c r="CP30" i="9"/>
  <c r="CQ30" i="9"/>
  <c r="CR30" i="9"/>
  <c r="CS30" i="9"/>
  <c r="CT30" i="9"/>
  <c r="CU30" i="9"/>
  <c r="CV30" i="9"/>
  <c r="CW30" i="9"/>
  <c r="CX30" i="9"/>
  <c r="CY30" i="9"/>
  <c r="CZ30" i="9"/>
  <c r="DA30" i="9"/>
  <c r="DB30" i="9"/>
  <c r="DC30" i="9"/>
  <c r="DD30" i="9"/>
  <c r="DE30" i="9"/>
  <c r="DF30" i="9"/>
  <c r="DG30" i="9"/>
  <c r="DH30" i="9"/>
  <c r="DI30" i="9"/>
  <c r="DJ30" i="9"/>
  <c r="DK30" i="9"/>
  <c r="DL30" i="9"/>
  <c r="DM30" i="9"/>
  <c r="DN30" i="9"/>
  <c r="DO30" i="9"/>
  <c r="DP30" i="9"/>
  <c r="DQ30" i="9"/>
  <c r="DR30" i="9"/>
  <c r="DS30" i="9"/>
  <c r="DT30" i="9"/>
  <c r="DU30" i="9"/>
  <c r="DV30" i="9"/>
  <c r="DW30" i="9"/>
  <c r="DX30" i="9"/>
  <c r="DY30" i="9"/>
  <c r="DZ30" i="9"/>
  <c r="EA30" i="9"/>
  <c r="EB30" i="9"/>
  <c r="EC30" i="9"/>
  <c r="ED30" i="9"/>
  <c r="EE30" i="9"/>
  <c r="EF30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AJ31" i="9"/>
  <c r="AK31" i="9"/>
  <c r="AL31" i="9"/>
  <c r="AM31" i="9"/>
  <c r="AN31" i="9"/>
  <c r="AO31" i="9"/>
  <c r="AP31" i="9"/>
  <c r="AQ31" i="9"/>
  <c r="AR31" i="9"/>
  <c r="AS31" i="9"/>
  <c r="AT31" i="9"/>
  <c r="AU31" i="9"/>
  <c r="AV31" i="9"/>
  <c r="AW31" i="9"/>
  <c r="AX31" i="9"/>
  <c r="AY31" i="9"/>
  <c r="AZ31" i="9"/>
  <c r="BA31" i="9"/>
  <c r="BB31" i="9"/>
  <c r="BC31" i="9"/>
  <c r="BD31" i="9"/>
  <c r="BE31" i="9"/>
  <c r="BF31" i="9"/>
  <c r="BG31" i="9"/>
  <c r="BH31" i="9"/>
  <c r="BI31" i="9"/>
  <c r="BJ31" i="9"/>
  <c r="BK31" i="9"/>
  <c r="BL31" i="9"/>
  <c r="BM31" i="9"/>
  <c r="BN31" i="9"/>
  <c r="BO31" i="9"/>
  <c r="BP31" i="9"/>
  <c r="BQ31" i="9"/>
  <c r="BR31" i="9"/>
  <c r="BS31" i="9"/>
  <c r="BT31" i="9"/>
  <c r="BU31" i="9"/>
  <c r="BV31" i="9"/>
  <c r="BW31" i="9"/>
  <c r="BX31" i="9"/>
  <c r="BY31" i="9"/>
  <c r="BZ31" i="9"/>
  <c r="CA31" i="9"/>
  <c r="CB31" i="9"/>
  <c r="CC31" i="9"/>
  <c r="CD31" i="9"/>
  <c r="CE31" i="9"/>
  <c r="CF31" i="9"/>
  <c r="CG31" i="9"/>
  <c r="CH31" i="9"/>
  <c r="CI31" i="9"/>
  <c r="CJ31" i="9"/>
  <c r="CK31" i="9"/>
  <c r="CL31" i="9"/>
  <c r="CM31" i="9"/>
  <c r="CN31" i="9"/>
  <c r="CO31" i="9"/>
  <c r="CP31" i="9"/>
  <c r="CQ31" i="9"/>
  <c r="CR31" i="9"/>
  <c r="CS31" i="9"/>
  <c r="CT31" i="9"/>
  <c r="CU31" i="9"/>
  <c r="CV31" i="9"/>
  <c r="CW31" i="9"/>
  <c r="CX31" i="9"/>
  <c r="CY31" i="9"/>
  <c r="CZ31" i="9"/>
  <c r="DA31" i="9"/>
  <c r="DB31" i="9"/>
  <c r="DC31" i="9"/>
  <c r="DD31" i="9"/>
  <c r="DE31" i="9"/>
  <c r="DF31" i="9"/>
  <c r="DG31" i="9"/>
  <c r="DH31" i="9"/>
  <c r="DI31" i="9"/>
  <c r="DJ31" i="9"/>
  <c r="DK31" i="9"/>
  <c r="DL31" i="9"/>
  <c r="DM31" i="9"/>
  <c r="DN31" i="9"/>
  <c r="DO31" i="9"/>
  <c r="DP31" i="9"/>
  <c r="DQ31" i="9"/>
  <c r="DR31" i="9"/>
  <c r="DS31" i="9"/>
  <c r="DT31" i="9"/>
  <c r="DU31" i="9"/>
  <c r="DV31" i="9"/>
  <c r="DW31" i="9"/>
  <c r="DX31" i="9"/>
  <c r="DY31" i="9"/>
  <c r="DZ31" i="9"/>
  <c r="EA31" i="9"/>
  <c r="EB31" i="9"/>
  <c r="EC31" i="9"/>
  <c r="ED31" i="9"/>
  <c r="EE31" i="9"/>
  <c r="EF31" i="9"/>
  <c r="C28" i="9"/>
  <c r="C29" i="9"/>
  <c r="C30" i="9"/>
  <c r="C31" i="9"/>
  <c r="C27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BD19" i="9"/>
  <c r="BE19" i="9"/>
  <c r="BF19" i="9"/>
  <c r="BG19" i="9"/>
  <c r="BH19" i="9"/>
  <c r="BI19" i="9"/>
  <c r="BJ19" i="9"/>
  <c r="BK19" i="9"/>
  <c r="BL19" i="9"/>
  <c r="BM19" i="9"/>
  <c r="BN19" i="9"/>
  <c r="BO19" i="9"/>
  <c r="BP19" i="9"/>
  <c r="BQ19" i="9"/>
  <c r="BR19" i="9"/>
  <c r="BS19" i="9"/>
  <c r="BT19" i="9"/>
  <c r="BU19" i="9"/>
  <c r="BV19" i="9"/>
  <c r="BW19" i="9"/>
  <c r="BX19" i="9"/>
  <c r="BY19" i="9"/>
  <c r="BZ19" i="9"/>
  <c r="CA19" i="9"/>
  <c r="CB19" i="9"/>
  <c r="CC19" i="9"/>
  <c r="CD19" i="9"/>
  <c r="CE19" i="9"/>
  <c r="CF19" i="9"/>
  <c r="CG19" i="9"/>
  <c r="CH19" i="9"/>
  <c r="CI19" i="9"/>
  <c r="CJ19" i="9"/>
  <c r="CK19" i="9"/>
  <c r="CL19" i="9"/>
  <c r="CM19" i="9"/>
  <c r="CN19" i="9"/>
  <c r="CO19" i="9"/>
  <c r="CP19" i="9"/>
  <c r="CQ19" i="9"/>
  <c r="CR19" i="9"/>
  <c r="CS19" i="9"/>
  <c r="CT19" i="9"/>
  <c r="CU19" i="9"/>
  <c r="CV19" i="9"/>
  <c r="CW19" i="9"/>
  <c r="CX19" i="9"/>
  <c r="CY19" i="9"/>
  <c r="CZ19" i="9"/>
  <c r="DA19" i="9"/>
  <c r="DB19" i="9"/>
  <c r="DC19" i="9"/>
  <c r="DD19" i="9"/>
  <c r="DE19" i="9"/>
  <c r="DF19" i="9"/>
  <c r="DG19" i="9"/>
  <c r="DH19" i="9"/>
  <c r="DI19" i="9"/>
  <c r="DJ19" i="9"/>
  <c r="DK19" i="9"/>
  <c r="DL19" i="9"/>
  <c r="DM19" i="9"/>
  <c r="DN19" i="9"/>
  <c r="DO19" i="9"/>
  <c r="DP19" i="9"/>
  <c r="DQ19" i="9"/>
  <c r="DR19" i="9"/>
  <c r="DS19" i="9"/>
  <c r="DT19" i="9"/>
  <c r="DU19" i="9"/>
  <c r="DV19" i="9"/>
  <c r="DW19" i="9"/>
  <c r="DX19" i="9"/>
  <c r="DY19" i="9"/>
  <c r="DZ19" i="9"/>
  <c r="EA19" i="9"/>
  <c r="EB19" i="9"/>
  <c r="EC19" i="9"/>
  <c r="ED19" i="9"/>
  <c r="EE19" i="9"/>
  <c r="EF19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BD20" i="9"/>
  <c r="BE20" i="9"/>
  <c r="BF20" i="9"/>
  <c r="BG20" i="9"/>
  <c r="BH20" i="9"/>
  <c r="BI20" i="9"/>
  <c r="BJ20" i="9"/>
  <c r="BK20" i="9"/>
  <c r="BL20" i="9"/>
  <c r="BM20" i="9"/>
  <c r="BN20" i="9"/>
  <c r="BO20" i="9"/>
  <c r="BP20" i="9"/>
  <c r="BQ20" i="9"/>
  <c r="BR20" i="9"/>
  <c r="BS20" i="9"/>
  <c r="BT20" i="9"/>
  <c r="BU20" i="9"/>
  <c r="BV20" i="9"/>
  <c r="BW20" i="9"/>
  <c r="BX20" i="9"/>
  <c r="BY20" i="9"/>
  <c r="BZ20" i="9"/>
  <c r="CA20" i="9"/>
  <c r="CB20" i="9"/>
  <c r="CC20" i="9"/>
  <c r="CD20" i="9"/>
  <c r="CE20" i="9"/>
  <c r="CF20" i="9"/>
  <c r="CG20" i="9"/>
  <c r="CH20" i="9"/>
  <c r="CI20" i="9"/>
  <c r="CJ20" i="9"/>
  <c r="CK20" i="9"/>
  <c r="CL20" i="9"/>
  <c r="CM20" i="9"/>
  <c r="CN20" i="9"/>
  <c r="CO20" i="9"/>
  <c r="CP20" i="9"/>
  <c r="CQ20" i="9"/>
  <c r="CR20" i="9"/>
  <c r="CS20" i="9"/>
  <c r="CT20" i="9"/>
  <c r="CU20" i="9"/>
  <c r="CV20" i="9"/>
  <c r="CW20" i="9"/>
  <c r="CX20" i="9"/>
  <c r="CY20" i="9"/>
  <c r="CZ20" i="9"/>
  <c r="DA20" i="9"/>
  <c r="DB20" i="9"/>
  <c r="DC20" i="9"/>
  <c r="DD20" i="9"/>
  <c r="DE20" i="9"/>
  <c r="DF20" i="9"/>
  <c r="DG20" i="9"/>
  <c r="DH20" i="9"/>
  <c r="DI20" i="9"/>
  <c r="DJ20" i="9"/>
  <c r="DK20" i="9"/>
  <c r="DL20" i="9"/>
  <c r="DM20" i="9"/>
  <c r="DN20" i="9"/>
  <c r="DO20" i="9"/>
  <c r="DP20" i="9"/>
  <c r="DQ20" i="9"/>
  <c r="DR20" i="9"/>
  <c r="DS20" i="9"/>
  <c r="DT20" i="9"/>
  <c r="DU20" i="9"/>
  <c r="DV20" i="9"/>
  <c r="DW20" i="9"/>
  <c r="DX20" i="9"/>
  <c r="DY20" i="9"/>
  <c r="DZ20" i="9"/>
  <c r="EA20" i="9"/>
  <c r="EB20" i="9"/>
  <c r="EC20" i="9"/>
  <c r="ED20" i="9"/>
  <c r="EE20" i="9"/>
  <c r="EF20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BD21" i="9"/>
  <c r="BE21" i="9"/>
  <c r="BF21" i="9"/>
  <c r="BG21" i="9"/>
  <c r="BH21" i="9"/>
  <c r="BI21" i="9"/>
  <c r="BJ21" i="9"/>
  <c r="BK21" i="9"/>
  <c r="BL21" i="9"/>
  <c r="BM21" i="9"/>
  <c r="BN21" i="9"/>
  <c r="BO21" i="9"/>
  <c r="BP21" i="9"/>
  <c r="BQ21" i="9"/>
  <c r="BR21" i="9"/>
  <c r="BS21" i="9"/>
  <c r="BT21" i="9"/>
  <c r="BU21" i="9"/>
  <c r="BV21" i="9"/>
  <c r="BW21" i="9"/>
  <c r="BX21" i="9"/>
  <c r="BY21" i="9"/>
  <c r="BZ21" i="9"/>
  <c r="CA21" i="9"/>
  <c r="CB21" i="9"/>
  <c r="CC21" i="9"/>
  <c r="CD21" i="9"/>
  <c r="CE21" i="9"/>
  <c r="CF21" i="9"/>
  <c r="CG21" i="9"/>
  <c r="CH21" i="9"/>
  <c r="CI21" i="9"/>
  <c r="CJ21" i="9"/>
  <c r="CK21" i="9"/>
  <c r="CL21" i="9"/>
  <c r="CM21" i="9"/>
  <c r="CN21" i="9"/>
  <c r="CO21" i="9"/>
  <c r="CP21" i="9"/>
  <c r="CQ21" i="9"/>
  <c r="CR21" i="9"/>
  <c r="CS21" i="9"/>
  <c r="CT21" i="9"/>
  <c r="CU21" i="9"/>
  <c r="CV21" i="9"/>
  <c r="CW21" i="9"/>
  <c r="CX21" i="9"/>
  <c r="CY21" i="9"/>
  <c r="CZ21" i="9"/>
  <c r="DA21" i="9"/>
  <c r="DB21" i="9"/>
  <c r="DC21" i="9"/>
  <c r="DD21" i="9"/>
  <c r="DE21" i="9"/>
  <c r="DF21" i="9"/>
  <c r="DG21" i="9"/>
  <c r="DH21" i="9"/>
  <c r="DI21" i="9"/>
  <c r="DJ21" i="9"/>
  <c r="DK21" i="9"/>
  <c r="DL21" i="9"/>
  <c r="DM21" i="9"/>
  <c r="DN21" i="9"/>
  <c r="DO21" i="9"/>
  <c r="DP21" i="9"/>
  <c r="DQ21" i="9"/>
  <c r="DR21" i="9"/>
  <c r="DS21" i="9"/>
  <c r="DT21" i="9"/>
  <c r="DU21" i="9"/>
  <c r="DV21" i="9"/>
  <c r="DW21" i="9"/>
  <c r="DX21" i="9"/>
  <c r="DY21" i="9"/>
  <c r="DZ21" i="9"/>
  <c r="EA21" i="9"/>
  <c r="EB21" i="9"/>
  <c r="EC21" i="9"/>
  <c r="ED21" i="9"/>
  <c r="EE21" i="9"/>
  <c r="EF21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BD22" i="9"/>
  <c r="BE22" i="9"/>
  <c r="BF22" i="9"/>
  <c r="BG22" i="9"/>
  <c r="BH22" i="9"/>
  <c r="BI22" i="9"/>
  <c r="BJ22" i="9"/>
  <c r="BK22" i="9"/>
  <c r="BL22" i="9"/>
  <c r="BM22" i="9"/>
  <c r="BN22" i="9"/>
  <c r="BO22" i="9"/>
  <c r="BP22" i="9"/>
  <c r="BQ22" i="9"/>
  <c r="BR22" i="9"/>
  <c r="BS22" i="9"/>
  <c r="BT22" i="9"/>
  <c r="BU22" i="9"/>
  <c r="BV22" i="9"/>
  <c r="BW22" i="9"/>
  <c r="BX22" i="9"/>
  <c r="BY22" i="9"/>
  <c r="BZ22" i="9"/>
  <c r="CA22" i="9"/>
  <c r="CB22" i="9"/>
  <c r="CC22" i="9"/>
  <c r="CD22" i="9"/>
  <c r="CE22" i="9"/>
  <c r="CF22" i="9"/>
  <c r="CG22" i="9"/>
  <c r="CH22" i="9"/>
  <c r="CI22" i="9"/>
  <c r="CJ22" i="9"/>
  <c r="CK22" i="9"/>
  <c r="CL22" i="9"/>
  <c r="CM22" i="9"/>
  <c r="CN22" i="9"/>
  <c r="CO22" i="9"/>
  <c r="CP22" i="9"/>
  <c r="CQ22" i="9"/>
  <c r="CR22" i="9"/>
  <c r="CS22" i="9"/>
  <c r="CT22" i="9"/>
  <c r="CU22" i="9"/>
  <c r="CV22" i="9"/>
  <c r="CW22" i="9"/>
  <c r="CX22" i="9"/>
  <c r="CY22" i="9"/>
  <c r="CZ22" i="9"/>
  <c r="DA22" i="9"/>
  <c r="DB22" i="9"/>
  <c r="DC22" i="9"/>
  <c r="DD22" i="9"/>
  <c r="DE22" i="9"/>
  <c r="DF22" i="9"/>
  <c r="DG22" i="9"/>
  <c r="DH22" i="9"/>
  <c r="DI22" i="9"/>
  <c r="DJ22" i="9"/>
  <c r="DK22" i="9"/>
  <c r="DL22" i="9"/>
  <c r="DM22" i="9"/>
  <c r="DN22" i="9"/>
  <c r="DO22" i="9"/>
  <c r="DP22" i="9"/>
  <c r="DQ22" i="9"/>
  <c r="DR22" i="9"/>
  <c r="DS22" i="9"/>
  <c r="DT22" i="9"/>
  <c r="DU22" i="9"/>
  <c r="DV22" i="9"/>
  <c r="DW22" i="9"/>
  <c r="DX22" i="9"/>
  <c r="DY22" i="9"/>
  <c r="DZ22" i="9"/>
  <c r="EA22" i="9"/>
  <c r="EB22" i="9"/>
  <c r="EC22" i="9"/>
  <c r="ED22" i="9"/>
  <c r="EE22" i="9"/>
  <c r="EF22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BD23" i="9"/>
  <c r="BE23" i="9"/>
  <c r="BF23" i="9"/>
  <c r="BG23" i="9"/>
  <c r="BH23" i="9"/>
  <c r="BI23" i="9"/>
  <c r="BJ23" i="9"/>
  <c r="BK23" i="9"/>
  <c r="BL23" i="9"/>
  <c r="BM23" i="9"/>
  <c r="BN23" i="9"/>
  <c r="BO23" i="9"/>
  <c r="BP23" i="9"/>
  <c r="BQ23" i="9"/>
  <c r="BR23" i="9"/>
  <c r="BS23" i="9"/>
  <c r="BT23" i="9"/>
  <c r="BU23" i="9"/>
  <c r="BV23" i="9"/>
  <c r="BW23" i="9"/>
  <c r="BX23" i="9"/>
  <c r="BY23" i="9"/>
  <c r="BZ23" i="9"/>
  <c r="CA23" i="9"/>
  <c r="CB23" i="9"/>
  <c r="CC23" i="9"/>
  <c r="CD23" i="9"/>
  <c r="CE23" i="9"/>
  <c r="CF23" i="9"/>
  <c r="CG23" i="9"/>
  <c r="CH23" i="9"/>
  <c r="CI23" i="9"/>
  <c r="CJ23" i="9"/>
  <c r="CK23" i="9"/>
  <c r="CL23" i="9"/>
  <c r="CM23" i="9"/>
  <c r="CN23" i="9"/>
  <c r="CO23" i="9"/>
  <c r="CP23" i="9"/>
  <c r="CQ23" i="9"/>
  <c r="CR23" i="9"/>
  <c r="CS23" i="9"/>
  <c r="CT23" i="9"/>
  <c r="CU23" i="9"/>
  <c r="CV23" i="9"/>
  <c r="CW23" i="9"/>
  <c r="CX23" i="9"/>
  <c r="CY23" i="9"/>
  <c r="CZ23" i="9"/>
  <c r="DA23" i="9"/>
  <c r="DB23" i="9"/>
  <c r="DC23" i="9"/>
  <c r="DD23" i="9"/>
  <c r="DE23" i="9"/>
  <c r="DF23" i="9"/>
  <c r="DG23" i="9"/>
  <c r="DH23" i="9"/>
  <c r="DI23" i="9"/>
  <c r="DJ23" i="9"/>
  <c r="DK23" i="9"/>
  <c r="DL23" i="9"/>
  <c r="DM23" i="9"/>
  <c r="DN23" i="9"/>
  <c r="DO23" i="9"/>
  <c r="DP23" i="9"/>
  <c r="DQ23" i="9"/>
  <c r="DR23" i="9"/>
  <c r="DS23" i="9"/>
  <c r="DT23" i="9"/>
  <c r="DU23" i="9"/>
  <c r="DV23" i="9"/>
  <c r="DW23" i="9"/>
  <c r="DX23" i="9"/>
  <c r="DY23" i="9"/>
  <c r="DZ23" i="9"/>
  <c r="EA23" i="9"/>
  <c r="EB23" i="9"/>
  <c r="EC23" i="9"/>
  <c r="ED23" i="9"/>
  <c r="EE23" i="9"/>
  <c r="EF23" i="9"/>
  <c r="C20" i="9"/>
  <c r="C21" i="9"/>
  <c r="C22" i="9"/>
  <c r="C23" i="9"/>
  <c r="C19" i="9"/>
  <c r="B33" i="9" s="1"/>
  <c r="AC5" i="12" a="1"/>
  <c r="AC5" i="12" s="1"/>
  <c r="AD5" i="12" a="1"/>
  <c r="AD5" i="12" s="1"/>
  <c r="AE5" i="12" a="1"/>
  <c r="AE5" i="12" s="1"/>
  <c r="AF5" i="12" a="1"/>
  <c r="AF5" i="12" s="1"/>
  <c r="AG5" i="12" a="1"/>
  <c r="AG5" i="12" s="1"/>
  <c r="AH5" i="12" a="1"/>
  <c r="AH5" i="12" s="1"/>
  <c r="AI5" i="12" a="1"/>
  <c r="AI5" i="12" s="1"/>
  <c r="AJ5" i="12" a="1"/>
  <c r="AJ5" i="12" s="1"/>
  <c r="AK5" i="12" a="1"/>
  <c r="AK5" i="12" s="1"/>
  <c r="AL5" i="12" a="1"/>
  <c r="AL5" i="12" s="1"/>
  <c r="AM5" i="12" a="1"/>
  <c r="AM5" i="12" s="1"/>
  <c r="AN5" i="12" a="1"/>
  <c r="AN5" i="12" s="1"/>
  <c r="AO5" i="12" a="1"/>
  <c r="AO5" i="12" s="1"/>
  <c r="AP5" i="12" a="1"/>
  <c r="AP5" i="12" s="1"/>
  <c r="AQ5" i="12" a="1"/>
  <c r="AQ5" i="12" s="1"/>
  <c r="AR5" i="12" a="1"/>
  <c r="AR5" i="12" s="1"/>
  <c r="AS5" i="12" a="1"/>
  <c r="AS5" i="12" s="1"/>
  <c r="AT5" i="12" a="1"/>
  <c r="AT5" i="12" s="1"/>
  <c r="AU5" i="12" a="1"/>
  <c r="AU5" i="12" s="1"/>
  <c r="AV5" i="12" a="1"/>
  <c r="AV5" i="12" s="1"/>
  <c r="AW5" i="12" a="1"/>
  <c r="AW5" i="12" s="1"/>
  <c r="AX5" i="12" a="1"/>
  <c r="AX5" i="12" s="1"/>
  <c r="AY5" i="12" a="1"/>
  <c r="AY5" i="12" s="1"/>
  <c r="AZ5" i="12" a="1"/>
  <c r="AZ5" i="12" s="1"/>
  <c r="BA5" i="12" a="1"/>
  <c r="BA5" i="12" s="1"/>
  <c r="BB5" i="12" a="1"/>
  <c r="BB5" i="12" s="1"/>
  <c r="BC5" i="12" a="1"/>
  <c r="BC5" i="12" s="1"/>
  <c r="BD5" i="12" a="1"/>
  <c r="BD5" i="12" s="1"/>
  <c r="BE5" i="12" a="1"/>
  <c r="BE5" i="12" s="1"/>
  <c r="BF5" i="12" a="1"/>
  <c r="BF5" i="12" s="1"/>
  <c r="BG5" i="12" a="1"/>
  <c r="BG5" i="12" s="1"/>
  <c r="BH5" i="12" a="1"/>
  <c r="BH5" i="12" s="1"/>
  <c r="BI5" i="12" a="1"/>
  <c r="BI5" i="12" s="1"/>
  <c r="BJ5" i="12" a="1"/>
  <c r="BJ5" i="12" s="1"/>
  <c r="BK5" i="12" a="1"/>
  <c r="BK5" i="12" s="1"/>
  <c r="BL5" i="12" a="1"/>
  <c r="BL5" i="12" s="1"/>
  <c r="BM5" i="12" a="1"/>
  <c r="BM5" i="12" s="1"/>
  <c r="BN5" i="12" a="1"/>
  <c r="BN5" i="12" s="1"/>
  <c r="BO5" i="12" a="1"/>
  <c r="BO5" i="12" s="1"/>
  <c r="BP5" i="12" a="1"/>
  <c r="BP5" i="12" s="1"/>
  <c r="BQ5" i="12" a="1"/>
  <c r="BQ5" i="12" s="1"/>
  <c r="BR5" i="12" a="1"/>
  <c r="BR5" i="12" s="1"/>
  <c r="BS5" i="12" a="1"/>
  <c r="BS5" i="12" s="1"/>
  <c r="BT5" i="12" a="1"/>
  <c r="BT5" i="12" s="1"/>
  <c r="BU5" i="12" a="1"/>
  <c r="BU5" i="12" s="1"/>
  <c r="BV5" i="12" a="1"/>
  <c r="BV5" i="12" s="1"/>
  <c r="BW5" i="12" a="1"/>
  <c r="BW5" i="12" s="1"/>
  <c r="BX5" i="12" a="1"/>
  <c r="BX5" i="12" s="1"/>
  <c r="BY5" i="12" a="1"/>
  <c r="BY5" i="12" s="1"/>
  <c r="BZ5" i="12" a="1"/>
  <c r="BZ5" i="12" s="1"/>
  <c r="CA5" i="12" a="1"/>
  <c r="CA5" i="12" s="1"/>
  <c r="CB5" i="12" a="1"/>
  <c r="CB5" i="12" s="1"/>
  <c r="CC5" i="12" a="1"/>
  <c r="CC5" i="12" s="1"/>
  <c r="CD5" i="12" a="1"/>
  <c r="CD5" i="12" s="1"/>
  <c r="CE5" i="12" a="1"/>
  <c r="CE5" i="12" s="1"/>
  <c r="CF5" i="12" a="1"/>
  <c r="CF5" i="12" s="1"/>
  <c r="CG5" i="12" a="1"/>
  <c r="CG5" i="12" s="1"/>
  <c r="CH5" i="12" a="1"/>
  <c r="CH5" i="12" s="1"/>
  <c r="CI5" i="12" a="1"/>
  <c r="CI5" i="12" s="1"/>
  <c r="CJ5" i="12" a="1"/>
  <c r="CJ5" i="12" s="1"/>
  <c r="CK5" i="12" a="1"/>
  <c r="CK5" i="12" s="1"/>
  <c r="CL5" i="12" a="1"/>
  <c r="CL5" i="12" s="1"/>
  <c r="CM5" i="12" a="1"/>
  <c r="CM5" i="12" s="1"/>
  <c r="CN5" i="12" a="1"/>
  <c r="CN5" i="12" s="1"/>
  <c r="CO5" i="12" a="1"/>
  <c r="CO5" i="12" s="1"/>
  <c r="CP5" i="12" a="1"/>
  <c r="CP5" i="12" s="1"/>
  <c r="CQ5" i="12" a="1"/>
  <c r="CQ5" i="12" s="1"/>
  <c r="CR5" i="12" a="1"/>
  <c r="CR5" i="12" s="1"/>
  <c r="CS5" i="12" a="1"/>
  <c r="CS5" i="12" s="1"/>
  <c r="CT5" i="12" a="1"/>
  <c r="CT5" i="12" s="1"/>
  <c r="CU5" i="12" a="1"/>
  <c r="CU5" i="12" s="1"/>
  <c r="CV5" i="12" a="1"/>
  <c r="CV5" i="12" s="1"/>
  <c r="CW5" i="12" a="1"/>
  <c r="CW5" i="12" s="1"/>
  <c r="CX5" i="12" a="1"/>
  <c r="CX5" i="12" s="1"/>
  <c r="CY5" i="12" a="1"/>
  <c r="CY5" i="12" s="1"/>
  <c r="CZ5" i="12" a="1"/>
  <c r="CZ5" i="12" s="1"/>
  <c r="DA5" i="12" a="1"/>
  <c r="DA5" i="12" s="1"/>
  <c r="DB5" i="12" a="1"/>
  <c r="DB5" i="12" s="1"/>
  <c r="DC5" i="12" a="1"/>
  <c r="DC5" i="12" s="1"/>
  <c r="DD5" i="12" a="1"/>
  <c r="DD5" i="12" s="1"/>
  <c r="DE5" i="12" a="1"/>
  <c r="DE5" i="12" s="1"/>
  <c r="DF5" i="12" a="1"/>
  <c r="DF5" i="12" s="1"/>
  <c r="DG5" i="12" a="1"/>
  <c r="DG5" i="12" s="1"/>
  <c r="DH5" i="12" a="1"/>
  <c r="DH5" i="12" s="1"/>
  <c r="DI5" i="12" a="1"/>
  <c r="DI5" i="12" s="1"/>
  <c r="DJ5" i="12" a="1"/>
  <c r="DJ5" i="12" s="1"/>
  <c r="DK5" i="12" a="1"/>
  <c r="DK5" i="12" s="1"/>
  <c r="DL5" i="12" a="1"/>
  <c r="DL5" i="12" s="1"/>
  <c r="DM5" i="12" a="1"/>
  <c r="DM5" i="12" s="1"/>
  <c r="DN5" i="12" a="1"/>
  <c r="DN5" i="12" s="1"/>
  <c r="DO5" i="12" a="1"/>
  <c r="DO5" i="12" s="1"/>
  <c r="DP5" i="12" a="1"/>
  <c r="DP5" i="12" s="1"/>
  <c r="DQ5" i="12" a="1"/>
  <c r="DQ5" i="12" s="1"/>
  <c r="DR5" i="12" a="1"/>
  <c r="DR5" i="12" s="1"/>
  <c r="DS5" i="12" a="1"/>
  <c r="DS5" i="12" s="1"/>
  <c r="DT5" i="12" a="1"/>
  <c r="DT5" i="12" s="1"/>
  <c r="DU5" i="12" a="1"/>
  <c r="DU5" i="12" s="1"/>
  <c r="DV5" i="12" a="1"/>
  <c r="DV5" i="12" s="1"/>
  <c r="DW5" i="12" a="1"/>
  <c r="DW5" i="12" s="1"/>
  <c r="DX5" i="12" a="1"/>
  <c r="DX5" i="12" s="1"/>
  <c r="DY5" i="12" a="1"/>
  <c r="DY5" i="12" s="1"/>
  <c r="DZ5" i="12" a="1"/>
  <c r="DZ5" i="12" s="1"/>
  <c r="EA5" i="12" a="1"/>
  <c r="EA5" i="12" s="1"/>
  <c r="EB5" i="12" a="1"/>
  <c r="EB5" i="12" s="1"/>
  <c r="EC5" i="12" a="1"/>
  <c r="EC5" i="12" s="1"/>
  <c r="ED5" i="12" a="1"/>
  <c r="ED5" i="12" s="1"/>
  <c r="EE5" i="12" a="1"/>
  <c r="EE5" i="12" s="1"/>
  <c r="EF5" i="12" a="1"/>
  <c r="EF5" i="12" s="1"/>
  <c r="EG5" i="12" a="1"/>
  <c r="EG5" i="12" s="1"/>
  <c r="AC6" i="12" a="1"/>
  <c r="AC6" i="12" s="1"/>
  <c r="AD6" i="12" a="1"/>
  <c r="AD6" i="12" s="1"/>
  <c r="AE6" i="12" a="1"/>
  <c r="AE6" i="12" s="1"/>
  <c r="AF6" i="12" a="1"/>
  <c r="AF6" i="12" s="1"/>
  <c r="AG6" i="12" a="1"/>
  <c r="AG6" i="12" s="1"/>
  <c r="AH6" i="12" a="1"/>
  <c r="AH6" i="12" s="1"/>
  <c r="AI6" i="12" a="1"/>
  <c r="AI6" i="12" s="1"/>
  <c r="AJ6" i="12" a="1"/>
  <c r="AJ6" i="12" s="1"/>
  <c r="AK6" i="12" a="1"/>
  <c r="AK6" i="12" s="1"/>
  <c r="AL6" i="12" a="1"/>
  <c r="AL6" i="12" s="1"/>
  <c r="AM6" i="12" a="1"/>
  <c r="AM6" i="12" s="1"/>
  <c r="AN6" i="12" a="1"/>
  <c r="AN6" i="12" s="1"/>
  <c r="AO6" i="12" a="1"/>
  <c r="AO6" i="12" s="1"/>
  <c r="AP6" i="12" a="1"/>
  <c r="AP6" i="12" s="1"/>
  <c r="AQ6" i="12" a="1"/>
  <c r="AQ6" i="12" s="1"/>
  <c r="AR6" i="12" a="1"/>
  <c r="AR6" i="12" s="1"/>
  <c r="AS6" i="12" a="1"/>
  <c r="AS6" i="12" s="1"/>
  <c r="AT6" i="12" a="1"/>
  <c r="AT6" i="12" s="1"/>
  <c r="AU6" i="12" a="1"/>
  <c r="AU6" i="12" s="1"/>
  <c r="AV6" i="12" a="1"/>
  <c r="AV6" i="12" s="1"/>
  <c r="AW6" i="12" a="1"/>
  <c r="AW6" i="12" s="1"/>
  <c r="AX6" i="12" a="1"/>
  <c r="AX6" i="12" s="1"/>
  <c r="AY6" i="12" a="1"/>
  <c r="AY6" i="12" s="1"/>
  <c r="AZ6" i="12" a="1"/>
  <c r="AZ6" i="12" s="1"/>
  <c r="BA6" i="12" a="1"/>
  <c r="BA6" i="12" s="1"/>
  <c r="BB6" i="12" a="1"/>
  <c r="BB6" i="12" s="1"/>
  <c r="BC6" i="12" a="1"/>
  <c r="BC6" i="12" s="1"/>
  <c r="BD6" i="12" a="1"/>
  <c r="BD6" i="12" s="1"/>
  <c r="BE6" i="12" a="1"/>
  <c r="BE6" i="12" s="1"/>
  <c r="BF6" i="12" a="1"/>
  <c r="BF6" i="12" s="1"/>
  <c r="BG6" i="12" a="1"/>
  <c r="BG6" i="12" s="1"/>
  <c r="BH6" i="12" a="1"/>
  <c r="BH6" i="12" s="1"/>
  <c r="BI6" i="12" a="1"/>
  <c r="BI6" i="12" s="1"/>
  <c r="BJ6" i="12" a="1"/>
  <c r="BJ6" i="12" s="1"/>
  <c r="BK6" i="12" a="1"/>
  <c r="BK6" i="12" s="1"/>
  <c r="BL6" i="12" a="1"/>
  <c r="BL6" i="12" s="1"/>
  <c r="BM6" i="12" a="1"/>
  <c r="BM6" i="12" s="1"/>
  <c r="BN6" i="12" a="1"/>
  <c r="BN6" i="12" s="1"/>
  <c r="BO6" i="12" a="1"/>
  <c r="BO6" i="12" s="1"/>
  <c r="BP6" i="12" a="1"/>
  <c r="BP6" i="12" s="1"/>
  <c r="BQ6" i="12" a="1"/>
  <c r="BQ6" i="12" s="1"/>
  <c r="BR6" i="12" a="1"/>
  <c r="BR6" i="12" s="1"/>
  <c r="BS6" i="12" a="1"/>
  <c r="BS6" i="12" s="1"/>
  <c r="BT6" i="12" a="1"/>
  <c r="BT6" i="12" s="1"/>
  <c r="BU6" i="12" a="1"/>
  <c r="BU6" i="12" s="1"/>
  <c r="BV6" i="12" a="1"/>
  <c r="BV6" i="12" s="1"/>
  <c r="BW6" i="12" a="1"/>
  <c r="BW6" i="12" s="1"/>
  <c r="BX6" i="12" a="1"/>
  <c r="BX6" i="12" s="1"/>
  <c r="BY6" i="12" a="1"/>
  <c r="BY6" i="12" s="1"/>
  <c r="BZ6" i="12" a="1"/>
  <c r="BZ6" i="12" s="1"/>
  <c r="CA6" i="12" a="1"/>
  <c r="CA6" i="12" s="1"/>
  <c r="CB6" i="12" a="1"/>
  <c r="CB6" i="12" s="1"/>
  <c r="CC6" i="12" a="1"/>
  <c r="CC6" i="12" s="1"/>
  <c r="CD6" i="12" a="1"/>
  <c r="CD6" i="12" s="1"/>
  <c r="CE6" i="12" a="1"/>
  <c r="CE6" i="12" s="1"/>
  <c r="CF6" i="12" a="1"/>
  <c r="CF6" i="12" s="1"/>
  <c r="CG6" i="12" a="1"/>
  <c r="CG6" i="12" s="1"/>
  <c r="CH6" i="12" a="1"/>
  <c r="CH6" i="12" s="1"/>
  <c r="CI6" i="12" a="1"/>
  <c r="CI6" i="12" s="1"/>
  <c r="CJ6" i="12" a="1"/>
  <c r="CJ6" i="12" s="1"/>
  <c r="CK6" i="12" a="1"/>
  <c r="CK6" i="12" s="1"/>
  <c r="CL6" i="12" a="1"/>
  <c r="CL6" i="12" s="1"/>
  <c r="CM6" i="12" a="1"/>
  <c r="CM6" i="12" s="1"/>
  <c r="CN6" i="12" a="1"/>
  <c r="CN6" i="12" s="1"/>
  <c r="CO6" i="12" a="1"/>
  <c r="CO6" i="12" s="1"/>
  <c r="CP6" i="12" a="1"/>
  <c r="CP6" i="12" s="1"/>
  <c r="CQ6" i="12" a="1"/>
  <c r="CQ6" i="12" s="1"/>
  <c r="CR6" i="12" a="1"/>
  <c r="CR6" i="12" s="1"/>
  <c r="CS6" i="12" a="1"/>
  <c r="CS6" i="12" s="1"/>
  <c r="CT6" i="12" a="1"/>
  <c r="CT6" i="12" s="1"/>
  <c r="CU6" i="12" a="1"/>
  <c r="CU6" i="12" s="1"/>
  <c r="CV6" i="12" a="1"/>
  <c r="CV6" i="12" s="1"/>
  <c r="CW6" i="12" a="1"/>
  <c r="CW6" i="12" s="1"/>
  <c r="CX6" i="12" a="1"/>
  <c r="CX6" i="12" s="1"/>
  <c r="CY6" i="12" a="1"/>
  <c r="CY6" i="12" s="1"/>
  <c r="CZ6" i="12" a="1"/>
  <c r="CZ6" i="12" s="1"/>
  <c r="DA6" i="12" a="1"/>
  <c r="DA6" i="12" s="1"/>
  <c r="DB6" i="12" a="1"/>
  <c r="DB6" i="12" s="1"/>
  <c r="DC6" i="12" a="1"/>
  <c r="DC6" i="12" s="1"/>
  <c r="DD6" i="12" a="1"/>
  <c r="DD6" i="12" s="1"/>
  <c r="DE6" i="12" a="1"/>
  <c r="DE6" i="12" s="1"/>
  <c r="DF6" i="12" a="1"/>
  <c r="DF6" i="12" s="1"/>
  <c r="DG6" i="12" a="1"/>
  <c r="DG6" i="12" s="1"/>
  <c r="DH6" i="12" a="1"/>
  <c r="DH6" i="12" s="1"/>
  <c r="DI6" i="12" a="1"/>
  <c r="DI6" i="12" s="1"/>
  <c r="DJ6" i="12" a="1"/>
  <c r="DJ6" i="12" s="1"/>
  <c r="DK6" i="12" a="1"/>
  <c r="DK6" i="12" s="1"/>
  <c r="DL6" i="12" a="1"/>
  <c r="DL6" i="12" s="1"/>
  <c r="DM6" i="12" a="1"/>
  <c r="DM6" i="12" s="1"/>
  <c r="DN6" i="12" a="1"/>
  <c r="DN6" i="12" s="1"/>
  <c r="DO6" i="12" a="1"/>
  <c r="DO6" i="12" s="1"/>
  <c r="DP6" i="12" a="1"/>
  <c r="DP6" i="12" s="1"/>
  <c r="DQ6" i="12" a="1"/>
  <c r="DQ6" i="12" s="1"/>
  <c r="DR6" i="12" a="1"/>
  <c r="DR6" i="12" s="1"/>
  <c r="DS6" i="12" a="1"/>
  <c r="DS6" i="12" s="1"/>
  <c r="DT6" i="12" a="1"/>
  <c r="DT6" i="12" s="1"/>
  <c r="DU6" i="12" a="1"/>
  <c r="DU6" i="12" s="1"/>
  <c r="DV6" i="12" a="1"/>
  <c r="DV6" i="12" s="1"/>
  <c r="DW6" i="12" a="1"/>
  <c r="DW6" i="12" s="1"/>
  <c r="DX6" i="12" a="1"/>
  <c r="DX6" i="12" s="1"/>
  <c r="DY6" i="12" a="1"/>
  <c r="DY6" i="12" s="1"/>
  <c r="DZ6" i="12" a="1"/>
  <c r="DZ6" i="12" s="1"/>
  <c r="EA6" i="12" a="1"/>
  <c r="EA6" i="12" s="1"/>
  <c r="EB6" i="12" a="1"/>
  <c r="EB6" i="12" s="1"/>
  <c r="EC6" i="12" a="1"/>
  <c r="EC6" i="12" s="1"/>
  <c r="ED6" i="12" a="1"/>
  <c r="ED6" i="12" s="1"/>
  <c r="EE6" i="12" a="1"/>
  <c r="EE6" i="12" s="1"/>
  <c r="EF6" i="12" a="1"/>
  <c r="EF6" i="12" s="1"/>
  <c r="EG6" i="12" a="1"/>
  <c r="EG6" i="12" s="1"/>
  <c r="AC7" i="12" a="1"/>
  <c r="AC7" i="12" s="1"/>
  <c r="AD7" i="12" a="1"/>
  <c r="AD7" i="12" s="1"/>
  <c r="AE7" i="12" a="1"/>
  <c r="AE7" i="12" s="1"/>
  <c r="AF7" i="12" a="1"/>
  <c r="AF7" i="12" s="1"/>
  <c r="AG7" i="12" a="1"/>
  <c r="AG7" i="12" s="1"/>
  <c r="AH7" i="12" a="1"/>
  <c r="AH7" i="12" s="1"/>
  <c r="AI7" i="12" a="1"/>
  <c r="AI7" i="12" s="1"/>
  <c r="AJ7" i="12" a="1"/>
  <c r="AJ7" i="12" s="1"/>
  <c r="AK7" i="12" a="1"/>
  <c r="AK7" i="12" s="1"/>
  <c r="AL7" i="12" a="1"/>
  <c r="AL7" i="12" s="1"/>
  <c r="AM7" i="12" a="1"/>
  <c r="AM7" i="12" s="1"/>
  <c r="AN7" i="12" a="1"/>
  <c r="AN7" i="12" s="1"/>
  <c r="AO7" i="12" a="1"/>
  <c r="AO7" i="12" s="1"/>
  <c r="AP7" i="12" a="1"/>
  <c r="AP7" i="12" s="1"/>
  <c r="AQ7" i="12" a="1"/>
  <c r="AQ7" i="12" s="1"/>
  <c r="AR7" i="12" a="1"/>
  <c r="AR7" i="12" s="1"/>
  <c r="AS7" i="12" a="1"/>
  <c r="AS7" i="12" s="1"/>
  <c r="AT7" i="12" a="1"/>
  <c r="AT7" i="12" s="1"/>
  <c r="AU7" i="12" a="1"/>
  <c r="AU7" i="12" s="1"/>
  <c r="AV7" i="12" a="1"/>
  <c r="AV7" i="12" s="1"/>
  <c r="AW7" i="12" a="1"/>
  <c r="AW7" i="12" s="1"/>
  <c r="AX7" i="12" a="1"/>
  <c r="AX7" i="12" s="1"/>
  <c r="AY7" i="12" a="1"/>
  <c r="AY7" i="12" s="1"/>
  <c r="AZ7" i="12" a="1"/>
  <c r="AZ7" i="12" s="1"/>
  <c r="BA7" i="12" a="1"/>
  <c r="BA7" i="12" s="1"/>
  <c r="BB7" i="12" a="1"/>
  <c r="BB7" i="12" s="1"/>
  <c r="BC7" i="12" a="1"/>
  <c r="BC7" i="12" s="1"/>
  <c r="BD7" i="12" a="1"/>
  <c r="BD7" i="12" s="1"/>
  <c r="BE7" i="12" a="1"/>
  <c r="BE7" i="12" s="1"/>
  <c r="BF7" i="12" a="1"/>
  <c r="BF7" i="12" s="1"/>
  <c r="BG7" i="12" a="1"/>
  <c r="BG7" i="12" s="1"/>
  <c r="BH7" i="12" a="1"/>
  <c r="BH7" i="12" s="1"/>
  <c r="BI7" i="12" a="1"/>
  <c r="BI7" i="12" s="1"/>
  <c r="BJ7" i="12" a="1"/>
  <c r="BJ7" i="12" s="1"/>
  <c r="BK7" i="12" a="1"/>
  <c r="BK7" i="12" s="1"/>
  <c r="BL7" i="12" a="1"/>
  <c r="BL7" i="12" s="1"/>
  <c r="BM7" i="12" a="1"/>
  <c r="BM7" i="12" s="1"/>
  <c r="BN7" i="12" a="1"/>
  <c r="BN7" i="12" s="1"/>
  <c r="BO7" i="12" a="1"/>
  <c r="BO7" i="12" s="1"/>
  <c r="BP7" i="12" a="1"/>
  <c r="BP7" i="12" s="1"/>
  <c r="BQ7" i="12" a="1"/>
  <c r="BQ7" i="12" s="1"/>
  <c r="BR7" i="12" a="1"/>
  <c r="BR7" i="12" s="1"/>
  <c r="BS7" i="12" a="1"/>
  <c r="BS7" i="12" s="1"/>
  <c r="BT7" i="12" a="1"/>
  <c r="BT7" i="12" s="1"/>
  <c r="BU7" i="12" a="1"/>
  <c r="BU7" i="12" s="1"/>
  <c r="BV7" i="12" a="1"/>
  <c r="BV7" i="12" s="1"/>
  <c r="BW7" i="12" a="1"/>
  <c r="BW7" i="12" s="1"/>
  <c r="BX7" i="12" a="1"/>
  <c r="BX7" i="12" s="1"/>
  <c r="BY7" i="12" a="1"/>
  <c r="BY7" i="12" s="1"/>
  <c r="BZ7" i="12" a="1"/>
  <c r="BZ7" i="12" s="1"/>
  <c r="CA7" i="12" a="1"/>
  <c r="CA7" i="12" s="1"/>
  <c r="CB7" i="12" a="1"/>
  <c r="CB7" i="12" s="1"/>
  <c r="CC7" i="12" a="1"/>
  <c r="CC7" i="12" s="1"/>
  <c r="CD7" i="12" a="1"/>
  <c r="CD7" i="12" s="1"/>
  <c r="CE7" i="12" a="1"/>
  <c r="CE7" i="12" s="1"/>
  <c r="CF7" i="12" a="1"/>
  <c r="CF7" i="12" s="1"/>
  <c r="CG7" i="12" a="1"/>
  <c r="CG7" i="12" s="1"/>
  <c r="CH7" i="12" a="1"/>
  <c r="CH7" i="12" s="1"/>
  <c r="CI7" i="12" a="1"/>
  <c r="CI7" i="12" s="1"/>
  <c r="CJ7" i="12" a="1"/>
  <c r="CJ7" i="12" s="1"/>
  <c r="CK7" i="12" a="1"/>
  <c r="CK7" i="12" s="1"/>
  <c r="CL7" i="12" a="1"/>
  <c r="CL7" i="12" s="1"/>
  <c r="CM7" i="12" a="1"/>
  <c r="CM7" i="12" s="1"/>
  <c r="CN7" i="12" a="1"/>
  <c r="CN7" i="12" s="1"/>
  <c r="CO7" i="12" a="1"/>
  <c r="CO7" i="12" s="1"/>
  <c r="CP7" i="12" a="1"/>
  <c r="CP7" i="12" s="1"/>
  <c r="CQ7" i="12" a="1"/>
  <c r="CQ7" i="12" s="1"/>
  <c r="CR7" i="12" a="1"/>
  <c r="CR7" i="12" s="1"/>
  <c r="CS7" i="12" a="1"/>
  <c r="CS7" i="12" s="1"/>
  <c r="CT7" i="12" a="1"/>
  <c r="CT7" i="12" s="1"/>
  <c r="CU7" i="12" a="1"/>
  <c r="CU7" i="12" s="1"/>
  <c r="CV7" i="12" a="1"/>
  <c r="CV7" i="12" s="1"/>
  <c r="CW7" i="12" a="1"/>
  <c r="CW7" i="12" s="1"/>
  <c r="CX7" i="12" a="1"/>
  <c r="CX7" i="12" s="1"/>
  <c r="CY7" i="12" a="1"/>
  <c r="CY7" i="12" s="1"/>
  <c r="CZ7" i="12" a="1"/>
  <c r="CZ7" i="12" s="1"/>
  <c r="DA7" i="12" a="1"/>
  <c r="DA7" i="12" s="1"/>
  <c r="DB7" i="12" a="1"/>
  <c r="DB7" i="12" s="1"/>
  <c r="DC7" i="12" a="1"/>
  <c r="DC7" i="12" s="1"/>
  <c r="DD7" i="12" a="1"/>
  <c r="DD7" i="12" s="1"/>
  <c r="DE7" i="12" a="1"/>
  <c r="DE7" i="12" s="1"/>
  <c r="DF7" i="12" a="1"/>
  <c r="DF7" i="12" s="1"/>
  <c r="DG7" i="12" a="1"/>
  <c r="DG7" i="12" s="1"/>
  <c r="DH7" i="12" a="1"/>
  <c r="DH7" i="12" s="1"/>
  <c r="DI7" i="12" a="1"/>
  <c r="DI7" i="12" s="1"/>
  <c r="DJ7" i="12" a="1"/>
  <c r="DJ7" i="12" s="1"/>
  <c r="DK7" i="12" a="1"/>
  <c r="DK7" i="12" s="1"/>
  <c r="DL7" i="12" a="1"/>
  <c r="DL7" i="12" s="1"/>
  <c r="DM7" i="12" a="1"/>
  <c r="DM7" i="12" s="1"/>
  <c r="DN7" i="12" a="1"/>
  <c r="DN7" i="12" s="1"/>
  <c r="DO7" i="12" a="1"/>
  <c r="DO7" i="12" s="1"/>
  <c r="DP7" i="12" a="1"/>
  <c r="DP7" i="12" s="1"/>
  <c r="DQ7" i="12" a="1"/>
  <c r="DQ7" i="12" s="1"/>
  <c r="DR7" i="12" a="1"/>
  <c r="DR7" i="12" s="1"/>
  <c r="DS7" i="12" a="1"/>
  <c r="DS7" i="12" s="1"/>
  <c r="DT7" i="12" a="1"/>
  <c r="DT7" i="12" s="1"/>
  <c r="DU7" i="12" a="1"/>
  <c r="DU7" i="12" s="1"/>
  <c r="DV7" i="12" a="1"/>
  <c r="DV7" i="12" s="1"/>
  <c r="DW7" i="12" a="1"/>
  <c r="DW7" i="12" s="1"/>
  <c r="DX7" i="12" a="1"/>
  <c r="DX7" i="12" s="1"/>
  <c r="DY7" i="12" a="1"/>
  <c r="DY7" i="12" s="1"/>
  <c r="DZ7" i="12" a="1"/>
  <c r="DZ7" i="12" s="1"/>
  <c r="EA7" i="12" a="1"/>
  <c r="EA7" i="12" s="1"/>
  <c r="EB7" i="12" a="1"/>
  <c r="EB7" i="12" s="1"/>
  <c r="EC7" i="12" a="1"/>
  <c r="EC7" i="12" s="1"/>
  <c r="ED7" i="12" a="1"/>
  <c r="ED7" i="12" s="1"/>
  <c r="EE7" i="12" a="1"/>
  <c r="EE7" i="12" s="1"/>
  <c r="EF7" i="12" a="1"/>
  <c r="EF7" i="12" s="1"/>
  <c r="EG7" i="12" a="1"/>
  <c r="EG7" i="12" s="1"/>
  <c r="AC8" i="12" a="1"/>
  <c r="AC8" i="12" s="1"/>
  <c r="AD8" i="12" a="1"/>
  <c r="AD8" i="12" s="1"/>
  <c r="AE8" i="12" a="1"/>
  <c r="AE8" i="12" s="1"/>
  <c r="AF8" i="12" a="1"/>
  <c r="AF8" i="12" s="1"/>
  <c r="AG8" i="12" a="1"/>
  <c r="AG8" i="12" s="1"/>
  <c r="AH8" i="12" a="1"/>
  <c r="AH8" i="12" s="1"/>
  <c r="AI8" i="12" a="1"/>
  <c r="AI8" i="12" s="1"/>
  <c r="AJ8" i="12" a="1"/>
  <c r="AJ8" i="12" s="1"/>
  <c r="AK8" i="12" a="1"/>
  <c r="AK8" i="12" s="1"/>
  <c r="AL8" i="12" a="1"/>
  <c r="AL8" i="12" s="1"/>
  <c r="AM8" i="12" a="1"/>
  <c r="AM8" i="12" s="1"/>
  <c r="AN8" i="12" a="1"/>
  <c r="AN8" i="12" s="1"/>
  <c r="AO8" i="12" a="1"/>
  <c r="AO8" i="12" s="1"/>
  <c r="AP8" i="12" a="1"/>
  <c r="AP8" i="12" s="1"/>
  <c r="AQ8" i="12" a="1"/>
  <c r="AQ8" i="12" s="1"/>
  <c r="AR8" i="12" a="1"/>
  <c r="AR8" i="12" s="1"/>
  <c r="AS8" i="12" a="1"/>
  <c r="AS8" i="12" s="1"/>
  <c r="AT8" i="12" a="1"/>
  <c r="AT8" i="12" s="1"/>
  <c r="AU8" i="12" a="1"/>
  <c r="AU8" i="12" s="1"/>
  <c r="AV8" i="12" a="1"/>
  <c r="AV8" i="12" s="1"/>
  <c r="AW8" i="12" a="1"/>
  <c r="AW8" i="12" s="1"/>
  <c r="AX8" i="12" a="1"/>
  <c r="AX8" i="12" s="1"/>
  <c r="AY8" i="12" a="1"/>
  <c r="AY8" i="12" s="1"/>
  <c r="AZ8" i="12" a="1"/>
  <c r="AZ8" i="12" s="1"/>
  <c r="BA8" i="12" a="1"/>
  <c r="BA8" i="12" s="1"/>
  <c r="BB8" i="12" a="1"/>
  <c r="BB8" i="12" s="1"/>
  <c r="BC8" i="12" a="1"/>
  <c r="BC8" i="12" s="1"/>
  <c r="BD8" i="12" a="1"/>
  <c r="BD8" i="12" s="1"/>
  <c r="BE8" i="12" a="1"/>
  <c r="BE8" i="12" s="1"/>
  <c r="BF8" i="12" a="1"/>
  <c r="BF8" i="12" s="1"/>
  <c r="BG8" i="12" a="1"/>
  <c r="BG8" i="12" s="1"/>
  <c r="BH8" i="12" a="1"/>
  <c r="BH8" i="12" s="1"/>
  <c r="BI8" i="12" a="1"/>
  <c r="BI8" i="12" s="1"/>
  <c r="BJ8" i="12" a="1"/>
  <c r="BJ8" i="12" s="1"/>
  <c r="BK8" i="12" a="1"/>
  <c r="BK8" i="12" s="1"/>
  <c r="BL8" i="12" a="1"/>
  <c r="BL8" i="12" s="1"/>
  <c r="BM8" i="12" a="1"/>
  <c r="BM8" i="12" s="1"/>
  <c r="BN8" i="12" a="1"/>
  <c r="BN8" i="12" s="1"/>
  <c r="BO8" i="12" a="1"/>
  <c r="BO8" i="12" s="1"/>
  <c r="BP8" i="12" a="1"/>
  <c r="BP8" i="12" s="1"/>
  <c r="BQ8" i="12" a="1"/>
  <c r="BQ8" i="12" s="1"/>
  <c r="BR8" i="12" a="1"/>
  <c r="BR8" i="12" s="1"/>
  <c r="BS8" i="12" a="1"/>
  <c r="BS8" i="12" s="1"/>
  <c r="BT8" i="12" a="1"/>
  <c r="BT8" i="12" s="1"/>
  <c r="BU8" i="12" a="1"/>
  <c r="BU8" i="12" s="1"/>
  <c r="BV8" i="12" a="1"/>
  <c r="BV8" i="12" s="1"/>
  <c r="BW8" i="12" a="1"/>
  <c r="BW8" i="12" s="1"/>
  <c r="BX8" i="12" a="1"/>
  <c r="BX8" i="12" s="1"/>
  <c r="BY8" i="12" a="1"/>
  <c r="BY8" i="12" s="1"/>
  <c r="BZ8" i="12" a="1"/>
  <c r="BZ8" i="12" s="1"/>
  <c r="CA8" i="12" a="1"/>
  <c r="CA8" i="12" s="1"/>
  <c r="CB8" i="12" a="1"/>
  <c r="CB8" i="12" s="1"/>
  <c r="CC8" i="12" a="1"/>
  <c r="CC8" i="12" s="1"/>
  <c r="CD8" i="12" a="1"/>
  <c r="CD8" i="12" s="1"/>
  <c r="CE8" i="12" a="1"/>
  <c r="CE8" i="12" s="1"/>
  <c r="CF8" i="12" a="1"/>
  <c r="CF8" i="12" s="1"/>
  <c r="CG8" i="12" a="1"/>
  <c r="CG8" i="12" s="1"/>
  <c r="CH8" i="12" a="1"/>
  <c r="CH8" i="12" s="1"/>
  <c r="CI8" i="12" a="1"/>
  <c r="CI8" i="12" s="1"/>
  <c r="CJ8" i="12" a="1"/>
  <c r="CJ8" i="12" s="1"/>
  <c r="CK8" i="12" a="1"/>
  <c r="CK8" i="12" s="1"/>
  <c r="CL8" i="12" a="1"/>
  <c r="CL8" i="12" s="1"/>
  <c r="CM8" i="12" a="1"/>
  <c r="CM8" i="12" s="1"/>
  <c r="CN8" i="12" a="1"/>
  <c r="CN8" i="12" s="1"/>
  <c r="CO8" i="12" a="1"/>
  <c r="CO8" i="12" s="1"/>
  <c r="CP8" i="12" a="1"/>
  <c r="CP8" i="12" s="1"/>
  <c r="CQ8" i="12" a="1"/>
  <c r="CQ8" i="12" s="1"/>
  <c r="CR8" i="12" a="1"/>
  <c r="CR8" i="12" s="1"/>
  <c r="CS8" i="12" a="1"/>
  <c r="CS8" i="12" s="1"/>
  <c r="CT8" i="12" a="1"/>
  <c r="CT8" i="12" s="1"/>
  <c r="CU8" i="12" a="1"/>
  <c r="CU8" i="12" s="1"/>
  <c r="CV8" i="12" a="1"/>
  <c r="CV8" i="12" s="1"/>
  <c r="CW8" i="12" a="1"/>
  <c r="CW8" i="12" s="1"/>
  <c r="CX8" i="12" a="1"/>
  <c r="CX8" i="12" s="1"/>
  <c r="CY8" i="12" a="1"/>
  <c r="CY8" i="12" s="1"/>
  <c r="CZ8" i="12" a="1"/>
  <c r="CZ8" i="12" s="1"/>
  <c r="DA8" i="12" a="1"/>
  <c r="DA8" i="12" s="1"/>
  <c r="DB8" i="12" a="1"/>
  <c r="DB8" i="12" s="1"/>
  <c r="DC8" i="12" a="1"/>
  <c r="DC8" i="12" s="1"/>
  <c r="DD8" i="12" a="1"/>
  <c r="DD8" i="12" s="1"/>
  <c r="DE8" i="12" a="1"/>
  <c r="DE8" i="12" s="1"/>
  <c r="DF8" i="12" a="1"/>
  <c r="DF8" i="12" s="1"/>
  <c r="DG8" i="12" a="1"/>
  <c r="DG8" i="12" s="1"/>
  <c r="DH8" i="12" a="1"/>
  <c r="DH8" i="12" s="1"/>
  <c r="DI8" i="12" a="1"/>
  <c r="DI8" i="12" s="1"/>
  <c r="DJ8" i="12" a="1"/>
  <c r="DJ8" i="12" s="1"/>
  <c r="DK8" i="12" a="1"/>
  <c r="DK8" i="12" s="1"/>
  <c r="DL8" i="12" a="1"/>
  <c r="DL8" i="12" s="1"/>
  <c r="DM8" i="12" a="1"/>
  <c r="DM8" i="12" s="1"/>
  <c r="DN8" i="12" a="1"/>
  <c r="DN8" i="12" s="1"/>
  <c r="DO8" i="12" a="1"/>
  <c r="DO8" i="12" s="1"/>
  <c r="DP8" i="12" a="1"/>
  <c r="DP8" i="12" s="1"/>
  <c r="DQ8" i="12" a="1"/>
  <c r="DQ8" i="12" s="1"/>
  <c r="DR8" i="12" a="1"/>
  <c r="DR8" i="12" s="1"/>
  <c r="DS8" i="12" a="1"/>
  <c r="DS8" i="12" s="1"/>
  <c r="DT8" i="12" a="1"/>
  <c r="DT8" i="12" s="1"/>
  <c r="DU8" i="12" a="1"/>
  <c r="DU8" i="12" s="1"/>
  <c r="DV8" i="12" a="1"/>
  <c r="DV8" i="12" s="1"/>
  <c r="DW8" i="12" a="1"/>
  <c r="DW8" i="12" s="1"/>
  <c r="DX8" i="12" a="1"/>
  <c r="DX8" i="12" s="1"/>
  <c r="DY8" i="12" a="1"/>
  <c r="DY8" i="12" s="1"/>
  <c r="DZ8" i="12" a="1"/>
  <c r="DZ8" i="12" s="1"/>
  <c r="EA8" i="12" a="1"/>
  <c r="EA8" i="12" s="1"/>
  <c r="EB8" i="12" a="1"/>
  <c r="EB8" i="12" s="1"/>
  <c r="EC8" i="12" a="1"/>
  <c r="EC8" i="12" s="1"/>
  <c r="ED8" i="12" a="1"/>
  <c r="ED8" i="12" s="1"/>
  <c r="EE8" i="12" a="1"/>
  <c r="EE8" i="12" s="1"/>
  <c r="EF8" i="12" a="1"/>
  <c r="EF8" i="12" s="1"/>
  <c r="EG8" i="12" a="1"/>
  <c r="EG8" i="12" s="1"/>
  <c r="AC9" i="12" a="1"/>
  <c r="AC9" i="12" s="1"/>
  <c r="AD9" i="12" a="1"/>
  <c r="AD9" i="12" s="1"/>
  <c r="AE9" i="12" a="1"/>
  <c r="AE9" i="12" s="1"/>
  <c r="AF9" i="12" a="1"/>
  <c r="AF9" i="12" s="1"/>
  <c r="AG9" i="12" a="1"/>
  <c r="AG9" i="12" s="1"/>
  <c r="AH9" i="12" a="1"/>
  <c r="AH9" i="12" s="1"/>
  <c r="AI9" i="12" a="1"/>
  <c r="AI9" i="12" s="1"/>
  <c r="AJ9" i="12" a="1"/>
  <c r="AJ9" i="12" s="1"/>
  <c r="AK9" i="12" a="1"/>
  <c r="AK9" i="12" s="1"/>
  <c r="AL9" i="12" a="1"/>
  <c r="AL9" i="12" s="1"/>
  <c r="AM9" i="12" a="1"/>
  <c r="AM9" i="12" s="1"/>
  <c r="AN9" i="12" a="1"/>
  <c r="AN9" i="12" s="1"/>
  <c r="AO9" i="12" a="1"/>
  <c r="AO9" i="12" s="1"/>
  <c r="AP9" i="12" a="1"/>
  <c r="AP9" i="12" s="1"/>
  <c r="AQ9" i="12" a="1"/>
  <c r="AQ9" i="12" s="1"/>
  <c r="AR9" i="12" a="1"/>
  <c r="AR9" i="12" s="1"/>
  <c r="AS9" i="12" a="1"/>
  <c r="AS9" i="12" s="1"/>
  <c r="AT9" i="12" a="1"/>
  <c r="AT9" i="12" s="1"/>
  <c r="AU9" i="12" a="1"/>
  <c r="AU9" i="12" s="1"/>
  <c r="AV9" i="12" a="1"/>
  <c r="AV9" i="12" s="1"/>
  <c r="AW9" i="12" a="1"/>
  <c r="AW9" i="12" s="1"/>
  <c r="AX9" i="12" a="1"/>
  <c r="AX9" i="12" s="1"/>
  <c r="AY9" i="12" a="1"/>
  <c r="AY9" i="12" s="1"/>
  <c r="AZ9" i="12" a="1"/>
  <c r="AZ9" i="12" s="1"/>
  <c r="BA9" i="12" a="1"/>
  <c r="BA9" i="12" s="1"/>
  <c r="BB9" i="12" a="1"/>
  <c r="BB9" i="12" s="1"/>
  <c r="BC9" i="12" a="1"/>
  <c r="BC9" i="12" s="1"/>
  <c r="BD9" i="12" a="1"/>
  <c r="BD9" i="12" s="1"/>
  <c r="BE9" i="12" a="1"/>
  <c r="BE9" i="12" s="1"/>
  <c r="BF9" i="12" a="1"/>
  <c r="BF9" i="12" s="1"/>
  <c r="BG9" i="12" a="1"/>
  <c r="BG9" i="12" s="1"/>
  <c r="BH9" i="12" a="1"/>
  <c r="BH9" i="12" s="1"/>
  <c r="BI9" i="12" a="1"/>
  <c r="BI9" i="12" s="1"/>
  <c r="BJ9" i="12" a="1"/>
  <c r="BJ9" i="12" s="1"/>
  <c r="BK9" i="12" a="1"/>
  <c r="BK9" i="12" s="1"/>
  <c r="BL9" i="12" a="1"/>
  <c r="BL9" i="12" s="1"/>
  <c r="BM9" i="12" a="1"/>
  <c r="BM9" i="12" s="1"/>
  <c r="BN9" i="12" a="1"/>
  <c r="BN9" i="12" s="1"/>
  <c r="BO9" i="12" a="1"/>
  <c r="BO9" i="12" s="1"/>
  <c r="BP9" i="12" a="1"/>
  <c r="BP9" i="12" s="1"/>
  <c r="BQ9" i="12" a="1"/>
  <c r="BQ9" i="12" s="1"/>
  <c r="BR9" i="12" a="1"/>
  <c r="BR9" i="12" s="1"/>
  <c r="BS9" i="12" a="1"/>
  <c r="BS9" i="12" s="1"/>
  <c r="BT9" i="12" a="1"/>
  <c r="BT9" i="12" s="1"/>
  <c r="BU9" i="12" a="1"/>
  <c r="BU9" i="12" s="1"/>
  <c r="BV9" i="12" a="1"/>
  <c r="BV9" i="12" s="1"/>
  <c r="BW9" i="12" a="1"/>
  <c r="BW9" i="12" s="1"/>
  <c r="BX9" i="12" a="1"/>
  <c r="BX9" i="12" s="1"/>
  <c r="BY9" i="12" a="1"/>
  <c r="BY9" i="12" s="1"/>
  <c r="BZ9" i="12" a="1"/>
  <c r="BZ9" i="12" s="1"/>
  <c r="CA9" i="12" a="1"/>
  <c r="CA9" i="12" s="1"/>
  <c r="CB9" i="12" a="1"/>
  <c r="CB9" i="12" s="1"/>
  <c r="CC9" i="12" a="1"/>
  <c r="CC9" i="12" s="1"/>
  <c r="CD9" i="12" a="1"/>
  <c r="CD9" i="12" s="1"/>
  <c r="CE9" i="12" a="1"/>
  <c r="CE9" i="12" s="1"/>
  <c r="CF9" i="12" a="1"/>
  <c r="CF9" i="12" s="1"/>
  <c r="CG9" i="12" a="1"/>
  <c r="CG9" i="12" s="1"/>
  <c r="CH9" i="12" a="1"/>
  <c r="CH9" i="12" s="1"/>
  <c r="CI9" i="12" a="1"/>
  <c r="CI9" i="12" s="1"/>
  <c r="CJ9" i="12" a="1"/>
  <c r="CJ9" i="12" s="1"/>
  <c r="CK9" i="12" a="1"/>
  <c r="CK9" i="12" s="1"/>
  <c r="CL9" i="12" a="1"/>
  <c r="CL9" i="12" s="1"/>
  <c r="CM9" i="12" a="1"/>
  <c r="CM9" i="12" s="1"/>
  <c r="CN9" i="12" a="1"/>
  <c r="CN9" i="12" s="1"/>
  <c r="CO9" i="12" a="1"/>
  <c r="CO9" i="12" s="1"/>
  <c r="CP9" i="12" a="1"/>
  <c r="CP9" i="12" s="1"/>
  <c r="CQ9" i="12" a="1"/>
  <c r="CQ9" i="12" s="1"/>
  <c r="CR9" i="12" a="1"/>
  <c r="CR9" i="12" s="1"/>
  <c r="CS9" i="12" a="1"/>
  <c r="CS9" i="12" s="1"/>
  <c r="CT9" i="12" a="1"/>
  <c r="CT9" i="12" s="1"/>
  <c r="CU9" i="12" a="1"/>
  <c r="CU9" i="12" s="1"/>
  <c r="CV9" i="12" a="1"/>
  <c r="CV9" i="12" s="1"/>
  <c r="CW9" i="12" a="1"/>
  <c r="CW9" i="12" s="1"/>
  <c r="CX9" i="12" a="1"/>
  <c r="CX9" i="12" s="1"/>
  <c r="CY9" i="12" a="1"/>
  <c r="CY9" i="12" s="1"/>
  <c r="CZ9" i="12" a="1"/>
  <c r="CZ9" i="12" s="1"/>
  <c r="DA9" i="12" a="1"/>
  <c r="DA9" i="12" s="1"/>
  <c r="DB9" i="12" a="1"/>
  <c r="DB9" i="12" s="1"/>
  <c r="DC9" i="12" a="1"/>
  <c r="DC9" i="12" s="1"/>
  <c r="DD9" i="12" a="1"/>
  <c r="DD9" i="12" s="1"/>
  <c r="DE9" i="12" a="1"/>
  <c r="DE9" i="12" s="1"/>
  <c r="DF9" i="12" a="1"/>
  <c r="DF9" i="12" s="1"/>
  <c r="DG9" i="12" a="1"/>
  <c r="DG9" i="12" s="1"/>
  <c r="DH9" i="12" a="1"/>
  <c r="DH9" i="12" s="1"/>
  <c r="DI9" i="12" a="1"/>
  <c r="DI9" i="12" s="1"/>
  <c r="DJ9" i="12" a="1"/>
  <c r="DJ9" i="12" s="1"/>
  <c r="DK9" i="12" a="1"/>
  <c r="DK9" i="12" s="1"/>
  <c r="DL9" i="12" a="1"/>
  <c r="DL9" i="12" s="1"/>
  <c r="DM9" i="12" a="1"/>
  <c r="DM9" i="12" s="1"/>
  <c r="DN9" i="12" a="1"/>
  <c r="DN9" i="12" s="1"/>
  <c r="DO9" i="12" a="1"/>
  <c r="DO9" i="12" s="1"/>
  <c r="DP9" i="12" a="1"/>
  <c r="DP9" i="12" s="1"/>
  <c r="DQ9" i="12" a="1"/>
  <c r="DQ9" i="12" s="1"/>
  <c r="DR9" i="12" a="1"/>
  <c r="DR9" i="12" s="1"/>
  <c r="DS9" i="12" a="1"/>
  <c r="DS9" i="12" s="1"/>
  <c r="DT9" i="12" a="1"/>
  <c r="DT9" i="12" s="1"/>
  <c r="DU9" i="12" a="1"/>
  <c r="DU9" i="12" s="1"/>
  <c r="DV9" i="12" a="1"/>
  <c r="DV9" i="12" s="1"/>
  <c r="DW9" i="12" a="1"/>
  <c r="DW9" i="12" s="1"/>
  <c r="DX9" i="12" a="1"/>
  <c r="DX9" i="12" s="1"/>
  <c r="DY9" i="12" a="1"/>
  <c r="DY9" i="12" s="1"/>
  <c r="DZ9" i="12" a="1"/>
  <c r="DZ9" i="12" s="1"/>
  <c r="EA9" i="12" a="1"/>
  <c r="EA9" i="12" s="1"/>
  <c r="EB9" i="12" a="1"/>
  <c r="EB9" i="12" s="1"/>
  <c r="EC9" i="12" a="1"/>
  <c r="EC9" i="12" s="1"/>
  <c r="ED9" i="12" a="1"/>
  <c r="ED9" i="12" s="1"/>
  <c r="EE9" i="12" a="1"/>
  <c r="EE9" i="12" s="1"/>
  <c r="EF9" i="12" a="1"/>
  <c r="EF9" i="12" s="1"/>
  <c r="EG9" i="12" a="1"/>
  <c r="EG9" i="12" s="1"/>
  <c r="AC10" i="12" a="1"/>
  <c r="AC10" i="12"/>
  <c r="AD10" i="12" a="1"/>
  <c r="AD10" i="12" s="1"/>
  <c r="AE10" i="12" a="1"/>
  <c r="AE10" i="12" s="1"/>
  <c r="AF10" i="12" a="1"/>
  <c r="AF10" i="12" s="1"/>
  <c r="AG10" i="12" a="1"/>
  <c r="AG10" i="12" s="1"/>
  <c r="AH10" i="12" a="1"/>
  <c r="AH10" i="12" s="1"/>
  <c r="AI10" i="12" a="1"/>
  <c r="AI10" i="12" s="1"/>
  <c r="AJ10" i="12" a="1"/>
  <c r="AJ10" i="12" s="1"/>
  <c r="AK10" i="12" a="1"/>
  <c r="AK10" i="12" s="1"/>
  <c r="AL10" i="12" a="1"/>
  <c r="AL10" i="12" s="1"/>
  <c r="AM10" i="12" a="1"/>
  <c r="AM10" i="12" s="1"/>
  <c r="AN10" i="12" a="1"/>
  <c r="AN10" i="12" s="1"/>
  <c r="AO10" i="12" a="1"/>
  <c r="AO10" i="12" s="1"/>
  <c r="AP10" i="12" a="1"/>
  <c r="AP10" i="12" s="1"/>
  <c r="AQ10" i="12" a="1"/>
  <c r="AQ10" i="12" s="1"/>
  <c r="AR10" i="12" a="1"/>
  <c r="AR10" i="12" s="1"/>
  <c r="AS10" i="12" a="1"/>
  <c r="AS10" i="12" s="1"/>
  <c r="AT10" i="12" a="1"/>
  <c r="AT10" i="12" s="1"/>
  <c r="AU10" i="12" a="1"/>
  <c r="AU10" i="12" s="1"/>
  <c r="AV10" i="12" a="1"/>
  <c r="AV10" i="12" s="1"/>
  <c r="AW10" i="12" a="1"/>
  <c r="AW10" i="12" s="1"/>
  <c r="AX10" i="12" a="1"/>
  <c r="AX10" i="12" s="1"/>
  <c r="AY10" i="12" a="1"/>
  <c r="AY10" i="12" s="1"/>
  <c r="AZ10" i="12" a="1"/>
  <c r="AZ10" i="12" s="1"/>
  <c r="BA10" i="12" a="1"/>
  <c r="BA10" i="12" s="1"/>
  <c r="BB10" i="12" a="1"/>
  <c r="BB10" i="12" s="1"/>
  <c r="BC10" i="12" a="1"/>
  <c r="BC10" i="12" s="1"/>
  <c r="BD10" i="12" a="1"/>
  <c r="BD10" i="12" s="1"/>
  <c r="BE10" i="12" a="1"/>
  <c r="BE10" i="12" s="1"/>
  <c r="BF10" i="12" a="1"/>
  <c r="BF10" i="12" s="1"/>
  <c r="BG10" i="12" a="1"/>
  <c r="BG10" i="12" s="1"/>
  <c r="BH10" i="12" a="1"/>
  <c r="BH10" i="12" s="1"/>
  <c r="BI10" i="12" a="1"/>
  <c r="BI10" i="12" s="1"/>
  <c r="BJ10" i="12" a="1"/>
  <c r="BJ10" i="12" s="1"/>
  <c r="BK10" i="12" a="1"/>
  <c r="BK10" i="12" s="1"/>
  <c r="BL10" i="12" a="1"/>
  <c r="BL10" i="12" s="1"/>
  <c r="BM10" i="12" a="1"/>
  <c r="BM10" i="12" s="1"/>
  <c r="BN10" i="12" a="1"/>
  <c r="BN10" i="12" s="1"/>
  <c r="BO10" i="12" a="1"/>
  <c r="BO10" i="12" s="1"/>
  <c r="BP10" i="12" a="1"/>
  <c r="BP10" i="12" s="1"/>
  <c r="BQ10" i="12" a="1"/>
  <c r="BQ10" i="12" s="1"/>
  <c r="BR10" i="12" a="1"/>
  <c r="BR10" i="12" s="1"/>
  <c r="BS10" i="12" a="1"/>
  <c r="BS10" i="12" s="1"/>
  <c r="BT10" i="12" a="1"/>
  <c r="BT10" i="12" s="1"/>
  <c r="BU10" i="12" a="1"/>
  <c r="BU10" i="12" s="1"/>
  <c r="BV10" i="12" a="1"/>
  <c r="BV10" i="12" s="1"/>
  <c r="BW10" i="12" a="1"/>
  <c r="BW10" i="12" s="1"/>
  <c r="BX10" i="12" a="1"/>
  <c r="BX10" i="12" s="1"/>
  <c r="BY10" i="12" a="1"/>
  <c r="BY10" i="12" s="1"/>
  <c r="BZ10" i="12" a="1"/>
  <c r="BZ10" i="12" s="1"/>
  <c r="CA10" i="12" a="1"/>
  <c r="CA10" i="12" s="1"/>
  <c r="CB10" i="12" a="1"/>
  <c r="CB10" i="12" s="1"/>
  <c r="CC10" i="12" a="1"/>
  <c r="CC10" i="12" s="1"/>
  <c r="CD10" i="12" a="1"/>
  <c r="CD10" i="12" s="1"/>
  <c r="CE10" i="12" a="1"/>
  <c r="CE10" i="12" s="1"/>
  <c r="CF10" i="12" a="1"/>
  <c r="CF10" i="12" s="1"/>
  <c r="CG10" i="12" a="1"/>
  <c r="CG10" i="12" s="1"/>
  <c r="CH10" i="12" a="1"/>
  <c r="CH10" i="12" s="1"/>
  <c r="CI10" i="12" a="1"/>
  <c r="CI10" i="12" s="1"/>
  <c r="CJ10" i="12" a="1"/>
  <c r="CJ10" i="12" s="1"/>
  <c r="CK10" i="12" a="1"/>
  <c r="CK10" i="12" s="1"/>
  <c r="CL10" i="12" a="1"/>
  <c r="CL10" i="12" s="1"/>
  <c r="CM10" i="12" a="1"/>
  <c r="CM10" i="12" s="1"/>
  <c r="CN10" i="12" a="1"/>
  <c r="CN10" i="12" s="1"/>
  <c r="CO10" i="12" a="1"/>
  <c r="CO10" i="12" s="1"/>
  <c r="CP10" i="12" a="1"/>
  <c r="CP10" i="12" s="1"/>
  <c r="CQ10" i="12" a="1"/>
  <c r="CQ10" i="12" s="1"/>
  <c r="CR10" i="12" a="1"/>
  <c r="CR10" i="12" s="1"/>
  <c r="CS10" i="12" a="1"/>
  <c r="CS10" i="12" s="1"/>
  <c r="CT10" i="12" a="1"/>
  <c r="CT10" i="12" s="1"/>
  <c r="CU10" i="12" a="1"/>
  <c r="CU10" i="12" s="1"/>
  <c r="CV10" i="12" a="1"/>
  <c r="CV10" i="12" s="1"/>
  <c r="CW10" i="12" a="1"/>
  <c r="CW10" i="12" s="1"/>
  <c r="CX10" i="12" a="1"/>
  <c r="CX10" i="12" s="1"/>
  <c r="CY10" i="12" a="1"/>
  <c r="CY10" i="12" s="1"/>
  <c r="CZ10" i="12" a="1"/>
  <c r="CZ10" i="12" s="1"/>
  <c r="DA10" i="12" a="1"/>
  <c r="DA10" i="12" s="1"/>
  <c r="DB10" i="12" a="1"/>
  <c r="DB10" i="12" s="1"/>
  <c r="DC10" i="12" a="1"/>
  <c r="DC10" i="12" s="1"/>
  <c r="DD10" i="12" a="1"/>
  <c r="DD10" i="12" s="1"/>
  <c r="DE10" i="12" a="1"/>
  <c r="DE10" i="12" s="1"/>
  <c r="DF10" i="12" a="1"/>
  <c r="DF10" i="12" s="1"/>
  <c r="DG10" i="12" a="1"/>
  <c r="DG10" i="12" s="1"/>
  <c r="DH10" i="12" a="1"/>
  <c r="DH10" i="12" s="1"/>
  <c r="DI10" i="12" a="1"/>
  <c r="DI10" i="12" s="1"/>
  <c r="DJ10" i="12" a="1"/>
  <c r="DJ10" i="12" s="1"/>
  <c r="DK10" i="12" a="1"/>
  <c r="DK10" i="12" s="1"/>
  <c r="DL10" i="12" a="1"/>
  <c r="DL10" i="12" s="1"/>
  <c r="DM10" i="12" a="1"/>
  <c r="DM10" i="12" s="1"/>
  <c r="DN10" i="12" a="1"/>
  <c r="DN10" i="12" s="1"/>
  <c r="DO10" i="12" a="1"/>
  <c r="DO10" i="12" s="1"/>
  <c r="DP10" i="12" a="1"/>
  <c r="DP10" i="12" s="1"/>
  <c r="DQ10" i="12" a="1"/>
  <c r="DQ10" i="12" s="1"/>
  <c r="DR10" i="12" a="1"/>
  <c r="DR10" i="12" s="1"/>
  <c r="DS10" i="12" a="1"/>
  <c r="DS10" i="12" s="1"/>
  <c r="DT10" i="12" a="1"/>
  <c r="DT10" i="12" s="1"/>
  <c r="DU10" i="12" a="1"/>
  <c r="DU10" i="12" s="1"/>
  <c r="DV10" i="12" a="1"/>
  <c r="DV10" i="12" s="1"/>
  <c r="DW10" i="12" a="1"/>
  <c r="DW10" i="12" s="1"/>
  <c r="DX10" i="12" a="1"/>
  <c r="DX10" i="12" s="1"/>
  <c r="DY10" i="12" a="1"/>
  <c r="DY10" i="12" s="1"/>
  <c r="DZ10" i="12" a="1"/>
  <c r="DZ10" i="12" s="1"/>
  <c r="EA10" i="12" a="1"/>
  <c r="EA10" i="12" s="1"/>
  <c r="EB10" i="12" a="1"/>
  <c r="EB10" i="12" s="1"/>
  <c r="EC10" i="12" a="1"/>
  <c r="EC10" i="12" s="1"/>
  <c r="ED10" i="12" a="1"/>
  <c r="ED10" i="12" s="1"/>
  <c r="EE10" i="12" a="1"/>
  <c r="EE10" i="12" s="1"/>
  <c r="EF10" i="12" a="1"/>
  <c r="EF10" i="12" s="1"/>
  <c r="EG10" i="12" a="1"/>
  <c r="EG10" i="12" s="1"/>
  <c r="AC11" i="12" a="1"/>
  <c r="AC11" i="12" s="1"/>
  <c r="AD11" i="12" a="1"/>
  <c r="AD11" i="12" s="1"/>
  <c r="AE11" i="12" a="1"/>
  <c r="AE11" i="12" s="1"/>
  <c r="AF11" i="12" a="1"/>
  <c r="AF11" i="12" s="1"/>
  <c r="AG11" i="12" a="1"/>
  <c r="AG11" i="12" s="1"/>
  <c r="AH11" i="12" a="1"/>
  <c r="AH11" i="12" s="1"/>
  <c r="AI11" i="12" a="1"/>
  <c r="AI11" i="12" s="1"/>
  <c r="AJ11" i="12" a="1"/>
  <c r="AJ11" i="12" s="1"/>
  <c r="AK11" i="12" a="1"/>
  <c r="AK11" i="12" s="1"/>
  <c r="AL11" i="12" a="1"/>
  <c r="AL11" i="12" s="1"/>
  <c r="AM11" i="12" a="1"/>
  <c r="AM11" i="12" s="1"/>
  <c r="AN11" i="12" a="1"/>
  <c r="AN11" i="12" s="1"/>
  <c r="AO11" i="12" a="1"/>
  <c r="AO11" i="12" s="1"/>
  <c r="AP11" i="12" a="1"/>
  <c r="AP11" i="12" s="1"/>
  <c r="AQ11" i="12" a="1"/>
  <c r="AQ11" i="12" s="1"/>
  <c r="AR11" i="12" a="1"/>
  <c r="AR11" i="12" s="1"/>
  <c r="AS11" i="12" a="1"/>
  <c r="AS11" i="12" s="1"/>
  <c r="AT11" i="12" a="1"/>
  <c r="AT11" i="12" s="1"/>
  <c r="AU11" i="12" a="1"/>
  <c r="AU11" i="12" s="1"/>
  <c r="AV11" i="12" a="1"/>
  <c r="AV11" i="12" s="1"/>
  <c r="AW11" i="12" a="1"/>
  <c r="AW11" i="12" s="1"/>
  <c r="AX11" i="12" a="1"/>
  <c r="AX11" i="12" s="1"/>
  <c r="AY11" i="12" a="1"/>
  <c r="AY11" i="12" s="1"/>
  <c r="AZ11" i="12" a="1"/>
  <c r="AZ11" i="12" s="1"/>
  <c r="BA11" i="12" a="1"/>
  <c r="BA11" i="12" s="1"/>
  <c r="BB11" i="12" a="1"/>
  <c r="BB11" i="12" s="1"/>
  <c r="BC11" i="12" a="1"/>
  <c r="BC11" i="12" s="1"/>
  <c r="BD11" i="12" a="1"/>
  <c r="BD11" i="12" s="1"/>
  <c r="BE11" i="12" a="1"/>
  <c r="BE11" i="12" s="1"/>
  <c r="BF11" i="12" a="1"/>
  <c r="BF11" i="12" s="1"/>
  <c r="BG11" i="12" a="1"/>
  <c r="BG11" i="12" s="1"/>
  <c r="BH11" i="12" a="1"/>
  <c r="BH11" i="12" s="1"/>
  <c r="BI11" i="12" a="1"/>
  <c r="BI11" i="12" s="1"/>
  <c r="BJ11" i="12" a="1"/>
  <c r="BJ11" i="12" s="1"/>
  <c r="BK11" i="12" a="1"/>
  <c r="BK11" i="12" s="1"/>
  <c r="BL11" i="12" a="1"/>
  <c r="BL11" i="12" s="1"/>
  <c r="BM11" i="12" a="1"/>
  <c r="BM11" i="12" s="1"/>
  <c r="BN11" i="12" a="1"/>
  <c r="BN11" i="12" s="1"/>
  <c r="BO11" i="12" a="1"/>
  <c r="BO11" i="12" s="1"/>
  <c r="BP11" i="12" a="1"/>
  <c r="BP11" i="12" s="1"/>
  <c r="BQ11" i="12" a="1"/>
  <c r="BQ11" i="12" s="1"/>
  <c r="BR11" i="12" a="1"/>
  <c r="BR11" i="12" s="1"/>
  <c r="BS11" i="12" a="1"/>
  <c r="BS11" i="12" s="1"/>
  <c r="BT11" i="12" a="1"/>
  <c r="BT11" i="12" s="1"/>
  <c r="BU11" i="12" a="1"/>
  <c r="BU11" i="12" s="1"/>
  <c r="BV11" i="12" a="1"/>
  <c r="BV11" i="12" s="1"/>
  <c r="BW11" i="12" a="1"/>
  <c r="BW11" i="12" s="1"/>
  <c r="BX11" i="12" a="1"/>
  <c r="BX11" i="12" s="1"/>
  <c r="BY11" i="12" a="1"/>
  <c r="BY11" i="12" s="1"/>
  <c r="BZ11" i="12" a="1"/>
  <c r="BZ11" i="12" s="1"/>
  <c r="CA11" i="12" a="1"/>
  <c r="CA11" i="12" s="1"/>
  <c r="CB11" i="12" a="1"/>
  <c r="CB11" i="12" s="1"/>
  <c r="CC11" i="12" a="1"/>
  <c r="CC11" i="12" s="1"/>
  <c r="CD11" i="12" a="1"/>
  <c r="CD11" i="12" s="1"/>
  <c r="CE11" i="12" a="1"/>
  <c r="CE11" i="12" s="1"/>
  <c r="CF11" i="12" a="1"/>
  <c r="CF11" i="12" s="1"/>
  <c r="CG11" i="12" a="1"/>
  <c r="CG11" i="12" s="1"/>
  <c r="CH11" i="12" a="1"/>
  <c r="CH11" i="12" s="1"/>
  <c r="CI11" i="12" a="1"/>
  <c r="CI11" i="12" s="1"/>
  <c r="CJ11" i="12" a="1"/>
  <c r="CJ11" i="12" s="1"/>
  <c r="CK11" i="12" a="1"/>
  <c r="CK11" i="12" s="1"/>
  <c r="CL11" i="12" a="1"/>
  <c r="CL11" i="12" s="1"/>
  <c r="CM11" i="12" a="1"/>
  <c r="CM11" i="12" s="1"/>
  <c r="CN11" i="12" a="1"/>
  <c r="CN11" i="12" s="1"/>
  <c r="CO11" i="12" a="1"/>
  <c r="CO11" i="12" s="1"/>
  <c r="CP11" i="12" a="1"/>
  <c r="CP11" i="12" s="1"/>
  <c r="CQ11" i="12" a="1"/>
  <c r="CQ11" i="12" s="1"/>
  <c r="CR11" i="12" a="1"/>
  <c r="CR11" i="12" s="1"/>
  <c r="CS11" i="12" a="1"/>
  <c r="CS11" i="12" s="1"/>
  <c r="CT11" i="12" a="1"/>
  <c r="CT11" i="12" s="1"/>
  <c r="CU11" i="12" a="1"/>
  <c r="CU11" i="12" s="1"/>
  <c r="CV11" i="12" a="1"/>
  <c r="CV11" i="12" s="1"/>
  <c r="CW11" i="12" a="1"/>
  <c r="CW11" i="12" s="1"/>
  <c r="CX11" i="12" a="1"/>
  <c r="CX11" i="12" s="1"/>
  <c r="CY11" i="12" a="1"/>
  <c r="CY11" i="12" s="1"/>
  <c r="CZ11" i="12" a="1"/>
  <c r="CZ11" i="12" s="1"/>
  <c r="DA11" i="12" a="1"/>
  <c r="DA11" i="12" s="1"/>
  <c r="DB11" i="12" a="1"/>
  <c r="DB11" i="12" s="1"/>
  <c r="DC11" i="12" a="1"/>
  <c r="DC11" i="12" s="1"/>
  <c r="DD11" i="12" a="1"/>
  <c r="DD11" i="12" s="1"/>
  <c r="DE11" i="12" a="1"/>
  <c r="DE11" i="12" s="1"/>
  <c r="DF11" i="12" a="1"/>
  <c r="DF11" i="12" s="1"/>
  <c r="DG11" i="12" a="1"/>
  <c r="DG11" i="12" s="1"/>
  <c r="DH11" i="12" a="1"/>
  <c r="DH11" i="12" s="1"/>
  <c r="DI11" i="12" a="1"/>
  <c r="DI11" i="12" s="1"/>
  <c r="DJ11" i="12" a="1"/>
  <c r="DJ11" i="12" s="1"/>
  <c r="DK11" i="12" a="1"/>
  <c r="DK11" i="12" s="1"/>
  <c r="DL11" i="12" a="1"/>
  <c r="DL11" i="12" s="1"/>
  <c r="DM11" i="12" a="1"/>
  <c r="DM11" i="12" s="1"/>
  <c r="DN11" i="12" a="1"/>
  <c r="DN11" i="12" s="1"/>
  <c r="DO11" i="12" a="1"/>
  <c r="DO11" i="12" s="1"/>
  <c r="DP11" i="12" a="1"/>
  <c r="DP11" i="12" s="1"/>
  <c r="DQ11" i="12" a="1"/>
  <c r="DQ11" i="12" s="1"/>
  <c r="DR11" i="12" a="1"/>
  <c r="DR11" i="12" s="1"/>
  <c r="DS11" i="12" a="1"/>
  <c r="DS11" i="12" s="1"/>
  <c r="DT11" i="12" a="1"/>
  <c r="DT11" i="12" s="1"/>
  <c r="DU11" i="12" a="1"/>
  <c r="DU11" i="12" s="1"/>
  <c r="DV11" i="12" a="1"/>
  <c r="DV11" i="12" s="1"/>
  <c r="DW11" i="12" a="1"/>
  <c r="DW11" i="12" s="1"/>
  <c r="DX11" i="12" a="1"/>
  <c r="DX11" i="12" s="1"/>
  <c r="DY11" i="12" a="1"/>
  <c r="DY11" i="12" s="1"/>
  <c r="DZ11" i="12" a="1"/>
  <c r="DZ11" i="12" s="1"/>
  <c r="EA11" i="12" a="1"/>
  <c r="EA11" i="12" s="1"/>
  <c r="EB11" i="12" a="1"/>
  <c r="EB11" i="12" s="1"/>
  <c r="EC11" i="12" a="1"/>
  <c r="EC11" i="12" s="1"/>
  <c r="ED11" i="12" a="1"/>
  <c r="ED11" i="12" s="1"/>
  <c r="EE11" i="12" a="1"/>
  <c r="EE11" i="12" s="1"/>
  <c r="EF11" i="12" a="1"/>
  <c r="EF11" i="12" s="1"/>
  <c r="EG11" i="12" a="1"/>
  <c r="EG11" i="12" s="1"/>
  <c r="AC12" i="12" a="1"/>
  <c r="AC12" i="12" s="1"/>
  <c r="AD12" i="12" a="1"/>
  <c r="AD12" i="12" s="1"/>
  <c r="AE12" i="12" a="1"/>
  <c r="AE12" i="12" s="1"/>
  <c r="AF12" i="12" a="1"/>
  <c r="AF12" i="12" s="1"/>
  <c r="AG12" i="12" a="1"/>
  <c r="AG12" i="12" s="1"/>
  <c r="AH12" i="12" a="1"/>
  <c r="AH12" i="12" s="1"/>
  <c r="AI12" i="12" a="1"/>
  <c r="AI12" i="12" s="1"/>
  <c r="AJ12" i="12" a="1"/>
  <c r="AJ12" i="12" s="1"/>
  <c r="AK12" i="12" a="1"/>
  <c r="AK12" i="12" s="1"/>
  <c r="AL12" i="12" a="1"/>
  <c r="AL12" i="12" s="1"/>
  <c r="AM12" i="12" a="1"/>
  <c r="AM12" i="12" s="1"/>
  <c r="AN12" i="12" a="1"/>
  <c r="AN12" i="12" s="1"/>
  <c r="AO12" i="12" a="1"/>
  <c r="AO12" i="12" s="1"/>
  <c r="AP12" i="12" a="1"/>
  <c r="AP12" i="12" s="1"/>
  <c r="AQ12" i="12" a="1"/>
  <c r="AQ12" i="12" s="1"/>
  <c r="AR12" i="12" a="1"/>
  <c r="AR12" i="12" s="1"/>
  <c r="AS12" i="12" a="1"/>
  <c r="AS12" i="12" s="1"/>
  <c r="AT12" i="12" a="1"/>
  <c r="AT12" i="12" s="1"/>
  <c r="AU12" i="12" a="1"/>
  <c r="AU12" i="12" s="1"/>
  <c r="AV12" i="12" a="1"/>
  <c r="AV12" i="12" s="1"/>
  <c r="AW12" i="12" a="1"/>
  <c r="AW12" i="12" s="1"/>
  <c r="AX12" i="12" a="1"/>
  <c r="AX12" i="12" s="1"/>
  <c r="AY12" i="12" a="1"/>
  <c r="AY12" i="12" s="1"/>
  <c r="AZ12" i="12" a="1"/>
  <c r="AZ12" i="12" s="1"/>
  <c r="BA12" i="12" a="1"/>
  <c r="BA12" i="12" s="1"/>
  <c r="BB12" i="12" a="1"/>
  <c r="BB12" i="12" s="1"/>
  <c r="BC12" i="12" a="1"/>
  <c r="BC12" i="12" s="1"/>
  <c r="BD12" i="12" a="1"/>
  <c r="BD12" i="12" s="1"/>
  <c r="BE12" i="12" a="1"/>
  <c r="BE12" i="12" s="1"/>
  <c r="BF12" i="12" a="1"/>
  <c r="BF12" i="12" s="1"/>
  <c r="BG12" i="12" a="1"/>
  <c r="BG12" i="12" s="1"/>
  <c r="BH12" i="12" a="1"/>
  <c r="BH12" i="12" s="1"/>
  <c r="BI12" i="12" a="1"/>
  <c r="BI12" i="12" s="1"/>
  <c r="BJ12" i="12" a="1"/>
  <c r="BJ12" i="12" s="1"/>
  <c r="BK12" i="12" a="1"/>
  <c r="BK12" i="12" s="1"/>
  <c r="BL12" i="12" a="1"/>
  <c r="BL12" i="12" s="1"/>
  <c r="BM12" i="12" a="1"/>
  <c r="BM12" i="12" s="1"/>
  <c r="BN12" i="12" a="1"/>
  <c r="BN12" i="12" s="1"/>
  <c r="BO12" i="12" a="1"/>
  <c r="BO12" i="12" s="1"/>
  <c r="BP12" i="12" a="1"/>
  <c r="BP12" i="12" s="1"/>
  <c r="BQ12" i="12" a="1"/>
  <c r="BQ12" i="12" s="1"/>
  <c r="BR12" i="12" a="1"/>
  <c r="BR12" i="12" s="1"/>
  <c r="BS12" i="12" a="1"/>
  <c r="BS12" i="12" s="1"/>
  <c r="BT12" i="12" a="1"/>
  <c r="BT12" i="12" s="1"/>
  <c r="BU12" i="12" a="1"/>
  <c r="BU12" i="12" s="1"/>
  <c r="BV12" i="12" a="1"/>
  <c r="BV12" i="12" s="1"/>
  <c r="BW12" i="12" a="1"/>
  <c r="BW12" i="12" s="1"/>
  <c r="BX12" i="12" a="1"/>
  <c r="BX12" i="12" s="1"/>
  <c r="BY12" i="12" a="1"/>
  <c r="BY12" i="12" s="1"/>
  <c r="BZ12" i="12" a="1"/>
  <c r="BZ12" i="12" s="1"/>
  <c r="CA12" i="12" a="1"/>
  <c r="CA12" i="12" s="1"/>
  <c r="CB12" i="12" a="1"/>
  <c r="CB12" i="12" s="1"/>
  <c r="CC12" i="12" a="1"/>
  <c r="CC12" i="12" s="1"/>
  <c r="CD12" i="12" a="1"/>
  <c r="CD12" i="12" s="1"/>
  <c r="CE12" i="12" a="1"/>
  <c r="CE12" i="12" s="1"/>
  <c r="CF12" i="12" a="1"/>
  <c r="CF12" i="12" s="1"/>
  <c r="CG12" i="12" a="1"/>
  <c r="CG12" i="12" s="1"/>
  <c r="CH12" i="12" a="1"/>
  <c r="CH12" i="12" s="1"/>
  <c r="CI12" i="12" a="1"/>
  <c r="CI12" i="12" s="1"/>
  <c r="CJ12" i="12" a="1"/>
  <c r="CJ12" i="12" s="1"/>
  <c r="CK12" i="12" a="1"/>
  <c r="CK12" i="12" s="1"/>
  <c r="CL12" i="12" a="1"/>
  <c r="CL12" i="12" s="1"/>
  <c r="CM12" i="12" a="1"/>
  <c r="CM12" i="12" s="1"/>
  <c r="CN12" i="12" a="1"/>
  <c r="CN12" i="12" s="1"/>
  <c r="CO12" i="12" a="1"/>
  <c r="CO12" i="12" s="1"/>
  <c r="CP12" i="12" a="1"/>
  <c r="CP12" i="12" s="1"/>
  <c r="CQ12" i="12" a="1"/>
  <c r="CQ12" i="12" s="1"/>
  <c r="CR12" i="12" a="1"/>
  <c r="CR12" i="12" s="1"/>
  <c r="CS12" i="12" a="1"/>
  <c r="CS12" i="12" s="1"/>
  <c r="CT12" i="12" a="1"/>
  <c r="CT12" i="12" s="1"/>
  <c r="CU12" i="12" a="1"/>
  <c r="CU12" i="12" s="1"/>
  <c r="CV12" i="12" a="1"/>
  <c r="CV12" i="12" s="1"/>
  <c r="CW12" i="12" a="1"/>
  <c r="CW12" i="12" s="1"/>
  <c r="CX12" i="12" a="1"/>
  <c r="CX12" i="12" s="1"/>
  <c r="CY12" i="12" a="1"/>
  <c r="CY12" i="12" s="1"/>
  <c r="CZ12" i="12" a="1"/>
  <c r="CZ12" i="12" s="1"/>
  <c r="DA12" i="12" a="1"/>
  <c r="DA12" i="12" s="1"/>
  <c r="DB12" i="12" a="1"/>
  <c r="DB12" i="12" s="1"/>
  <c r="DC12" i="12" a="1"/>
  <c r="DC12" i="12" s="1"/>
  <c r="DD12" i="12" a="1"/>
  <c r="DD12" i="12" s="1"/>
  <c r="DE12" i="12" a="1"/>
  <c r="DE12" i="12" s="1"/>
  <c r="DF12" i="12" a="1"/>
  <c r="DF12" i="12" s="1"/>
  <c r="DG12" i="12" a="1"/>
  <c r="DG12" i="12" s="1"/>
  <c r="DH12" i="12" a="1"/>
  <c r="DH12" i="12" s="1"/>
  <c r="DI12" i="12" a="1"/>
  <c r="DI12" i="12" s="1"/>
  <c r="DJ12" i="12" a="1"/>
  <c r="DJ12" i="12" s="1"/>
  <c r="DK12" i="12" a="1"/>
  <c r="DK12" i="12" s="1"/>
  <c r="DL12" i="12" a="1"/>
  <c r="DL12" i="12" s="1"/>
  <c r="DM12" i="12" a="1"/>
  <c r="DM12" i="12" s="1"/>
  <c r="DN12" i="12" a="1"/>
  <c r="DN12" i="12" s="1"/>
  <c r="DO12" i="12" a="1"/>
  <c r="DO12" i="12" s="1"/>
  <c r="DP12" i="12" a="1"/>
  <c r="DP12" i="12" s="1"/>
  <c r="DQ12" i="12" a="1"/>
  <c r="DQ12" i="12" s="1"/>
  <c r="DR12" i="12" a="1"/>
  <c r="DR12" i="12" s="1"/>
  <c r="DS12" i="12" a="1"/>
  <c r="DS12" i="12" s="1"/>
  <c r="DT12" i="12" a="1"/>
  <c r="DT12" i="12" s="1"/>
  <c r="DU12" i="12" a="1"/>
  <c r="DU12" i="12" s="1"/>
  <c r="DV12" i="12" a="1"/>
  <c r="DV12" i="12" s="1"/>
  <c r="DW12" i="12" a="1"/>
  <c r="DW12" i="12"/>
  <c r="DX12" i="12" a="1"/>
  <c r="DX12" i="12"/>
  <c r="DY12" i="12" a="1"/>
  <c r="DY12" i="12"/>
  <c r="DZ12" i="12" a="1"/>
  <c r="DZ12" i="12"/>
  <c r="EA12" i="12" a="1"/>
  <c r="EA12" i="12"/>
  <c r="EB12" i="12" a="1"/>
  <c r="EB12" i="12"/>
  <c r="EC12" i="12" a="1"/>
  <c r="EC12" i="12"/>
  <c r="ED12" i="12" a="1"/>
  <c r="ED12" i="12"/>
  <c r="EE12" i="12" a="1"/>
  <c r="EE12" i="12"/>
  <c r="EF12" i="12" a="1"/>
  <c r="EF12" i="12"/>
  <c r="EG12" i="12" a="1"/>
  <c r="EG12" i="12"/>
  <c r="AC13" i="12" a="1"/>
  <c r="AC13" i="12"/>
  <c r="AD13" i="12" a="1"/>
  <c r="AD13" i="12"/>
  <c r="AE13" i="12" a="1"/>
  <c r="AE13" i="12"/>
  <c r="AF13" i="12" a="1"/>
  <c r="AF13" i="12"/>
  <c r="AG13" i="12" a="1"/>
  <c r="AG13" i="12"/>
  <c r="AH13" i="12" a="1"/>
  <c r="AH13" i="12"/>
  <c r="AI13" i="12" a="1"/>
  <c r="AI13" i="12"/>
  <c r="AJ13" i="12" a="1"/>
  <c r="AJ13" i="12"/>
  <c r="AK13" i="12" a="1"/>
  <c r="AK13" i="12"/>
  <c r="AL13" i="12" a="1"/>
  <c r="AL13" i="12"/>
  <c r="AM13" i="12" a="1"/>
  <c r="AM13" i="12"/>
  <c r="AN13" i="12" a="1"/>
  <c r="AN13" i="12"/>
  <c r="AO13" i="12" a="1"/>
  <c r="AO13" i="12"/>
  <c r="AP13" i="12" a="1"/>
  <c r="AP13" i="12"/>
  <c r="AQ13" i="12" a="1"/>
  <c r="AQ13" i="12"/>
  <c r="AR13" i="12" a="1"/>
  <c r="AR13" i="12"/>
  <c r="AS13" i="12" a="1"/>
  <c r="AS13" i="12"/>
  <c r="AT13" i="12" a="1"/>
  <c r="AT13" i="12"/>
  <c r="AU13" i="12" a="1"/>
  <c r="AU13" i="12"/>
  <c r="AV13" i="12" a="1"/>
  <c r="AV13" i="12"/>
  <c r="AW13" i="12" a="1"/>
  <c r="AW13" i="12"/>
  <c r="AX13" i="12" a="1"/>
  <c r="AX13" i="12"/>
  <c r="AY13" i="12" a="1"/>
  <c r="AY13" i="12"/>
  <c r="AZ13" i="12" a="1"/>
  <c r="AZ13" i="12"/>
  <c r="BA13" i="12" a="1"/>
  <c r="BA13" i="12"/>
  <c r="BB13" i="12" a="1"/>
  <c r="BB13" i="12"/>
  <c r="BC13" i="12" a="1"/>
  <c r="BC13" i="12"/>
  <c r="BD13" i="12" a="1"/>
  <c r="BD13" i="12"/>
  <c r="BE13" i="12" a="1"/>
  <c r="BE13" i="12"/>
  <c r="BF13" i="12" a="1"/>
  <c r="BF13" i="12"/>
  <c r="BG13" i="12" a="1"/>
  <c r="BG13" i="12"/>
  <c r="BH13" i="12" a="1"/>
  <c r="BH13" i="12"/>
  <c r="BI13" i="12" a="1"/>
  <c r="BI13" i="12"/>
  <c r="BJ13" i="12" a="1"/>
  <c r="BJ13" i="12"/>
  <c r="BK13" i="12" a="1"/>
  <c r="BK13" i="12"/>
  <c r="BL13" i="12" a="1"/>
  <c r="BL13" i="12"/>
  <c r="BM13" i="12" a="1"/>
  <c r="BM13" i="12"/>
  <c r="BN13" i="12" a="1"/>
  <c r="BN13" i="12"/>
  <c r="BO13" i="12" a="1"/>
  <c r="BO13" i="12"/>
  <c r="BP13" i="12" a="1"/>
  <c r="BP13" i="12"/>
  <c r="BQ13" i="12" a="1"/>
  <c r="BQ13" i="12"/>
  <c r="BR13" i="12" a="1"/>
  <c r="BR13" i="12"/>
  <c r="BS13" i="12" a="1"/>
  <c r="BS13" i="12"/>
  <c r="BT13" i="12" a="1"/>
  <c r="BT13" i="12"/>
  <c r="BU13" i="12" a="1"/>
  <c r="BU13" i="12"/>
  <c r="BV13" i="12" a="1"/>
  <c r="BV13" i="12"/>
  <c r="BW13" i="12" a="1"/>
  <c r="BW13" i="12"/>
  <c r="BX13" i="12" a="1"/>
  <c r="BX13" i="12"/>
  <c r="BY13" i="12" a="1"/>
  <c r="BY13" i="12"/>
  <c r="BZ13" i="12" a="1"/>
  <c r="BZ13" i="12"/>
  <c r="CA13" i="12" a="1"/>
  <c r="CA13" i="12"/>
  <c r="CB13" i="12" a="1"/>
  <c r="CB13" i="12"/>
  <c r="CC13" i="12" a="1"/>
  <c r="CC13" i="12"/>
  <c r="CD13" i="12" a="1"/>
  <c r="CD13" i="12"/>
  <c r="CE13" i="12" a="1"/>
  <c r="CE13" i="12"/>
  <c r="CF13" i="12" a="1"/>
  <c r="CF13" i="12"/>
  <c r="CG13" i="12" a="1"/>
  <c r="CG13" i="12"/>
  <c r="CH13" i="12" a="1"/>
  <c r="CH13" i="12"/>
  <c r="CI13" i="12" a="1"/>
  <c r="CI13" i="12"/>
  <c r="CJ13" i="12" a="1"/>
  <c r="CJ13" i="12"/>
  <c r="CK13" i="12" a="1"/>
  <c r="CK13" i="12"/>
  <c r="CL13" i="12" a="1"/>
  <c r="CL13" i="12"/>
  <c r="CM13" i="12" a="1"/>
  <c r="CM13" i="12"/>
  <c r="CN13" i="12" a="1"/>
  <c r="CN13" i="12"/>
  <c r="CO13" i="12" a="1"/>
  <c r="CO13" i="12"/>
  <c r="CP13" i="12" a="1"/>
  <c r="CP13" i="12"/>
  <c r="CQ13" i="12" a="1"/>
  <c r="CQ13" i="12"/>
  <c r="CR13" i="12" a="1"/>
  <c r="CR13" i="12"/>
  <c r="CS13" i="12" a="1"/>
  <c r="CS13" i="12"/>
  <c r="CT13" i="12" a="1"/>
  <c r="CT13" i="12"/>
  <c r="CU13" i="12" a="1"/>
  <c r="CU13" i="12"/>
  <c r="CV13" i="12" a="1"/>
  <c r="CV13" i="12"/>
  <c r="CW13" i="12" a="1"/>
  <c r="CW13" i="12"/>
  <c r="CX13" i="12" a="1"/>
  <c r="CX13" i="12"/>
  <c r="CY13" i="12" a="1"/>
  <c r="CY13" i="12"/>
  <c r="CZ13" i="12" a="1"/>
  <c r="CZ13" i="12"/>
  <c r="DA13" i="12" a="1"/>
  <c r="DA13" i="12"/>
  <c r="DB13" i="12" a="1"/>
  <c r="DB13" i="12"/>
  <c r="DC13" i="12" a="1"/>
  <c r="DC13" i="12"/>
  <c r="DD13" i="12" a="1"/>
  <c r="DD13" i="12"/>
  <c r="DE13" i="12" a="1"/>
  <c r="DE13" i="12"/>
  <c r="DF13" i="12" a="1"/>
  <c r="DF13" i="12"/>
  <c r="DG13" i="12" a="1"/>
  <c r="DG13" i="12"/>
  <c r="DH13" i="12" a="1"/>
  <c r="DH13" i="12"/>
  <c r="DI13" i="12" a="1"/>
  <c r="DI13" i="12"/>
  <c r="DJ13" i="12" a="1"/>
  <c r="DJ13" i="12"/>
  <c r="DK13" i="12" a="1"/>
  <c r="DK13" i="12"/>
  <c r="DL13" i="12" a="1"/>
  <c r="DL13" i="12"/>
  <c r="DM13" i="12" a="1"/>
  <c r="DM13" i="12"/>
  <c r="DN13" i="12" a="1"/>
  <c r="DN13" i="12"/>
  <c r="DO13" i="12" a="1"/>
  <c r="DO13" i="12"/>
  <c r="DP13" i="12" a="1"/>
  <c r="DP13" i="12"/>
  <c r="DQ13" i="12" a="1"/>
  <c r="DQ13" i="12"/>
  <c r="DR13" i="12" a="1"/>
  <c r="DR13" i="12"/>
  <c r="DS13" i="12" a="1"/>
  <c r="DS13" i="12"/>
  <c r="DT13" i="12" a="1"/>
  <c r="DT13" i="12"/>
  <c r="DU13" i="12" a="1"/>
  <c r="DU13" i="12"/>
  <c r="DV13" i="12" a="1"/>
  <c r="DV13" i="12"/>
  <c r="DW13" i="12" a="1"/>
  <c r="DW13" i="12"/>
  <c r="DX13" i="12" a="1"/>
  <c r="DX13" i="12"/>
  <c r="DY13" i="12" a="1"/>
  <c r="DY13" i="12"/>
  <c r="DZ13" i="12" a="1"/>
  <c r="DZ13" i="12"/>
  <c r="EA13" i="12" a="1"/>
  <c r="EA13" i="12"/>
  <c r="EB13" i="12" a="1"/>
  <c r="EB13" i="12"/>
  <c r="EC13" i="12" a="1"/>
  <c r="EC13" i="12"/>
  <c r="ED13" i="12" a="1"/>
  <c r="ED13" i="12"/>
  <c r="EE13" i="12" a="1"/>
  <c r="EE13" i="12"/>
  <c r="EF13" i="12" a="1"/>
  <c r="EF13" i="12"/>
  <c r="EG13" i="12" a="1"/>
  <c r="EG13" i="12"/>
  <c r="AC14" i="12" a="1"/>
  <c r="AC14" i="12"/>
  <c r="AD14" i="12" a="1"/>
  <c r="AD14" i="12"/>
  <c r="AE14" i="12" a="1"/>
  <c r="AE14" i="12"/>
  <c r="AF14" i="12" a="1"/>
  <c r="AF14" i="12"/>
  <c r="AG14" i="12" a="1"/>
  <c r="AG14" i="12"/>
  <c r="AH14" i="12" a="1"/>
  <c r="AH14" i="12"/>
  <c r="AI14" i="12" a="1"/>
  <c r="AI14" i="12"/>
  <c r="AJ14" i="12" a="1"/>
  <c r="AJ14" i="12"/>
  <c r="AK14" i="12" a="1"/>
  <c r="AK14" i="12"/>
  <c r="AL14" i="12" a="1"/>
  <c r="AL14" i="12"/>
  <c r="AM14" i="12" a="1"/>
  <c r="AM14" i="12"/>
  <c r="AN14" i="12" a="1"/>
  <c r="AN14" i="12"/>
  <c r="AO14" i="12" a="1"/>
  <c r="AO14" i="12"/>
  <c r="AP14" i="12" a="1"/>
  <c r="AP14" i="12"/>
  <c r="AQ14" i="12" a="1"/>
  <c r="AQ14" i="12"/>
  <c r="AR14" i="12" a="1"/>
  <c r="AR14" i="12"/>
  <c r="AS14" i="12" a="1"/>
  <c r="AS14" i="12"/>
  <c r="AT14" i="12" a="1"/>
  <c r="AT14" i="12"/>
  <c r="AU14" i="12" a="1"/>
  <c r="AU14" i="12"/>
  <c r="AV14" i="12" a="1"/>
  <c r="AV14" i="12"/>
  <c r="AW14" i="12" a="1"/>
  <c r="AW14" i="12" s="1"/>
  <c r="AX14" i="12" a="1"/>
  <c r="AX14" i="12" s="1"/>
  <c r="AY14" i="12" a="1"/>
  <c r="AY14" i="12" s="1"/>
  <c r="AZ14" i="12" a="1"/>
  <c r="AZ14" i="12" s="1"/>
  <c r="BA14" i="12" a="1"/>
  <c r="BA14" i="12" s="1"/>
  <c r="BB14" i="12" a="1"/>
  <c r="BB14" i="12" s="1"/>
  <c r="BC14" i="12" a="1"/>
  <c r="BC14" i="12" s="1"/>
  <c r="BD14" i="12" a="1"/>
  <c r="BD14" i="12" s="1"/>
  <c r="BE14" i="12" a="1"/>
  <c r="BE14" i="12" s="1"/>
  <c r="BF14" i="12" a="1"/>
  <c r="BF14" i="12" s="1"/>
  <c r="BG14" i="12" a="1"/>
  <c r="BG14" i="12" s="1"/>
  <c r="BH14" i="12" a="1"/>
  <c r="BH14" i="12" s="1"/>
  <c r="BI14" i="12" a="1"/>
  <c r="BI14" i="12" s="1"/>
  <c r="BJ14" i="12" a="1"/>
  <c r="BJ14" i="12" s="1"/>
  <c r="BK14" i="12" a="1"/>
  <c r="BK14" i="12" s="1"/>
  <c r="BL14" i="12" a="1"/>
  <c r="BL14" i="12" s="1"/>
  <c r="BM14" i="12" a="1"/>
  <c r="BM14" i="12" s="1"/>
  <c r="BN14" i="12" a="1"/>
  <c r="BN14" i="12" s="1"/>
  <c r="BO14" i="12" a="1"/>
  <c r="BO14" i="12" s="1"/>
  <c r="BP14" i="12" a="1"/>
  <c r="BP14" i="12" s="1"/>
  <c r="BQ14" i="12" a="1"/>
  <c r="BQ14" i="12" s="1"/>
  <c r="BR14" i="12" a="1"/>
  <c r="BR14" i="12" s="1"/>
  <c r="BS14" i="12" a="1"/>
  <c r="BS14" i="12" s="1"/>
  <c r="BT14" i="12" a="1"/>
  <c r="BT14" i="12" s="1"/>
  <c r="BU14" i="12" a="1"/>
  <c r="BU14" i="12" s="1"/>
  <c r="BV14" i="12" a="1"/>
  <c r="BV14" i="12" s="1"/>
  <c r="BW14" i="12" a="1"/>
  <c r="BW14" i="12" s="1"/>
  <c r="BX14" i="12" a="1"/>
  <c r="BX14" i="12" s="1"/>
  <c r="BY14" i="12" a="1"/>
  <c r="BY14" i="12" s="1"/>
  <c r="BZ14" i="12" a="1"/>
  <c r="BZ14" i="12" s="1"/>
  <c r="CA14" i="12" a="1"/>
  <c r="CA14" i="12" s="1"/>
  <c r="CB14" i="12" a="1"/>
  <c r="CB14" i="12" s="1"/>
  <c r="CC14" i="12" a="1"/>
  <c r="CC14" i="12" s="1"/>
  <c r="CD14" i="12" a="1"/>
  <c r="CD14" i="12" s="1"/>
  <c r="CE14" i="12" a="1"/>
  <c r="CE14" i="12" s="1"/>
  <c r="CF14" i="12" a="1"/>
  <c r="CF14" i="12" s="1"/>
  <c r="CG14" i="12" a="1"/>
  <c r="CG14" i="12" s="1"/>
  <c r="CH14" i="12" a="1"/>
  <c r="CH14" i="12" s="1"/>
  <c r="CI14" i="12" a="1"/>
  <c r="CI14" i="12" s="1"/>
  <c r="CJ14" i="12" a="1"/>
  <c r="CJ14" i="12" s="1"/>
  <c r="CK14" i="12" a="1"/>
  <c r="CK14" i="12" s="1"/>
  <c r="CL14" i="12" a="1"/>
  <c r="CL14" i="12" s="1"/>
  <c r="CM14" i="12" a="1"/>
  <c r="CM14" i="12" s="1"/>
  <c r="CN14" i="12" a="1"/>
  <c r="CN14" i="12" s="1"/>
  <c r="CO14" i="12" a="1"/>
  <c r="CO14" i="12" s="1"/>
  <c r="CP14" i="12" a="1"/>
  <c r="CP14" i="12" s="1"/>
  <c r="CQ14" i="12" a="1"/>
  <c r="CQ14" i="12" s="1"/>
  <c r="CR14" i="12" a="1"/>
  <c r="CR14" i="12" s="1"/>
  <c r="CS14" i="12" a="1"/>
  <c r="CS14" i="12" s="1"/>
  <c r="CT14" i="12" a="1"/>
  <c r="CT14" i="12" s="1"/>
  <c r="CU14" i="12" a="1"/>
  <c r="CU14" i="12" s="1"/>
  <c r="CV14" i="12" a="1"/>
  <c r="CV14" i="12" s="1"/>
  <c r="CW14" i="12" a="1"/>
  <c r="CW14" i="12" s="1"/>
  <c r="CX14" i="12" a="1"/>
  <c r="CX14" i="12" s="1"/>
  <c r="CY14" i="12" a="1"/>
  <c r="CY14" i="12" s="1"/>
  <c r="CZ14" i="12" a="1"/>
  <c r="CZ14" i="12" s="1"/>
  <c r="DA14" i="12" a="1"/>
  <c r="DA14" i="12" s="1"/>
  <c r="DB14" i="12" a="1"/>
  <c r="DB14" i="12" s="1"/>
  <c r="DC14" i="12" a="1"/>
  <c r="DC14" i="12" s="1"/>
  <c r="DD14" i="12" a="1"/>
  <c r="DD14" i="12" s="1"/>
  <c r="DE14" i="12" a="1"/>
  <c r="DE14" i="12" s="1"/>
  <c r="DF14" i="12" a="1"/>
  <c r="DF14" i="12" s="1"/>
  <c r="DG14" i="12" a="1"/>
  <c r="DG14" i="12" s="1"/>
  <c r="DH14" i="12" a="1"/>
  <c r="DH14" i="12" s="1"/>
  <c r="DI14" i="12" a="1"/>
  <c r="DI14" i="12" s="1"/>
  <c r="DJ14" i="12" a="1"/>
  <c r="DJ14" i="12" s="1"/>
  <c r="DK14" i="12" a="1"/>
  <c r="DK14" i="12" s="1"/>
  <c r="DL14" i="12" a="1"/>
  <c r="DL14" i="12" s="1"/>
  <c r="DM14" i="12" a="1"/>
  <c r="DM14" i="12" s="1"/>
  <c r="DN14" i="12" a="1"/>
  <c r="DN14" i="12" s="1"/>
  <c r="DO14" i="12" a="1"/>
  <c r="DO14" i="12" s="1"/>
  <c r="DP14" i="12" a="1"/>
  <c r="DP14" i="12" s="1"/>
  <c r="DQ14" i="12" a="1"/>
  <c r="DQ14" i="12" s="1"/>
  <c r="DR14" i="12" a="1"/>
  <c r="DR14" i="12" s="1"/>
  <c r="DS14" i="12" a="1"/>
  <c r="DS14" i="12" s="1"/>
  <c r="DT14" i="12" a="1"/>
  <c r="DT14" i="12" s="1"/>
  <c r="DU14" i="12" a="1"/>
  <c r="DU14" i="12" s="1"/>
  <c r="DV14" i="12" a="1"/>
  <c r="DV14" i="12" s="1"/>
  <c r="DW14" i="12" a="1"/>
  <c r="DW14" i="12" s="1"/>
  <c r="DX14" i="12" a="1"/>
  <c r="DX14" i="12" s="1"/>
  <c r="DY14" i="12" a="1"/>
  <c r="DY14" i="12" s="1"/>
  <c r="DZ14" i="12" a="1"/>
  <c r="DZ14" i="12" s="1"/>
  <c r="EA14" i="12" a="1"/>
  <c r="EA14" i="12" s="1"/>
  <c r="EB14" i="12" a="1"/>
  <c r="EB14" i="12" s="1"/>
  <c r="EC14" i="12" a="1"/>
  <c r="EC14" i="12" s="1"/>
  <c r="ED14" i="12" a="1"/>
  <c r="ED14" i="12" s="1"/>
  <c r="EE14" i="12" a="1"/>
  <c r="EE14" i="12" s="1"/>
  <c r="EF14" i="12" a="1"/>
  <c r="EF14" i="12" s="1"/>
  <c r="EG14" i="12" a="1"/>
  <c r="EG14" i="12" s="1"/>
  <c r="AC15" i="12" a="1"/>
  <c r="AC15" i="12" s="1"/>
  <c r="AD15" i="12" a="1"/>
  <c r="AD15" i="12" s="1"/>
  <c r="AE15" i="12" a="1"/>
  <c r="AE15" i="12" s="1"/>
  <c r="AF15" i="12" a="1"/>
  <c r="AF15" i="12" s="1"/>
  <c r="AG15" i="12" a="1"/>
  <c r="AG15" i="12" s="1"/>
  <c r="AH15" i="12" a="1"/>
  <c r="AH15" i="12" s="1"/>
  <c r="AI15" i="12" a="1"/>
  <c r="AI15" i="12" s="1"/>
  <c r="AJ15" i="12" a="1"/>
  <c r="AJ15" i="12" s="1"/>
  <c r="AK15" i="12" a="1"/>
  <c r="AK15" i="12" s="1"/>
  <c r="AL15" i="12" a="1"/>
  <c r="AL15" i="12" s="1"/>
  <c r="AM15" i="12" a="1"/>
  <c r="AM15" i="12" s="1"/>
  <c r="AN15" i="12" a="1"/>
  <c r="AN15" i="12" s="1"/>
  <c r="AO15" i="12" a="1"/>
  <c r="AO15" i="12" s="1"/>
  <c r="AP15" i="12" a="1"/>
  <c r="AP15" i="12" s="1"/>
  <c r="AQ15" i="12" a="1"/>
  <c r="AQ15" i="12" s="1"/>
  <c r="AR15" i="12" a="1"/>
  <c r="AR15" i="12" s="1"/>
  <c r="AS15" i="12" a="1"/>
  <c r="AS15" i="12" s="1"/>
  <c r="AT15" i="12" a="1"/>
  <c r="AT15" i="12" s="1"/>
  <c r="AU15" i="12" a="1"/>
  <c r="AU15" i="12" s="1"/>
  <c r="AV15" i="12" a="1"/>
  <c r="AV15" i="12" s="1"/>
  <c r="AW15" i="12" a="1"/>
  <c r="AW15" i="12" s="1"/>
  <c r="AX15" i="12" a="1"/>
  <c r="AX15" i="12" s="1"/>
  <c r="AY15" i="12" a="1"/>
  <c r="AY15" i="12" s="1"/>
  <c r="AZ15" i="12" a="1"/>
  <c r="AZ15" i="12" s="1"/>
  <c r="BA15" i="12" a="1"/>
  <c r="BA15" i="12" s="1"/>
  <c r="BB15" i="12" a="1"/>
  <c r="BB15" i="12" s="1"/>
  <c r="BC15" i="12" a="1"/>
  <c r="BC15" i="12" s="1"/>
  <c r="BD15" i="12" a="1"/>
  <c r="BD15" i="12" s="1"/>
  <c r="BE15" i="12" a="1"/>
  <c r="BE15" i="12" s="1"/>
  <c r="BF15" i="12" a="1"/>
  <c r="BF15" i="12" s="1"/>
  <c r="BG15" i="12" a="1"/>
  <c r="BG15" i="12" s="1"/>
  <c r="BH15" i="12" a="1"/>
  <c r="BH15" i="12" s="1"/>
  <c r="BI15" i="12" a="1"/>
  <c r="BI15" i="12" s="1"/>
  <c r="BJ15" i="12" a="1"/>
  <c r="BJ15" i="12" s="1"/>
  <c r="BK15" i="12" a="1"/>
  <c r="BK15" i="12" s="1"/>
  <c r="BL15" i="12" a="1"/>
  <c r="BL15" i="12" s="1"/>
  <c r="BM15" i="12" a="1"/>
  <c r="BM15" i="12" s="1"/>
  <c r="BN15" i="12" a="1"/>
  <c r="BN15" i="12" s="1"/>
  <c r="BO15" i="12" a="1"/>
  <c r="BO15" i="12" s="1"/>
  <c r="BP15" i="12" a="1"/>
  <c r="BP15" i="12" s="1"/>
  <c r="BQ15" i="12" a="1"/>
  <c r="BQ15" i="12" s="1"/>
  <c r="BR15" i="12" a="1"/>
  <c r="BR15" i="12" s="1"/>
  <c r="BS15" i="12" a="1"/>
  <c r="BS15" i="12" s="1"/>
  <c r="BT15" i="12" a="1"/>
  <c r="BT15" i="12" s="1"/>
  <c r="BU15" i="12" a="1"/>
  <c r="BU15" i="12" s="1"/>
  <c r="BV15" i="12" a="1"/>
  <c r="BV15" i="12" s="1"/>
  <c r="BW15" i="12" a="1"/>
  <c r="BW15" i="12" s="1"/>
  <c r="BX15" i="12" a="1"/>
  <c r="BX15" i="12" s="1"/>
  <c r="BY15" i="12" a="1"/>
  <c r="BY15" i="12" s="1"/>
  <c r="BZ15" i="12" a="1"/>
  <c r="BZ15" i="12" s="1"/>
  <c r="CA15" i="12" a="1"/>
  <c r="CA15" i="12" s="1"/>
  <c r="CB15" i="12" a="1"/>
  <c r="CB15" i="12" s="1"/>
  <c r="CC15" i="12" a="1"/>
  <c r="CC15" i="12" s="1"/>
  <c r="CD15" i="12" a="1"/>
  <c r="CD15" i="12" s="1"/>
  <c r="CE15" i="12" a="1"/>
  <c r="CE15" i="12" s="1"/>
  <c r="CF15" i="12" a="1"/>
  <c r="CF15" i="12" s="1"/>
  <c r="CG15" i="12" a="1"/>
  <c r="CG15" i="12" s="1"/>
  <c r="CH15" i="12" a="1"/>
  <c r="CH15" i="12" s="1"/>
  <c r="CI15" i="12" a="1"/>
  <c r="CI15" i="12" s="1"/>
  <c r="CJ15" i="12" a="1"/>
  <c r="CJ15" i="12" s="1"/>
  <c r="CK15" i="12" a="1"/>
  <c r="CK15" i="12" s="1"/>
  <c r="CL15" i="12" a="1"/>
  <c r="CL15" i="12" s="1"/>
  <c r="CM15" i="12" a="1"/>
  <c r="CM15" i="12" s="1"/>
  <c r="CN15" i="12" a="1"/>
  <c r="CN15" i="12" s="1"/>
  <c r="CO15" i="12" a="1"/>
  <c r="CO15" i="12" s="1"/>
  <c r="CP15" i="12" a="1"/>
  <c r="CP15" i="12" s="1"/>
  <c r="CQ15" i="12" a="1"/>
  <c r="CQ15" i="12" s="1"/>
  <c r="CR15" i="12" a="1"/>
  <c r="CR15" i="12" s="1"/>
  <c r="CS15" i="12" a="1"/>
  <c r="CS15" i="12" s="1"/>
  <c r="CT15" i="12" a="1"/>
  <c r="CT15" i="12" s="1"/>
  <c r="CU15" i="12" a="1"/>
  <c r="CU15" i="12" s="1"/>
  <c r="CV15" i="12" a="1"/>
  <c r="CV15" i="12" s="1"/>
  <c r="CW15" i="12" a="1"/>
  <c r="CW15" i="12" s="1"/>
  <c r="CX15" i="12" a="1"/>
  <c r="CX15" i="12" s="1"/>
  <c r="CY15" i="12" a="1"/>
  <c r="CY15" i="12" s="1"/>
  <c r="CZ15" i="12" a="1"/>
  <c r="CZ15" i="12" s="1"/>
  <c r="DA15" i="12" a="1"/>
  <c r="DA15" i="12" s="1"/>
  <c r="DB15" i="12" a="1"/>
  <c r="DB15" i="12" s="1"/>
  <c r="DC15" i="12" a="1"/>
  <c r="DC15" i="12" s="1"/>
  <c r="DD15" i="12" a="1"/>
  <c r="DD15" i="12" s="1"/>
  <c r="DE15" i="12" a="1"/>
  <c r="DE15" i="12" s="1"/>
  <c r="DF15" i="12" a="1"/>
  <c r="DF15" i="12" s="1"/>
  <c r="DG15" i="12" a="1"/>
  <c r="DG15" i="12" s="1"/>
  <c r="DH15" i="12" a="1"/>
  <c r="DH15" i="12" s="1"/>
  <c r="DI15" i="12" a="1"/>
  <c r="DI15" i="12" s="1"/>
  <c r="DJ15" i="12" a="1"/>
  <c r="DJ15" i="12" s="1"/>
  <c r="DK15" i="12" a="1"/>
  <c r="DK15" i="12" s="1"/>
  <c r="DL15" i="12" a="1"/>
  <c r="DL15" i="12" s="1"/>
  <c r="DM15" i="12" a="1"/>
  <c r="DM15" i="12" s="1"/>
  <c r="DN15" i="12" a="1"/>
  <c r="DN15" i="12" s="1"/>
  <c r="DO15" i="12" a="1"/>
  <c r="DO15" i="12" s="1"/>
  <c r="DP15" i="12" a="1"/>
  <c r="DP15" i="12" s="1"/>
  <c r="DQ15" i="12" a="1"/>
  <c r="DQ15" i="12" s="1"/>
  <c r="DR15" i="12" a="1"/>
  <c r="DR15" i="12" s="1"/>
  <c r="DS15" i="12" a="1"/>
  <c r="DS15" i="12" s="1"/>
  <c r="DT15" i="12" a="1"/>
  <c r="DT15" i="12" s="1"/>
  <c r="DU15" i="12" a="1"/>
  <c r="DU15" i="12" s="1"/>
  <c r="DV15" i="12" a="1"/>
  <c r="DV15" i="12" s="1"/>
  <c r="DW15" i="12" a="1"/>
  <c r="DW15" i="12" s="1"/>
  <c r="DX15" i="12" a="1"/>
  <c r="DX15" i="12" s="1"/>
  <c r="DY15" i="12" a="1"/>
  <c r="DY15" i="12" s="1"/>
  <c r="DZ15" i="12" a="1"/>
  <c r="DZ15" i="12" s="1"/>
  <c r="EA15" i="12" a="1"/>
  <c r="EA15" i="12" s="1"/>
  <c r="EB15" i="12" a="1"/>
  <c r="EB15" i="12" s="1"/>
  <c r="EC15" i="12" a="1"/>
  <c r="EC15" i="12" s="1"/>
  <c r="ED15" i="12" a="1"/>
  <c r="ED15" i="12" s="1"/>
  <c r="EE15" i="12" a="1"/>
  <c r="EE15" i="12" s="1"/>
  <c r="EF15" i="12" a="1"/>
  <c r="EF15" i="12" s="1"/>
  <c r="EG15" i="12" a="1"/>
  <c r="EG15" i="12" s="1"/>
  <c r="AC16" i="12" a="1"/>
  <c r="AC16" i="12"/>
  <c r="AD16" i="12" a="1"/>
  <c r="AD16" i="12" s="1"/>
  <c r="AE16" i="12" a="1"/>
  <c r="AE16" i="12" s="1"/>
  <c r="AF16" i="12" a="1"/>
  <c r="AF16" i="12" s="1"/>
  <c r="AG16" i="12" a="1"/>
  <c r="AG16" i="12" s="1"/>
  <c r="AH16" i="12" a="1"/>
  <c r="AH16" i="12" s="1"/>
  <c r="AI16" i="12" a="1"/>
  <c r="AI16" i="12" s="1"/>
  <c r="AJ16" i="12" a="1"/>
  <c r="AJ16" i="12" s="1"/>
  <c r="AK16" i="12" a="1"/>
  <c r="AK16" i="12" s="1"/>
  <c r="AL16" i="12" a="1"/>
  <c r="AL16" i="12" s="1"/>
  <c r="AM16" i="12" a="1"/>
  <c r="AM16" i="12" s="1"/>
  <c r="AN16" i="12" a="1"/>
  <c r="AN16" i="12" s="1"/>
  <c r="AO16" i="12" a="1"/>
  <c r="AO16" i="12" s="1"/>
  <c r="AP16" i="12" a="1"/>
  <c r="AP16" i="12" s="1"/>
  <c r="AQ16" i="12" a="1"/>
  <c r="AQ16" i="12" s="1"/>
  <c r="AR16" i="12" a="1"/>
  <c r="AR16" i="12" s="1"/>
  <c r="AS16" i="12" a="1"/>
  <c r="AS16" i="12" s="1"/>
  <c r="AT16" i="12" a="1"/>
  <c r="AT16" i="12" s="1"/>
  <c r="AU16" i="12" a="1"/>
  <c r="AU16" i="12" s="1"/>
  <c r="AV16" i="12" a="1"/>
  <c r="AV16" i="12" s="1"/>
  <c r="AW16" i="12" a="1"/>
  <c r="AW16" i="12" s="1"/>
  <c r="AX16" i="12" a="1"/>
  <c r="AX16" i="12" s="1"/>
  <c r="AY16" i="12" a="1"/>
  <c r="AY16" i="12" s="1"/>
  <c r="AZ16" i="12" a="1"/>
  <c r="AZ16" i="12" s="1"/>
  <c r="BA16" i="12" a="1"/>
  <c r="BA16" i="12" s="1"/>
  <c r="BB16" i="12" a="1"/>
  <c r="BB16" i="12" s="1"/>
  <c r="BC16" i="12" a="1"/>
  <c r="BC16" i="12" s="1"/>
  <c r="BD16" i="12" a="1"/>
  <c r="BD16" i="12" s="1"/>
  <c r="BE16" i="12" a="1"/>
  <c r="BE16" i="12" s="1"/>
  <c r="BF16" i="12" a="1"/>
  <c r="BF16" i="12" s="1"/>
  <c r="BG16" i="12" a="1"/>
  <c r="BG16" i="12" s="1"/>
  <c r="BH16" i="12" a="1"/>
  <c r="BH16" i="12" s="1"/>
  <c r="BI16" i="12" a="1"/>
  <c r="BI16" i="12" s="1"/>
  <c r="BJ16" i="12" a="1"/>
  <c r="BJ16" i="12" s="1"/>
  <c r="BK16" i="12" a="1"/>
  <c r="BK16" i="12" s="1"/>
  <c r="BL16" i="12" a="1"/>
  <c r="BL16" i="12" s="1"/>
  <c r="BM16" i="12" a="1"/>
  <c r="BM16" i="12" s="1"/>
  <c r="BN16" i="12" a="1"/>
  <c r="BN16" i="12" s="1"/>
  <c r="BO16" i="12" a="1"/>
  <c r="BO16" i="12" s="1"/>
  <c r="BP16" i="12" a="1"/>
  <c r="BP16" i="12" s="1"/>
  <c r="BQ16" i="12" a="1"/>
  <c r="BQ16" i="12" s="1"/>
  <c r="BR16" i="12" a="1"/>
  <c r="BR16" i="12" s="1"/>
  <c r="BS16" i="12" a="1"/>
  <c r="BS16" i="12" s="1"/>
  <c r="BT16" i="12" a="1"/>
  <c r="BT16" i="12" s="1"/>
  <c r="BU16" i="12" a="1"/>
  <c r="BU16" i="12" s="1"/>
  <c r="BV16" i="12" a="1"/>
  <c r="BV16" i="12" s="1"/>
  <c r="BW16" i="12" a="1"/>
  <c r="BW16" i="12" s="1"/>
  <c r="BX16" i="12" a="1"/>
  <c r="BX16" i="12" s="1"/>
  <c r="BY16" i="12" a="1"/>
  <c r="BY16" i="12" s="1"/>
  <c r="BZ16" i="12" a="1"/>
  <c r="BZ16" i="12" s="1"/>
  <c r="CA16" i="12" a="1"/>
  <c r="CA16" i="12" s="1"/>
  <c r="CB16" i="12" a="1"/>
  <c r="CB16" i="12" s="1"/>
  <c r="CC16" i="12" a="1"/>
  <c r="CC16" i="12" s="1"/>
  <c r="CD16" i="12" a="1"/>
  <c r="CD16" i="12" s="1"/>
  <c r="CE16" i="12" a="1"/>
  <c r="CE16" i="12" s="1"/>
  <c r="CF16" i="12" a="1"/>
  <c r="CF16" i="12" s="1"/>
  <c r="CG16" i="12" a="1"/>
  <c r="CG16" i="12" s="1"/>
  <c r="CH16" i="12" a="1"/>
  <c r="CH16" i="12" s="1"/>
  <c r="CI16" i="12" a="1"/>
  <c r="CI16" i="12" s="1"/>
  <c r="CJ16" i="12" a="1"/>
  <c r="CJ16" i="12" s="1"/>
  <c r="CK16" i="12" a="1"/>
  <c r="CK16" i="12" s="1"/>
  <c r="CL16" i="12" a="1"/>
  <c r="CL16" i="12" s="1"/>
  <c r="CM16" i="12" a="1"/>
  <c r="CM16" i="12" s="1"/>
  <c r="CN16" i="12" a="1"/>
  <c r="CN16" i="12" s="1"/>
  <c r="CO16" i="12" a="1"/>
  <c r="CO16" i="12" s="1"/>
  <c r="CP16" i="12" a="1"/>
  <c r="CP16" i="12" s="1"/>
  <c r="CQ16" i="12" a="1"/>
  <c r="CQ16" i="12" s="1"/>
  <c r="CR16" i="12" a="1"/>
  <c r="CR16" i="12" s="1"/>
  <c r="CS16" i="12" a="1"/>
  <c r="CS16" i="12" s="1"/>
  <c r="CT16" i="12" a="1"/>
  <c r="CT16" i="12" s="1"/>
  <c r="CU16" i="12" a="1"/>
  <c r="CU16" i="12" s="1"/>
  <c r="CV16" i="12" a="1"/>
  <c r="CV16" i="12" s="1"/>
  <c r="CW16" i="12" a="1"/>
  <c r="CW16" i="12" s="1"/>
  <c r="CX16" i="12" a="1"/>
  <c r="CX16" i="12" s="1"/>
  <c r="CY16" i="12" a="1"/>
  <c r="CY16" i="12" s="1"/>
  <c r="CZ16" i="12" a="1"/>
  <c r="CZ16" i="12" s="1"/>
  <c r="DA16" i="12" a="1"/>
  <c r="DA16" i="12" s="1"/>
  <c r="DB16" i="12" a="1"/>
  <c r="DB16" i="12" s="1"/>
  <c r="DC16" i="12" a="1"/>
  <c r="DC16" i="12" s="1"/>
  <c r="DD16" i="12" a="1"/>
  <c r="DD16" i="12" s="1"/>
  <c r="DE16" i="12" a="1"/>
  <c r="DE16" i="12" s="1"/>
  <c r="DF16" i="12" a="1"/>
  <c r="DF16" i="12" s="1"/>
  <c r="DG16" i="12" a="1"/>
  <c r="DG16" i="12" s="1"/>
  <c r="DH16" i="12" a="1"/>
  <c r="DH16" i="12" s="1"/>
  <c r="DI16" i="12" a="1"/>
  <c r="DI16" i="12" s="1"/>
  <c r="DJ16" i="12" a="1"/>
  <c r="DJ16" i="12" s="1"/>
  <c r="DK16" i="12" a="1"/>
  <c r="DK16" i="12" s="1"/>
  <c r="DL16" i="12" a="1"/>
  <c r="DL16" i="12" s="1"/>
  <c r="DM16" i="12" a="1"/>
  <c r="DM16" i="12" s="1"/>
  <c r="DN16" i="12" a="1"/>
  <c r="DN16" i="12" s="1"/>
  <c r="DO16" i="12" a="1"/>
  <c r="DO16" i="12" s="1"/>
  <c r="DP16" i="12" a="1"/>
  <c r="DP16" i="12" s="1"/>
  <c r="DQ16" i="12" a="1"/>
  <c r="DQ16" i="12" s="1"/>
  <c r="DR16" i="12" a="1"/>
  <c r="DR16" i="12" s="1"/>
  <c r="DS16" i="12" a="1"/>
  <c r="DS16" i="12" s="1"/>
  <c r="DT16" i="12" a="1"/>
  <c r="DT16" i="12" s="1"/>
  <c r="DU16" i="12" a="1"/>
  <c r="DU16" i="12" s="1"/>
  <c r="DV16" i="12" a="1"/>
  <c r="DV16" i="12" s="1"/>
  <c r="DW16" i="12" a="1"/>
  <c r="DW16" i="12" s="1"/>
  <c r="DX16" i="12" a="1"/>
  <c r="DX16" i="12" s="1"/>
  <c r="DY16" i="12" a="1"/>
  <c r="DY16" i="12" s="1"/>
  <c r="DZ16" i="12" a="1"/>
  <c r="DZ16" i="12" s="1"/>
  <c r="EA16" i="12" a="1"/>
  <c r="EA16" i="12" s="1"/>
  <c r="EB16" i="12" a="1"/>
  <c r="EB16" i="12" s="1"/>
  <c r="EC16" i="12" a="1"/>
  <c r="EC16" i="12" s="1"/>
  <c r="ED16" i="12" a="1"/>
  <c r="ED16" i="12" s="1"/>
  <c r="EE16" i="12" a="1"/>
  <c r="EE16" i="12" s="1"/>
  <c r="EF16" i="12" a="1"/>
  <c r="EF16" i="12" s="1"/>
  <c r="EG16" i="12" a="1"/>
  <c r="EG16" i="12" s="1"/>
  <c r="AC17" i="12" a="1"/>
  <c r="AC17" i="12" s="1"/>
  <c r="AD17" i="12" a="1"/>
  <c r="AD17" i="12" s="1"/>
  <c r="AE17" i="12" a="1"/>
  <c r="AE17" i="12" s="1"/>
  <c r="AF17" i="12" a="1"/>
  <c r="AF17" i="12" s="1"/>
  <c r="AG17" i="12" a="1"/>
  <c r="AG17" i="12" s="1"/>
  <c r="AH17" i="12" a="1"/>
  <c r="AH17" i="12" s="1"/>
  <c r="AI17" i="12" a="1"/>
  <c r="AI17" i="12" s="1"/>
  <c r="AJ17" i="12" a="1"/>
  <c r="AJ17" i="12" s="1"/>
  <c r="AK17" i="12" a="1"/>
  <c r="AK17" i="12" s="1"/>
  <c r="AL17" i="12" a="1"/>
  <c r="AL17" i="12" s="1"/>
  <c r="AM17" i="12" a="1"/>
  <c r="AM17" i="12" s="1"/>
  <c r="AN17" i="12" a="1"/>
  <c r="AN17" i="12" s="1"/>
  <c r="AO17" i="12" a="1"/>
  <c r="AO17" i="12" s="1"/>
  <c r="AP17" i="12" a="1"/>
  <c r="AP17" i="12" s="1"/>
  <c r="AQ17" i="12" a="1"/>
  <c r="AQ17" i="12" s="1"/>
  <c r="AR17" i="12" a="1"/>
  <c r="AR17" i="12" s="1"/>
  <c r="AS17" i="12" a="1"/>
  <c r="AS17" i="12" s="1"/>
  <c r="AT17" i="12" a="1"/>
  <c r="AT17" i="12" s="1"/>
  <c r="AU17" i="12" a="1"/>
  <c r="AU17" i="12" s="1"/>
  <c r="AV17" i="12" a="1"/>
  <c r="AV17" i="12" s="1"/>
  <c r="AW17" i="12" a="1"/>
  <c r="AW17" i="12" s="1"/>
  <c r="AX17" i="12" a="1"/>
  <c r="AX17" i="12" s="1"/>
  <c r="AY17" i="12" a="1"/>
  <c r="AY17" i="12" s="1"/>
  <c r="AZ17" i="12" a="1"/>
  <c r="AZ17" i="12" s="1"/>
  <c r="BA17" i="12" a="1"/>
  <c r="BA17" i="12" s="1"/>
  <c r="BB17" i="12" a="1"/>
  <c r="BB17" i="12" s="1"/>
  <c r="BC17" i="12" a="1"/>
  <c r="BC17" i="12" s="1"/>
  <c r="BD17" i="12" a="1"/>
  <c r="BD17" i="12" s="1"/>
  <c r="BE17" i="12" a="1"/>
  <c r="BE17" i="12" s="1"/>
  <c r="BF17" i="12" a="1"/>
  <c r="BF17" i="12" s="1"/>
  <c r="BG17" i="12" a="1"/>
  <c r="BG17" i="12" s="1"/>
  <c r="BH17" i="12" a="1"/>
  <c r="BH17" i="12" s="1"/>
  <c r="BI17" i="12" a="1"/>
  <c r="BI17" i="12" s="1"/>
  <c r="BJ17" i="12" a="1"/>
  <c r="BJ17" i="12" s="1"/>
  <c r="BK17" i="12" a="1"/>
  <c r="BK17" i="12" s="1"/>
  <c r="BL17" i="12" a="1"/>
  <c r="BL17" i="12" s="1"/>
  <c r="BM17" i="12" a="1"/>
  <c r="BM17" i="12" s="1"/>
  <c r="BN17" i="12" a="1"/>
  <c r="BN17" i="12" s="1"/>
  <c r="BO17" i="12" a="1"/>
  <c r="BO17" i="12" s="1"/>
  <c r="BP17" i="12" a="1"/>
  <c r="BP17" i="12" s="1"/>
  <c r="BQ17" i="12" a="1"/>
  <c r="BQ17" i="12" s="1"/>
  <c r="BR17" i="12" a="1"/>
  <c r="BR17" i="12" s="1"/>
  <c r="BS17" i="12" a="1"/>
  <c r="BS17" i="12" s="1"/>
  <c r="BT17" i="12" a="1"/>
  <c r="BT17" i="12" s="1"/>
  <c r="BU17" i="12" a="1"/>
  <c r="BU17" i="12" s="1"/>
  <c r="BV17" i="12" a="1"/>
  <c r="BV17" i="12" s="1"/>
  <c r="BW17" i="12" a="1"/>
  <c r="BW17" i="12" s="1"/>
  <c r="BX17" i="12" a="1"/>
  <c r="BX17" i="12" s="1"/>
  <c r="BY17" i="12" a="1"/>
  <c r="BY17" i="12" s="1"/>
  <c r="BZ17" i="12" a="1"/>
  <c r="BZ17" i="12" s="1"/>
  <c r="CA17" i="12" a="1"/>
  <c r="CA17" i="12" s="1"/>
  <c r="CB17" i="12" a="1"/>
  <c r="CB17" i="12" s="1"/>
  <c r="CC17" i="12" a="1"/>
  <c r="CC17" i="12" s="1"/>
  <c r="CD17" i="12" a="1"/>
  <c r="CD17" i="12" s="1"/>
  <c r="CE17" i="12" a="1"/>
  <c r="CE17" i="12" s="1"/>
  <c r="CF17" i="12" a="1"/>
  <c r="CF17" i="12" s="1"/>
  <c r="CG17" i="12" a="1"/>
  <c r="CG17" i="12" s="1"/>
  <c r="CH17" i="12" a="1"/>
  <c r="CH17" i="12" s="1"/>
  <c r="CI17" i="12" a="1"/>
  <c r="CI17" i="12" s="1"/>
  <c r="CJ17" i="12" a="1"/>
  <c r="CJ17" i="12" s="1"/>
  <c r="CK17" i="12" a="1"/>
  <c r="CK17" i="12" s="1"/>
  <c r="CL17" i="12" a="1"/>
  <c r="CL17" i="12" s="1"/>
  <c r="CM17" i="12" a="1"/>
  <c r="CM17" i="12" s="1"/>
  <c r="CN17" i="12" a="1"/>
  <c r="CN17" i="12" s="1"/>
  <c r="CO17" i="12" a="1"/>
  <c r="CO17" i="12" s="1"/>
  <c r="CP17" i="12" a="1"/>
  <c r="CP17" i="12" s="1"/>
  <c r="CQ17" i="12" a="1"/>
  <c r="CQ17" i="12" s="1"/>
  <c r="CR17" i="12" a="1"/>
  <c r="CR17" i="12" s="1"/>
  <c r="CS17" i="12" a="1"/>
  <c r="CS17" i="12" s="1"/>
  <c r="CT17" i="12" a="1"/>
  <c r="CT17" i="12" s="1"/>
  <c r="CU17" i="12" a="1"/>
  <c r="CU17" i="12" s="1"/>
  <c r="CV17" i="12" a="1"/>
  <c r="CV17" i="12" s="1"/>
  <c r="CW17" i="12" a="1"/>
  <c r="CW17" i="12" s="1"/>
  <c r="CX17" i="12" a="1"/>
  <c r="CX17" i="12" s="1"/>
  <c r="CY17" i="12" a="1"/>
  <c r="CY17" i="12" s="1"/>
  <c r="CZ17" i="12" a="1"/>
  <c r="CZ17" i="12" s="1"/>
  <c r="DA17" i="12" a="1"/>
  <c r="DA17" i="12" s="1"/>
  <c r="DB17" i="12" a="1"/>
  <c r="DB17" i="12" s="1"/>
  <c r="DC17" i="12" a="1"/>
  <c r="DC17" i="12" s="1"/>
  <c r="DD17" i="12" a="1"/>
  <c r="DD17" i="12" s="1"/>
  <c r="DE17" i="12" a="1"/>
  <c r="DE17" i="12" s="1"/>
  <c r="DF17" i="12" a="1"/>
  <c r="DF17" i="12" s="1"/>
  <c r="DG17" i="12" a="1"/>
  <c r="DG17" i="12" s="1"/>
  <c r="DH17" i="12" a="1"/>
  <c r="DH17" i="12" s="1"/>
  <c r="DI17" i="12" a="1"/>
  <c r="DI17" i="12" s="1"/>
  <c r="DJ17" i="12" a="1"/>
  <c r="DJ17" i="12" s="1"/>
  <c r="DK17" i="12" a="1"/>
  <c r="DK17" i="12" s="1"/>
  <c r="DL17" i="12" a="1"/>
  <c r="DL17" i="12" s="1"/>
  <c r="DM17" i="12" a="1"/>
  <c r="DM17" i="12" s="1"/>
  <c r="DN17" i="12" a="1"/>
  <c r="DN17" i="12" s="1"/>
  <c r="DO17" i="12" a="1"/>
  <c r="DO17" i="12" s="1"/>
  <c r="DP17" i="12" a="1"/>
  <c r="DP17" i="12" s="1"/>
  <c r="DQ17" i="12" a="1"/>
  <c r="DQ17" i="12" s="1"/>
  <c r="DR17" i="12" a="1"/>
  <c r="DR17" i="12" s="1"/>
  <c r="DS17" i="12" a="1"/>
  <c r="DS17" i="12" s="1"/>
  <c r="DT17" i="12" a="1"/>
  <c r="DT17" i="12" s="1"/>
  <c r="DU17" i="12" a="1"/>
  <c r="DU17" i="12" s="1"/>
  <c r="DV17" i="12" a="1"/>
  <c r="DV17" i="12" s="1"/>
  <c r="DW17" i="12" a="1"/>
  <c r="DW17" i="12" s="1"/>
  <c r="DX17" i="12" a="1"/>
  <c r="DX17" i="12" s="1"/>
  <c r="DY17" i="12" a="1"/>
  <c r="DY17" i="12" s="1"/>
  <c r="DZ17" i="12" a="1"/>
  <c r="DZ17" i="12" s="1"/>
  <c r="EA17" i="12" a="1"/>
  <c r="EA17" i="12" s="1"/>
  <c r="EB17" i="12" a="1"/>
  <c r="EB17" i="12" s="1"/>
  <c r="EC17" i="12" a="1"/>
  <c r="EC17" i="12" s="1"/>
  <c r="ED17" i="12" a="1"/>
  <c r="ED17" i="12" s="1"/>
  <c r="EE17" i="12" a="1"/>
  <c r="EE17" i="12" s="1"/>
  <c r="EF17" i="12" a="1"/>
  <c r="EF17" i="12" s="1"/>
  <c r="EG17" i="12" a="1"/>
  <c r="EG17" i="12" s="1"/>
  <c r="AC18" i="12" a="1"/>
  <c r="AC18" i="12" s="1"/>
  <c r="AD18" i="12" a="1"/>
  <c r="AD18" i="12" s="1"/>
  <c r="AE18" i="12" a="1"/>
  <c r="AE18" i="12" s="1"/>
  <c r="AF18" i="12" a="1"/>
  <c r="AF18" i="12" s="1"/>
  <c r="AG18" i="12" a="1"/>
  <c r="AG18" i="12" s="1"/>
  <c r="AH18" i="12" a="1"/>
  <c r="AH18" i="12" s="1"/>
  <c r="AI18" i="12" a="1"/>
  <c r="AI18" i="12" s="1"/>
  <c r="AJ18" i="12" a="1"/>
  <c r="AJ18" i="12" s="1"/>
  <c r="AK18" i="12" a="1"/>
  <c r="AK18" i="12" s="1"/>
  <c r="AL18" i="12" a="1"/>
  <c r="AL18" i="12" s="1"/>
  <c r="AM18" i="12" a="1"/>
  <c r="AM18" i="12" s="1"/>
  <c r="AN18" i="12" a="1"/>
  <c r="AN18" i="12" s="1"/>
  <c r="AO18" i="12" a="1"/>
  <c r="AO18" i="12" s="1"/>
  <c r="AP18" i="12" a="1"/>
  <c r="AP18" i="12" s="1"/>
  <c r="AQ18" i="12" a="1"/>
  <c r="AQ18" i="12" s="1"/>
  <c r="AR18" i="12" a="1"/>
  <c r="AR18" i="12" s="1"/>
  <c r="AS18" i="12" a="1"/>
  <c r="AS18" i="12" s="1"/>
  <c r="AT18" i="12" a="1"/>
  <c r="AT18" i="12" s="1"/>
  <c r="AU18" i="12" a="1"/>
  <c r="AU18" i="12" s="1"/>
  <c r="AV18" i="12" a="1"/>
  <c r="AV18" i="12" s="1"/>
  <c r="AW18" i="12" a="1"/>
  <c r="AW18" i="12" s="1"/>
  <c r="AX18" i="12" a="1"/>
  <c r="AX18" i="12" s="1"/>
  <c r="AY18" i="12" a="1"/>
  <c r="AY18" i="12" s="1"/>
  <c r="AZ18" i="12" a="1"/>
  <c r="AZ18" i="12" s="1"/>
  <c r="BA18" i="12" a="1"/>
  <c r="BA18" i="12" s="1"/>
  <c r="BB18" i="12" a="1"/>
  <c r="BB18" i="12" s="1"/>
  <c r="BC18" i="12" a="1"/>
  <c r="BC18" i="12" s="1"/>
  <c r="BD18" i="12" a="1"/>
  <c r="BD18" i="12" s="1"/>
  <c r="BE18" i="12" a="1"/>
  <c r="BE18" i="12" s="1"/>
  <c r="BF18" i="12" a="1"/>
  <c r="BF18" i="12" s="1"/>
  <c r="BG18" i="12" a="1"/>
  <c r="BG18" i="12" s="1"/>
  <c r="BH18" i="12" a="1"/>
  <c r="BH18" i="12" s="1"/>
  <c r="BI18" i="12" a="1"/>
  <c r="BI18" i="12" s="1"/>
  <c r="BJ18" i="12" a="1"/>
  <c r="BJ18" i="12" s="1"/>
  <c r="BK18" i="12" a="1"/>
  <c r="BK18" i="12" s="1"/>
  <c r="BL18" i="12" a="1"/>
  <c r="BL18" i="12" s="1"/>
  <c r="BM18" i="12" a="1"/>
  <c r="BM18" i="12" s="1"/>
  <c r="BN18" i="12" a="1"/>
  <c r="BN18" i="12" s="1"/>
  <c r="BO18" i="12" a="1"/>
  <c r="BO18" i="12" s="1"/>
  <c r="BP18" i="12" a="1"/>
  <c r="BP18" i="12" s="1"/>
  <c r="BQ18" i="12" a="1"/>
  <c r="BQ18" i="12" s="1"/>
  <c r="BR18" i="12" a="1"/>
  <c r="BR18" i="12" s="1"/>
  <c r="BS18" i="12" a="1"/>
  <c r="BS18" i="12" s="1"/>
  <c r="BT18" i="12" a="1"/>
  <c r="BT18" i="12" s="1"/>
  <c r="BU18" i="12" a="1"/>
  <c r="BU18" i="12" s="1"/>
  <c r="BV18" i="12" a="1"/>
  <c r="BV18" i="12" s="1"/>
  <c r="BW18" i="12" a="1"/>
  <c r="BW18" i="12" s="1"/>
  <c r="BX18" i="12" a="1"/>
  <c r="BX18" i="12" s="1"/>
  <c r="BY18" i="12" a="1"/>
  <c r="BY18" i="12" s="1"/>
  <c r="BZ18" i="12" a="1"/>
  <c r="BZ18" i="12" s="1"/>
  <c r="CA18" i="12" a="1"/>
  <c r="CA18" i="12" s="1"/>
  <c r="CB18" i="12" a="1"/>
  <c r="CB18" i="12" s="1"/>
  <c r="CC18" i="12" a="1"/>
  <c r="CC18" i="12" s="1"/>
  <c r="CD18" i="12" a="1"/>
  <c r="CD18" i="12" s="1"/>
  <c r="CE18" i="12" a="1"/>
  <c r="CE18" i="12" s="1"/>
  <c r="CF18" i="12" a="1"/>
  <c r="CF18" i="12" s="1"/>
  <c r="CG18" i="12" a="1"/>
  <c r="CG18" i="12" s="1"/>
  <c r="CH18" i="12" a="1"/>
  <c r="CH18" i="12" s="1"/>
  <c r="CI18" i="12" a="1"/>
  <c r="CI18" i="12" s="1"/>
  <c r="CJ18" i="12" a="1"/>
  <c r="CJ18" i="12" s="1"/>
  <c r="CK18" i="12" a="1"/>
  <c r="CK18" i="12" s="1"/>
  <c r="CL18" i="12" a="1"/>
  <c r="CL18" i="12" s="1"/>
  <c r="CM18" i="12" a="1"/>
  <c r="CM18" i="12" s="1"/>
  <c r="CN18" i="12" a="1"/>
  <c r="CN18" i="12" s="1"/>
  <c r="CO18" i="12" a="1"/>
  <c r="CO18" i="12" s="1"/>
  <c r="CP18" i="12" a="1"/>
  <c r="CP18" i="12" s="1"/>
  <c r="CQ18" i="12" a="1"/>
  <c r="CQ18" i="12" s="1"/>
  <c r="CR18" i="12" a="1"/>
  <c r="CR18" i="12" s="1"/>
  <c r="CS18" i="12" a="1"/>
  <c r="CS18" i="12" s="1"/>
  <c r="CT18" i="12" a="1"/>
  <c r="CT18" i="12" s="1"/>
  <c r="CU18" i="12" a="1"/>
  <c r="CU18" i="12" s="1"/>
  <c r="CV18" i="12" a="1"/>
  <c r="CV18" i="12" s="1"/>
  <c r="CW18" i="12" a="1"/>
  <c r="CW18" i="12" s="1"/>
  <c r="CX18" i="12" a="1"/>
  <c r="CX18" i="12" s="1"/>
  <c r="CY18" i="12" a="1"/>
  <c r="CY18" i="12" s="1"/>
  <c r="CZ18" i="12" a="1"/>
  <c r="CZ18" i="12" s="1"/>
  <c r="DA18" i="12" a="1"/>
  <c r="DA18" i="12" s="1"/>
  <c r="DB18" i="12" a="1"/>
  <c r="DB18" i="12" s="1"/>
  <c r="DC18" i="12" a="1"/>
  <c r="DC18" i="12" s="1"/>
  <c r="DD18" i="12" a="1"/>
  <c r="DD18" i="12" s="1"/>
  <c r="DE18" i="12" a="1"/>
  <c r="DE18" i="12" s="1"/>
  <c r="DF18" i="12" a="1"/>
  <c r="DF18" i="12" s="1"/>
  <c r="DG18" i="12" a="1"/>
  <c r="DG18" i="12" s="1"/>
  <c r="DH18" i="12" a="1"/>
  <c r="DH18" i="12" s="1"/>
  <c r="DI18" i="12" a="1"/>
  <c r="DI18" i="12" s="1"/>
  <c r="DJ18" i="12" a="1"/>
  <c r="DJ18" i="12" s="1"/>
  <c r="DK18" i="12" a="1"/>
  <c r="DK18" i="12" s="1"/>
  <c r="DL18" i="12" a="1"/>
  <c r="DL18" i="12" s="1"/>
  <c r="DM18" i="12" a="1"/>
  <c r="DM18" i="12" s="1"/>
  <c r="DN18" i="12" a="1"/>
  <c r="DN18" i="12" s="1"/>
  <c r="DO18" i="12" a="1"/>
  <c r="DO18" i="12" s="1"/>
  <c r="DP18" i="12" a="1"/>
  <c r="DP18" i="12" s="1"/>
  <c r="DQ18" i="12" a="1"/>
  <c r="DQ18" i="12" s="1"/>
  <c r="DR18" i="12" a="1"/>
  <c r="DR18" i="12" s="1"/>
  <c r="DS18" i="12" a="1"/>
  <c r="DS18" i="12" s="1"/>
  <c r="DT18" i="12" a="1"/>
  <c r="DT18" i="12" s="1"/>
  <c r="DU18" i="12" a="1"/>
  <c r="DU18" i="12" s="1"/>
  <c r="DV18" i="12" a="1"/>
  <c r="DV18" i="12" s="1"/>
  <c r="DW18" i="12" a="1"/>
  <c r="DW18" i="12" s="1"/>
  <c r="DX18" i="12" a="1"/>
  <c r="DX18" i="12" s="1"/>
  <c r="DY18" i="12" a="1"/>
  <c r="DY18" i="12" s="1"/>
  <c r="DZ18" i="12" a="1"/>
  <c r="DZ18" i="12" s="1"/>
  <c r="EA18" i="12" a="1"/>
  <c r="EA18" i="12" s="1"/>
  <c r="EB18" i="12" a="1"/>
  <c r="EB18" i="12" s="1"/>
  <c r="EC18" i="12" a="1"/>
  <c r="EC18" i="12" s="1"/>
  <c r="ED18" i="12" a="1"/>
  <c r="ED18" i="12" s="1"/>
  <c r="EE18" i="12" a="1"/>
  <c r="EE18" i="12" s="1"/>
  <c r="EF18" i="12" a="1"/>
  <c r="EF18" i="12" s="1"/>
  <c r="EG18" i="12" a="1"/>
  <c r="EG18" i="12" s="1"/>
  <c r="E5" i="12" a="1"/>
  <c r="E5" i="12" s="1"/>
  <c r="F5" i="12" a="1"/>
  <c r="F5" i="12" s="1"/>
  <c r="G5" i="12" a="1"/>
  <c r="G5" i="12" s="1"/>
  <c r="H5" i="12" a="1"/>
  <c r="H5" i="12" s="1"/>
  <c r="I5" i="12" a="1"/>
  <c r="I5" i="12" s="1"/>
  <c r="J5" i="12" a="1"/>
  <c r="J5" i="12"/>
  <c r="K5" i="12" a="1"/>
  <c r="K5" i="12" s="1"/>
  <c r="L5" i="12" a="1"/>
  <c r="L5" i="12" s="1"/>
  <c r="M5" i="12" a="1"/>
  <c r="M5" i="12" s="1"/>
  <c r="N5" i="12" a="1"/>
  <c r="N5" i="12" s="1"/>
  <c r="O5" i="12" a="1"/>
  <c r="O5" i="12" s="1"/>
  <c r="P5" i="12" a="1"/>
  <c r="P5" i="12" s="1"/>
  <c r="Q5" i="12" a="1"/>
  <c r="Q5" i="12" s="1"/>
  <c r="R5" i="12" a="1"/>
  <c r="R5" i="12" s="1"/>
  <c r="S5" i="12" a="1"/>
  <c r="S5" i="12" s="1"/>
  <c r="T5" i="12" a="1"/>
  <c r="T5" i="12" s="1"/>
  <c r="U5" i="12" a="1"/>
  <c r="U5" i="12" s="1"/>
  <c r="V5" i="12" a="1"/>
  <c r="V5" i="12" s="1"/>
  <c r="W5" i="12" a="1"/>
  <c r="W5" i="12" s="1"/>
  <c r="X5" i="12" a="1"/>
  <c r="X5" i="12" s="1"/>
  <c r="Y5" i="12" a="1"/>
  <c r="Y5" i="12" s="1"/>
  <c r="Z5" i="12" a="1"/>
  <c r="Z5" i="12" s="1"/>
  <c r="AA5" i="12" a="1"/>
  <c r="AA5" i="12" s="1"/>
  <c r="AB5" i="12" a="1"/>
  <c r="AB5" i="12" s="1"/>
  <c r="E6" i="12" a="1"/>
  <c r="E6" i="12" s="1"/>
  <c r="F6" i="12" a="1"/>
  <c r="F6" i="12" s="1"/>
  <c r="G6" i="12" a="1"/>
  <c r="G6" i="12" s="1"/>
  <c r="H6" i="12" a="1"/>
  <c r="H6" i="12" s="1"/>
  <c r="I6" i="12" a="1"/>
  <c r="I6" i="12" s="1"/>
  <c r="J6" i="12" a="1"/>
  <c r="J6" i="12" s="1"/>
  <c r="K6" i="12" a="1"/>
  <c r="K6" i="12" s="1"/>
  <c r="L6" i="12" a="1"/>
  <c r="L6" i="12" s="1"/>
  <c r="M6" i="12" a="1"/>
  <c r="M6" i="12" s="1"/>
  <c r="N6" i="12" a="1"/>
  <c r="N6" i="12" s="1"/>
  <c r="O6" i="12" a="1"/>
  <c r="O6" i="12" s="1"/>
  <c r="P6" i="12" a="1"/>
  <c r="P6" i="12" s="1"/>
  <c r="Q6" i="12" a="1"/>
  <c r="Q6" i="12" s="1"/>
  <c r="R6" i="12" a="1"/>
  <c r="R6" i="12" s="1"/>
  <c r="S6" i="12" a="1"/>
  <c r="S6" i="12" s="1"/>
  <c r="T6" i="12" a="1"/>
  <c r="T6" i="12" s="1"/>
  <c r="U6" i="12" a="1"/>
  <c r="U6" i="12" s="1"/>
  <c r="V6" i="12" a="1"/>
  <c r="V6" i="12" s="1"/>
  <c r="W6" i="12" a="1"/>
  <c r="W6" i="12" s="1"/>
  <c r="X6" i="12" a="1"/>
  <c r="X6" i="12" s="1"/>
  <c r="Y6" i="12" a="1"/>
  <c r="Y6" i="12" s="1"/>
  <c r="Z6" i="12" a="1"/>
  <c r="Z6" i="12" s="1"/>
  <c r="AA6" i="12" a="1"/>
  <c r="AA6" i="12" s="1"/>
  <c r="AB6" i="12" a="1"/>
  <c r="AB6" i="12" s="1"/>
  <c r="E7" i="12" a="1"/>
  <c r="E7" i="12" s="1"/>
  <c r="F7" i="12" a="1"/>
  <c r="F7" i="12" s="1"/>
  <c r="G7" i="12" a="1"/>
  <c r="G7" i="12" s="1"/>
  <c r="H7" i="12" a="1"/>
  <c r="H7" i="12" s="1"/>
  <c r="I7" i="12" a="1"/>
  <c r="I7" i="12" s="1"/>
  <c r="J7" i="12" a="1"/>
  <c r="J7" i="12" s="1"/>
  <c r="K7" i="12" a="1"/>
  <c r="K7" i="12" s="1"/>
  <c r="L7" i="12" a="1"/>
  <c r="L7" i="12" s="1"/>
  <c r="M7" i="12" a="1"/>
  <c r="M7" i="12" s="1"/>
  <c r="N7" i="12" a="1"/>
  <c r="N7" i="12" s="1"/>
  <c r="O7" i="12" a="1"/>
  <c r="O7" i="12" s="1"/>
  <c r="P7" i="12" a="1"/>
  <c r="P7" i="12" s="1"/>
  <c r="Q7" i="12" a="1"/>
  <c r="Q7" i="12" s="1"/>
  <c r="R7" i="12" a="1"/>
  <c r="R7" i="12" s="1"/>
  <c r="S7" i="12" a="1"/>
  <c r="S7" i="12" s="1"/>
  <c r="T7" i="12" a="1"/>
  <c r="T7" i="12" s="1"/>
  <c r="U7" i="12" a="1"/>
  <c r="U7" i="12" s="1"/>
  <c r="V7" i="12" a="1"/>
  <c r="V7" i="12" s="1"/>
  <c r="W7" i="12" a="1"/>
  <c r="W7" i="12" s="1"/>
  <c r="X7" i="12" a="1"/>
  <c r="X7" i="12" s="1"/>
  <c r="Y7" i="12" a="1"/>
  <c r="Y7" i="12" s="1"/>
  <c r="Z7" i="12" a="1"/>
  <c r="Z7" i="12" s="1"/>
  <c r="AA7" i="12" a="1"/>
  <c r="AA7" i="12" s="1"/>
  <c r="AB7" i="12" a="1"/>
  <c r="AB7" i="12" s="1"/>
  <c r="E8" i="12" a="1"/>
  <c r="E8" i="12" s="1"/>
  <c r="F8" i="12" a="1"/>
  <c r="F8" i="12" s="1"/>
  <c r="G8" i="12" a="1"/>
  <c r="G8" i="12" s="1"/>
  <c r="H8" i="12" a="1"/>
  <c r="H8" i="12" s="1"/>
  <c r="I8" i="12" a="1"/>
  <c r="I8" i="12" s="1"/>
  <c r="J8" i="12" a="1"/>
  <c r="J8" i="12" s="1"/>
  <c r="K8" i="12" a="1"/>
  <c r="K8" i="12" s="1"/>
  <c r="L8" i="12" a="1"/>
  <c r="L8" i="12" s="1"/>
  <c r="M8" i="12" a="1"/>
  <c r="M8" i="12" s="1"/>
  <c r="N8" i="12" a="1"/>
  <c r="N8" i="12" s="1"/>
  <c r="O8" i="12" a="1"/>
  <c r="O8" i="12" s="1"/>
  <c r="P8" i="12" a="1"/>
  <c r="P8" i="12" s="1"/>
  <c r="Q8" i="12" a="1"/>
  <c r="Q8" i="12" s="1"/>
  <c r="R8" i="12" a="1"/>
  <c r="R8" i="12" s="1"/>
  <c r="S8" i="12" a="1"/>
  <c r="S8" i="12" s="1"/>
  <c r="T8" i="12" a="1"/>
  <c r="T8" i="12" s="1"/>
  <c r="U8" i="12" a="1"/>
  <c r="U8" i="12" s="1"/>
  <c r="V8" i="12" a="1"/>
  <c r="V8" i="12" s="1"/>
  <c r="W8" i="12" a="1"/>
  <c r="W8" i="12" s="1"/>
  <c r="X8" i="12" a="1"/>
  <c r="X8" i="12" s="1"/>
  <c r="Y8" i="12" a="1"/>
  <c r="Y8" i="12" s="1"/>
  <c r="Z8" i="12" a="1"/>
  <c r="Z8" i="12" s="1"/>
  <c r="AA8" i="12" a="1"/>
  <c r="AA8" i="12" s="1"/>
  <c r="AB8" i="12" a="1"/>
  <c r="AB8" i="12" s="1"/>
  <c r="E9" i="12" a="1"/>
  <c r="E9" i="12" s="1"/>
  <c r="F9" i="12" a="1"/>
  <c r="F9" i="12" s="1"/>
  <c r="G9" i="12" a="1"/>
  <c r="G9" i="12" s="1"/>
  <c r="H9" i="12" a="1"/>
  <c r="H9" i="12" s="1"/>
  <c r="I9" i="12" a="1"/>
  <c r="I9" i="12" s="1"/>
  <c r="J9" i="12" a="1"/>
  <c r="J9" i="12" s="1"/>
  <c r="K9" i="12" a="1"/>
  <c r="K9" i="12" s="1"/>
  <c r="L9" i="12" a="1"/>
  <c r="L9" i="12" s="1"/>
  <c r="M9" i="12" a="1"/>
  <c r="M9" i="12" s="1"/>
  <c r="N9" i="12" a="1"/>
  <c r="N9" i="12" s="1"/>
  <c r="O9" i="12" a="1"/>
  <c r="O9" i="12" s="1"/>
  <c r="P9" i="12" a="1"/>
  <c r="P9" i="12" s="1"/>
  <c r="Q9" i="12" a="1"/>
  <c r="Q9" i="12" s="1"/>
  <c r="R9" i="12" a="1"/>
  <c r="R9" i="12" s="1"/>
  <c r="S9" i="12" a="1"/>
  <c r="S9" i="12" s="1"/>
  <c r="T9" i="12" a="1"/>
  <c r="T9" i="12" s="1"/>
  <c r="U9" i="12" a="1"/>
  <c r="U9" i="12" s="1"/>
  <c r="V9" i="12" a="1"/>
  <c r="V9" i="12" s="1"/>
  <c r="W9" i="12" a="1"/>
  <c r="W9" i="12" s="1"/>
  <c r="X9" i="12" a="1"/>
  <c r="X9" i="12" s="1"/>
  <c r="Y9" i="12" a="1"/>
  <c r="Y9" i="12" s="1"/>
  <c r="Z9" i="12" a="1"/>
  <c r="Z9" i="12" s="1"/>
  <c r="AA9" i="12" a="1"/>
  <c r="AA9" i="12" s="1"/>
  <c r="AB9" i="12" a="1"/>
  <c r="AB9" i="12" s="1"/>
  <c r="E10" i="12" a="1"/>
  <c r="E10" i="12" s="1"/>
  <c r="F10" i="12" a="1"/>
  <c r="F10" i="12" s="1"/>
  <c r="G10" i="12" a="1"/>
  <c r="G10" i="12" s="1"/>
  <c r="H10" i="12" a="1"/>
  <c r="H10" i="12" s="1"/>
  <c r="I10" i="12" a="1"/>
  <c r="I10" i="12" s="1"/>
  <c r="J10" i="12" a="1"/>
  <c r="J10" i="12" s="1"/>
  <c r="K10" i="12" a="1"/>
  <c r="K10" i="12" s="1"/>
  <c r="L10" i="12" a="1"/>
  <c r="L10" i="12" s="1"/>
  <c r="M10" i="12" a="1"/>
  <c r="M10" i="12" s="1"/>
  <c r="N10" i="12" a="1"/>
  <c r="N10" i="12" s="1"/>
  <c r="O10" i="12" a="1"/>
  <c r="O10" i="12" s="1"/>
  <c r="P10" i="12" a="1"/>
  <c r="P10" i="12" s="1"/>
  <c r="Q10" i="12" a="1"/>
  <c r="Q10" i="12" s="1"/>
  <c r="R10" i="12" a="1"/>
  <c r="R10" i="12" s="1"/>
  <c r="S10" i="12" a="1"/>
  <c r="S10" i="12" s="1"/>
  <c r="T10" i="12" a="1"/>
  <c r="T10" i="12" s="1"/>
  <c r="U10" i="12" a="1"/>
  <c r="U10" i="12" s="1"/>
  <c r="V10" i="12" a="1"/>
  <c r="V10" i="12" s="1"/>
  <c r="W10" i="12" a="1"/>
  <c r="W10" i="12" s="1"/>
  <c r="X10" i="12" a="1"/>
  <c r="X10" i="12" s="1"/>
  <c r="Y10" i="12" a="1"/>
  <c r="Y10" i="12" s="1"/>
  <c r="Z10" i="12" a="1"/>
  <c r="Z10" i="12" s="1"/>
  <c r="AA10" i="12" a="1"/>
  <c r="AA10" i="12" s="1"/>
  <c r="AB10" i="12" a="1"/>
  <c r="AB10" i="12" s="1"/>
  <c r="E11" i="12" a="1"/>
  <c r="E11" i="12" s="1"/>
  <c r="F11" i="12" a="1"/>
  <c r="F11" i="12" s="1"/>
  <c r="G11" i="12" a="1"/>
  <c r="G11" i="12" s="1"/>
  <c r="H11" i="12" a="1"/>
  <c r="H11" i="12" s="1"/>
  <c r="I11" i="12" a="1"/>
  <c r="I11" i="12" s="1"/>
  <c r="J11" i="12" a="1"/>
  <c r="J11" i="12" s="1"/>
  <c r="K11" i="12" a="1"/>
  <c r="K11" i="12" s="1"/>
  <c r="L11" i="12" a="1"/>
  <c r="L11" i="12" s="1"/>
  <c r="M11" i="12" a="1"/>
  <c r="M11" i="12" s="1"/>
  <c r="N11" i="12" a="1"/>
  <c r="N11" i="12" s="1"/>
  <c r="O11" i="12" a="1"/>
  <c r="O11" i="12" s="1"/>
  <c r="P11" i="12" a="1"/>
  <c r="P11" i="12" s="1"/>
  <c r="Q11" i="12" a="1"/>
  <c r="Q11" i="12" s="1"/>
  <c r="R11" i="12" a="1"/>
  <c r="R11" i="12" s="1"/>
  <c r="S11" i="12" a="1"/>
  <c r="S11" i="12" s="1"/>
  <c r="T11" i="12" a="1"/>
  <c r="T11" i="12" s="1"/>
  <c r="U11" i="12" a="1"/>
  <c r="U11" i="12" s="1"/>
  <c r="V11" i="12" a="1"/>
  <c r="V11" i="12" s="1"/>
  <c r="W11" i="12" a="1"/>
  <c r="W11" i="12" s="1"/>
  <c r="X11" i="12" a="1"/>
  <c r="X11" i="12" s="1"/>
  <c r="Y11" i="12" a="1"/>
  <c r="Y11" i="12" s="1"/>
  <c r="Z11" i="12" a="1"/>
  <c r="Z11" i="12" s="1"/>
  <c r="AA11" i="12" a="1"/>
  <c r="AA11" i="12" s="1"/>
  <c r="AB11" i="12" a="1"/>
  <c r="AB11" i="12" s="1"/>
  <c r="E12" i="12" a="1"/>
  <c r="E12" i="12" s="1"/>
  <c r="F12" i="12" a="1"/>
  <c r="F12" i="12" s="1"/>
  <c r="G12" i="12" a="1"/>
  <c r="G12" i="12" s="1"/>
  <c r="H12" i="12" a="1"/>
  <c r="H12" i="12" s="1"/>
  <c r="I12" i="12" a="1"/>
  <c r="I12" i="12" s="1"/>
  <c r="J12" i="12" a="1"/>
  <c r="J12" i="12" s="1"/>
  <c r="K12" i="12" a="1"/>
  <c r="K12" i="12" s="1"/>
  <c r="L12" i="12" a="1"/>
  <c r="L12" i="12" s="1"/>
  <c r="M12" i="12" a="1"/>
  <c r="M12" i="12" s="1"/>
  <c r="N12" i="12" a="1"/>
  <c r="N12" i="12" s="1"/>
  <c r="O12" i="12" a="1"/>
  <c r="O12" i="12" s="1"/>
  <c r="P12" i="12" a="1"/>
  <c r="P12" i="12" s="1"/>
  <c r="Q12" i="12" a="1"/>
  <c r="Q12" i="12" s="1"/>
  <c r="R12" i="12" a="1"/>
  <c r="R12" i="12" s="1"/>
  <c r="S12" i="12" a="1"/>
  <c r="S12" i="12" s="1"/>
  <c r="T12" i="12" a="1"/>
  <c r="T12" i="12" s="1"/>
  <c r="U12" i="12" a="1"/>
  <c r="U12" i="12" s="1"/>
  <c r="V12" i="12" a="1"/>
  <c r="V12" i="12" s="1"/>
  <c r="W12" i="12" a="1"/>
  <c r="W12" i="12" s="1"/>
  <c r="X12" i="12" a="1"/>
  <c r="X12" i="12" s="1"/>
  <c r="Y12" i="12" a="1"/>
  <c r="Y12" i="12" s="1"/>
  <c r="Z12" i="12" a="1"/>
  <c r="Z12" i="12" s="1"/>
  <c r="AA12" i="12" a="1"/>
  <c r="AA12" i="12" s="1"/>
  <c r="AB12" i="12" a="1"/>
  <c r="AB12" i="12" s="1"/>
  <c r="E13" i="12" a="1"/>
  <c r="E13" i="12" s="1"/>
  <c r="F13" i="12" a="1"/>
  <c r="F13" i="12" s="1"/>
  <c r="G13" i="12" a="1"/>
  <c r="G13" i="12" s="1"/>
  <c r="H13" i="12" a="1"/>
  <c r="H13" i="12" s="1"/>
  <c r="I13" i="12" a="1"/>
  <c r="I13" i="12" s="1"/>
  <c r="J13" i="12" a="1"/>
  <c r="J13" i="12" s="1"/>
  <c r="K13" i="12" a="1"/>
  <c r="K13" i="12" s="1"/>
  <c r="L13" i="12" a="1"/>
  <c r="L13" i="12" s="1"/>
  <c r="M13" i="12" a="1"/>
  <c r="M13" i="12" s="1"/>
  <c r="N13" i="12" a="1"/>
  <c r="N13" i="12" s="1"/>
  <c r="O13" i="12" a="1"/>
  <c r="O13" i="12" s="1"/>
  <c r="P13" i="12" a="1"/>
  <c r="P13" i="12" s="1"/>
  <c r="Q13" i="12" a="1"/>
  <c r="Q13" i="12" s="1"/>
  <c r="R13" i="12" a="1"/>
  <c r="R13" i="12" s="1"/>
  <c r="S13" i="12" a="1"/>
  <c r="S13" i="12" s="1"/>
  <c r="T13" i="12" a="1"/>
  <c r="T13" i="12" s="1"/>
  <c r="U13" i="12" a="1"/>
  <c r="U13" i="12" s="1"/>
  <c r="V13" i="12" a="1"/>
  <c r="V13" i="12" s="1"/>
  <c r="W13" i="12" a="1"/>
  <c r="W13" i="12" s="1"/>
  <c r="X13" i="12" a="1"/>
  <c r="X13" i="12" s="1"/>
  <c r="Y13" i="12" a="1"/>
  <c r="Y13" i="12" s="1"/>
  <c r="Z13" i="12" a="1"/>
  <c r="Z13" i="12" s="1"/>
  <c r="AA13" i="12" a="1"/>
  <c r="AA13" i="12" s="1"/>
  <c r="AB13" i="12" a="1"/>
  <c r="AB13" i="12" s="1"/>
  <c r="E14" i="12" a="1"/>
  <c r="E14" i="12" s="1"/>
  <c r="F14" i="12" a="1"/>
  <c r="F14" i="12" s="1"/>
  <c r="G14" i="12" a="1"/>
  <c r="G14" i="12" s="1"/>
  <c r="H14" i="12" a="1"/>
  <c r="H14" i="12" s="1"/>
  <c r="I14" i="12" a="1"/>
  <c r="I14" i="12" s="1"/>
  <c r="J14" i="12" a="1"/>
  <c r="J14" i="12" s="1"/>
  <c r="K14" i="12" a="1"/>
  <c r="K14" i="12" s="1"/>
  <c r="L14" i="12" a="1"/>
  <c r="L14" i="12" s="1"/>
  <c r="M14" i="12" a="1"/>
  <c r="M14" i="12" s="1"/>
  <c r="N14" i="12" a="1"/>
  <c r="N14" i="12" s="1"/>
  <c r="O14" i="12" a="1"/>
  <c r="O14" i="12" s="1"/>
  <c r="P14" i="12" a="1"/>
  <c r="P14" i="12" s="1"/>
  <c r="Q14" i="12" a="1"/>
  <c r="Q14" i="12" s="1"/>
  <c r="R14" i="12" a="1"/>
  <c r="R14" i="12" s="1"/>
  <c r="S14" i="12" a="1"/>
  <c r="S14" i="12" s="1"/>
  <c r="T14" i="12" a="1"/>
  <c r="T14" i="12" s="1"/>
  <c r="U14" i="12" a="1"/>
  <c r="U14" i="12" s="1"/>
  <c r="V14" i="12" a="1"/>
  <c r="V14" i="12" s="1"/>
  <c r="W14" i="12" a="1"/>
  <c r="W14" i="12" s="1"/>
  <c r="X14" i="12" a="1"/>
  <c r="X14" i="12" s="1"/>
  <c r="Y14" i="12" a="1"/>
  <c r="Y14" i="12" s="1"/>
  <c r="Z14" i="12" a="1"/>
  <c r="Z14" i="12" s="1"/>
  <c r="AA14" i="12" a="1"/>
  <c r="AA14" i="12" s="1"/>
  <c r="AB14" i="12" a="1"/>
  <c r="AB14" i="12" s="1"/>
  <c r="E15" i="12" a="1"/>
  <c r="E15" i="12" s="1"/>
  <c r="F15" i="12" a="1"/>
  <c r="F15" i="12" s="1"/>
  <c r="G15" i="12" a="1"/>
  <c r="G15" i="12" s="1"/>
  <c r="H15" i="12" a="1"/>
  <c r="H15" i="12" s="1"/>
  <c r="I15" i="12" a="1"/>
  <c r="I15" i="12" s="1"/>
  <c r="J15" i="12" a="1"/>
  <c r="J15" i="12" s="1"/>
  <c r="K15" i="12" a="1"/>
  <c r="K15" i="12" s="1"/>
  <c r="L15" i="12" a="1"/>
  <c r="L15" i="12" s="1"/>
  <c r="M15" i="12" a="1"/>
  <c r="M15" i="12" s="1"/>
  <c r="N15" i="12" a="1"/>
  <c r="N15" i="12" s="1"/>
  <c r="O15" i="12" a="1"/>
  <c r="O15" i="12" s="1"/>
  <c r="P15" i="12" a="1"/>
  <c r="P15" i="12" s="1"/>
  <c r="Q15" i="12" a="1"/>
  <c r="Q15" i="12" s="1"/>
  <c r="R15" i="12" a="1"/>
  <c r="R15" i="12" s="1"/>
  <c r="S15" i="12" a="1"/>
  <c r="S15" i="12" s="1"/>
  <c r="T15" i="12" a="1"/>
  <c r="T15" i="12" s="1"/>
  <c r="U15" i="12" a="1"/>
  <c r="U15" i="12" s="1"/>
  <c r="V15" i="12" a="1"/>
  <c r="V15" i="12" s="1"/>
  <c r="W15" i="12" a="1"/>
  <c r="W15" i="12" s="1"/>
  <c r="X15" i="12" a="1"/>
  <c r="X15" i="12" s="1"/>
  <c r="Y15" i="12" a="1"/>
  <c r="Y15" i="12" s="1"/>
  <c r="Z15" i="12" a="1"/>
  <c r="Z15" i="12" s="1"/>
  <c r="AA15" i="12" a="1"/>
  <c r="AA15" i="12" s="1"/>
  <c r="AB15" i="12" a="1"/>
  <c r="AB15" i="12" s="1"/>
  <c r="E16" i="12" a="1"/>
  <c r="E16" i="12" s="1"/>
  <c r="F16" i="12" a="1"/>
  <c r="F16" i="12" s="1"/>
  <c r="G16" i="12" a="1"/>
  <c r="G16" i="12" s="1"/>
  <c r="H16" i="12" a="1"/>
  <c r="H16" i="12" s="1"/>
  <c r="I16" i="12" a="1"/>
  <c r="I16" i="12" s="1"/>
  <c r="J16" i="12" a="1"/>
  <c r="J16" i="12" s="1"/>
  <c r="K16" i="12" a="1"/>
  <c r="K16" i="12" s="1"/>
  <c r="L16" i="12" a="1"/>
  <c r="L16" i="12" s="1"/>
  <c r="M16" i="12" a="1"/>
  <c r="M16" i="12" s="1"/>
  <c r="N16" i="12" a="1"/>
  <c r="N16" i="12" s="1"/>
  <c r="O16" i="12" a="1"/>
  <c r="O16" i="12" s="1"/>
  <c r="P16" i="12" a="1"/>
  <c r="P16" i="12" s="1"/>
  <c r="Q16" i="12" a="1"/>
  <c r="Q16" i="12" s="1"/>
  <c r="R16" i="12" a="1"/>
  <c r="R16" i="12" s="1"/>
  <c r="S16" i="12" a="1"/>
  <c r="S16" i="12" s="1"/>
  <c r="T16" i="12" a="1"/>
  <c r="T16" i="12" s="1"/>
  <c r="U16" i="12" a="1"/>
  <c r="U16" i="12" s="1"/>
  <c r="V16" i="12" a="1"/>
  <c r="V16" i="12" s="1"/>
  <c r="W16" i="12" a="1"/>
  <c r="W16" i="12" s="1"/>
  <c r="X16" i="12" a="1"/>
  <c r="X16" i="12" s="1"/>
  <c r="Y16" i="12" a="1"/>
  <c r="Y16" i="12" s="1"/>
  <c r="Z16" i="12" a="1"/>
  <c r="Z16" i="12" s="1"/>
  <c r="AA16" i="12" a="1"/>
  <c r="AA16" i="12" s="1"/>
  <c r="AB16" i="12" a="1"/>
  <c r="AB16" i="12" s="1"/>
  <c r="E17" i="12" a="1"/>
  <c r="E17" i="12" s="1"/>
  <c r="F17" i="12" a="1"/>
  <c r="F17" i="12" s="1"/>
  <c r="G17" i="12" a="1"/>
  <c r="G17" i="12" s="1"/>
  <c r="H17" i="12" a="1"/>
  <c r="H17" i="12" s="1"/>
  <c r="I17" i="12" a="1"/>
  <c r="I17" i="12" s="1"/>
  <c r="J17" i="12" a="1"/>
  <c r="J17" i="12" s="1"/>
  <c r="K17" i="12" a="1"/>
  <c r="K17" i="12" s="1"/>
  <c r="L17" i="12" a="1"/>
  <c r="L17" i="12" s="1"/>
  <c r="M17" i="12" a="1"/>
  <c r="M17" i="12" s="1"/>
  <c r="N17" i="12" a="1"/>
  <c r="N17" i="12" s="1"/>
  <c r="O17" i="12" a="1"/>
  <c r="O17" i="12" s="1"/>
  <c r="P17" i="12" a="1"/>
  <c r="P17" i="12" s="1"/>
  <c r="Q17" i="12" a="1"/>
  <c r="Q17" i="12" s="1"/>
  <c r="R17" i="12" a="1"/>
  <c r="R17" i="12" s="1"/>
  <c r="S17" i="12" a="1"/>
  <c r="S17" i="12" s="1"/>
  <c r="T17" i="12" a="1"/>
  <c r="T17" i="12" s="1"/>
  <c r="U17" i="12" a="1"/>
  <c r="U17" i="12" s="1"/>
  <c r="V17" i="12" a="1"/>
  <c r="V17" i="12" s="1"/>
  <c r="W17" i="12" a="1"/>
  <c r="W17" i="12" s="1"/>
  <c r="X17" i="12" a="1"/>
  <c r="X17" i="12" s="1"/>
  <c r="Y17" i="12" a="1"/>
  <c r="Y17" i="12" s="1"/>
  <c r="Z17" i="12" a="1"/>
  <c r="Z17" i="12" s="1"/>
  <c r="AA17" i="12" a="1"/>
  <c r="AA17" i="12" s="1"/>
  <c r="AB17" i="12" a="1"/>
  <c r="AB17" i="12" s="1"/>
  <c r="E18" i="12" a="1"/>
  <c r="E18" i="12" s="1"/>
  <c r="F18" i="12" a="1"/>
  <c r="F18" i="12" s="1"/>
  <c r="G18" i="12" a="1"/>
  <c r="G18" i="12" s="1"/>
  <c r="H18" i="12" a="1"/>
  <c r="H18" i="12" s="1"/>
  <c r="I18" i="12" a="1"/>
  <c r="I18" i="12" s="1"/>
  <c r="J18" i="12" a="1"/>
  <c r="J18" i="12" s="1"/>
  <c r="K18" i="12" a="1"/>
  <c r="K18" i="12" s="1"/>
  <c r="L18" i="12" a="1"/>
  <c r="L18" i="12" s="1"/>
  <c r="M18" i="12" a="1"/>
  <c r="M18" i="12" s="1"/>
  <c r="N18" i="12" a="1"/>
  <c r="N18" i="12" s="1"/>
  <c r="O18" i="12" a="1"/>
  <c r="O18" i="12" s="1"/>
  <c r="P18" i="12" a="1"/>
  <c r="P18" i="12" s="1"/>
  <c r="Q18" i="12" a="1"/>
  <c r="Q18" i="12" s="1"/>
  <c r="R18" i="12" a="1"/>
  <c r="R18" i="12" s="1"/>
  <c r="S18" i="12" a="1"/>
  <c r="S18" i="12" s="1"/>
  <c r="T18" i="12" a="1"/>
  <c r="T18" i="12" s="1"/>
  <c r="U18" i="12" a="1"/>
  <c r="U18" i="12" s="1"/>
  <c r="V18" i="12" a="1"/>
  <c r="V18" i="12" s="1"/>
  <c r="W18" i="12" a="1"/>
  <c r="W18" i="12" s="1"/>
  <c r="X18" i="12" a="1"/>
  <c r="X18" i="12" s="1"/>
  <c r="Y18" i="12" a="1"/>
  <c r="Y18" i="12" s="1"/>
  <c r="Z18" i="12" a="1"/>
  <c r="Z18" i="12" s="1"/>
  <c r="AA18" i="12" a="1"/>
  <c r="AA18" i="12" s="1"/>
  <c r="AB18" i="12" a="1"/>
  <c r="AB18" i="12" s="1"/>
  <c r="D6" i="12" a="1"/>
  <c r="D6" i="12"/>
  <c r="D7" i="12" a="1"/>
  <c r="D7" i="12"/>
  <c r="D8" i="12" a="1"/>
  <c r="D8" i="12" s="1"/>
  <c r="D9" i="12" a="1"/>
  <c r="D9" i="12" s="1"/>
  <c r="D10" i="12" a="1"/>
  <c r="D10" i="12"/>
  <c r="D11" i="12" a="1"/>
  <c r="D11" i="12" s="1"/>
  <c r="D12" i="12" a="1"/>
  <c r="D12" i="12"/>
  <c r="D13" i="12" a="1"/>
  <c r="D13" i="12"/>
  <c r="D14" i="12" a="1"/>
  <c r="D14" i="12"/>
  <c r="D15" i="12" a="1"/>
  <c r="D15" i="12"/>
  <c r="D16" i="12" a="1"/>
  <c r="D16" i="12"/>
  <c r="D17" i="12" a="1"/>
  <c r="D17" i="12"/>
  <c r="D18" i="12" a="1"/>
  <c r="D18" i="12" s="1"/>
  <c r="D5" i="12" a="1"/>
  <c r="D5" i="12"/>
  <c r="E5" i="10" a="1"/>
  <c r="E5" i="10" s="1"/>
  <c r="F5" i="10" a="1"/>
  <c r="F5" i="10" s="1"/>
  <c r="G5" i="10" a="1"/>
  <c r="G5" i="10"/>
  <c r="H5" i="10" a="1"/>
  <c r="H5" i="10"/>
  <c r="I5" i="10" a="1"/>
  <c r="I5" i="10" s="1"/>
  <c r="J5" i="10" a="1"/>
  <c r="J5" i="10" s="1"/>
  <c r="K5" i="10" a="1"/>
  <c r="K5" i="10"/>
  <c r="L5" i="10" a="1"/>
  <c r="L5" i="10" s="1"/>
  <c r="M5" i="10" a="1"/>
  <c r="M5" i="10" s="1"/>
  <c r="N5" i="10" a="1"/>
  <c r="N5" i="10" s="1"/>
  <c r="O5" i="10" a="1"/>
  <c r="O5" i="10" s="1"/>
  <c r="P5" i="10" a="1"/>
  <c r="P5" i="10" s="1"/>
  <c r="Q5" i="10" a="1"/>
  <c r="Q5" i="10" s="1"/>
  <c r="R5" i="10" a="1"/>
  <c r="R5" i="10" s="1"/>
  <c r="S5" i="10" a="1"/>
  <c r="S5" i="10" s="1"/>
  <c r="T5" i="10" a="1"/>
  <c r="T5" i="10" s="1"/>
  <c r="U5" i="10" a="1"/>
  <c r="U5" i="10" s="1"/>
  <c r="V5" i="10" a="1"/>
  <c r="V5" i="10" s="1"/>
  <c r="W5" i="10" a="1"/>
  <c r="W5" i="10" s="1"/>
  <c r="X5" i="10" a="1"/>
  <c r="X5" i="10"/>
  <c r="Y5" i="10" a="1"/>
  <c r="Y5" i="10" s="1"/>
  <c r="Z5" i="10" a="1"/>
  <c r="Z5" i="10" s="1"/>
  <c r="AA5" i="10" a="1"/>
  <c r="AA5" i="10" s="1"/>
  <c r="AB5" i="10" a="1"/>
  <c r="AB5" i="10" s="1"/>
  <c r="AC5" i="10" a="1"/>
  <c r="AC5" i="10" s="1"/>
  <c r="AD5" i="10" a="1"/>
  <c r="AD5" i="10" s="1"/>
  <c r="AE5" i="10" a="1"/>
  <c r="AE5" i="10" s="1"/>
  <c r="AF5" i="10" a="1"/>
  <c r="AF5" i="10" s="1"/>
  <c r="AG5" i="10" a="1"/>
  <c r="AG5" i="10" s="1"/>
  <c r="AH5" i="10" a="1"/>
  <c r="AH5" i="10" s="1"/>
  <c r="AI5" i="10" a="1"/>
  <c r="AI5" i="10" s="1"/>
  <c r="AJ5" i="10" a="1"/>
  <c r="AJ5" i="10" s="1"/>
  <c r="AK5" i="10" a="1"/>
  <c r="AK5" i="10" s="1"/>
  <c r="AL5" i="10" a="1"/>
  <c r="AL5" i="10" s="1"/>
  <c r="AM5" i="10" a="1"/>
  <c r="AM5" i="10" s="1"/>
  <c r="AN5" i="10" a="1"/>
  <c r="AN5" i="10" s="1"/>
  <c r="AO5" i="10" a="1"/>
  <c r="AO5" i="10" s="1"/>
  <c r="AP5" i="10" a="1"/>
  <c r="AP5" i="10" s="1"/>
  <c r="AQ5" i="10" a="1"/>
  <c r="AQ5" i="10" s="1"/>
  <c r="AR5" i="10" a="1"/>
  <c r="AR5" i="10" s="1"/>
  <c r="AS5" i="10" a="1"/>
  <c r="AS5" i="10" s="1"/>
  <c r="AT5" i="10" a="1"/>
  <c r="AT5" i="10" s="1"/>
  <c r="AU5" i="10" a="1"/>
  <c r="AU5" i="10" s="1"/>
  <c r="AV5" i="10" a="1"/>
  <c r="AV5" i="10" s="1"/>
  <c r="AW5" i="10" a="1"/>
  <c r="AW5" i="10"/>
  <c r="AX5" i="10" a="1"/>
  <c r="AX5" i="10" s="1"/>
  <c r="AY5" i="10" a="1"/>
  <c r="AY5" i="10" s="1"/>
  <c r="AZ5" i="10" a="1"/>
  <c r="AZ5" i="10" s="1"/>
  <c r="BA5" i="10" a="1"/>
  <c r="BA5" i="10" s="1"/>
  <c r="BB5" i="10" a="1"/>
  <c r="BB5" i="10" s="1"/>
  <c r="BC5" i="10" a="1"/>
  <c r="BC5" i="10" s="1"/>
  <c r="BD5" i="10" a="1"/>
  <c r="BD5" i="10" s="1"/>
  <c r="BE5" i="10" a="1"/>
  <c r="BE5" i="10" s="1"/>
  <c r="BF5" i="10" a="1"/>
  <c r="BF5" i="10" s="1"/>
  <c r="BG5" i="10" a="1"/>
  <c r="BG5" i="10" s="1"/>
  <c r="BH5" i="10" a="1"/>
  <c r="BH5" i="10" s="1"/>
  <c r="BI5" i="10" a="1"/>
  <c r="BI5" i="10" s="1"/>
  <c r="BJ5" i="10" a="1"/>
  <c r="BJ5" i="10" s="1"/>
  <c r="BK5" i="10" a="1"/>
  <c r="BK5" i="10" s="1"/>
  <c r="BL5" i="10" a="1"/>
  <c r="BL5" i="10" s="1"/>
  <c r="BM5" i="10" a="1"/>
  <c r="BM5" i="10" s="1"/>
  <c r="BN5" i="10" a="1"/>
  <c r="BN5" i="10" s="1"/>
  <c r="BO5" i="10" a="1"/>
  <c r="BO5" i="10" s="1"/>
  <c r="BP5" i="10" a="1"/>
  <c r="BP5" i="10" s="1"/>
  <c r="BQ5" i="10" a="1"/>
  <c r="BQ5" i="10" s="1"/>
  <c r="BR5" i="10" a="1"/>
  <c r="BR5" i="10" s="1"/>
  <c r="BS5" i="10" a="1"/>
  <c r="BS5" i="10" s="1"/>
  <c r="BT5" i="10" a="1"/>
  <c r="BT5" i="10" s="1"/>
  <c r="BU5" i="10" a="1"/>
  <c r="BU5" i="10" s="1"/>
  <c r="BV5" i="10" a="1"/>
  <c r="BV5" i="10" s="1"/>
  <c r="BW5" i="10" a="1"/>
  <c r="BW5" i="10" s="1"/>
  <c r="BX5" i="10" a="1"/>
  <c r="BX5" i="10" s="1"/>
  <c r="BY5" i="10" a="1"/>
  <c r="BY5" i="10" s="1"/>
  <c r="BZ5" i="10" a="1"/>
  <c r="BZ5" i="10" s="1"/>
  <c r="CA5" i="10" a="1"/>
  <c r="CA5" i="10" s="1"/>
  <c r="CB5" i="10" a="1"/>
  <c r="CB5" i="10" s="1"/>
  <c r="CC5" i="10" a="1"/>
  <c r="CC5" i="10" s="1"/>
  <c r="CD5" i="10" a="1"/>
  <c r="CD5" i="10" s="1"/>
  <c r="CE5" i="10" a="1"/>
  <c r="CE5" i="10" s="1"/>
  <c r="CF5" i="10" a="1"/>
  <c r="CF5" i="10" s="1"/>
  <c r="CG5" i="10" a="1"/>
  <c r="CG5" i="10" s="1"/>
  <c r="CH5" i="10" a="1"/>
  <c r="CH5" i="10" s="1"/>
  <c r="CI5" i="10" a="1"/>
  <c r="CI5" i="10" s="1"/>
  <c r="CJ5" i="10" a="1"/>
  <c r="CJ5" i="10" s="1"/>
  <c r="CK5" i="10" a="1"/>
  <c r="CK5" i="10" s="1"/>
  <c r="CL5" i="10" a="1"/>
  <c r="CL5" i="10" s="1"/>
  <c r="CM5" i="10" a="1"/>
  <c r="CM5" i="10" s="1"/>
  <c r="CN5" i="10" a="1"/>
  <c r="CN5" i="10" s="1"/>
  <c r="CO5" i="10" a="1"/>
  <c r="CO5" i="10" s="1"/>
  <c r="CP5" i="10" a="1"/>
  <c r="CP5" i="10" s="1"/>
  <c r="CQ5" i="10" a="1"/>
  <c r="CQ5" i="10" s="1"/>
  <c r="CR5" i="10" a="1"/>
  <c r="CR5" i="10" s="1"/>
  <c r="CS5" i="10" a="1"/>
  <c r="CS5" i="10" s="1"/>
  <c r="CT5" i="10" a="1"/>
  <c r="CT5" i="10" s="1"/>
  <c r="CU5" i="10" a="1"/>
  <c r="CU5" i="10" s="1"/>
  <c r="CV5" i="10" a="1"/>
  <c r="CV5" i="10" s="1"/>
  <c r="CW5" i="10" a="1"/>
  <c r="CW5" i="10" s="1"/>
  <c r="CX5" i="10" a="1"/>
  <c r="CX5" i="10" s="1"/>
  <c r="CY5" i="10" a="1"/>
  <c r="CY5" i="10" s="1"/>
  <c r="CZ5" i="10" a="1"/>
  <c r="CZ5" i="10" s="1"/>
  <c r="DA5" i="10" a="1"/>
  <c r="DA5" i="10" s="1"/>
  <c r="DB5" i="10" a="1"/>
  <c r="DB5" i="10" s="1"/>
  <c r="DC5" i="10" a="1"/>
  <c r="DC5" i="10" s="1"/>
  <c r="DD5" i="10" a="1"/>
  <c r="DD5" i="10" s="1"/>
  <c r="DE5" i="10" a="1"/>
  <c r="DE5" i="10" s="1"/>
  <c r="DF5" i="10" a="1"/>
  <c r="DF5" i="10" s="1"/>
  <c r="DG5" i="10" a="1"/>
  <c r="DG5" i="10" s="1"/>
  <c r="DH5" i="10" a="1"/>
  <c r="DH5" i="10" s="1"/>
  <c r="DI5" i="10" a="1"/>
  <c r="DI5" i="10" s="1"/>
  <c r="DJ5" i="10" a="1"/>
  <c r="DJ5" i="10" s="1"/>
  <c r="DK5" i="10" a="1"/>
  <c r="DK5" i="10" s="1"/>
  <c r="DL5" i="10" a="1"/>
  <c r="DL5" i="10" s="1"/>
  <c r="DM5" i="10" a="1"/>
  <c r="DM5" i="10" s="1"/>
  <c r="DN5" i="10" a="1"/>
  <c r="DN5" i="10" s="1"/>
  <c r="DO5" i="10" a="1"/>
  <c r="DO5" i="10" s="1"/>
  <c r="DP5" i="10" a="1"/>
  <c r="DP5" i="10" s="1"/>
  <c r="DQ5" i="10" a="1"/>
  <c r="DQ5" i="10" s="1"/>
  <c r="DR5" i="10" a="1"/>
  <c r="DR5" i="10" s="1"/>
  <c r="DS5" i="10" a="1"/>
  <c r="DS5" i="10" s="1"/>
  <c r="DT5" i="10" a="1"/>
  <c r="DT5" i="10" s="1"/>
  <c r="DU5" i="10" a="1"/>
  <c r="DU5" i="10" s="1"/>
  <c r="DV5" i="10" a="1"/>
  <c r="DV5" i="10" s="1"/>
  <c r="DW5" i="10" a="1"/>
  <c r="DW5" i="10" s="1"/>
  <c r="DX5" i="10" a="1"/>
  <c r="DX5" i="10" s="1"/>
  <c r="DY5" i="10" a="1"/>
  <c r="DY5" i="10" s="1"/>
  <c r="DZ5" i="10" a="1"/>
  <c r="DZ5" i="10" s="1"/>
  <c r="EA5" i="10" a="1"/>
  <c r="EA5" i="10" s="1"/>
  <c r="EB5" i="10" a="1"/>
  <c r="EB5" i="10" s="1"/>
  <c r="EC5" i="10" a="1"/>
  <c r="EC5" i="10" s="1"/>
  <c r="ED5" i="10" a="1"/>
  <c r="ED5" i="10" s="1"/>
  <c r="EE5" i="10" a="1"/>
  <c r="EE5" i="10" s="1"/>
  <c r="EF5" i="10" a="1"/>
  <c r="EF5" i="10" s="1"/>
  <c r="EG5" i="10" a="1"/>
  <c r="EG5" i="10" s="1"/>
  <c r="E6" i="10" a="1"/>
  <c r="E6" i="10"/>
  <c r="F6" i="10" a="1"/>
  <c r="F6" i="10"/>
  <c r="G6" i="10" a="1"/>
  <c r="G6" i="10"/>
  <c r="H6" i="10" a="1"/>
  <c r="H6" i="10" s="1"/>
  <c r="I6" i="10" a="1"/>
  <c r="I6" i="10" s="1"/>
  <c r="J6" i="10" a="1"/>
  <c r="J6" i="10" s="1"/>
  <c r="K6" i="10" a="1"/>
  <c r="K6" i="10" s="1"/>
  <c r="L6" i="10" a="1"/>
  <c r="L6" i="10" s="1"/>
  <c r="M6" i="10" a="1"/>
  <c r="M6" i="10" s="1"/>
  <c r="N6" i="10" a="1"/>
  <c r="N6" i="10" s="1"/>
  <c r="O6" i="10" a="1"/>
  <c r="O6" i="10" s="1"/>
  <c r="P6" i="10" a="1"/>
  <c r="P6" i="10" s="1"/>
  <c r="Q6" i="10" a="1"/>
  <c r="Q6" i="10" s="1"/>
  <c r="R6" i="10" a="1"/>
  <c r="R6" i="10" s="1"/>
  <c r="S6" i="10" a="1"/>
  <c r="S6" i="10" s="1"/>
  <c r="T6" i="10" a="1"/>
  <c r="T6" i="10" s="1"/>
  <c r="U6" i="10" a="1"/>
  <c r="U6" i="10" s="1"/>
  <c r="V6" i="10" a="1"/>
  <c r="V6" i="10" s="1"/>
  <c r="W6" i="10" a="1"/>
  <c r="W6" i="10" s="1"/>
  <c r="X6" i="10" a="1"/>
  <c r="X6" i="10" s="1"/>
  <c r="Y6" i="10" a="1"/>
  <c r="Y6" i="10" s="1"/>
  <c r="Z6" i="10" a="1"/>
  <c r="Z6" i="10" s="1"/>
  <c r="AA6" i="10" a="1"/>
  <c r="AA6" i="10" s="1"/>
  <c r="AB6" i="10" a="1"/>
  <c r="AB6" i="10" s="1"/>
  <c r="AC6" i="10" a="1"/>
  <c r="AC6" i="10" s="1"/>
  <c r="AD6" i="10" a="1"/>
  <c r="AD6" i="10" s="1"/>
  <c r="AE6" i="10" a="1"/>
  <c r="AE6" i="10" s="1"/>
  <c r="AF6" i="10" a="1"/>
  <c r="AF6" i="10" s="1"/>
  <c r="AG6" i="10" a="1"/>
  <c r="AG6" i="10" s="1"/>
  <c r="AH6" i="10" a="1"/>
  <c r="AH6" i="10" s="1"/>
  <c r="AI6" i="10" a="1"/>
  <c r="AI6" i="10" s="1"/>
  <c r="AJ6" i="10" a="1"/>
  <c r="AJ6" i="10" s="1"/>
  <c r="AK6" i="10" a="1"/>
  <c r="AK6" i="10" s="1"/>
  <c r="AL6" i="10" a="1"/>
  <c r="AL6" i="10" s="1"/>
  <c r="AM6" i="10" a="1"/>
  <c r="AM6" i="10" s="1"/>
  <c r="AN6" i="10" a="1"/>
  <c r="AN6" i="10" s="1"/>
  <c r="AO6" i="10" a="1"/>
  <c r="AO6" i="10" s="1"/>
  <c r="AP6" i="10" a="1"/>
  <c r="AP6" i="10" s="1"/>
  <c r="AQ6" i="10" a="1"/>
  <c r="AQ6" i="10" s="1"/>
  <c r="AR6" i="10" a="1"/>
  <c r="AR6" i="10" s="1"/>
  <c r="AS6" i="10" a="1"/>
  <c r="AS6" i="10" s="1"/>
  <c r="AT6" i="10" a="1"/>
  <c r="AT6" i="10" s="1"/>
  <c r="AU6" i="10" a="1"/>
  <c r="AU6" i="10" s="1"/>
  <c r="AV6" i="10" a="1"/>
  <c r="AV6" i="10" s="1"/>
  <c r="AW6" i="10" a="1"/>
  <c r="AW6" i="10" s="1"/>
  <c r="AX6" i="10" a="1"/>
  <c r="AX6" i="10" s="1"/>
  <c r="AY6" i="10" a="1"/>
  <c r="AY6" i="10" s="1"/>
  <c r="AZ6" i="10" a="1"/>
  <c r="AZ6" i="10" s="1"/>
  <c r="BA6" i="10" a="1"/>
  <c r="BA6" i="10" s="1"/>
  <c r="BB6" i="10" a="1"/>
  <c r="BB6" i="10" s="1"/>
  <c r="BC6" i="10" a="1"/>
  <c r="BC6" i="10" s="1"/>
  <c r="BD6" i="10" a="1"/>
  <c r="BD6" i="10" s="1"/>
  <c r="BE6" i="10" a="1"/>
  <c r="BE6" i="10" s="1"/>
  <c r="BF6" i="10" a="1"/>
  <c r="BF6" i="10" s="1"/>
  <c r="BG6" i="10" a="1"/>
  <c r="BG6" i="10" s="1"/>
  <c r="BH6" i="10" a="1"/>
  <c r="BH6" i="10" s="1"/>
  <c r="BI6" i="10" a="1"/>
  <c r="BI6" i="10" s="1"/>
  <c r="BJ6" i="10" a="1"/>
  <c r="BJ6" i="10" s="1"/>
  <c r="BK6" i="10" a="1"/>
  <c r="BK6" i="10" s="1"/>
  <c r="BL6" i="10" a="1"/>
  <c r="BL6" i="10" s="1"/>
  <c r="BM6" i="10" a="1"/>
  <c r="BM6" i="10" s="1"/>
  <c r="BN6" i="10" a="1"/>
  <c r="BN6" i="10" s="1"/>
  <c r="BO6" i="10" a="1"/>
  <c r="BO6" i="10" s="1"/>
  <c r="BP6" i="10" a="1"/>
  <c r="BP6" i="10" s="1"/>
  <c r="BQ6" i="10" a="1"/>
  <c r="BQ6" i="10" s="1"/>
  <c r="BR6" i="10" a="1"/>
  <c r="BR6" i="10" s="1"/>
  <c r="BS6" i="10" a="1"/>
  <c r="BS6" i="10" s="1"/>
  <c r="BT6" i="10" a="1"/>
  <c r="BT6" i="10" s="1"/>
  <c r="BU6" i="10" a="1"/>
  <c r="BU6" i="10" s="1"/>
  <c r="BV6" i="10" a="1"/>
  <c r="BV6" i="10" s="1"/>
  <c r="BW6" i="10" a="1"/>
  <c r="BW6" i="10" s="1"/>
  <c r="BX6" i="10" a="1"/>
  <c r="BX6" i="10" s="1"/>
  <c r="BY6" i="10" a="1"/>
  <c r="BY6" i="10" s="1"/>
  <c r="BZ6" i="10" a="1"/>
  <c r="BZ6" i="10" s="1"/>
  <c r="CA6" i="10" a="1"/>
  <c r="CA6" i="10" s="1"/>
  <c r="CB6" i="10" a="1"/>
  <c r="CB6" i="10" s="1"/>
  <c r="CC6" i="10" a="1"/>
  <c r="CC6" i="10" s="1"/>
  <c r="CD6" i="10" a="1"/>
  <c r="CD6" i="10" s="1"/>
  <c r="CE6" i="10" a="1"/>
  <c r="CE6" i="10" s="1"/>
  <c r="CF6" i="10" a="1"/>
  <c r="CF6" i="10" s="1"/>
  <c r="CG6" i="10" a="1"/>
  <c r="CG6" i="10" s="1"/>
  <c r="CH6" i="10" a="1"/>
  <c r="CH6" i="10" s="1"/>
  <c r="CI6" i="10" a="1"/>
  <c r="CI6" i="10" s="1"/>
  <c r="CJ6" i="10" a="1"/>
  <c r="CJ6" i="10" s="1"/>
  <c r="CK6" i="10" a="1"/>
  <c r="CK6" i="10" s="1"/>
  <c r="CL6" i="10" a="1"/>
  <c r="CL6" i="10" s="1"/>
  <c r="CM6" i="10" a="1"/>
  <c r="CM6" i="10" s="1"/>
  <c r="CN6" i="10" a="1"/>
  <c r="CN6" i="10" s="1"/>
  <c r="CO6" i="10" a="1"/>
  <c r="CO6" i="10" s="1"/>
  <c r="CP6" i="10" a="1"/>
  <c r="CP6" i="10" s="1"/>
  <c r="CQ6" i="10" a="1"/>
  <c r="CQ6" i="10" s="1"/>
  <c r="CR6" i="10" a="1"/>
  <c r="CR6" i="10" s="1"/>
  <c r="CS6" i="10" a="1"/>
  <c r="CS6" i="10" s="1"/>
  <c r="CT6" i="10" a="1"/>
  <c r="CT6" i="10" s="1"/>
  <c r="CU6" i="10" a="1"/>
  <c r="CU6" i="10" s="1"/>
  <c r="CV6" i="10" a="1"/>
  <c r="CV6" i="10" s="1"/>
  <c r="CW6" i="10" a="1"/>
  <c r="CW6" i="10" s="1"/>
  <c r="CX6" i="10" a="1"/>
  <c r="CX6" i="10" s="1"/>
  <c r="CY6" i="10" a="1"/>
  <c r="CY6" i="10" s="1"/>
  <c r="CZ6" i="10" a="1"/>
  <c r="CZ6" i="10" s="1"/>
  <c r="DA6" i="10" a="1"/>
  <c r="DA6" i="10" s="1"/>
  <c r="DB6" i="10" a="1"/>
  <c r="DB6" i="10" s="1"/>
  <c r="DC6" i="10" a="1"/>
  <c r="DC6" i="10" s="1"/>
  <c r="DD6" i="10" a="1"/>
  <c r="DD6" i="10" s="1"/>
  <c r="DE6" i="10" a="1"/>
  <c r="DE6" i="10" s="1"/>
  <c r="DF6" i="10" a="1"/>
  <c r="DF6" i="10" s="1"/>
  <c r="DG6" i="10" a="1"/>
  <c r="DG6" i="10" s="1"/>
  <c r="DH6" i="10" a="1"/>
  <c r="DH6" i="10" s="1"/>
  <c r="DI6" i="10" a="1"/>
  <c r="DI6" i="10" s="1"/>
  <c r="DJ6" i="10" a="1"/>
  <c r="DJ6" i="10" s="1"/>
  <c r="DK6" i="10" a="1"/>
  <c r="DK6" i="10" s="1"/>
  <c r="DL6" i="10" a="1"/>
  <c r="DL6" i="10" s="1"/>
  <c r="DM6" i="10" a="1"/>
  <c r="DM6" i="10" s="1"/>
  <c r="DN6" i="10" a="1"/>
  <c r="DN6" i="10" s="1"/>
  <c r="DO6" i="10" a="1"/>
  <c r="DO6" i="10" s="1"/>
  <c r="DP6" i="10" a="1"/>
  <c r="DP6" i="10" s="1"/>
  <c r="DQ6" i="10" a="1"/>
  <c r="DQ6" i="10" s="1"/>
  <c r="DR6" i="10" a="1"/>
  <c r="DR6" i="10" s="1"/>
  <c r="DS6" i="10" a="1"/>
  <c r="DS6" i="10" s="1"/>
  <c r="DT6" i="10" a="1"/>
  <c r="DT6" i="10" s="1"/>
  <c r="DU6" i="10" a="1"/>
  <c r="DU6" i="10" s="1"/>
  <c r="DV6" i="10" a="1"/>
  <c r="DV6" i="10" s="1"/>
  <c r="DW6" i="10" a="1"/>
  <c r="DW6" i="10" s="1"/>
  <c r="DX6" i="10" a="1"/>
  <c r="DX6" i="10" s="1"/>
  <c r="DY6" i="10" a="1"/>
  <c r="DY6" i="10" s="1"/>
  <c r="DZ6" i="10" a="1"/>
  <c r="DZ6" i="10" s="1"/>
  <c r="EA6" i="10" a="1"/>
  <c r="EA6" i="10" s="1"/>
  <c r="EB6" i="10" a="1"/>
  <c r="EB6" i="10" s="1"/>
  <c r="EC6" i="10" a="1"/>
  <c r="EC6" i="10" s="1"/>
  <c r="ED6" i="10" a="1"/>
  <c r="ED6" i="10" s="1"/>
  <c r="EE6" i="10" a="1"/>
  <c r="EE6" i="10" s="1"/>
  <c r="EF6" i="10" a="1"/>
  <c r="EF6" i="10" s="1"/>
  <c r="EG6" i="10" a="1"/>
  <c r="EG6" i="10" s="1"/>
  <c r="E7" i="10" a="1"/>
  <c r="E7" i="10" s="1"/>
  <c r="F7" i="10" a="1"/>
  <c r="F7" i="10" s="1"/>
  <c r="G7" i="10" a="1"/>
  <c r="G7" i="10" s="1"/>
  <c r="H7" i="10" a="1"/>
  <c r="H7" i="10" s="1"/>
  <c r="I7" i="10" a="1"/>
  <c r="I7" i="10" s="1"/>
  <c r="J7" i="10" a="1"/>
  <c r="J7" i="10" s="1"/>
  <c r="K7" i="10" a="1"/>
  <c r="K7" i="10" s="1"/>
  <c r="L7" i="10" a="1"/>
  <c r="L7" i="10" s="1"/>
  <c r="M7" i="10" a="1"/>
  <c r="M7" i="10" s="1"/>
  <c r="N7" i="10" a="1"/>
  <c r="N7" i="10" s="1"/>
  <c r="O7" i="10" a="1"/>
  <c r="O7" i="10" s="1"/>
  <c r="P7" i="10" a="1"/>
  <c r="P7" i="10" s="1"/>
  <c r="Q7" i="10" a="1"/>
  <c r="Q7" i="10" s="1"/>
  <c r="R7" i="10" a="1"/>
  <c r="R7" i="10" s="1"/>
  <c r="S7" i="10" a="1"/>
  <c r="S7" i="10" s="1"/>
  <c r="T7" i="10" a="1"/>
  <c r="T7" i="10" s="1"/>
  <c r="U7" i="10" a="1"/>
  <c r="U7" i="10" s="1"/>
  <c r="V7" i="10" a="1"/>
  <c r="V7" i="10" s="1"/>
  <c r="W7" i="10" a="1"/>
  <c r="W7" i="10" s="1"/>
  <c r="X7" i="10" a="1"/>
  <c r="X7" i="10" s="1"/>
  <c r="Y7" i="10" a="1"/>
  <c r="Y7" i="10" s="1"/>
  <c r="Z7" i="10" a="1"/>
  <c r="Z7" i="10" s="1"/>
  <c r="AA7" i="10" a="1"/>
  <c r="AA7" i="10" s="1"/>
  <c r="AB7" i="10" a="1"/>
  <c r="AB7" i="10" s="1"/>
  <c r="AC7" i="10" a="1"/>
  <c r="AC7" i="10" s="1"/>
  <c r="AD7" i="10" a="1"/>
  <c r="AD7" i="10" s="1"/>
  <c r="AE7" i="10" a="1"/>
  <c r="AE7" i="10" s="1"/>
  <c r="AF7" i="10" a="1"/>
  <c r="AF7" i="10" s="1"/>
  <c r="AG7" i="10" a="1"/>
  <c r="AG7" i="10" s="1"/>
  <c r="AH7" i="10" a="1"/>
  <c r="AH7" i="10" s="1"/>
  <c r="AI7" i="10" a="1"/>
  <c r="AI7" i="10" s="1"/>
  <c r="AJ7" i="10" a="1"/>
  <c r="AJ7" i="10" s="1"/>
  <c r="AK7" i="10" a="1"/>
  <c r="AK7" i="10" s="1"/>
  <c r="AL7" i="10" a="1"/>
  <c r="AL7" i="10" s="1"/>
  <c r="AM7" i="10" a="1"/>
  <c r="AM7" i="10" s="1"/>
  <c r="AN7" i="10" a="1"/>
  <c r="AN7" i="10" s="1"/>
  <c r="AO7" i="10" a="1"/>
  <c r="AO7" i="10" s="1"/>
  <c r="AP7" i="10" a="1"/>
  <c r="AP7" i="10" s="1"/>
  <c r="AQ7" i="10" a="1"/>
  <c r="AQ7" i="10" s="1"/>
  <c r="AR7" i="10" a="1"/>
  <c r="AR7" i="10" s="1"/>
  <c r="AS7" i="10" a="1"/>
  <c r="AS7" i="10" s="1"/>
  <c r="AT7" i="10" a="1"/>
  <c r="AT7" i="10" s="1"/>
  <c r="AU7" i="10" a="1"/>
  <c r="AU7" i="10" s="1"/>
  <c r="AV7" i="10" a="1"/>
  <c r="AV7" i="10" s="1"/>
  <c r="AW7" i="10" a="1"/>
  <c r="AW7" i="10" s="1"/>
  <c r="AX7" i="10" a="1"/>
  <c r="AX7" i="10" s="1"/>
  <c r="AY7" i="10" a="1"/>
  <c r="AY7" i="10" s="1"/>
  <c r="AZ7" i="10" a="1"/>
  <c r="AZ7" i="10" s="1"/>
  <c r="BA7" i="10" a="1"/>
  <c r="BA7" i="10" s="1"/>
  <c r="BB7" i="10" a="1"/>
  <c r="BB7" i="10" s="1"/>
  <c r="BC7" i="10" a="1"/>
  <c r="BC7" i="10" s="1"/>
  <c r="BD7" i="10" a="1"/>
  <c r="BD7" i="10" s="1"/>
  <c r="BE7" i="10" a="1"/>
  <c r="BE7" i="10" s="1"/>
  <c r="BF7" i="10" a="1"/>
  <c r="BF7" i="10" s="1"/>
  <c r="BG7" i="10" a="1"/>
  <c r="BG7" i="10" s="1"/>
  <c r="BH7" i="10" a="1"/>
  <c r="BH7" i="10" s="1"/>
  <c r="BI7" i="10" a="1"/>
  <c r="BI7" i="10" s="1"/>
  <c r="BJ7" i="10" a="1"/>
  <c r="BJ7" i="10" s="1"/>
  <c r="BK7" i="10" a="1"/>
  <c r="BK7" i="10" s="1"/>
  <c r="BL7" i="10" a="1"/>
  <c r="BL7" i="10" s="1"/>
  <c r="BM7" i="10" a="1"/>
  <c r="BM7" i="10" s="1"/>
  <c r="BN7" i="10" a="1"/>
  <c r="BN7" i="10" s="1"/>
  <c r="BO7" i="10" a="1"/>
  <c r="BO7" i="10" s="1"/>
  <c r="BP7" i="10" a="1"/>
  <c r="BP7" i="10" s="1"/>
  <c r="BQ7" i="10" a="1"/>
  <c r="BQ7" i="10" s="1"/>
  <c r="BR7" i="10" a="1"/>
  <c r="BR7" i="10" s="1"/>
  <c r="BS7" i="10" a="1"/>
  <c r="BS7" i="10" s="1"/>
  <c r="BT7" i="10" a="1"/>
  <c r="BT7" i="10" s="1"/>
  <c r="BU7" i="10" a="1"/>
  <c r="BU7" i="10" s="1"/>
  <c r="BV7" i="10" a="1"/>
  <c r="BV7" i="10" s="1"/>
  <c r="BW7" i="10" a="1"/>
  <c r="BW7" i="10" s="1"/>
  <c r="BX7" i="10" a="1"/>
  <c r="BX7" i="10" s="1"/>
  <c r="BY7" i="10" a="1"/>
  <c r="BY7" i="10" s="1"/>
  <c r="BZ7" i="10" a="1"/>
  <c r="BZ7" i="10" s="1"/>
  <c r="CA7" i="10" a="1"/>
  <c r="CA7" i="10" s="1"/>
  <c r="CB7" i="10" a="1"/>
  <c r="CB7" i="10" s="1"/>
  <c r="CC7" i="10" a="1"/>
  <c r="CC7" i="10" s="1"/>
  <c r="CD7" i="10" a="1"/>
  <c r="CD7" i="10" s="1"/>
  <c r="CE7" i="10" a="1"/>
  <c r="CE7" i="10" s="1"/>
  <c r="CF7" i="10" a="1"/>
  <c r="CF7" i="10" s="1"/>
  <c r="CG7" i="10" a="1"/>
  <c r="CG7" i="10" s="1"/>
  <c r="CH7" i="10" a="1"/>
  <c r="CH7" i="10" s="1"/>
  <c r="CI7" i="10" a="1"/>
  <c r="CI7" i="10" s="1"/>
  <c r="CJ7" i="10" a="1"/>
  <c r="CJ7" i="10" s="1"/>
  <c r="CK7" i="10" a="1"/>
  <c r="CK7" i="10" s="1"/>
  <c r="CL7" i="10" a="1"/>
  <c r="CL7" i="10" s="1"/>
  <c r="CM7" i="10" a="1"/>
  <c r="CM7" i="10" s="1"/>
  <c r="CN7" i="10" a="1"/>
  <c r="CN7" i="10" s="1"/>
  <c r="CO7" i="10" a="1"/>
  <c r="CO7" i="10" s="1"/>
  <c r="CP7" i="10" a="1"/>
  <c r="CP7" i="10" s="1"/>
  <c r="CQ7" i="10" a="1"/>
  <c r="CQ7" i="10" s="1"/>
  <c r="CR7" i="10" a="1"/>
  <c r="CR7" i="10" s="1"/>
  <c r="CS7" i="10" a="1"/>
  <c r="CS7" i="10" s="1"/>
  <c r="CT7" i="10" a="1"/>
  <c r="CT7" i="10" s="1"/>
  <c r="CU7" i="10" a="1"/>
  <c r="CU7" i="10" s="1"/>
  <c r="CV7" i="10" a="1"/>
  <c r="CV7" i="10" s="1"/>
  <c r="CW7" i="10" a="1"/>
  <c r="CW7" i="10" s="1"/>
  <c r="CX7" i="10" a="1"/>
  <c r="CX7" i="10" s="1"/>
  <c r="CY7" i="10" a="1"/>
  <c r="CY7" i="10" s="1"/>
  <c r="CZ7" i="10" a="1"/>
  <c r="CZ7" i="10" s="1"/>
  <c r="DA7" i="10" a="1"/>
  <c r="DA7" i="10" s="1"/>
  <c r="DB7" i="10" a="1"/>
  <c r="DB7" i="10" s="1"/>
  <c r="DC7" i="10" a="1"/>
  <c r="DC7" i="10" s="1"/>
  <c r="DD7" i="10" a="1"/>
  <c r="DD7" i="10" s="1"/>
  <c r="DE7" i="10" a="1"/>
  <c r="DE7" i="10" s="1"/>
  <c r="DF7" i="10" a="1"/>
  <c r="DF7" i="10" s="1"/>
  <c r="DG7" i="10" a="1"/>
  <c r="DG7" i="10" s="1"/>
  <c r="DH7" i="10" a="1"/>
  <c r="DH7" i="10" s="1"/>
  <c r="DI7" i="10" a="1"/>
  <c r="DI7" i="10" s="1"/>
  <c r="DJ7" i="10" a="1"/>
  <c r="DJ7" i="10" s="1"/>
  <c r="DK7" i="10" a="1"/>
  <c r="DK7" i="10" s="1"/>
  <c r="DL7" i="10" a="1"/>
  <c r="DL7" i="10" s="1"/>
  <c r="DM7" i="10" a="1"/>
  <c r="DM7" i="10" s="1"/>
  <c r="DN7" i="10" a="1"/>
  <c r="DN7" i="10" s="1"/>
  <c r="DO7" i="10" a="1"/>
  <c r="DO7" i="10" s="1"/>
  <c r="DP7" i="10" a="1"/>
  <c r="DP7" i="10" s="1"/>
  <c r="DQ7" i="10" a="1"/>
  <c r="DQ7" i="10" s="1"/>
  <c r="DR7" i="10" a="1"/>
  <c r="DR7" i="10" s="1"/>
  <c r="DS7" i="10" a="1"/>
  <c r="DS7" i="10" s="1"/>
  <c r="DT7" i="10" a="1"/>
  <c r="DT7" i="10" s="1"/>
  <c r="DU7" i="10" a="1"/>
  <c r="DU7" i="10" s="1"/>
  <c r="DV7" i="10" a="1"/>
  <c r="DV7" i="10" s="1"/>
  <c r="DW7" i="10" a="1"/>
  <c r="DW7" i="10" s="1"/>
  <c r="DX7" i="10" a="1"/>
  <c r="DX7" i="10" s="1"/>
  <c r="DY7" i="10" a="1"/>
  <c r="DY7" i="10" s="1"/>
  <c r="DZ7" i="10" a="1"/>
  <c r="DZ7" i="10" s="1"/>
  <c r="EA7" i="10" a="1"/>
  <c r="EA7" i="10" s="1"/>
  <c r="EB7" i="10" a="1"/>
  <c r="EB7" i="10" s="1"/>
  <c r="EC7" i="10" a="1"/>
  <c r="EC7" i="10" s="1"/>
  <c r="ED7" i="10" a="1"/>
  <c r="ED7" i="10" s="1"/>
  <c r="EE7" i="10" a="1"/>
  <c r="EE7" i="10" s="1"/>
  <c r="EF7" i="10" a="1"/>
  <c r="EF7" i="10" s="1"/>
  <c r="EG7" i="10" a="1"/>
  <c r="EG7" i="10" s="1"/>
  <c r="E8" i="10" a="1"/>
  <c r="E8" i="10" s="1"/>
  <c r="F8" i="10" a="1"/>
  <c r="F8" i="10" s="1"/>
  <c r="G8" i="10" a="1"/>
  <c r="G8" i="10" s="1"/>
  <c r="H8" i="10" a="1"/>
  <c r="H8" i="10" s="1"/>
  <c r="I8" i="10" a="1"/>
  <c r="I8" i="10" s="1"/>
  <c r="J8" i="10" a="1"/>
  <c r="J8" i="10" s="1"/>
  <c r="K8" i="10" a="1"/>
  <c r="K8" i="10" s="1"/>
  <c r="L8" i="10" a="1"/>
  <c r="L8" i="10" s="1"/>
  <c r="M8" i="10" a="1"/>
  <c r="M8" i="10" s="1"/>
  <c r="N8" i="10" a="1"/>
  <c r="N8" i="10" s="1"/>
  <c r="O8" i="10" a="1"/>
  <c r="O8" i="10" s="1"/>
  <c r="P8" i="10" a="1"/>
  <c r="P8" i="10" s="1"/>
  <c r="Q8" i="10" a="1"/>
  <c r="Q8" i="10" s="1"/>
  <c r="R8" i="10" a="1"/>
  <c r="R8" i="10" s="1"/>
  <c r="S8" i="10" a="1"/>
  <c r="S8" i="10" s="1"/>
  <c r="T8" i="10" a="1"/>
  <c r="T8" i="10" s="1"/>
  <c r="U8" i="10" a="1"/>
  <c r="U8" i="10" s="1"/>
  <c r="V8" i="10" a="1"/>
  <c r="V8" i="10" s="1"/>
  <c r="W8" i="10" a="1"/>
  <c r="W8" i="10" s="1"/>
  <c r="X8" i="10" a="1"/>
  <c r="X8" i="10" s="1"/>
  <c r="Y8" i="10" a="1"/>
  <c r="Y8" i="10" s="1"/>
  <c r="Z8" i="10" a="1"/>
  <c r="Z8" i="10" s="1"/>
  <c r="AA8" i="10" a="1"/>
  <c r="AA8" i="10" s="1"/>
  <c r="AB8" i="10" a="1"/>
  <c r="AB8" i="10" s="1"/>
  <c r="AC8" i="10" a="1"/>
  <c r="AC8" i="10" s="1"/>
  <c r="AD8" i="10" a="1"/>
  <c r="AD8" i="10" s="1"/>
  <c r="AE8" i="10" a="1"/>
  <c r="AE8" i="10" s="1"/>
  <c r="AF8" i="10" a="1"/>
  <c r="AF8" i="10" s="1"/>
  <c r="AG8" i="10" a="1"/>
  <c r="AG8" i="10" s="1"/>
  <c r="AH8" i="10" a="1"/>
  <c r="AH8" i="10" s="1"/>
  <c r="AI8" i="10" a="1"/>
  <c r="AI8" i="10" s="1"/>
  <c r="AJ8" i="10" a="1"/>
  <c r="AJ8" i="10" s="1"/>
  <c r="AK8" i="10" a="1"/>
  <c r="AK8" i="10" s="1"/>
  <c r="AL8" i="10" a="1"/>
  <c r="AL8" i="10" s="1"/>
  <c r="AM8" i="10" a="1"/>
  <c r="AM8" i="10" s="1"/>
  <c r="AN8" i="10" a="1"/>
  <c r="AN8" i="10" s="1"/>
  <c r="AO8" i="10" a="1"/>
  <c r="AO8" i="10" s="1"/>
  <c r="AP8" i="10" a="1"/>
  <c r="AP8" i="10" s="1"/>
  <c r="AQ8" i="10" a="1"/>
  <c r="AQ8" i="10" s="1"/>
  <c r="AR8" i="10" a="1"/>
  <c r="AR8" i="10" s="1"/>
  <c r="AS8" i="10" a="1"/>
  <c r="AS8" i="10" s="1"/>
  <c r="AT8" i="10" a="1"/>
  <c r="AT8" i="10" s="1"/>
  <c r="AU8" i="10" a="1"/>
  <c r="AU8" i="10" s="1"/>
  <c r="AV8" i="10" a="1"/>
  <c r="AV8" i="10" s="1"/>
  <c r="AW8" i="10" a="1"/>
  <c r="AW8" i="10" s="1"/>
  <c r="AX8" i="10" a="1"/>
  <c r="AX8" i="10" s="1"/>
  <c r="AY8" i="10" a="1"/>
  <c r="AY8" i="10" s="1"/>
  <c r="AZ8" i="10" a="1"/>
  <c r="AZ8" i="10" s="1"/>
  <c r="BA8" i="10" a="1"/>
  <c r="BA8" i="10" s="1"/>
  <c r="BB8" i="10" a="1"/>
  <c r="BB8" i="10" s="1"/>
  <c r="BC8" i="10" a="1"/>
  <c r="BC8" i="10" s="1"/>
  <c r="BD8" i="10" a="1"/>
  <c r="BD8" i="10" s="1"/>
  <c r="BE8" i="10" a="1"/>
  <c r="BE8" i="10" s="1"/>
  <c r="BF8" i="10" a="1"/>
  <c r="BF8" i="10" s="1"/>
  <c r="BG8" i="10" a="1"/>
  <c r="BG8" i="10" s="1"/>
  <c r="BH8" i="10" a="1"/>
  <c r="BH8" i="10" s="1"/>
  <c r="BI8" i="10" a="1"/>
  <c r="BI8" i="10" s="1"/>
  <c r="BJ8" i="10" a="1"/>
  <c r="BJ8" i="10" s="1"/>
  <c r="BK8" i="10" a="1"/>
  <c r="BK8" i="10" s="1"/>
  <c r="BL8" i="10" a="1"/>
  <c r="BL8" i="10" s="1"/>
  <c r="BM8" i="10" a="1"/>
  <c r="BM8" i="10" s="1"/>
  <c r="BN8" i="10" a="1"/>
  <c r="BN8" i="10" s="1"/>
  <c r="BO8" i="10" a="1"/>
  <c r="BO8" i="10" s="1"/>
  <c r="BP8" i="10" a="1"/>
  <c r="BP8" i="10" s="1"/>
  <c r="BQ8" i="10" a="1"/>
  <c r="BQ8" i="10" s="1"/>
  <c r="BR8" i="10" a="1"/>
  <c r="BR8" i="10" s="1"/>
  <c r="BS8" i="10" a="1"/>
  <c r="BS8" i="10" s="1"/>
  <c r="BT8" i="10" a="1"/>
  <c r="BT8" i="10" s="1"/>
  <c r="BU8" i="10" a="1"/>
  <c r="BU8" i="10" s="1"/>
  <c r="BV8" i="10" a="1"/>
  <c r="BV8" i="10" s="1"/>
  <c r="BW8" i="10" a="1"/>
  <c r="BW8" i="10" s="1"/>
  <c r="BX8" i="10" a="1"/>
  <c r="BX8" i="10" s="1"/>
  <c r="BY8" i="10" a="1"/>
  <c r="BY8" i="10" s="1"/>
  <c r="BZ8" i="10" a="1"/>
  <c r="BZ8" i="10" s="1"/>
  <c r="CA8" i="10" a="1"/>
  <c r="CA8" i="10" s="1"/>
  <c r="CB8" i="10" a="1"/>
  <c r="CB8" i="10" s="1"/>
  <c r="CC8" i="10" a="1"/>
  <c r="CC8" i="10" s="1"/>
  <c r="CD8" i="10" a="1"/>
  <c r="CD8" i="10" s="1"/>
  <c r="CE8" i="10" a="1"/>
  <c r="CE8" i="10" s="1"/>
  <c r="CF8" i="10" a="1"/>
  <c r="CF8" i="10" s="1"/>
  <c r="CG8" i="10" a="1"/>
  <c r="CG8" i="10" s="1"/>
  <c r="CH8" i="10" a="1"/>
  <c r="CH8" i="10" s="1"/>
  <c r="CI8" i="10" a="1"/>
  <c r="CI8" i="10" s="1"/>
  <c r="CJ8" i="10" a="1"/>
  <c r="CJ8" i="10" s="1"/>
  <c r="CK8" i="10" a="1"/>
  <c r="CK8" i="10" s="1"/>
  <c r="CL8" i="10" a="1"/>
  <c r="CL8" i="10" s="1"/>
  <c r="CM8" i="10" a="1"/>
  <c r="CM8" i="10" s="1"/>
  <c r="CN8" i="10" a="1"/>
  <c r="CN8" i="10" s="1"/>
  <c r="CO8" i="10" a="1"/>
  <c r="CO8" i="10" s="1"/>
  <c r="CP8" i="10" a="1"/>
  <c r="CP8" i="10" s="1"/>
  <c r="CQ8" i="10" a="1"/>
  <c r="CQ8" i="10" s="1"/>
  <c r="CR8" i="10" a="1"/>
  <c r="CR8" i="10" s="1"/>
  <c r="CS8" i="10" a="1"/>
  <c r="CS8" i="10" s="1"/>
  <c r="CT8" i="10" a="1"/>
  <c r="CT8" i="10" s="1"/>
  <c r="CU8" i="10" a="1"/>
  <c r="CU8" i="10" s="1"/>
  <c r="CV8" i="10" a="1"/>
  <c r="CV8" i="10" s="1"/>
  <c r="CW8" i="10" a="1"/>
  <c r="CW8" i="10" s="1"/>
  <c r="CX8" i="10" a="1"/>
  <c r="CX8" i="10" s="1"/>
  <c r="CY8" i="10" a="1"/>
  <c r="CY8" i="10" s="1"/>
  <c r="CZ8" i="10" a="1"/>
  <c r="CZ8" i="10" s="1"/>
  <c r="DA8" i="10" a="1"/>
  <c r="DA8" i="10" s="1"/>
  <c r="DB8" i="10" a="1"/>
  <c r="DB8" i="10" s="1"/>
  <c r="DC8" i="10" a="1"/>
  <c r="DC8" i="10" s="1"/>
  <c r="DD8" i="10" a="1"/>
  <c r="DD8" i="10" s="1"/>
  <c r="DE8" i="10" a="1"/>
  <c r="DE8" i="10" s="1"/>
  <c r="DF8" i="10" a="1"/>
  <c r="DF8" i="10" s="1"/>
  <c r="DG8" i="10" a="1"/>
  <c r="DG8" i="10" s="1"/>
  <c r="DH8" i="10" a="1"/>
  <c r="DH8" i="10" s="1"/>
  <c r="DI8" i="10" a="1"/>
  <c r="DI8" i="10" s="1"/>
  <c r="DJ8" i="10" a="1"/>
  <c r="DJ8" i="10" s="1"/>
  <c r="DK8" i="10" a="1"/>
  <c r="DK8" i="10" s="1"/>
  <c r="DL8" i="10" a="1"/>
  <c r="DL8" i="10" s="1"/>
  <c r="DM8" i="10" a="1"/>
  <c r="DM8" i="10" s="1"/>
  <c r="DN8" i="10" a="1"/>
  <c r="DN8" i="10" s="1"/>
  <c r="DO8" i="10" a="1"/>
  <c r="DO8" i="10" s="1"/>
  <c r="DP8" i="10" a="1"/>
  <c r="DP8" i="10" s="1"/>
  <c r="DQ8" i="10" a="1"/>
  <c r="DQ8" i="10" s="1"/>
  <c r="DR8" i="10" a="1"/>
  <c r="DR8" i="10" s="1"/>
  <c r="DS8" i="10" a="1"/>
  <c r="DS8" i="10" s="1"/>
  <c r="DT8" i="10" a="1"/>
  <c r="DT8" i="10" s="1"/>
  <c r="DU8" i="10" a="1"/>
  <c r="DU8" i="10" s="1"/>
  <c r="DV8" i="10" a="1"/>
  <c r="DV8" i="10" s="1"/>
  <c r="DW8" i="10" a="1"/>
  <c r="DW8" i="10" s="1"/>
  <c r="DX8" i="10" a="1"/>
  <c r="DX8" i="10" s="1"/>
  <c r="DY8" i="10" a="1"/>
  <c r="DY8" i="10" s="1"/>
  <c r="DZ8" i="10" a="1"/>
  <c r="DZ8" i="10" s="1"/>
  <c r="EA8" i="10" a="1"/>
  <c r="EA8" i="10" s="1"/>
  <c r="EB8" i="10" a="1"/>
  <c r="EB8" i="10" s="1"/>
  <c r="EC8" i="10" a="1"/>
  <c r="EC8" i="10" s="1"/>
  <c r="ED8" i="10" a="1"/>
  <c r="ED8" i="10" s="1"/>
  <c r="EE8" i="10" a="1"/>
  <c r="EE8" i="10" s="1"/>
  <c r="EF8" i="10" a="1"/>
  <c r="EF8" i="10" s="1"/>
  <c r="EG8" i="10" a="1"/>
  <c r="EG8" i="10" s="1"/>
  <c r="E9" i="10" a="1"/>
  <c r="E9" i="10"/>
  <c r="F9" i="10" a="1"/>
  <c r="F9" i="10" s="1"/>
  <c r="G9" i="10" a="1"/>
  <c r="G9" i="10" s="1"/>
  <c r="H9" i="10" a="1"/>
  <c r="H9" i="10" s="1"/>
  <c r="I9" i="10" a="1"/>
  <c r="I9" i="10" s="1"/>
  <c r="J9" i="10" a="1"/>
  <c r="J9" i="10" s="1"/>
  <c r="K9" i="10" a="1"/>
  <c r="K9" i="10" s="1"/>
  <c r="L9" i="10" a="1"/>
  <c r="L9" i="10" s="1"/>
  <c r="M9" i="10" a="1"/>
  <c r="M9" i="10" s="1"/>
  <c r="N9" i="10" a="1"/>
  <c r="N9" i="10" s="1"/>
  <c r="O9" i="10" a="1"/>
  <c r="O9" i="10" s="1"/>
  <c r="P9" i="10" a="1"/>
  <c r="P9" i="10" s="1"/>
  <c r="Q9" i="10" a="1"/>
  <c r="Q9" i="10" s="1"/>
  <c r="R9" i="10" a="1"/>
  <c r="R9" i="10" s="1"/>
  <c r="S9" i="10" a="1"/>
  <c r="S9" i="10" s="1"/>
  <c r="T9" i="10" a="1"/>
  <c r="T9" i="10" s="1"/>
  <c r="U9" i="10" a="1"/>
  <c r="U9" i="10" s="1"/>
  <c r="V9" i="10" a="1"/>
  <c r="V9" i="10" s="1"/>
  <c r="W9" i="10" a="1"/>
  <c r="W9" i="10" s="1"/>
  <c r="X9" i="10" a="1"/>
  <c r="X9" i="10" s="1"/>
  <c r="Y9" i="10" a="1"/>
  <c r="Y9" i="10" s="1"/>
  <c r="Z9" i="10" a="1"/>
  <c r="Z9" i="10" s="1"/>
  <c r="AA9" i="10" a="1"/>
  <c r="AA9" i="10" s="1"/>
  <c r="AB9" i="10" a="1"/>
  <c r="AB9" i="10" s="1"/>
  <c r="AC9" i="10" a="1"/>
  <c r="AC9" i="10" s="1"/>
  <c r="AD9" i="10" a="1"/>
  <c r="AD9" i="10" s="1"/>
  <c r="AE9" i="10" a="1"/>
  <c r="AE9" i="10" s="1"/>
  <c r="AF9" i="10" a="1"/>
  <c r="AF9" i="10" s="1"/>
  <c r="AG9" i="10" a="1"/>
  <c r="AG9" i="10" s="1"/>
  <c r="AH9" i="10" a="1"/>
  <c r="AH9" i="10" s="1"/>
  <c r="AI9" i="10" a="1"/>
  <c r="AI9" i="10" s="1"/>
  <c r="AJ9" i="10" a="1"/>
  <c r="AJ9" i="10" s="1"/>
  <c r="AK9" i="10" a="1"/>
  <c r="AK9" i="10" s="1"/>
  <c r="AL9" i="10" a="1"/>
  <c r="AL9" i="10" s="1"/>
  <c r="AM9" i="10" a="1"/>
  <c r="AM9" i="10" s="1"/>
  <c r="AN9" i="10" a="1"/>
  <c r="AN9" i="10" s="1"/>
  <c r="AO9" i="10" a="1"/>
  <c r="AO9" i="10" s="1"/>
  <c r="AP9" i="10" a="1"/>
  <c r="AP9" i="10" s="1"/>
  <c r="AQ9" i="10" a="1"/>
  <c r="AQ9" i="10" s="1"/>
  <c r="AR9" i="10" a="1"/>
  <c r="AR9" i="10" s="1"/>
  <c r="AS9" i="10" a="1"/>
  <c r="AS9" i="10" s="1"/>
  <c r="AT9" i="10" a="1"/>
  <c r="AT9" i="10" s="1"/>
  <c r="AU9" i="10" a="1"/>
  <c r="AU9" i="10" s="1"/>
  <c r="AV9" i="10" a="1"/>
  <c r="AV9" i="10" s="1"/>
  <c r="AW9" i="10" a="1"/>
  <c r="AW9" i="10" s="1"/>
  <c r="AX9" i="10" a="1"/>
  <c r="AX9" i="10" s="1"/>
  <c r="AY9" i="10" a="1"/>
  <c r="AY9" i="10" s="1"/>
  <c r="AZ9" i="10" a="1"/>
  <c r="AZ9" i="10" s="1"/>
  <c r="BA9" i="10" a="1"/>
  <c r="BA9" i="10" s="1"/>
  <c r="BB9" i="10" a="1"/>
  <c r="BB9" i="10" s="1"/>
  <c r="BC9" i="10" a="1"/>
  <c r="BC9" i="10" s="1"/>
  <c r="BD9" i="10" a="1"/>
  <c r="BD9" i="10" s="1"/>
  <c r="BE9" i="10" a="1"/>
  <c r="BE9" i="10" s="1"/>
  <c r="BF9" i="10" a="1"/>
  <c r="BF9" i="10" s="1"/>
  <c r="BG9" i="10" a="1"/>
  <c r="BG9" i="10" s="1"/>
  <c r="BH9" i="10" a="1"/>
  <c r="BH9" i="10" s="1"/>
  <c r="BI9" i="10" a="1"/>
  <c r="BI9" i="10" s="1"/>
  <c r="BJ9" i="10" a="1"/>
  <c r="BJ9" i="10" s="1"/>
  <c r="BK9" i="10" a="1"/>
  <c r="BK9" i="10" s="1"/>
  <c r="BL9" i="10" a="1"/>
  <c r="BL9" i="10" s="1"/>
  <c r="BM9" i="10" a="1"/>
  <c r="BM9" i="10" s="1"/>
  <c r="BN9" i="10" a="1"/>
  <c r="BN9" i="10" s="1"/>
  <c r="BO9" i="10" a="1"/>
  <c r="BO9" i="10" s="1"/>
  <c r="BP9" i="10" a="1"/>
  <c r="BP9" i="10" s="1"/>
  <c r="BQ9" i="10" a="1"/>
  <c r="BQ9" i="10" s="1"/>
  <c r="BR9" i="10" a="1"/>
  <c r="BR9" i="10" s="1"/>
  <c r="BS9" i="10" a="1"/>
  <c r="BS9" i="10" s="1"/>
  <c r="BT9" i="10" a="1"/>
  <c r="BT9" i="10" s="1"/>
  <c r="BU9" i="10" a="1"/>
  <c r="BU9" i="10" s="1"/>
  <c r="BV9" i="10" a="1"/>
  <c r="BV9" i="10" s="1"/>
  <c r="BW9" i="10" a="1"/>
  <c r="BW9" i="10" s="1"/>
  <c r="BX9" i="10" a="1"/>
  <c r="BX9" i="10" s="1"/>
  <c r="BY9" i="10" a="1"/>
  <c r="BY9" i="10" s="1"/>
  <c r="BZ9" i="10" a="1"/>
  <c r="BZ9" i="10" s="1"/>
  <c r="CA9" i="10" a="1"/>
  <c r="CA9" i="10" s="1"/>
  <c r="CB9" i="10" a="1"/>
  <c r="CB9" i="10" s="1"/>
  <c r="CC9" i="10" a="1"/>
  <c r="CC9" i="10" s="1"/>
  <c r="CD9" i="10" a="1"/>
  <c r="CD9" i="10" s="1"/>
  <c r="CE9" i="10" a="1"/>
  <c r="CE9" i="10" s="1"/>
  <c r="CF9" i="10" a="1"/>
  <c r="CF9" i="10" s="1"/>
  <c r="CG9" i="10" a="1"/>
  <c r="CG9" i="10" s="1"/>
  <c r="CH9" i="10" a="1"/>
  <c r="CH9" i="10" s="1"/>
  <c r="CI9" i="10" a="1"/>
  <c r="CI9" i="10" s="1"/>
  <c r="CJ9" i="10" a="1"/>
  <c r="CJ9" i="10" s="1"/>
  <c r="CK9" i="10" a="1"/>
  <c r="CK9" i="10" s="1"/>
  <c r="CL9" i="10" a="1"/>
  <c r="CL9" i="10" s="1"/>
  <c r="CM9" i="10" a="1"/>
  <c r="CM9" i="10" s="1"/>
  <c r="CN9" i="10" a="1"/>
  <c r="CN9" i="10" s="1"/>
  <c r="CO9" i="10" a="1"/>
  <c r="CO9" i="10" s="1"/>
  <c r="CP9" i="10" a="1"/>
  <c r="CP9" i="10" s="1"/>
  <c r="CQ9" i="10" a="1"/>
  <c r="CQ9" i="10" s="1"/>
  <c r="CR9" i="10" a="1"/>
  <c r="CR9" i="10" s="1"/>
  <c r="CS9" i="10" a="1"/>
  <c r="CS9" i="10" s="1"/>
  <c r="CT9" i="10" a="1"/>
  <c r="CT9" i="10" s="1"/>
  <c r="CU9" i="10" a="1"/>
  <c r="CU9" i="10" s="1"/>
  <c r="CV9" i="10" a="1"/>
  <c r="CV9" i="10" s="1"/>
  <c r="CW9" i="10" a="1"/>
  <c r="CW9" i="10" s="1"/>
  <c r="CX9" i="10" a="1"/>
  <c r="CX9" i="10" s="1"/>
  <c r="CY9" i="10" a="1"/>
  <c r="CY9" i="10" s="1"/>
  <c r="CZ9" i="10" a="1"/>
  <c r="CZ9" i="10" s="1"/>
  <c r="DA9" i="10" a="1"/>
  <c r="DA9" i="10" s="1"/>
  <c r="DB9" i="10" a="1"/>
  <c r="DB9" i="10" s="1"/>
  <c r="DC9" i="10" a="1"/>
  <c r="DC9" i="10" s="1"/>
  <c r="DD9" i="10" a="1"/>
  <c r="DD9" i="10" s="1"/>
  <c r="DE9" i="10" a="1"/>
  <c r="DE9" i="10" s="1"/>
  <c r="DF9" i="10" a="1"/>
  <c r="DF9" i="10" s="1"/>
  <c r="DG9" i="10" a="1"/>
  <c r="DG9" i="10" s="1"/>
  <c r="DH9" i="10" a="1"/>
  <c r="DH9" i="10" s="1"/>
  <c r="DI9" i="10" a="1"/>
  <c r="DI9" i="10" s="1"/>
  <c r="DJ9" i="10" a="1"/>
  <c r="DJ9" i="10" s="1"/>
  <c r="DK9" i="10" a="1"/>
  <c r="DK9" i="10" s="1"/>
  <c r="DL9" i="10" a="1"/>
  <c r="DL9" i="10" s="1"/>
  <c r="DM9" i="10" a="1"/>
  <c r="DM9" i="10" s="1"/>
  <c r="DN9" i="10" a="1"/>
  <c r="DN9" i="10" s="1"/>
  <c r="DO9" i="10" a="1"/>
  <c r="DO9" i="10" s="1"/>
  <c r="DP9" i="10" a="1"/>
  <c r="DP9" i="10" s="1"/>
  <c r="DQ9" i="10" a="1"/>
  <c r="DQ9" i="10" s="1"/>
  <c r="DR9" i="10" a="1"/>
  <c r="DR9" i="10" s="1"/>
  <c r="DS9" i="10" a="1"/>
  <c r="DS9" i="10" s="1"/>
  <c r="DT9" i="10" a="1"/>
  <c r="DT9" i="10" s="1"/>
  <c r="DU9" i="10" a="1"/>
  <c r="DU9" i="10" s="1"/>
  <c r="DV9" i="10" a="1"/>
  <c r="DV9" i="10" s="1"/>
  <c r="DW9" i="10" a="1"/>
  <c r="DW9" i="10" s="1"/>
  <c r="DX9" i="10" a="1"/>
  <c r="DX9" i="10" s="1"/>
  <c r="DY9" i="10" a="1"/>
  <c r="DY9" i="10" s="1"/>
  <c r="DZ9" i="10" a="1"/>
  <c r="DZ9" i="10" s="1"/>
  <c r="EA9" i="10" a="1"/>
  <c r="EA9" i="10" s="1"/>
  <c r="EB9" i="10" a="1"/>
  <c r="EB9" i="10" s="1"/>
  <c r="EC9" i="10" a="1"/>
  <c r="EC9" i="10" s="1"/>
  <c r="ED9" i="10" a="1"/>
  <c r="ED9" i="10" s="1"/>
  <c r="EE9" i="10" a="1"/>
  <c r="EE9" i="10" s="1"/>
  <c r="EF9" i="10" a="1"/>
  <c r="EF9" i="10" s="1"/>
  <c r="EG9" i="10" a="1"/>
  <c r="EG9" i="10" s="1"/>
  <c r="E10" i="10" a="1"/>
  <c r="E10" i="10"/>
  <c r="F10" i="10" a="1"/>
  <c r="F10" i="10" s="1"/>
  <c r="G10" i="10" a="1"/>
  <c r="G10" i="10" s="1"/>
  <c r="H10" i="10" a="1"/>
  <c r="H10" i="10" s="1"/>
  <c r="I10" i="10" a="1"/>
  <c r="I10" i="10" s="1"/>
  <c r="J10" i="10" a="1"/>
  <c r="J10" i="10" s="1"/>
  <c r="K10" i="10" a="1"/>
  <c r="K10" i="10" s="1"/>
  <c r="L10" i="10" a="1"/>
  <c r="L10" i="10" s="1"/>
  <c r="M10" i="10" a="1"/>
  <c r="M10" i="10" s="1"/>
  <c r="N10" i="10" a="1"/>
  <c r="N10" i="10" s="1"/>
  <c r="O10" i="10" a="1"/>
  <c r="O10" i="10" s="1"/>
  <c r="P10" i="10" a="1"/>
  <c r="P10" i="10" s="1"/>
  <c r="Q10" i="10" a="1"/>
  <c r="Q10" i="10" s="1"/>
  <c r="R10" i="10" a="1"/>
  <c r="R10" i="10" s="1"/>
  <c r="S10" i="10" a="1"/>
  <c r="S10" i="10" s="1"/>
  <c r="T10" i="10" a="1"/>
  <c r="T10" i="10" s="1"/>
  <c r="U10" i="10" a="1"/>
  <c r="U10" i="10" s="1"/>
  <c r="V10" i="10" a="1"/>
  <c r="V10" i="10" s="1"/>
  <c r="W10" i="10" a="1"/>
  <c r="W10" i="10" s="1"/>
  <c r="X10" i="10" a="1"/>
  <c r="X10" i="10" s="1"/>
  <c r="Y10" i="10" a="1"/>
  <c r="Y10" i="10" s="1"/>
  <c r="Z10" i="10" a="1"/>
  <c r="Z10" i="10" s="1"/>
  <c r="AA10" i="10" a="1"/>
  <c r="AA10" i="10" s="1"/>
  <c r="AB10" i="10" a="1"/>
  <c r="AB10" i="10" s="1"/>
  <c r="AC10" i="10" a="1"/>
  <c r="AC10" i="10" s="1"/>
  <c r="AD10" i="10" a="1"/>
  <c r="AD10" i="10" s="1"/>
  <c r="AE10" i="10" a="1"/>
  <c r="AE10" i="10" s="1"/>
  <c r="AF10" i="10" a="1"/>
  <c r="AF10" i="10" s="1"/>
  <c r="AG10" i="10" a="1"/>
  <c r="AG10" i="10" s="1"/>
  <c r="AH10" i="10" a="1"/>
  <c r="AH10" i="10" s="1"/>
  <c r="AI10" i="10" a="1"/>
  <c r="AI10" i="10" s="1"/>
  <c r="AJ10" i="10" a="1"/>
  <c r="AJ10" i="10" s="1"/>
  <c r="AK10" i="10" a="1"/>
  <c r="AK10" i="10" s="1"/>
  <c r="AL10" i="10" a="1"/>
  <c r="AL10" i="10" s="1"/>
  <c r="AM10" i="10" a="1"/>
  <c r="AM10" i="10" s="1"/>
  <c r="AN10" i="10" a="1"/>
  <c r="AN10" i="10" s="1"/>
  <c r="AO10" i="10" a="1"/>
  <c r="AO10" i="10" s="1"/>
  <c r="AP10" i="10" a="1"/>
  <c r="AP10" i="10" s="1"/>
  <c r="AQ10" i="10" a="1"/>
  <c r="AQ10" i="10" s="1"/>
  <c r="AR10" i="10" a="1"/>
  <c r="AR10" i="10" s="1"/>
  <c r="AS10" i="10" a="1"/>
  <c r="AS10" i="10" s="1"/>
  <c r="AT10" i="10" a="1"/>
  <c r="AT10" i="10" s="1"/>
  <c r="AU10" i="10" a="1"/>
  <c r="AU10" i="10" s="1"/>
  <c r="AV10" i="10" a="1"/>
  <c r="AV10" i="10" s="1"/>
  <c r="AW10" i="10" a="1"/>
  <c r="AW10" i="10" s="1"/>
  <c r="AX10" i="10" a="1"/>
  <c r="AX10" i="10" s="1"/>
  <c r="AY10" i="10" a="1"/>
  <c r="AY10" i="10" s="1"/>
  <c r="AZ10" i="10" a="1"/>
  <c r="AZ10" i="10" s="1"/>
  <c r="BA10" i="10" a="1"/>
  <c r="BA10" i="10" s="1"/>
  <c r="BB10" i="10" a="1"/>
  <c r="BB10" i="10" s="1"/>
  <c r="BC10" i="10" a="1"/>
  <c r="BC10" i="10" s="1"/>
  <c r="BD10" i="10" a="1"/>
  <c r="BD10" i="10" s="1"/>
  <c r="BE10" i="10" a="1"/>
  <c r="BE10" i="10" s="1"/>
  <c r="BF10" i="10" a="1"/>
  <c r="BF10" i="10" s="1"/>
  <c r="BG10" i="10" a="1"/>
  <c r="BG10" i="10" s="1"/>
  <c r="BH10" i="10" a="1"/>
  <c r="BH10" i="10" s="1"/>
  <c r="BI10" i="10" a="1"/>
  <c r="BI10" i="10" s="1"/>
  <c r="BJ10" i="10" a="1"/>
  <c r="BJ10" i="10" s="1"/>
  <c r="BK10" i="10" a="1"/>
  <c r="BK10" i="10" s="1"/>
  <c r="BL10" i="10" a="1"/>
  <c r="BL10" i="10" s="1"/>
  <c r="BM10" i="10" a="1"/>
  <c r="BM10" i="10" s="1"/>
  <c r="BN10" i="10" a="1"/>
  <c r="BN10" i="10" s="1"/>
  <c r="BO10" i="10" a="1"/>
  <c r="BO10" i="10" s="1"/>
  <c r="BP10" i="10" a="1"/>
  <c r="BP10" i="10" s="1"/>
  <c r="BQ10" i="10" a="1"/>
  <c r="BQ10" i="10" s="1"/>
  <c r="BR10" i="10" a="1"/>
  <c r="BR10" i="10" s="1"/>
  <c r="BS10" i="10" a="1"/>
  <c r="BS10" i="10" s="1"/>
  <c r="BT10" i="10" a="1"/>
  <c r="BT10" i="10" s="1"/>
  <c r="BU10" i="10" a="1"/>
  <c r="BU10" i="10" s="1"/>
  <c r="BV10" i="10" a="1"/>
  <c r="BV10" i="10" s="1"/>
  <c r="BW10" i="10" a="1"/>
  <c r="BW10" i="10" s="1"/>
  <c r="BX10" i="10" a="1"/>
  <c r="BX10" i="10" s="1"/>
  <c r="BY10" i="10" a="1"/>
  <c r="BY10" i="10" s="1"/>
  <c r="BZ10" i="10" a="1"/>
  <c r="BZ10" i="10" s="1"/>
  <c r="CA10" i="10" a="1"/>
  <c r="CA10" i="10" s="1"/>
  <c r="CB10" i="10" a="1"/>
  <c r="CB10" i="10" s="1"/>
  <c r="CC10" i="10" a="1"/>
  <c r="CC10" i="10" s="1"/>
  <c r="CD10" i="10" a="1"/>
  <c r="CD10" i="10" s="1"/>
  <c r="CE10" i="10" a="1"/>
  <c r="CE10" i="10" s="1"/>
  <c r="CF10" i="10" a="1"/>
  <c r="CF10" i="10" s="1"/>
  <c r="CG10" i="10" a="1"/>
  <c r="CG10" i="10" s="1"/>
  <c r="CH10" i="10" a="1"/>
  <c r="CH10" i="10" s="1"/>
  <c r="CI10" i="10" a="1"/>
  <c r="CI10" i="10" s="1"/>
  <c r="CJ10" i="10" a="1"/>
  <c r="CJ10" i="10" s="1"/>
  <c r="CK10" i="10" a="1"/>
  <c r="CK10" i="10" s="1"/>
  <c r="CL10" i="10" a="1"/>
  <c r="CL10" i="10" s="1"/>
  <c r="CM10" i="10" a="1"/>
  <c r="CM10" i="10" s="1"/>
  <c r="CN10" i="10" a="1"/>
  <c r="CN10" i="10" s="1"/>
  <c r="CO10" i="10" a="1"/>
  <c r="CO10" i="10" s="1"/>
  <c r="CP10" i="10" a="1"/>
  <c r="CP10" i="10" s="1"/>
  <c r="CQ10" i="10" a="1"/>
  <c r="CQ10" i="10" s="1"/>
  <c r="CR10" i="10" a="1"/>
  <c r="CR10" i="10" s="1"/>
  <c r="CS10" i="10" a="1"/>
  <c r="CS10" i="10" s="1"/>
  <c r="CT10" i="10" a="1"/>
  <c r="CT10" i="10" s="1"/>
  <c r="CU10" i="10" a="1"/>
  <c r="CU10" i="10" s="1"/>
  <c r="CV10" i="10" a="1"/>
  <c r="CV10" i="10" s="1"/>
  <c r="CW10" i="10" a="1"/>
  <c r="CW10" i="10" s="1"/>
  <c r="CX10" i="10" a="1"/>
  <c r="CX10" i="10" s="1"/>
  <c r="CY10" i="10" a="1"/>
  <c r="CY10" i="10" s="1"/>
  <c r="CZ10" i="10" a="1"/>
  <c r="CZ10" i="10" s="1"/>
  <c r="DA10" i="10" a="1"/>
  <c r="DA10" i="10" s="1"/>
  <c r="DB10" i="10" a="1"/>
  <c r="DB10" i="10" s="1"/>
  <c r="DC10" i="10" a="1"/>
  <c r="DC10" i="10" s="1"/>
  <c r="DD10" i="10" a="1"/>
  <c r="DD10" i="10" s="1"/>
  <c r="DE10" i="10" a="1"/>
  <c r="DE10" i="10" s="1"/>
  <c r="DF10" i="10" a="1"/>
  <c r="DF10" i="10" s="1"/>
  <c r="DG10" i="10" a="1"/>
  <c r="DG10" i="10" s="1"/>
  <c r="DH10" i="10" a="1"/>
  <c r="DH10" i="10" s="1"/>
  <c r="DI10" i="10" a="1"/>
  <c r="DI10" i="10" s="1"/>
  <c r="DJ10" i="10" a="1"/>
  <c r="DJ10" i="10" s="1"/>
  <c r="DK10" i="10" a="1"/>
  <c r="DK10" i="10" s="1"/>
  <c r="DL10" i="10" a="1"/>
  <c r="DL10" i="10" s="1"/>
  <c r="DM10" i="10" a="1"/>
  <c r="DM10" i="10" s="1"/>
  <c r="DN10" i="10" a="1"/>
  <c r="DN10" i="10" s="1"/>
  <c r="DO10" i="10" a="1"/>
  <c r="DO10" i="10" s="1"/>
  <c r="DP10" i="10" a="1"/>
  <c r="DP10" i="10" s="1"/>
  <c r="DQ10" i="10" a="1"/>
  <c r="DQ10" i="10" s="1"/>
  <c r="DR10" i="10" a="1"/>
  <c r="DR10" i="10" s="1"/>
  <c r="DS10" i="10" a="1"/>
  <c r="DS10" i="10" s="1"/>
  <c r="DT10" i="10" a="1"/>
  <c r="DT10" i="10" s="1"/>
  <c r="DU10" i="10" a="1"/>
  <c r="DU10" i="10" s="1"/>
  <c r="DV10" i="10" a="1"/>
  <c r="DV10" i="10" s="1"/>
  <c r="DW10" i="10" a="1"/>
  <c r="DW10" i="10" s="1"/>
  <c r="DX10" i="10" a="1"/>
  <c r="DX10" i="10" s="1"/>
  <c r="DY10" i="10" a="1"/>
  <c r="DY10" i="10" s="1"/>
  <c r="DZ10" i="10" a="1"/>
  <c r="DZ10" i="10" s="1"/>
  <c r="EA10" i="10" a="1"/>
  <c r="EA10" i="10" s="1"/>
  <c r="EB10" i="10" a="1"/>
  <c r="EB10" i="10" s="1"/>
  <c r="EC10" i="10" a="1"/>
  <c r="EC10" i="10" s="1"/>
  <c r="ED10" i="10" a="1"/>
  <c r="ED10" i="10" s="1"/>
  <c r="EE10" i="10" a="1"/>
  <c r="EE10" i="10" s="1"/>
  <c r="EF10" i="10" a="1"/>
  <c r="EF10" i="10" s="1"/>
  <c r="EG10" i="10" a="1"/>
  <c r="EG10" i="10" s="1"/>
  <c r="E11" i="10" a="1"/>
  <c r="E11" i="10" s="1"/>
  <c r="F11" i="10" a="1"/>
  <c r="F11" i="10" s="1"/>
  <c r="G11" i="10" a="1"/>
  <c r="G11" i="10" s="1"/>
  <c r="H11" i="10" a="1"/>
  <c r="H11" i="10" s="1"/>
  <c r="I11" i="10" a="1"/>
  <c r="I11" i="10" s="1"/>
  <c r="J11" i="10" a="1"/>
  <c r="J11" i="10" s="1"/>
  <c r="K11" i="10" a="1"/>
  <c r="K11" i="10" s="1"/>
  <c r="L11" i="10" a="1"/>
  <c r="L11" i="10" s="1"/>
  <c r="M11" i="10" a="1"/>
  <c r="M11" i="10" s="1"/>
  <c r="N11" i="10" a="1"/>
  <c r="N11" i="10" s="1"/>
  <c r="O11" i="10" a="1"/>
  <c r="O11" i="10" s="1"/>
  <c r="P11" i="10" a="1"/>
  <c r="P11" i="10" s="1"/>
  <c r="Q11" i="10" a="1"/>
  <c r="Q11" i="10" s="1"/>
  <c r="R11" i="10" a="1"/>
  <c r="R11" i="10" s="1"/>
  <c r="S11" i="10" a="1"/>
  <c r="S11" i="10" s="1"/>
  <c r="T11" i="10" a="1"/>
  <c r="T11" i="10" s="1"/>
  <c r="U11" i="10" a="1"/>
  <c r="U11" i="10" s="1"/>
  <c r="V11" i="10" a="1"/>
  <c r="V11" i="10" s="1"/>
  <c r="W11" i="10" a="1"/>
  <c r="W11" i="10" s="1"/>
  <c r="X11" i="10" a="1"/>
  <c r="X11" i="10" s="1"/>
  <c r="Y11" i="10" a="1"/>
  <c r="Y11" i="10" s="1"/>
  <c r="Z11" i="10" a="1"/>
  <c r="Z11" i="10" s="1"/>
  <c r="AA11" i="10" a="1"/>
  <c r="AA11" i="10" s="1"/>
  <c r="AB11" i="10" a="1"/>
  <c r="AB11" i="10" s="1"/>
  <c r="AC11" i="10" a="1"/>
  <c r="AC11" i="10" s="1"/>
  <c r="AD11" i="10" a="1"/>
  <c r="AD11" i="10"/>
  <c r="AE11" i="10" a="1"/>
  <c r="AE11" i="10" s="1"/>
  <c r="AF11" i="10" a="1"/>
  <c r="AF11" i="10" s="1"/>
  <c r="AG11" i="10" a="1"/>
  <c r="AG11" i="10" s="1"/>
  <c r="AH11" i="10" a="1"/>
  <c r="AH11" i="10" s="1"/>
  <c r="AI11" i="10" a="1"/>
  <c r="AI11" i="10" s="1"/>
  <c r="AJ11" i="10" a="1"/>
  <c r="AJ11" i="10" s="1"/>
  <c r="AK11" i="10" a="1"/>
  <c r="AK11" i="10" s="1"/>
  <c r="AL11" i="10" a="1"/>
  <c r="AL11" i="10" s="1"/>
  <c r="AM11" i="10" a="1"/>
  <c r="AM11" i="10" s="1"/>
  <c r="AN11" i="10" a="1"/>
  <c r="AN11" i="10" s="1"/>
  <c r="AO11" i="10" a="1"/>
  <c r="AO11" i="10" s="1"/>
  <c r="AP11" i="10" a="1"/>
  <c r="AP11" i="10" s="1"/>
  <c r="AQ11" i="10" a="1"/>
  <c r="AQ11" i="10" s="1"/>
  <c r="AR11" i="10" a="1"/>
  <c r="AR11" i="10" s="1"/>
  <c r="AS11" i="10" a="1"/>
  <c r="AS11" i="10" s="1"/>
  <c r="AT11" i="10" a="1"/>
  <c r="AT11" i="10" s="1"/>
  <c r="AU11" i="10" a="1"/>
  <c r="AU11" i="10" s="1"/>
  <c r="AV11" i="10" a="1"/>
  <c r="AV11" i="10" s="1"/>
  <c r="AW11" i="10" a="1"/>
  <c r="AW11" i="10" s="1"/>
  <c r="AX11" i="10" a="1"/>
  <c r="AX11" i="10"/>
  <c r="AY11" i="10" a="1"/>
  <c r="AY11" i="10" s="1"/>
  <c r="AZ11" i="10" a="1"/>
  <c r="AZ11" i="10" s="1"/>
  <c r="BA11" i="10" a="1"/>
  <c r="BA11" i="10" s="1"/>
  <c r="BB11" i="10" a="1"/>
  <c r="BB11" i="10" s="1"/>
  <c r="BC11" i="10" a="1"/>
  <c r="BC11" i="10" s="1"/>
  <c r="BD11" i="10" a="1"/>
  <c r="BD11" i="10" s="1"/>
  <c r="BE11" i="10" a="1"/>
  <c r="BE11" i="10" s="1"/>
  <c r="BF11" i="10" a="1"/>
  <c r="BF11" i="10" s="1"/>
  <c r="BG11" i="10" a="1"/>
  <c r="BG11" i="10" s="1"/>
  <c r="BH11" i="10" a="1"/>
  <c r="BH11" i="10" s="1"/>
  <c r="BI11" i="10" a="1"/>
  <c r="BI11" i="10" s="1"/>
  <c r="BJ11" i="10" a="1"/>
  <c r="BJ11" i="10" s="1"/>
  <c r="BK11" i="10" a="1"/>
  <c r="BK11" i="10" s="1"/>
  <c r="BL11" i="10" a="1"/>
  <c r="BL11" i="10" s="1"/>
  <c r="BM11" i="10" a="1"/>
  <c r="BM11" i="10" s="1"/>
  <c r="BN11" i="10" a="1"/>
  <c r="BN11" i="10" s="1"/>
  <c r="BO11" i="10" a="1"/>
  <c r="BO11" i="10" s="1"/>
  <c r="BP11" i="10" a="1"/>
  <c r="BP11" i="10"/>
  <c r="BQ11" i="10" a="1"/>
  <c r="BQ11" i="10"/>
  <c r="BR11" i="10" a="1"/>
  <c r="BR11" i="10"/>
  <c r="BS11" i="10" a="1"/>
  <c r="BS11" i="10"/>
  <c r="BT11" i="10" a="1"/>
  <c r="BT11" i="10"/>
  <c r="BU11" i="10" a="1"/>
  <c r="BU11" i="10"/>
  <c r="BV11" i="10" a="1"/>
  <c r="BV11" i="10"/>
  <c r="BW11" i="10" a="1"/>
  <c r="BW11" i="10"/>
  <c r="BX11" i="10" a="1"/>
  <c r="BX11" i="10"/>
  <c r="BY11" i="10" a="1"/>
  <c r="BY11" i="10"/>
  <c r="BZ11" i="10" a="1"/>
  <c r="BZ11" i="10"/>
  <c r="CA11" i="10" a="1"/>
  <c r="CA11" i="10"/>
  <c r="CB11" i="10" a="1"/>
  <c r="CB11" i="10"/>
  <c r="CC11" i="10" a="1"/>
  <c r="CC11" i="10"/>
  <c r="CD11" i="10" a="1"/>
  <c r="CD11" i="10"/>
  <c r="CE11" i="10" a="1"/>
  <c r="CE11" i="10"/>
  <c r="CF11" i="10" a="1"/>
  <c r="CF11" i="10"/>
  <c r="CG11" i="10" a="1"/>
  <c r="CG11" i="10"/>
  <c r="CH11" i="10" a="1"/>
  <c r="CH11" i="10"/>
  <c r="CI11" i="10" a="1"/>
  <c r="CI11" i="10"/>
  <c r="CJ11" i="10" a="1"/>
  <c r="CJ11" i="10"/>
  <c r="CK11" i="10" a="1"/>
  <c r="CK11" i="10"/>
  <c r="CL11" i="10" a="1"/>
  <c r="CL11" i="10"/>
  <c r="CM11" i="10" a="1"/>
  <c r="CM11" i="10"/>
  <c r="CN11" i="10" a="1"/>
  <c r="CN11" i="10"/>
  <c r="CO11" i="10" a="1"/>
  <c r="CO11" i="10"/>
  <c r="CP11" i="10" a="1"/>
  <c r="CP11" i="10"/>
  <c r="CQ11" i="10" a="1"/>
  <c r="CQ11" i="10"/>
  <c r="CR11" i="10" a="1"/>
  <c r="CR11" i="10"/>
  <c r="CS11" i="10" a="1"/>
  <c r="CS11" i="10"/>
  <c r="CT11" i="10" a="1"/>
  <c r="CT11" i="10"/>
  <c r="CU11" i="10" a="1"/>
  <c r="CU11" i="10"/>
  <c r="CV11" i="10" a="1"/>
  <c r="CV11" i="10"/>
  <c r="CW11" i="10" a="1"/>
  <c r="CW11" i="10"/>
  <c r="CX11" i="10" a="1"/>
  <c r="CX11" i="10"/>
  <c r="CY11" i="10" a="1"/>
  <c r="CY11" i="10"/>
  <c r="CZ11" i="10" a="1"/>
  <c r="CZ11" i="10"/>
  <c r="DA11" i="10" a="1"/>
  <c r="DA11" i="10"/>
  <c r="DB11" i="10" a="1"/>
  <c r="DB11" i="10"/>
  <c r="DC11" i="10" a="1"/>
  <c r="DC11" i="10"/>
  <c r="DD11" i="10" a="1"/>
  <c r="DD11" i="10"/>
  <c r="DE11" i="10" a="1"/>
  <c r="DE11" i="10"/>
  <c r="DF11" i="10" a="1"/>
  <c r="DF11" i="10"/>
  <c r="DG11" i="10" a="1"/>
  <c r="DG11" i="10"/>
  <c r="DH11" i="10" a="1"/>
  <c r="DH11" i="10"/>
  <c r="DI11" i="10" a="1"/>
  <c r="DI11" i="10"/>
  <c r="DJ11" i="10" a="1"/>
  <c r="DJ11" i="10"/>
  <c r="DK11" i="10" a="1"/>
  <c r="DK11" i="10"/>
  <c r="DL11" i="10" a="1"/>
  <c r="DL11" i="10"/>
  <c r="DM11" i="10" a="1"/>
  <c r="DM11" i="10"/>
  <c r="DN11" i="10" a="1"/>
  <c r="DN11" i="10"/>
  <c r="DO11" i="10" a="1"/>
  <c r="DO11" i="10"/>
  <c r="DP11" i="10" a="1"/>
  <c r="DP11" i="10"/>
  <c r="DQ11" i="10" a="1"/>
  <c r="DQ11" i="10"/>
  <c r="DR11" i="10" a="1"/>
  <c r="DR11" i="10"/>
  <c r="DS11" i="10" a="1"/>
  <c r="DS11" i="10"/>
  <c r="DT11" i="10" a="1"/>
  <c r="DT11" i="10"/>
  <c r="DU11" i="10" a="1"/>
  <c r="DU11" i="10"/>
  <c r="DV11" i="10" a="1"/>
  <c r="DV11" i="10"/>
  <c r="DW11" i="10" a="1"/>
  <c r="DW11" i="10"/>
  <c r="DX11" i="10" a="1"/>
  <c r="DX11" i="10"/>
  <c r="DY11" i="10" a="1"/>
  <c r="DY11" i="10"/>
  <c r="DZ11" i="10" a="1"/>
  <c r="DZ11" i="10"/>
  <c r="EA11" i="10" a="1"/>
  <c r="EA11" i="10"/>
  <c r="EB11" i="10" a="1"/>
  <c r="EB11" i="10"/>
  <c r="EC11" i="10" a="1"/>
  <c r="EC11" i="10"/>
  <c r="ED11" i="10" a="1"/>
  <c r="ED11" i="10"/>
  <c r="EE11" i="10" a="1"/>
  <c r="EE11" i="10"/>
  <c r="EF11" i="10" a="1"/>
  <c r="EF11" i="10"/>
  <c r="EG11" i="10" a="1"/>
  <c r="EG11" i="10"/>
  <c r="E12" i="10" a="1"/>
  <c r="E12" i="10"/>
  <c r="F12" i="10" a="1"/>
  <c r="F12" i="10"/>
  <c r="G12" i="10" a="1"/>
  <c r="G12" i="10"/>
  <c r="H12" i="10" a="1"/>
  <c r="H12" i="10"/>
  <c r="I12" i="10" a="1"/>
  <c r="I12" i="10"/>
  <c r="J12" i="10" a="1"/>
  <c r="J12" i="10"/>
  <c r="K12" i="10" a="1"/>
  <c r="K12" i="10"/>
  <c r="L12" i="10" a="1"/>
  <c r="L12" i="10"/>
  <c r="M12" i="10" a="1"/>
  <c r="M12" i="10"/>
  <c r="N12" i="10" a="1"/>
  <c r="N12" i="10"/>
  <c r="O12" i="10" a="1"/>
  <c r="O12" i="10"/>
  <c r="P12" i="10" a="1"/>
  <c r="P12" i="10"/>
  <c r="Q12" i="10" a="1"/>
  <c r="Q12" i="10"/>
  <c r="R12" i="10" a="1"/>
  <c r="R12" i="10"/>
  <c r="S12" i="10" a="1"/>
  <c r="S12" i="10"/>
  <c r="T12" i="10" a="1"/>
  <c r="T12" i="10"/>
  <c r="U12" i="10" a="1"/>
  <c r="U12" i="10"/>
  <c r="V12" i="10" a="1"/>
  <c r="V12" i="10"/>
  <c r="W12" i="10" a="1"/>
  <c r="W12" i="10"/>
  <c r="X12" i="10" a="1"/>
  <c r="X12" i="10"/>
  <c r="Y12" i="10" a="1"/>
  <c r="Y12" i="10"/>
  <c r="Z12" i="10" a="1"/>
  <c r="Z12" i="10"/>
  <c r="AA12" i="10" a="1"/>
  <c r="AA12" i="10"/>
  <c r="AB12" i="10" a="1"/>
  <c r="AB12" i="10"/>
  <c r="AC12" i="10" a="1"/>
  <c r="AC12" i="10"/>
  <c r="AD12" i="10" a="1"/>
  <c r="AD12" i="10"/>
  <c r="AE12" i="10" a="1"/>
  <c r="AE12" i="10"/>
  <c r="AF12" i="10" a="1"/>
  <c r="AF12" i="10"/>
  <c r="AG12" i="10" a="1"/>
  <c r="AG12" i="10"/>
  <c r="AH12" i="10" a="1"/>
  <c r="AH12" i="10"/>
  <c r="AI12" i="10" a="1"/>
  <c r="AI12" i="10"/>
  <c r="AJ12" i="10" a="1"/>
  <c r="AJ12" i="10"/>
  <c r="AK12" i="10" a="1"/>
  <c r="AK12" i="10"/>
  <c r="AL12" i="10" a="1"/>
  <c r="AL12" i="10"/>
  <c r="AM12" i="10" a="1"/>
  <c r="AM12" i="10"/>
  <c r="AN12" i="10" a="1"/>
  <c r="AN12" i="10"/>
  <c r="AO12" i="10" a="1"/>
  <c r="AO12" i="10"/>
  <c r="AP12" i="10" a="1"/>
  <c r="AP12" i="10"/>
  <c r="AQ12" i="10" a="1"/>
  <c r="AQ12" i="10"/>
  <c r="AR12" i="10" a="1"/>
  <c r="AR12" i="10"/>
  <c r="AS12" i="10" a="1"/>
  <c r="AS12" i="10"/>
  <c r="AT12" i="10" a="1"/>
  <c r="AT12" i="10"/>
  <c r="AU12" i="10" a="1"/>
  <c r="AU12" i="10"/>
  <c r="AV12" i="10" a="1"/>
  <c r="AV12" i="10"/>
  <c r="AW12" i="10" a="1"/>
  <c r="AW12" i="10"/>
  <c r="AX12" i="10" a="1"/>
  <c r="AX12" i="10"/>
  <c r="AY12" i="10" a="1"/>
  <c r="AY12" i="10"/>
  <c r="AZ12" i="10" a="1"/>
  <c r="AZ12" i="10"/>
  <c r="BA12" i="10" a="1"/>
  <c r="BA12" i="10"/>
  <c r="BB12" i="10" a="1"/>
  <c r="BB12" i="10"/>
  <c r="BC12" i="10" a="1"/>
  <c r="BC12" i="10"/>
  <c r="BD12" i="10" a="1"/>
  <c r="BD12" i="10"/>
  <c r="BE12" i="10" a="1"/>
  <c r="BE12" i="10"/>
  <c r="BF12" i="10" a="1"/>
  <c r="BF12" i="10"/>
  <c r="BG12" i="10" a="1"/>
  <c r="BG12" i="10"/>
  <c r="BH12" i="10" a="1"/>
  <c r="BH12" i="10"/>
  <c r="BI12" i="10" a="1"/>
  <c r="BI12" i="10"/>
  <c r="BJ12" i="10" a="1"/>
  <c r="BJ12" i="10"/>
  <c r="BK12" i="10" a="1"/>
  <c r="BK12" i="10"/>
  <c r="BL12" i="10" a="1"/>
  <c r="BL12" i="10"/>
  <c r="BM12" i="10" a="1"/>
  <c r="BM12" i="10"/>
  <c r="BN12" i="10" a="1"/>
  <c r="BN12" i="10"/>
  <c r="BO12" i="10" a="1"/>
  <c r="BO12" i="10"/>
  <c r="BP12" i="10" a="1"/>
  <c r="BP12" i="10"/>
  <c r="BQ12" i="10" a="1"/>
  <c r="BQ12" i="10"/>
  <c r="BR12" i="10" a="1"/>
  <c r="BR12" i="10"/>
  <c r="BS12" i="10" a="1"/>
  <c r="BS12" i="10"/>
  <c r="BT12" i="10" a="1"/>
  <c r="BT12" i="10"/>
  <c r="BU12" i="10" a="1"/>
  <c r="BU12" i="10"/>
  <c r="BV12" i="10" a="1"/>
  <c r="BV12" i="10"/>
  <c r="BW12" i="10" a="1"/>
  <c r="BW12" i="10"/>
  <c r="BX12" i="10" a="1"/>
  <c r="BX12" i="10"/>
  <c r="BY12" i="10" a="1"/>
  <c r="BY12" i="10"/>
  <c r="BZ12" i="10" a="1"/>
  <c r="BZ12" i="10"/>
  <c r="CA12" i="10" a="1"/>
  <c r="CA12" i="10"/>
  <c r="CB12" i="10" a="1"/>
  <c r="CB12" i="10"/>
  <c r="CC12" i="10" a="1"/>
  <c r="CC12" i="10"/>
  <c r="CD12" i="10" a="1"/>
  <c r="CD12" i="10"/>
  <c r="CE12" i="10" a="1"/>
  <c r="CE12" i="10"/>
  <c r="CF12" i="10" a="1"/>
  <c r="CF12" i="10"/>
  <c r="CG12" i="10" a="1"/>
  <c r="CG12" i="10"/>
  <c r="CH12" i="10" a="1"/>
  <c r="CH12" i="10"/>
  <c r="CI12" i="10" a="1"/>
  <c r="CI12" i="10"/>
  <c r="CJ12" i="10" a="1"/>
  <c r="CJ12" i="10"/>
  <c r="CK12" i="10" a="1"/>
  <c r="CK12" i="10"/>
  <c r="CL12" i="10" a="1"/>
  <c r="CL12" i="10"/>
  <c r="CM12" i="10" a="1"/>
  <c r="CM12" i="10"/>
  <c r="CN12" i="10" a="1"/>
  <c r="CN12" i="10"/>
  <c r="CO12" i="10" a="1"/>
  <c r="CO12" i="10"/>
  <c r="CP12" i="10" a="1"/>
  <c r="CP12" i="10"/>
  <c r="CQ12" i="10" a="1"/>
  <c r="CQ12" i="10"/>
  <c r="CR12" i="10" a="1"/>
  <c r="CR12" i="10"/>
  <c r="CS12" i="10" a="1"/>
  <c r="CS12" i="10"/>
  <c r="CT12" i="10" a="1"/>
  <c r="CT12" i="10"/>
  <c r="CU12" i="10" a="1"/>
  <c r="CU12" i="10"/>
  <c r="CV12" i="10" a="1"/>
  <c r="CV12" i="10"/>
  <c r="CW12" i="10" a="1"/>
  <c r="CW12" i="10"/>
  <c r="CX12" i="10" a="1"/>
  <c r="CX12" i="10"/>
  <c r="CY12" i="10" a="1"/>
  <c r="CY12" i="10"/>
  <c r="CZ12" i="10" a="1"/>
  <c r="CZ12" i="10"/>
  <c r="DA12" i="10" a="1"/>
  <c r="DA12" i="10"/>
  <c r="DB12" i="10" a="1"/>
  <c r="DB12" i="10"/>
  <c r="DC12" i="10" a="1"/>
  <c r="DC12" i="10"/>
  <c r="DD12" i="10" a="1"/>
  <c r="DD12" i="10"/>
  <c r="DE12" i="10" a="1"/>
  <c r="DE12" i="10"/>
  <c r="DF12" i="10" a="1"/>
  <c r="DF12" i="10"/>
  <c r="DG12" i="10" a="1"/>
  <c r="DG12" i="10"/>
  <c r="DH12" i="10" a="1"/>
  <c r="DH12" i="10"/>
  <c r="DI12" i="10" a="1"/>
  <c r="DI12" i="10" s="1"/>
  <c r="DJ12" i="10" a="1"/>
  <c r="DJ12" i="10" s="1"/>
  <c r="DK12" i="10" a="1"/>
  <c r="DK12" i="10" s="1"/>
  <c r="DL12" i="10" a="1"/>
  <c r="DL12" i="10" s="1"/>
  <c r="DM12" i="10" a="1"/>
  <c r="DM12" i="10" s="1"/>
  <c r="DN12" i="10" a="1"/>
  <c r="DN12" i="10" s="1"/>
  <c r="DO12" i="10" a="1"/>
  <c r="DO12" i="10" s="1"/>
  <c r="DP12" i="10" a="1"/>
  <c r="DP12" i="10" s="1"/>
  <c r="DQ12" i="10" a="1"/>
  <c r="DQ12" i="10"/>
  <c r="DR12" i="10" a="1"/>
  <c r="DR12" i="10" s="1"/>
  <c r="DS12" i="10" a="1"/>
  <c r="DS12" i="10" s="1"/>
  <c r="DT12" i="10" a="1"/>
  <c r="DT12" i="10" s="1"/>
  <c r="DU12" i="10" a="1"/>
  <c r="DU12" i="10" s="1"/>
  <c r="DV12" i="10" a="1"/>
  <c r="DV12" i="10" s="1"/>
  <c r="DW12" i="10" a="1"/>
  <c r="DW12" i="10" s="1"/>
  <c r="DX12" i="10" a="1"/>
  <c r="DX12" i="10" s="1"/>
  <c r="DY12" i="10" a="1"/>
  <c r="DY12" i="10" s="1"/>
  <c r="DZ12" i="10" a="1"/>
  <c r="DZ12" i="10" s="1"/>
  <c r="EA12" i="10" a="1"/>
  <c r="EA12" i="10" s="1"/>
  <c r="EB12" i="10" a="1"/>
  <c r="EB12" i="10" s="1"/>
  <c r="EC12" i="10" a="1"/>
  <c r="EC12" i="10" s="1"/>
  <c r="ED12" i="10" a="1"/>
  <c r="ED12" i="10" s="1"/>
  <c r="EE12" i="10" a="1"/>
  <c r="EE12" i="10" s="1"/>
  <c r="EF12" i="10" a="1"/>
  <c r="EF12" i="10" s="1"/>
  <c r="EG12" i="10" a="1"/>
  <c r="EG12" i="10" s="1"/>
  <c r="E13" i="10" a="1"/>
  <c r="E13" i="10" s="1"/>
  <c r="F13" i="10" a="1"/>
  <c r="F13" i="10" s="1"/>
  <c r="G13" i="10" a="1"/>
  <c r="G13" i="10" s="1"/>
  <c r="H13" i="10" a="1"/>
  <c r="H13" i="10" s="1"/>
  <c r="I13" i="10" a="1"/>
  <c r="I13" i="10" s="1"/>
  <c r="J13" i="10" a="1"/>
  <c r="J13" i="10" s="1"/>
  <c r="K13" i="10" a="1"/>
  <c r="K13" i="10" s="1"/>
  <c r="L13" i="10" a="1"/>
  <c r="L13" i="10" s="1"/>
  <c r="M13" i="10" a="1"/>
  <c r="M13" i="10" s="1"/>
  <c r="N13" i="10" a="1"/>
  <c r="N13" i="10" s="1"/>
  <c r="O13" i="10" a="1"/>
  <c r="O13" i="10" s="1"/>
  <c r="P13" i="10" a="1"/>
  <c r="P13" i="10" s="1"/>
  <c r="Q13" i="10" a="1"/>
  <c r="Q13" i="10" s="1"/>
  <c r="R13" i="10" a="1"/>
  <c r="R13" i="10" s="1"/>
  <c r="S13" i="10" a="1"/>
  <c r="S13" i="10" s="1"/>
  <c r="T13" i="10" a="1"/>
  <c r="T13" i="10" s="1"/>
  <c r="U13" i="10" a="1"/>
  <c r="U13" i="10" s="1"/>
  <c r="V13" i="10" a="1"/>
  <c r="V13" i="10" s="1"/>
  <c r="W13" i="10" a="1"/>
  <c r="W13" i="10" s="1"/>
  <c r="X13" i="10" a="1"/>
  <c r="X13" i="10" s="1"/>
  <c r="Y13" i="10" a="1"/>
  <c r="Y13" i="10" s="1"/>
  <c r="Z13" i="10" a="1"/>
  <c r="Z13" i="10" s="1"/>
  <c r="AA13" i="10" a="1"/>
  <c r="AA13" i="10" s="1"/>
  <c r="AB13" i="10" a="1"/>
  <c r="AB13" i="10" s="1"/>
  <c r="AC13" i="10" a="1"/>
  <c r="AC13" i="10" s="1"/>
  <c r="AD13" i="10" a="1"/>
  <c r="AD13" i="10" s="1"/>
  <c r="AE13" i="10" a="1"/>
  <c r="AE13" i="10" s="1"/>
  <c r="AF13" i="10" a="1"/>
  <c r="AF13" i="10" s="1"/>
  <c r="AG13" i="10" a="1"/>
  <c r="AG13" i="10" s="1"/>
  <c r="AH13" i="10" a="1"/>
  <c r="AH13" i="10" s="1"/>
  <c r="AI13" i="10" a="1"/>
  <c r="AI13" i="10" s="1"/>
  <c r="AJ13" i="10" a="1"/>
  <c r="AJ13" i="10" s="1"/>
  <c r="AK13" i="10" a="1"/>
  <c r="AK13" i="10" s="1"/>
  <c r="AL13" i="10" a="1"/>
  <c r="AL13" i="10" s="1"/>
  <c r="AM13" i="10" a="1"/>
  <c r="AM13" i="10" s="1"/>
  <c r="AN13" i="10" a="1"/>
  <c r="AN13" i="10" s="1"/>
  <c r="AO13" i="10" a="1"/>
  <c r="AO13" i="10" s="1"/>
  <c r="AP13" i="10" a="1"/>
  <c r="AP13" i="10" s="1"/>
  <c r="AQ13" i="10" a="1"/>
  <c r="AQ13" i="10" s="1"/>
  <c r="AR13" i="10" a="1"/>
  <c r="AR13" i="10" s="1"/>
  <c r="AS13" i="10" a="1"/>
  <c r="AS13" i="10" s="1"/>
  <c r="AT13" i="10" a="1"/>
  <c r="AT13" i="10" s="1"/>
  <c r="AU13" i="10" a="1"/>
  <c r="AU13" i="10" s="1"/>
  <c r="AV13" i="10" a="1"/>
  <c r="AV13" i="10" s="1"/>
  <c r="AW13" i="10" a="1"/>
  <c r="AW13" i="10" s="1"/>
  <c r="AX13" i="10" a="1"/>
  <c r="AX13" i="10" s="1"/>
  <c r="AY13" i="10" a="1"/>
  <c r="AY13" i="10" s="1"/>
  <c r="AZ13" i="10" a="1"/>
  <c r="AZ13" i="10" s="1"/>
  <c r="BA13" i="10" a="1"/>
  <c r="BA13" i="10" s="1"/>
  <c r="BB13" i="10" a="1"/>
  <c r="BB13" i="10" s="1"/>
  <c r="BC13" i="10" a="1"/>
  <c r="BC13" i="10" s="1"/>
  <c r="BD13" i="10" a="1"/>
  <c r="BD13" i="10" s="1"/>
  <c r="BE13" i="10" a="1"/>
  <c r="BE13" i="10" s="1"/>
  <c r="BF13" i="10" a="1"/>
  <c r="BF13" i="10" s="1"/>
  <c r="BG13" i="10" a="1"/>
  <c r="BG13" i="10" s="1"/>
  <c r="BH13" i="10" a="1"/>
  <c r="BH13" i="10" s="1"/>
  <c r="BI13" i="10" a="1"/>
  <c r="BI13" i="10" s="1"/>
  <c r="BJ13" i="10" a="1"/>
  <c r="BJ13" i="10" s="1"/>
  <c r="BK13" i="10" a="1"/>
  <c r="BK13" i="10" s="1"/>
  <c r="BL13" i="10" a="1"/>
  <c r="BL13" i="10" s="1"/>
  <c r="BM13" i="10" a="1"/>
  <c r="BM13" i="10" s="1"/>
  <c r="BN13" i="10" a="1"/>
  <c r="BN13" i="10" s="1"/>
  <c r="BO13" i="10" a="1"/>
  <c r="BO13" i="10" s="1"/>
  <c r="BP13" i="10" a="1"/>
  <c r="BP13" i="10" s="1"/>
  <c r="BQ13" i="10" a="1"/>
  <c r="BQ13" i="10" s="1"/>
  <c r="BR13" i="10" a="1"/>
  <c r="BR13" i="10" s="1"/>
  <c r="BS13" i="10" a="1"/>
  <c r="BS13" i="10" s="1"/>
  <c r="BT13" i="10" a="1"/>
  <c r="BT13" i="10" s="1"/>
  <c r="BU13" i="10" a="1"/>
  <c r="BU13" i="10" s="1"/>
  <c r="BV13" i="10" a="1"/>
  <c r="BV13" i="10" s="1"/>
  <c r="BW13" i="10" a="1"/>
  <c r="BW13" i="10" s="1"/>
  <c r="BX13" i="10" a="1"/>
  <c r="BX13" i="10" s="1"/>
  <c r="BY13" i="10" a="1"/>
  <c r="BY13" i="10" s="1"/>
  <c r="BZ13" i="10" a="1"/>
  <c r="BZ13" i="10" s="1"/>
  <c r="CA13" i="10" a="1"/>
  <c r="CA13" i="10" s="1"/>
  <c r="CB13" i="10" a="1"/>
  <c r="CB13" i="10" s="1"/>
  <c r="CC13" i="10" a="1"/>
  <c r="CC13" i="10" s="1"/>
  <c r="CD13" i="10" a="1"/>
  <c r="CD13" i="10" s="1"/>
  <c r="CE13" i="10" a="1"/>
  <c r="CE13" i="10" s="1"/>
  <c r="CF13" i="10" a="1"/>
  <c r="CF13" i="10" s="1"/>
  <c r="CG13" i="10" a="1"/>
  <c r="CG13" i="10" s="1"/>
  <c r="CH13" i="10" a="1"/>
  <c r="CH13" i="10" s="1"/>
  <c r="CI13" i="10" a="1"/>
  <c r="CI13" i="10" s="1"/>
  <c r="CJ13" i="10" a="1"/>
  <c r="CJ13" i="10" s="1"/>
  <c r="CK13" i="10" a="1"/>
  <c r="CK13" i="10" s="1"/>
  <c r="CL13" i="10" a="1"/>
  <c r="CL13" i="10" s="1"/>
  <c r="CM13" i="10" a="1"/>
  <c r="CM13" i="10" s="1"/>
  <c r="CN13" i="10" a="1"/>
  <c r="CN13" i="10" s="1"/>
  <c r="CO13" i="10" a="1"/>
  <c r="CO13" i="10" s="1"/>
  <c r="CP13" i="10" a="1"/>
  <c r="CP13" i="10" s="1"/>
  <c r="CQ13" i="10" a="1"/>
  <c r="CQ13" i="10" s="1"/>
  <c r="CR13" i="10" a="1"/>
  <c r="CR13" i="10" s="1"/>
  <c r="CS13" i="10" a="1"/>
  <c r="CS13" i="10" s="1"/>
  <c r="CT13" i="10" a="1"/>
  <c r="CT13" i="10" s="1"/>
  <c r="CU13" i="10" a="1"/>
  <c r="CU13" i="10" s="1"/>
  <c r="CV13" i="10" a="1"/>
  <c r="CV13" i="10" s="1"/>
  <c r="CW13" i="10" a="1"/>
  <c r="CW13" i="10" s="1"/>
  <c r="CX13" i="10" a="1"/>
  <c r="CX13" i="10" s="1"/>
  <c r="CY13" i="10" a="1"/>
  <c r="CY13" i="10" s="1"/>
  <c r="CZ13" i="10" a="1"/>
  <c r="CZ13" i="10" s="1"/>
  <c r="DA13" i="10" a="1"/>
  <c r="DA13" i="10" s="1"/>
  <c r="DB13" i="10" a="1"/>
  <c r="DB13" i="10" s="1"/>
  <c r="DC13" i="10" a="1"/>
  <c r="DC13" i="10" s="1"/>
  <c r="DD13" i="10" a="1"/>
  <c r="DD13" i="10" s="1"/>
  <c r="DE13" i="10" a="1"/>
  <c r="DE13" i="10" s="1"/>
  <c r="DF13" i="10" a="1"/>
  <c r="DF13" i="10" s="1"/>
  <c r="DG13" i="10" a="1"/>
  <c r="DG13" i="10" s="1"/>
  <c r="DH13" i="10" a="1"/>
  <c r="DH13" i="10" s="1"/>
  <c r="DI13" i="10" a="1"/>
  <c r="DI13" i="10" s="1"/>
  <c r="DJ13" i="10" a="1"/>
  <c r="DJ13" i="10" s="1"/>
  <c r="DK13" i="10" a="1"/>
  <c r="DK13" i="10" s="1"/>
  <c r="DL13" i="10" a="1"/>
  <c r="DL13" i="10" s="1"/>
  <c r="DM13" i="10" a="1"/>
  <c r="DM13" i="10" s="1"/>
  <c r="DN13" i="10" a="1"/>
  <c r="DN13" i="10" s="1"/>
  <c r="DO13" i="10" a="1"/>
  <c r="DO13" i="10" s="1"/>
  <c r="DP13" i="10" a="1"/>
  <c r="DP13" i="10" s="1"/>
  <c r="DQ13" i="10" a="1"/>
  <c r="DQ13" i="10" s="1"/>
  <c r="DR13" i="10" a="1"/>
  <c r="DR13" i="10" s="1"/>
  <c r="DS13" i="10" a="1"/>
  <c r="DS13" i="10" s="1"/>
  <c r="DT13" i="10" a="1"/>
  <c r="DT13" i="10" s="1"/>
  <c r="DU13" i="10" a="1"/>
  <c r="DU13" i="10" s="1"/>
  <c r="DV13" i="10" a="1"/>
  <c r="DV13" i="10" s="1"/>
  <c r="DW13" i="10" a="1"/>
  <c r="DW13" i="10" s="1"/>
  <c r="DX13" i="10" a="1"/>
  <c r="DX13" i="10" s="1"/>
  <c r="DY13" i="10" a="1"/>
  <c r="DY13" i="10" s="1"/>
  <c r="DZ13" i="10" a="1"/>
  <c r="DZ13" i="10" s="1"/>
  <c r="EA13" i="10" a="1"/>
  <c r="EA13" i="10" s="1"/>
  <c r="EB13" i="10" a="1"/>
  <c r="EB13" i="10" s="1"/>
  <c r="EC13" i="10" a="1"/>
  <c r="EC13" i="10" s="1"/>
  <c r="ED13" i="10" a="1"/>
  <c r="ED13" i="10" s="1"/>
  <c r="EE13" i="10" a="1"/>
  <c r="EE13" i="10" s="1"/>
  <c r="EF13" i="10" a="1"/>
  <c r="EF13" i="10" s="1"/>
  <c r="EG13" i="10" a="1"/>
  <c r="EG13" i="10" s="1"/>
  <c r="E14" i="10" a="1"/>
  <c r="E14" i="10"/>
  <c r="F14" i="10" a="1"/>
  <c r="F14" i="10" s="1"/>
  <c r="G14" i="10" a="1"/>
  <c r="G14" i="10" s="1"/>
  <c r="H14" i="10" a="1"/>
  <c r="H14" i="10" s="1"/>
  <c r="I14" i="10" a="1"/>
  <c r="I14" i="10" s="1"/>
  <c r="J14" i="10" a="1"/>
  <c r="J14" i="10" s="1"/>
  <c r="K14" i="10" a="1"/>
  <c r="K14" i="10" s="1"/>
  <c r="L14" i="10" a="1"/>
  <c r="L14" i="10" s="1"/>
  <c r="M14" i="10" a="1"/>
  <c r="M14" i="10" s="1"/>
  <c r="N14" i="10" a="1"/>
  <c r="N14" i="10" s="1"/>
  <c r="O14" i="10" a="1"/>
  <c r="O14" i="10" s="1"/>
  <c r="P14" i="10" a="1"/>
  <c r="P14" i="10" s="1"/>
  <c r="Q14" i="10" a="1"/>
  <c r="Q14" i="10" s="1"/>
  <c r="R14" i="10" a="1"/>
  <c r="R14" i="10" s="1"/>
  <c r="S14" i="10" a="1"/>
  <c r="S14" i="10" s="1"/>
  <c r="T14" i="10" a="1"/>
  <c r="T14" i="10" s="1"/>
  <c r="U14" i="10" a="1"/>
  <c r="U14" i="10" s="1"/>
  <c r="V14" i="10" a="1"/>
  <c r="V14" i="10" s="1"/>
  <c r="W14" i="10" a="1"/>
  <c r="W14" i="10" s="1"/>
  <c r="X14" i="10" a="1"/>
  <c r="X14" i="10" s="1"/>
  <c r="Y14" i="10" a="1"/>
  <c r="Y14" i="10" s="1"/>
  <c r="Z14" i="10" a="1"/>
  <c r="Z14" i="10" s="1"/>
  <c r="AA14" i="10" a="1"/>
  <c r="AA14" i="10" s="1"/>
  <c r="AB14" i="10" a="1"/>
  <c r="AB14" i="10" s="1"/>
  <c r="AC14" i="10" a="1"/>
  <c r="AC14" i="10" s="1"/>
  <c r="AD14" i="10" a="1"/>
  <c r="AD14" i="10" s="1"/>
  <c r="AE14" i="10" a="1"/>
  <c r="AE14" i="10" s="1"/>
  <c r="AF14" i="10" a="1"/>
  <c r="AF14" i="10" s="1"/>
  <c r="AG14" i="10" a="1"/>
  <c r="AG14" i="10" s="1"/>
  <c r="AH14" i="10" a="1"/>
  <c r="AH14" i="10" s="1"/>
  <c r="AI14" i="10" a="1"/>
  <c r="AI14" i="10" s="1"/>
  <c r="AJ14" i="10" a="1"/>
  <c r="AJ14" i="10" s="1"/>
  <c r="AK14" i="10" a="1"/>
  <c r="AK14" i="10" s="1"/>
  <c r="AL14" i="10" a="1"/>
  <c r="AL14" i="10" s="1"/>
  <c r="AM14" i="10" a="1"/>
  <c r="AM14" i="10" s="1"/>
  <c r="AN14" i="10" a="1"/>
  <c r="AN14" i="10" s="1"/>
  <c r="AO14" i="10" a="1"/>
  <c r="AO14" i="10" s="1"/>
  <c r="AP14" i="10" a="1"/>
  <c r="AP14" i="10" s="1"/>
  <c r="AQ14" i="10" a="1"/>
  <c r="AQ14" i="10" s="1"/>
  <c r="AR14" i="10" a="1"/>
  <c r="AR14" i="10" s="1"/>
  <c r="AS14" i="10" a="1"/>
  <c r="AS14" i="10" s="1"/>
  <c r="AT14" i="10" a="1"/>
  <c r="AT14" i="10" s="1"/>
  <c r="AU14" i="10" a="1"/>
  <c r="AU14" i="10" s="1"/>
  <c r="AV14" i="10" a="1"/>
  <c r="AV14" i="10" s="1"/>
  <c r="AW14" i="10" a="1"/>
  <c r="AW14" i="10" s="1"/>
  <c r="AX14" i="10" a="1"/>
  <c r="AX14" i="10" s="1"/>
  <c r="AY14" i="10" a="1"/>
  <c r="AY14" i="10" s="1"/>
  <c r="AZ14" i="10" a="1"/>
  <c r="AZ14" i="10" s="1"/>
  <c r="BA14" i="10" a="1"/>
  <c r="BA14" i="10" s="1"/>
  <c r="BB14" i="10" a="1"/>
  <c r="BB14" i="10" s="1"/>
  <c r="BC14" i="10" a="1"/>
  <c r="BC14" i="10" s="1"/>
  <c r="BD14" i="10" a="1"/>
  <c r="BD14" i="10" s="1"/>
  <c r="BE14" i="10" a="1"/>
  <c r="BE14" i="10" s="1"/>
  <c r="BF14" i="10" a="1"/>
  <c r="BF14" i="10" s="1"/>
  <c r="BG14" i="10" a="1"/>
  <c r="BG14" i="10" s="1"/>
  <c r="BH14" i="10" a="1"/>
  <c r="BH14" i="10" s="1"/>
  <c r="BI14" i="10" a="1"/>
  <c r="BI14" i="10" s="1"/>
  <c r="BJ14" i="10" a="1"/>
  <c r="BJ14" i="10" s="1"/>
  <c r="BK14" i="10" a="1"/>
  <c r="BK14" i="10" s="1"/>
  <c r="BL14" i="10" a="1"/>
  <c r="BL14" i="10" s="1"/>
  <c r="BM14" i="10" a="1"/>
  <c r="BM14" i="10" s="1"/>
  <c r="BN14" i="10" a="1"/>
  <c r="BN14" i="10" s="1"/>
  <c r="BO14" i="10" a="1"/>
  <c r="BO14" i="10" s="1"/>
  <c r="BP14" i="10" a="1"/>
  <c r="BP14" i="10" s="1"/>
  <c r="BQ14" i="10" a="1"/>
  <c r="BQ14" i="10" s="1"/>
  <c r="BR14" i="10" a="1"/>
  <c r="BR14" i="10" s="1"/>
  <c r="BS14" i="10" a="1"/>
  <c r="BS14" i="10" s="1"/>
  <c r="BT14" i="10" a="1"/>
  <c r="BT14" i="10" s="1"/>
  <c r="BU14" i="10" a="1"/>
  <c r="BU14" i="10" s="1"/>
  <c r="BV14" i="10" a="1"/>
  <c r="BV14" i="10" s="1"/>
  <c r="BW14" i="10" a="1"/>
  <c r="BW14" i="10" s="1"/>
  <c r="BX14" i="10" a="1"/>
  <c r="BX14" i="10" s="1"/>
  <c r="BY14" i="10" a="1"/>
  <c r="BY14" i="10" s="1"/>
  <c r="BZ14" i="10" a="1"/>
  <c r="BZ14" i="10" s="1"/>
  <c r="CA14" i="10" a="1"/>
  <c r="CA14" i="10" s="1"/>
  <c r="CB14" i="10" a="1"/>
  <c r="CB14" i="10" s="1"/>
  <c r="CC14" i="10" a="1"/>
  <c r="CC14" i="10" s="1"/>
  <c r="CD14" i="10" a="1"/>
  <c r="CD14" i="10" s="1"/>
  <c r="CE14" i="10" a="1"/>
  <c r="CE14" i="10" s="1"/>
  <c r="CF14" i="10" a="1"/>
  <c r="CF14" i="10" s="1"/>
  <c r="CG14" i="10" a="1"/>
  <c r="CG14" i="10" s="1"/>
  <c r="CH14" i="10" a="1"/>
  <c r="CH14" i="10" s="1"/>
  <c r="CI14" i="10" a="1"/>
  <c r="CI14" i="10" s="1"/>
  <c r="CJ14" i="10" a="1"/>
  <c r="CJ14" i="10" s="1"/>
  <c r="CK14" i="10" a="1"/>
  <c r="CK14" i="10" s="1"/>
  <c r="CL14" i="10" a="1"/>
  <c r="CL14" i="10" s="1"/>
  <c r="CM14" i="10" a="1"/>
  <c r="CM14" i="10" s="1"/>
  <c r="CN14" i="10" a="1"/>
  <c r="CN14" i="10" s="1"/>
  <c r="CO14" i="10" a="1"/>
  <c r="CO14" i="10" s="1"/>
  <c r="CP14" i="10" a="1"/>
  <c r="CP14" i="10" s="1"/>
  <c r="CQ14" i="10" a="1"/>
  <c r="CQ14" i="10" s="1"/>
  <c r="CR14" i="10" a="1"/>
  <c r="CR14" i="10" s="1"/>
  <c r="CS14" i="10" a="1"/>
  <c r="CS14" i="10" s="1"/>
  <c r="CT14" i="10" a="1"/>
  <c r="CT14" i="10" s="1"/>
  <c r="CU14" i="10" a="1"/>
  <c r="CU14" i="10" s="1"/>
  <c r="CV14" i="10" a="1"/>
  <c r="CV14" i="10" s="1"/>
  <c r="CW14" i="10" a="1"/>
  <c r="CW14" i="10" s="1"/>
  <c r="CX14" i="10" a="1"/>
  <c r="CX14" i="10" s="1"/>
  <c r="CY14" i="10" a="1"/>
  <c r="CY14" i="10" s="1"/>
  <c r="CZ14" i="10" a="1"/>
  <c r="CZ14" i="10" s="1"/>
  <c r="DA14" i="10" a="1"/>
  <c r="DA14" i="10" s="1"/>
  <c r="DB14" i="10" a="1"/>
  <c r="DB14" i="10" s="1"/>
  <c r="DC14" i="10" a="1"/>
  <c r="DC14" i="10" s="1"/>
  <c r="DD14" i="10" a="1"/>
  <c r="DD14" i="10" s="1"/>
  <c r="DE14" i="10" a="1"/>
  <c r="DE14" i="10" s="1"/>
  <c r="DF14" i="10" a="1"/>
  <c r="DF14" i="10" s="1"/>
  <c r="DG14" i="10" a="1"/>
  <c r="DG14" i="10" s="1"/>
  <c r="DH14" i="10" a="1"/>
  <c r="DH14" i="10" s="1"/>
  <c r="DI14" i="10" a="1"/>
  <c r="DI14" i="10" s="1"/>
  <c r="DJ14" i="10" a="1"/>
  <c r="DJ14" i="10" s="1"/>
  <c r="DK14" i="10" a="1"/>
  <c r="DK14" i="10" s="1"/>
  <c r="DL14" i="10" a="1"/>
  <c r="DL14" i="10" s="1"/>
  <c r="DM14" i="10" a="1"/>
  <c r="DM14" i="10" s="1"/>
  <c r="DN14" i="10" a="1"/>
  <c r="DN14" i="10" s="1"/>
  <c r="DO14" i="10" a="1"/>
  <c r="DO14" i="10" s="1"/>
  <c r="DP14" i="10" a="1"/>
  <c r="DP14" i="10" s="1"/>
  <c r="DQ14" i="10" a="1"/>
  <c r="DQ14" i="10" s="1"/>
  <c r="DR14" i="10" a="1"/>
  <c r="DR14" i="10" s="1"/>
  <c r="DS14" i="10" a="1"/>
  <c r="DS14" i="10" s="1"/>
  <c r="DT14" i="10" a="1"/>
  <c r="DT14" i="10" s="1"/>
  <c r="DU14" i="10" a="1"/>
  <c r="DU14" i="10" s="1"/>
  <c r="DV14" i="10" a="1"/>
  <c r="DV14" i="10" s="1"/>
  <c r="DW14" i="10" a="1"/>
  <c r="DW14" i="10" s="1"/>
  <c r="DX14" i="10" a="1"/>
  <c r="DX14" i="10" s="1"/>
  <c r="DY14" i="10" a="1"/>
  <c r="DY14" i="10" s="1"/>
  <c r="DZ14" i="10" a="1"/>
  <c r="DZ14" i="10" s="1"/>
  <c r="EA14" i="10" a="1"/>
  <c r="EA14" i="10" s="1"/>
  <c r="EB14" i="10" a="1"/>
  <c r="EB14" i="10" s="1"/>
  <c r="EC14" i="10" a="1"/>
  <c r="EC14" i="10" s="1"/>
  <c r="ED14" i="10" a="1"/>
  <c r="ED14" i="10" s="1"/>
  <c r="EE14" i="10" a="1"/>
  <c r="EE14" i="10" s="1"/>
  <c r="EF14" i="10" a="1"/>
  <c r="EF14" i="10" s="1"/>
  <c r="EG14" i="10" a="1"/>
  <c r="EG14" i="10" s="1"/>
  <c r="E15" i="10" a="1"/>
  <c r="E15" i="10" s="1"/>
  <c r="F15" i="10" a="1"/>
  <c r="F15" i="10" s="1"/>
  <c r="G15" i="10" a="1"/>
  <c r="G15" i="10" s="1"/>
  <c r="H15" i="10" a="1"/>
  <c r="H15" i="10" s="1"/>
  <c r="I15" i="10" a="1"/>
  <c r="I15" i="10" s="1"/>
  <c r="J15" i="10" a="1"/>
  <c r="J15" i="10" s="1"/>
  <c r="K15" i="10" a="1"/>
  <c r="K15" i="10" s="1"/>
  <c r="L15" i="10" a="1"/>
  <c r="L15" i="10" s="1"/>
  <c r="M15" i="10" a="1"/>
  <c r="M15" i="10" s="1"/>
  <c r="N15" i="10" a="1"/>
  <c r="N15" i="10" s="1"/>
  <c r="O15" i="10" a="1"/>
  <c r="O15" i="10" s="1"/>
  <c r="P15" i="10" a="1"/>
  <c r="P15" i="10" s="1"/>
  <c r="Q15" i="10" a="1"/>
  <c r="Q15" i="10" s="1"/>
  <c r="R15" i="10" a="1"/>
  <c r="R15" i="10" s="1"/>
  <c r="S15" i="10" a="1"/>
  <c r="S15" i="10" s="1"/>
  <c r="T15" i="10" a="1"/>
  <c r="T15" i="10" s="1"/>
  <c r="U15" i="10" a="1"/>
  <c r="U15" i="10" s="1"/>
  <c r="V15" i="10" a="1"/>
  <c r="V15" i="10" s="1"/>
  <c r="W15" i="10" a="1"/>
  <c r="W15" i="10" s="1"/>
  <c r="X15" i="10" a="1"/>
  <c r="X15" i="10" s="1"/>
  <c r="Y15" i="10" a="1"/>
  <c r="Y15" i="10" s="1"/>
  <c r="Z15" i="10" a="1"/>
  <c r="Z15" i="10" s="1"/>
  <c r="AA15" i="10" a="1"/>
  <c r="AA15" i="10" s="1"/>
  <c r="AB15" i="10" a="1"/>
  <c r="AB15" i="10" s="1"/>
  <c r="AC15" i="10" a="1"/>
  <c r="AC15" i="10" s="1"/>
  <c r="AD15" i="10" a="1"/>
  <c r="AD15" i="10" s="1"/>
  <c r="AE15" i="10" a="1"/>
  <c r="AE15" i="10" s="1"/>
  <c r="AF15" i="10" a="1"/>
  <c r="AF15" i="10" s="1"/>
  <c r="AG15" i="10" a="1"/>
  <c r="AG15" i="10" s="1"/>
  <c r="AH15" i="10" a="1"/>
  <c r="AH15" i="10" s="1"/>
  <c r="AI15" i="10" a="1"/>
  <c r="AI15" i="10" s="1"/>
  <c r="AJ15" i="10" a="1"/>
  <c r="AJ15" i="10" s="1"/>
  <c r="AK15" i="10" a="1"/>
  <c r="AK15" i="10" s="1"/>
  <c r="AL15" i="10" a="1"/>
  <c r="AL15" i="10" s="1"/>
  <c r="AM15" i="10" a="1"/>
  <c r="AM15" i="10" s="1"/>
  <c r="AN15" i="10" a="1"/>
  <c r="AN15" i="10" s="1"/>
  <c r="AO15" i="10" a="1"/>
  <c r="AO15" i="10" s="1"/>
  <c r="AP15" i="10" a="1"/>
  <c r="AP15" i="10" s="1"/>
  <c r="AQ15" i="10" a="1"/>
  <c r="AQ15" i="10" s="1"/>
  <c r="AR15" i="10" a="1"/>
  <c r="AR15" i="10" s="1"/>
  <c r="AS15" i="10" a="1"/>
  <c r="AS15" i="10" s="1"/>
  <c r="AT15" i="10" a="1"/>
  <c r="AT15" i="10" s="1"/>
  <c r="AU15" i="10" a="1"/>
  <c r="AU15" i="10" s="1"/>
  <c r="AV15" i="10" a="1"/>
  <c r="AV15" i="10" s="1"/>
  <c r="AW15" i="10" a="1"/>
  <c r="AW15" i="10" s="1"/>
  <c r="AX15" i="10" a="1"/>
  <c r="AX15" i="10" s="1"/>
  <c r="AY15" i="10" a="1"/>
  <c r="AY15" i="10" s="1"/>
  <c r="AZ15" i="10" a="1"/>
  <c r="AZ15" i="10" s="1"/>
  <c r="BA15" i="10" a="1"/>
  <c r="BA15" i="10" s="1"/>
  <c r="BB15" i="10" a="1"/>
  <c r="BB15" i="10" s="1"/>
  <c r="BC15" i="10" a="1"/>
  <c r="BC15" i="10" s="1"/>
  <c r="BD15" i="10" a="1"/>
  <c r="BD15" i="10" s="1"/>
  <c r="BE15" i="10" a="1"/>
  <c r="BE15" i="10" s="1"/>
  <c r="BF15" i="10" a="1"/>
  <c r="BF15" i="10" s="1"/>
  <c r="BG15" i="10" a="1"/>
  <c r="BG15" i="10" s="1"/>
  <c r="BH15" i="10" a="1"/>
  <c r="BH15" i="10" s="1"/>
  <c r="BI15" i="10" a="1"/>
  <c r="BI15" i="10" s="1"/>
  <c r="BJ15" i="10" a="1"/>
  <c r="BJ15" i="10" s="1"/>
  <c r="BK15" i="10" a="1"/>
  <c r="BK15" i="10" s="1"/>
  <c r="BL15" i="10" a="1"/>
  <c r="BL15" i="10" s="1"/>
  <c r="BM15" i="10" a="1"/>
  <c r="BM15" i="10" s="1"/>
  <c r="BN15" i="10" a="1"/>
  <c r="BN15" i="10" s="1"/>
  <c r="BO15" i="10" a="1"/>
  <c r="BO15" i="10" s="1"/>
  <c r="BP15" i="10" a="1"/>
  <c r="BP15" i="10" s="1"/>
  <c r="BQ15" i="10" a="1"/>
  <c r="BQ15" i="10" s="1"/>
  <c r="BR15" i="10" a="1"/>
  <c r="BR15" i="10" s="1"/>
  <c r="BS15" i="10" a="1"/>
  <c r="BS15" i="10" s="1"/>
  <c r="BT15" i="10" a="1"/>
  <c r="BT15" i="10" s="1"/>
  <c r="BU15" i="10" a="1"/>
  <c r="BU15" i="10" s="1"/>
  <c r="BV15" i="10" a="1"/>
  <c r="BV15" i="10" s="1"/>
  <c r="BW15" i="10" a="1"/>
  <c r="BW15" i="10" s="1"/>
  <c r="BX15" i="10" a="1"/>
  <c r="BX15" i="10" s="1"/>
  <c r="BY15" i="10" a="1"/>
  <c r="BY15" i="10" s="1"/>
  <c r="BZ15" i="10" a="1"/>
  <c r="BZ15" i="10" s="1"/>
  <c r="CA15" i="10" a="1"/>
  <c r="CA15" i="10" s="1"/>
  <c r="CB15" i="10" a="1"/>
  <c r="CB15" i="10" s="1"/>
  <c r="CC15" i="10" a="1"/>
  <c r="CC15" i="10" s="1"/>
  <c r="CD15" i="10" a="1"/>
  <c r="CD15" i="10" s="1"/>
  <c r="CE15" i="10" a="1"/>
  <c r="CE15" i="10" s="1"/>
  <c r="CF15" i="10" a="1"/>
  <c r="CF15" i="10" s="1"/>
  <c r="CG15" i="10" a="1"/>
  <c r="CG15" i="10" s="1"/>
  <c r="CH15" i="10" a="1"/>
  <c r="CH15" i="10" s="1"/>
  <c r="CI15" i="10" a="1"/>
  <c r="CI15" i="10" s="1"/>
  <c r="CJ15" i="10" a="1"/>
  <c r="CJ15" i="10" s="1"/>
  <c r="CK15" i="10" a="1"/>
  <c r="CK15" i="10" s="1"/>
  <c r="CL15" i="10" a="1"/>
  <c r="CL15" i="10" s="1"/>
  <c r="CM15" i="10" a="1"/>
  <c r="CM15" i="10" s="1"/>
  <c r="CN15" i="10" a="1"/>
  <c r="CN15" i="10" s="1"/>
  <c r="CO15" i="10" a="1"/>
  <c r="CO15" i="10" s="1"/>
  <c r="CP15" i="10" a="1"/>
  <c r="CP15" i="10" s="1"/>
  <c r="CQ15" i="10" a="1"/>
  <c r="CQ15" i="10" s="1"/>
  <c r="CR15" i="10" a="1"/>
  <c r="CR15" i="10" s="1"/>
  <c r="CS15" i="10" a="1"/>
  <c r="CS15" i="10" s="1"/>
  <c r="CT15" i="10" a="1"/>
  <c r="CT15" i="10" s="1"/>
  <c r="CU15" i="10" a="1"/>
  <c r="CU15" i="10" s="1"/>
  <c r="CV15" i="10" a="1"/>
  <c r="CV15" i="10" s="1"/>
  <c r="CW15" i="10" a="1"/>
  <c r="CW15" i="10" s="1"/>
  <c r="CX15" i="10" a="1"/>
  <c r="CX15" i="10" s="1"/>
  <c r="CY15" i="10" a="1"/>
  <c r="CY15" i="10" s="1"/>
  <c r="CZ15" i="10" a="1"/>
  <c r="CZ15" i="10" s="1"/>
  <c r="DA15" i="10" a="1"/>
  <c r="DA15" i="10" s="1"/>
  <c r="DB15" i="10" a="1"/>
  <c r="DB15" i="10" s="1"/>
  <c r="DC15" i="10" a="1"/>
  <c r="DC15" i="10" s="1"/>
  <c r="DD15" i="10" a="1"/>
  <c r="DD15" i="10" s="1"/>
  <c r="DE15" i="10" a="1"/>
  <c r="DE15" i="10" s="1"/>
  <c r="DF15" i="10" a="1"/>
  <c r="DF15" i="10" s="1"/>
  <c r="DG15" i="10" a="1"/>
  <c r="DG15" i="10" s="1"/>
  <c r="DH15" i="10" a="1"/>
  <c r="DH15" i="10" s="1"/>
  <c r="DI15" i="10" a="1"/>
  <c r="DI15" i="10" s="1"/>
  <c r="DJ15" i="10" a="1"/>
  <c r="DJ15" i="10" s="1"/>
  <c r="DK15" i="10" a="1"/>
  <c r="DK15" i="10" s="1"/>
  <c r="DL15" i="10" a="1"/>
  <c r="DL15" i="10" s="1"/>
  <c r="DM15" i="10" a="1"/>
  <c r="DM15" i="10" s="1"/>
  <c r="DN15" i="10" a="1"/>
  <c r="DN15" i="10" s="1"/>
  <c r="DO15" i="10" a="1"/>
  <c r="DO15" i="10" s="1"/>
  <c r="DP15" i="10" a="1"/>
  <c r="DP15" i="10" s="1"/>
  <c r="DQ15" i="10" a="1"/>
  <c r="DQ15" i="10" s="1"/>
  <c r="DR15" i="10" a="1"/>
  <c r="DR15" i="10" s="1"/>
  <c r="DS15" i="10" a="1"/>
  <c r="DS15" i="10" s="1"/>
  <c r="DT15" i="10" a="1"/>
  <c r="DT15" i="10" s="1"/>
  <c r="DU15" i="10" a="1"/>
  <c r="DU15" i="10" s="1"/>
  <c r="DV15" i="10" a="1"/>
  <c r="DV15" i="10" s="1"/>
  <c r="DW15" i="10" a="1"/>
  <c r="DW15" i="10" s="1"/>
  <c r="DX15" i="10" a="1"/>
  <c r="DX15" i="10" s="1"/>
  <c r="DY15" i="10" a="1"/>
  <c r="DY15" i="10" s="1"/>
  <c r="DZ15" i="10" a="1"/>
  <c r="DZ15" i="10" s="1"/>
  <c r="EA15" i="10" a="1"/>
  <c r="EA15" i="10" s="1"/>
  <c r="EB15" i="10" a="1"/>
  <c r="EB15" i="10" s="1"/>
  <c r="EC15" i="10" a="1"/>
  <c r="EC15" i="10" s="1"/>
  <c r="ED15" i="10" a="1"/>
  <c r="ED15" i="10" s="1"/>
  <c r="EE15" i="10" a="1"/>
  <c r="EE15" i="10" s="1"/>
  <c r="EF15" i="10" a="1"/>
  <c r="EF15" i="10" s="1"/>
  <c r="EG15" i="10" a="1"/>
  <c r="EG15" i="10" s="1"/>
  <c r="E16" i="10" a="1"/>
  <c r="E16" i="10" s="1"/>
  <c r="F16" i="10" a="1"/>
  <c r="F16" i="10" s="1"/>
  <c r="G16" i="10" a="1"/>
  <c r="G16" i="10" s="1"/>
  <c r="H16" i="10" a="1"/>
  <c r="H16" i="10" s="1"/>
  <c r="I16" i="10" a="1"/>
  <c r="I16" i="10" s="1"/>
  <c r="J16" i="10" a="1"/>
  <c r="J16" i="10" s="1"/>
  <c r="K16" i="10" a="1"/>
  <c r="K16" i="10" s="1"/>
  <c r="L16" i="10" a="1"/>
  <c r="L16" i="10" s="1"/>
  <c r="M16" i="10" a="1"/>
  <c r="M16" i="10" s="1"/>
  <c r="N16" i="10" a="1"/>
  <c r="N16" i="10" s="1"/>
  <c r="O16" i="10" a="1"/>
  <c r="O16" i="10" s="1"/>
  <c r="P16" i="10" a="1"/>
  <c r="P16" i="10" s="1"/>
  <c r="Q16" i="10" a="1"/>
  <c r="Q16" i="10" s="1"/>
  <c r="R16" i="10" a="1"/>
  <c r="R16" i="10" s="1"/>
  <c r="S16" i="10" a="1"/>
  <c r="S16" i="10" s="1"/>
  <c r="T16" i="10" a="1"/>
  <c r="T16" i="10" s="1"/>
  <c r="U16" i="10" a="1"/>
  <c r="U16" i="10" s="1"/>
  <c r="V16" i="10" a="1"/>
  <c r="V16" i="10" s="1"/>
  <c r="W16" i="10" a="1"/>
  <c r="W16" i="10" s="1"/>
  <c r="X16" i="10" a="1"/>
  <c r="X16" i="10" s="1"/>
  <c r="Y16" i="10" a="1"/>
  <c r="Y16" i="10" s="1"/>
  <c r="Z16" i="10" a="1"/>
  <c r="Z16" i="10" s="1"/>
  <c r="AA16" i="10" a="1"/>
  <c r="AA16" i="10" s="1"/>
  <c r="AB16" i="10" a="1"/>
  <c r="AB16" i="10" s="1"/>
  <c r="AC16" i="10" a="1"/>
  <c r="AC16" i="10" s="1"/>
  <c r="AD16" i="10" a="1"/>
  <c r="AD16" i="10" s="1"/>
  <c r="AE16" i="10" a="1"/>
  <c r="AE16" i="10" s="1"/>
  <c r="AF16" i="10" a="1"/>
  <c r="AF16" i="10" s="1"/>
  <c r="AG16" i="10" a="1"/>
  <c r="AG16" i="10" s="1"/>
  <c r="AH16" i="10" a="1"/>
  <c r="AH16" i="10" s="1"/>
  <c r="AI16" i="10" a="1"/>
  <c r="AI16" i="10" s="1"/>
  <c r="AJ16" i="10" a="1"/>
  <c r="AJ16" i="10" s="1"/>
  <c r="AK16" i="10" a="1"/>
  <c r="AK16" i="10" s="1"/>
  <c r="AL16" i="10" a="1"/>
  <c r="AL16" i="10" s="1"/>
  <c r="AM16" i="10" a="1"/>
  <c r="AM16" i="10" s="1"/>
  <c r="AN16" i="10" a="1"/>
  <c r="AN16" i="10" s="1"/>
  <c r="AO16" i="10" a="1"/>
  <c r="AO16" i="10" s="1"/>
  <c r="AP16" i="10" a="1"/>
  <c r="AP16" i="10" s="1"/>
  <c r="AQ16" i="10" a="1"/>
  <c r="AQ16" i="10" s="1"/>
  <c r="AR16" i="10" a="1"/>
  <c r="AR16" i="10" s="1"/>
  <c r="AS16" i="10" a="1"/>
  <c r="AS16" i="10" s="1"/>
  <c r="AT16" i="10" a="1"/>
  <c r="AT16" i="10" s="1"/>
  <c r="AU16" i="10" a="1"/>
  <c r="AU16" i="10" s="1"/>
  <c r="AV16" i="10" a="1"/>
  <c r="AV16" i="10" s="1"/>
  <c r="AW16" i="10" a="1"/>
  <c r="AW16" i="10" s="1"/>
  <c r="AX16" i="10" a="1"/>
  <c r="AX16" i="10" s="1"/>
  <c r="AY16" i="10" a="1"/>
  <c r="AY16" i="10" s="1"/>
  <c r="AZ16" i="10" a="1"/>
  <c r="AZ16" i="10" s="1"/>
  <c r="BA16" i="10" a="1"/>
  <c r="BA16" i="10" s="1"/>
  <c r="BB16" i="10" a="1"/>
  <c r="BB16" i="10" s="1"/>
  <c r="BC16" i="10" a="1"/>
  <c r="BC16" i="10" s="1"/>
  <c r="BD16" i="10" a="1"/>
  <c r="BD16" i="10" s="1"/>
  <c r="BE16" i="10" a="1"/>
  <c r="BE16" i="10" s="1"/>
  <c r="BF16" i="10" a="1"/>
  <c r="BF16" i="10" s="1"/>
  <c r="BG16" i="10" a="1"/>
  <c r="BG16" i="10" s="1"/>
  <c r="BH16" i="10" a="1"/>
  <c r="BH16" i="10" s="1"/>
  <c r="BI16" i="10" a="1"/>
  <c r="BI16" i="10" s="1"/>
  <c r="BJ16" i="10" a="1"/>
  <c r="BJ16" i="10" s="1"/>
  <c r="BK16" i="10" a="1"/>
  <c r="BK16" i="10" s="1"/>
  <c r="BL16" i="10" a="1"/>
  <c r="BL16" i="10" s="1"/>
  <c r="BM16" i="10" a="1"/>
  <c r="BM16" i="10" s="1"/>
  <c r="BN16" i="10" a="1"/>
  <c r="BN16" i="10" s="1"/>
  <c r="BO16" i="10" a="1"/>
  <c r="BO16" i="10" s="1"/>
  <c r="BP16" i="10" a="1"/>
  <c r="BP16" i="10" s="1"/>
  <c r="BQ16" i="10" a="1"/>
  <c r="BQ16" i="10" s="1"/>
  <c r="BR16" i="10" a="1"/>
  <c r="BR16" i="10" s="1"/>
  <c r="BS16" i="10" a="1"/>
  <c r="BS16" i="10" s="1"/>
  <c r="BT16" i="10" a="1"/>
  <c r="BT16" i="10" s="1"/>
  <c r="BU16" i="10" a="1"/>
  <c r="BU16" i="10" s="1"/>
  <c r="BV16" i="10" a="1"/>
  <c r="BV16" i="10" s="1"/>
  <c r="BW16" i="10" a="1"/>
  <c r="BW16" i="10" s="1"/>
  <c r="BX16" i="10" a="1"/>
  <c r="BX16" i="10" s="1"/>
  <c r="BY16" i="10" a="1"/>
  <c r="BY16" i="10" s="1"/>
  <c r="BZ16" i="10" a="1"/>
  <c r="BZ16" i="10" s="1"/>
  <c r="CA16" i="10" a="1"/>
  <c r="CA16" i="10" s="1"/>
  <c r="CB16" i="10" a="1"/>
  <c r="CB16" i="10" s="1"/>
  <c r="CC16" i="10" a="1"/>
  <c r="CC16" i="10" s="1"/>
  <c r="CD16" i="10" a="1"/>
  <c r="CD16" i="10" s="1"/>
  <c r="CE16" i="10" a="1"/>
  <c r="CE16" i="10" s="1"/>
  <c r="CF16" i="10" a="1"/>
  <c r="CF16" i="10" s="1"/>
  <c r="CG16" i="10" a="1"/>
  <c r="CG16" i="10" s="1"/>
  <c r="CH16" i="10" a="1"/>
  <c r="CH16" i="10" s="1"/>
  <c r="CI16" i="10" a="1"/>
  <c r="CI16" i="10" s="1"/>
  <c r="CJ16" i="10" a="1"/>
  <c r="CJ16" i="10" s="1"/>
  <c r="CK16" i="10" a="1"/>
  <c r="CK16" i="10" s="1"/>
  <c r="CL16" i="10" a="1"/>
  <c r="CL16" i="10" s="1"/>
  <c r="CM16" i="10" a="1"/>
  <c r="CM16" i="10" s="1"/>
  <c r="CN16" i="10" a="1"/>
  <c r="CN16" i="10" s="1"/>
  <c r="CO16" i="10" a="1"/>
  <c r="CO16" i="10" s="1"/>
  <c r="CP16" i="10" a="1"/>
  <c r="CP16" i="10" s="1"/>
  <c r="CQ16" i="10" a="1"/>
  <c r="CQ16" i="10" s="1"/>
  <c r="CR16" i="10" a="1"/>
  <c r="CR16" i="10" s="1"/>
  <c r="CS16" i="10" a="1"/>
  <c r="CS16" i="10" s="1"/>
  <c r="CT16" i="10" a="1"/>
  <c r="CT16" i="10" s="1"/>
  <c r="CU16" i="10" a="1"/>
  <c r="CU16" i="10" s="1"/>
  <c r="CV16" i="10" a="1"/>
  <c r="CV16" i="10" s="1"/>
  <c r="CW16" i="10" a="1"/>
  <c r="CW16" i="10" s="1"/>
  <c r="CX16" i="10" a="1"/>
  <c r="CX16" i="10" s="1"/>
  <c r="CY16" i="10" a="1"/>
  <c r="CY16" i="10" s="1"/>
  <c r="CZ16" i="10" a="1"/>
  <c r="CZ16" i="10" s="1"/>
  <c r="DA16" i="10" a="1"/>
  <c r="DA16" i="10" s="1"/>
  <c r="DB16" i="10" a="1"/>
  <c r="DB16" i="10" s="1"/>
  <c r="DC16" i="10" a="1"/>
  <c r="DC16" i="10" s="1"/>
  <c r="DD16" i="10" a="1"/>
  <c r="DD16" i="10" s="1"/>
  <c r="DE16" i="10" a="1"/>
  <c r="DE16" i="10" s="1"/>
  <c r="DF16" i="10" a="1"/>
  <c r="DF16" i="10" s="1"/>
  <c r="DG16" i="10" a="1"/>
  <c r="DG16" i="10" s="1"/>
  <c r="DH16" i="10" a="1"/>
  <c r="DH16" i="10" s="1"/>
  <c r="DI16" i="10" a="1"/>
  <c r="DI16" i="10" s="1"/>
  <c r="DJ16" i="10" a="1"/>
  <c r="DJ16" i="10" s="1"/>
  <c r="DK16" i="10" a="1"/>
  <c r="DK16" i="10" s="1"/>
  <c r="DL16" i="10" a="1"/>
  <c r="DL16" i="10" s="1"/>
  <c r="DM16" i="10" a="1"/>
  <c r="DM16" i="10" s="1"/>
  <c r="DN16" i="10" a="1"/>
  <c r="DN16" i="10" s="1"/>
  <c r="DO16" i="10" a="1"/>
  <c r="DO16" i="10" s="1"/>
  <c r="DP16" i="10" a="1"/>
  <c r="DP16" i="10" s="1"/>
  <c r="DQ16" i="10" a="1"/>
  <c r="DQ16" i="10" s="1"/>
  <c r="DR16" i="10" a="1"/>
  <c r="DR16" i="10" s="1"/>
  <c r="DS16" i="10" a="1"/>
  <c r="DS16" i="10" s="1"/>
  <c r="DT16" i="10" a="1"/>
  <c r="DT16" i="10" s="1"/>
  <c r="DU16" i="10" a="1"/>
  <c r="DU16" i="10" s="1"/>
  <c r="DV16" i="10" a="1"/>
  <c r="DV16" i="10" s="1"/>
  <c r="DW16" i="10" a="1"/>
  <c r="DW16" i="10" s="1"/>
  <c r="DX16" i="10" a="1"/>
  <c r="DX16" i="10" s="1"/>
  <c r="DY16" i="10" a="1"/>
  <c r="DY16" i="10" s="1"/>
  <c r="DZ16" i="10" a="1"/>
  <c r="DZ16" i="10" s="1"/>
  <c r="EA16" i="10" a="1"/>
  <c r="EA16" i="10" s="1"/>
  <c r="EB16" i="10" a="1"/>
  <c r="EB16" i="10" s="1"/>
  <c r="EC16" i="10" a="1"/>
  <c r="EC16" i="10" s="1"/>
  <c r="ED16" i="10" a="1"/>
  <c r="ED16" i="10" s="1"/>
  <c r="EE16" i="10" a="1"/>
  <c r="EE16" i="10" s="1"/>
  <c r="EF16" i="10" a="1"/>
  <c r="EF16" i="10" s="1"/>
  <c r="EG16" i="10" a="1"/>
  <c r="EG16" i="10" s="1"/>
  <c r="E17" i="10" a="1"/>
  <c r="E17" i="10" s="1"/>
  <c r="F17" i="10" a="1"/>
  <c r="F17" i="10" s="1"/>
  <c r="G17" i="10" a="1"/>
  <c r="G17" i="10" s="1"/>
  <c r="H17" i="10" a="1"/>
  <c r="H17" i="10" s="1"/>
  <c r="I17" i="10" a="1"/>
  <c r="I17" i="10" s="1"/>
  <c r="J17" i="10" a="1"/>
  <c r="J17" i="10" s="1"/>
  <c r="K17" i="10" a="1"/>
  <c r="K17" i="10" s="1"/>
  <c r="L17" i="10" a="1"/>
  <c r="L17" i="10" s="1"/>
  <c r="M17" i="10" a="1"/>
  <c r="M17" i="10" s="1"/>
  <c r="N17" i="10" a="1"/>
  <c r="N17" i="10" s="1"/>
  <c r="O17" i="10" a="1"/>
  <c r="O17" i="10" s="1"/>
  <c r="P17" i="10" a="1"/>
  <c r="P17" i="10" s="1"/>
  <c r="Q17" i="10" a="1"/>
  <c r="Q17" i="10" s="1"/>
  <c r="R17" i="10" a="1"/>
  <c r="R17" i="10" s="1"/>
  <c r="S17" i="10" a="1"/>
  <c r="S17" i="10" s="1"/>
  <c r="T17" i="10" a="1"/>
  <c r="T17" i="10" s="1"/>
  <c r="U17" i="10" a="1"/>
  <c r="U17" i="10" s="1"/>
  <c r="V17" i="10" a="1"/>
  <c r="V17" i="10" s="1"/>
  <c r="W17" i="10" a="1"/>
  <c r="W17" i="10" s="1"/>
  <c r="X17" i="10" a="1"/>
  <c r="X17" i="10" s="1"/>
  <c r="Y17" i="10" a="1"/>
  <c r="Y17" i="10" s="1"/>
  <c r="Z17" i="10" a="1"/>
  <c r="Z17" i="10" s="1"/>
  <c r="AA17" i="10" a="1"/>
  <c r="AA17" i="10" s="1"/>
  <c r="AB17" i="10" a="1"/>
  <c r="AB17" i="10" s="1"/>
  <c r="AC17" i="10" a="1"/>
  <c r="AC17" i="10" s="1"/>
  <c r="AD17" i="10" a="1"/>
  <c r="AD17" i="10" s="1"/>
  <c r="AE17" i="10" a="1"/>
  <c r="AE17" i="10" s="1"/>
  <c r="AF17" i="10" a="1"/>
  <c r="AF17" i="10" s="1"/>
  <c r="AG17" i="10" a="1"/>
  <c r="AG17" i="10" s="1"/>
  <c r="AH17" i="10" a="1"/>
  <c r="AH17" i="10" s="1"/>
  <c r="AI17" i="10" a="1"/>
  <c r="AI17" i="10" s="1"/>
  <c r="AJ17" i="10" a="1"/>
  <c r="AJ17" i="10" s="1"/>
  <c r="AK17" i="10" a="1"/>
  <c r="AK17" i="10" s="1"/>
  <c r="AL17" i="10" a="1"/>
  <c r="AL17" i="10" s="1"/>
  <c r="AM17" i="10" a="1"/>
  <c r="AM17" i="10" s="1"/>
  <c r="AN17" i="10" a="1"/>
  <c r="AN17" i="10" s="1"/>
  <c r="AO17" i="10" a="1"/>
  <c r="AO17" i="10" s="1"/>
  <c r="AP17" i="10" a="1"/>
  <c r="AP17" i="10" s="1"/>
  <c r="AQ17" i="10" a="1"/>
  <c r="AQ17" i="10" s="1"/>
  <c r="AR17" i="10" a="1"/>
  <c r="AR17" i="10" s="1"/>
  <c r="AS17" i="10" a="1"/>
  <c r="AS17" i="10" s="1"/>
  <c r="AT17" i="10" a="1"/>
  <c r="AT17" i="10" s="1"/>
  <c r="AU17" i="10" a="1"/>
  <c r="AU17" i="10" s="1"/>
  <c r="AV17" i="10" a="1"/>
  <c r="AV17" i="10" s="1"/>
  <c r="AW17" i="10" a="1"/>
  <c r="AW17" i="10" s="1"/>
  <c r="AX17" i="10" a="1"/>
  <c r="AX17" i="10" s="1"/>
  <c r="AY17" i="10" a="1"/>
  <c r="AY17" i="10" s="1"/>
  <c r="AZ17" i="10" a="1"/>
  <c r="AZ17" i="10" s="1"/>
  <c r="BA17" i="10" a="1"/>
  <c r="BA17" i="10" s="1"/>
  <c r="BB17" i="10" a="1"/>
  <c r="BB17" i="10" s="1"/>
  <c r="BC17" i="10" a="1"/>
  <c r="BC17" i="10" s="1"/>
  <c r="BD17" i="10" a="1"/>
  <c r="BD17" i="10" s="1"/>
  <c r="BE17" i="10" a="1"/>
  <c r="BE17" i="10" s="1"/>
  <c r="BF17" i="10" a="1"/>
  <c r="BF17" i="10" s="1"/>
  <c r="BG17" i="10" a="1"/>
  <c r="BG17" i="10" s="1"/>
  <c r="BH17" i="10" a="1"/>
  <c r="BH17" i="10" s="1"/>
  <c r="BI17" i="10" a="1"/>
  <c r="BI17" i="10" s="1"/>
  <c r="BJ17" i="10" a="1"/>
  <c r="BJ17" i="10" s="1"/>
  <c r="BK17" i="10" a="1"/>
  <c r="BK17" i="10" s="1"/>
  <c r="BL17" i="10" a="1"/>
  <c r="BL17" i="10" s="1"/>
  <c r="BM17" i="10" a="1"/>
  <c r="BM17" i="10" s="1"/>
  <c r="BN17" i="10" a="1"/>
  <c r="BN17" i="10" s="1"/>
  <c r="BO17" i="10" a="1"/>
  <c r="BO17" i="10" s="1"/>
  <c r="BP17" i="10" a="1"/>
  <c r="BP17" i="10" s="1"/>
  <c r="BQ17" i="10" a="1"/>
  <c r="BQ17" i="10" s="1"/>
  <c r="BR17" i="10" a="1"/>
  <c r="BR17" i="10" s="1"/>
  <c r="BS17" i="10" a="1"/>
  <c r="BS17" i="10" s="1"/>
  <c r="BT17" i="10" a="1"/>
  <c r="BT17" i="10" s="1"/>
  <c r="BU17" i="10" a="1"/>
  <c r="BU17" i="10" s="1"/>
  <c r="BV17" i="10" a="1"/>
  <c r="BV17" i="10" s="1"/>
  <c r="BW17" i="10" a="1"/>
  <c r="BW17" i="10" s="1"/>
  <c r="BX17" i="10" a="1"/>
  <c r="BX17" i="10" s="1"/>
  <c r="BY17" i="10" a="1"/>
  <c r="BY17" i="10" s="1"/>
  <c r="BZ17" i="10" a="1"/>
  <c r="BZ17" i="10" s="1"/>
  <c r="CA17" i="10" a="1"/>
  <c r="CA17" i="10" s="1"/>
  <c r="CB17" i="10" a="1"/>
  <c r="CB17" i="10" s="1"/>
  <c r="CC17" i="10" a="1"/>
  <c r="CC17" i="10" s="1"/>
  <c r="CD17" i="10" a="1"/>
  <c r="CD17" i="10" s="1"/>
  <c r="CE17" i="10" a="1"/>
  <c r="CE17" i="10" s="1"/>
  <c r="CF17" i="10" a="1"/>
  <c r="CF17" i="10" s="1"/>
  <c r="CG17" i="10" a="1"/>
  <c r="CG17" i="10" s="1"/>
  <c r="CH17" i="10" a="1"/>
  <c r="CH17" i="10" s="1"/>
  <c r="CI17" i="10" a="1"/>
  <c r="CI17" i="10" s="1"/>
  <c r="CJ17" i="10" a="1"/>
  <c r="CJ17" i="10" s="1"/>
  <c r="CK17" i="10" a="1"/>
  <c r="CK17" i="10" s="1"/>
  <c r="CL17" i="10" a="1"/>
  <c r="CL17" i="10" s="1"/>
  <c r="CM17" i="10" a="1"/>
  <c r="CM17" i="10" s="1"/>
  <c r="CN17" i="10" a="1"/>
  <c r="CN17" i="10" s="1"/>
  <c r="CO17" i="10" a="1"/>
  <c r="CO17" i="10" s="1"/>
  <c r="CP17" i="10" a="1"/>
  <c r="CP17" i="10" s="1"/>
  <c r="CQ17" i="10" a="1"/>
  <c r="CQ17" i="10" s="1"/>
  <c r="CR17" i="10" a="1"/>
  <c r="CR17" i="10" s="1"/>
  <c r="CS17" i="10" a="1"/>
  <c r="CS17" i="10" s="1"/>
  <c r="CT17" i="10" a="1"/>
  <c r="CT17" i="10" s="1"/>
  <c r="CU17" i="10" a="1"/>
  <c r="CU17" i="10" s="1"/>
  <c r="CV17" i="10" a="1"/>
  <c r="CV17" i="10" s="1"/>
  <c r="CW17" i="10" a="1"/>
  <c r="CW17" i="10" s="1"/>
  <c r="CX17" i="10" a="1"/>
  <c r="CX17" i="10" s="1"/>
  <c r="CY17" i="10" a="1"/>
  <c r="CY17" i="10" s="1"/>
  <c r="CZ17" i="10" a="1"/>
  <c r="CZ17" i="10" s="1"/>
  <c r="DA17" i="10" a="1"/>
  <c r="DA17" i="10" s="1"/>
  <c r="DB17" i="10" a="1"/>
  <c r="DB17" i="10" s="1"/>
  <c r="DC17" i="10" a="1"/>
  <c r="DC17" i="10" s="1"/>
  <c r="DD17" i="10" a="1"/>
  <c r="DD17" i="10" s="1"/>
  <c r="DE17" i="10" a="1"/>
  <c r="DE17" i="10" s="1"/>
  <c r="DF17" i="10" a="1"/>
  <c r="DF17" i="10" s="1"/>
  <c r="DG17" i="10" a="1"/>
  <c r="DG17" i="10" s="1"/>
  <c r="DH17" i="10" a="1"/>
  <c r="DH17" i="10" s="1"/>
  <c r="DI17" i="10" a="1"/>
  <c r="DI17" i="10" s="1"/>
  <c r="DJ17" i="10" a="1"/>
  <c r="DJ17" i="10" s="1"/>
  <c r="DK17" i="10" a="1"/>
  <c r="DK17" i="10" s="1"/>
  <c r="DL17" i="10" a="1"/>
  <c r="DL17" i="10" s="1"/>
  <c r="DM17" i="10" a="1"/>
  <c r="DM17" i="10" s="1"/>
  <c r="DN17" i="10" a="1"/>
  <c r="DN17" i="10" s="1"/>
  <c r="DO17" i="10" a="1"/>
  <c r="DO17" i="10" s="1"/>
  <c r="DP17" i="10" a="1"/>
  <c r="DP17" i="10" s="1"/>
  <c r="DQ17" i="10" a="1"/>
  <c r="DQ17" i="10" s="1"/>
  <c r="DR17" i="10" a="1"/>
  <c r="DR17" i="10" s="1"/>
  <c r="DS17" i="10" a="1"/>
  <c r="DS17" i="10" s="1"/>
  <c r="DT17" i="10" a="1"/>
  <c r="DT17" i="10" s="1"/>
  <c r="DU17" i="10" a="1"/>
  <c r="DU17" i="10" s="1"/>
  <c r="DV17" i="10" a="1"/>
  <c r="DV17" i="10" s="1"/>
  <c r="DW17" i="10" a="1"/>
  <c r="DW17" i="10" s="1"/>
  <c r="DX17" i="10" a="1"/>
  <c r="DX17" i="10" s="1"/>
  <c r="DY17" i="10" a="1"/>
  <c r="DY17" i="10" s="1"/>
  <c r="DZ17" i="10" a="1"/>
  <c r="DZ17" i="10" s="1"/>
  <c r="EA17" i="10" a="1"/>
  <c r="EA17" i="10"/>
  <c r="EB17" i="10" a="1"/>
  <c r="EB17" i="10"/>
  <c r="EC17" i="10" a="1"/>
  <c r="EC17" i="10"/>
  <c r="ED17" i="10" a="1"/>
  <c r="ED17" i="10"/>
  <c r="EE17" i="10" a="1"/>
  <c r="EE17" i="10"/>
  <c r="EF17" i="10" a="1"/>
  <c r="EF17" i="10"/>
  <c r="EG17" i="10" a="1"/>
  <c r="EG17" i="10"/>
  <c r="E18" i="10" a="1"/>
  <c r="E18" i="10"/>
  <c r="F18" i="10" a="1"/>
  <c r="F18" i="10"/>
  <c r="G18" i="10" a="1"/>
  <c r="G18" i="10"/>
  <c r="H18" i="10" a="1"/>
  <c r="H18" i="10"/>
  <c r="I18" i="10" a="1"/>
  <c r="I18" i="10"/>
  <c r="J18" i="10" a="1"/>
  <c r="J18" i="10"/>
  <c r="K18" i="10" a="1"/>
  <c r="K18" i="10"/>
  <c r="L18" i="10" a="1"/>
  <c r="L18" i="10"/>
  <c r="M18" i="10" a="1"/>
  <c r="M18" i="10"/>
  <c r="N18" i="10" a="1"/>
  <c r="N18" i="10"/>
  <c r="O18" i="10" a="1"/>
  <c r="O18" i="10"/>
  <c r="P18" i="10" a="1"/>
  <c r="P18" i="10"/>
  <c r="Q18" i="10" a="1"/>
  <c r="Q18" i="10"/>
  <c r="R18" i="10" a="1"/>
  <c r="R18" i="10"/>
  <c r="S18" i="10" a="1"/>
  <c r="S18" i="10"/>
  <c r="T18" i="10" a="1"/>
  <c r="T18" i="10"/>
  <c r="U18" i="10" a="1"/>
  <c r="U18" i="10"/>
  <c r="V18" i="10" a="1"/>
  <c r="V18" i="10"/>
  <c r="W18" i="10" a="1"/>
  <c r="W18" i="10"/>
  <c r="X18" i="10" a="1"/>
  <c r="X18" i="10"/>
  <c r="Y18" i="10" a="1"/>
  <c r="Y18" i="10"/>
  <c r="Z18" i="10" a="1"/>
  <c r="Z18" i="10"/>
  <c r="AA18" i="10" a="1"/>
  <c r="AA18" i="10"/>
  <c r="AB18" i="10" a="1"/>
  <c r="AB18" i="10"/>
  <c r="AC18" i="10" a="1"/>
  <c r="AC18" i="10"/>
  <c r="AD18" i="10" a="1"/>
  <c r="AD18" i="10"/>
  <c r="AE18" i="10" a="1"/>
  <c r="AE18" i="10"/>
  <c r="AF18" i="10" a="1"/>
  <c r="AF18" i="10"/>
  <c r="AG18" i="10" a="1"/>
  <c r="AG18" i="10"/>
  <c r="AH18" i="10" a="1"/>
  <c r="AH18" i="10"/>
  <c r="AI18" i="10" a="1"/>
  <c r="AI18" i="10"/>
  <c r="AJ18" i="10" a="1"/>
  <c r="AJ18" i="10"/>
  <c r="AK18" i="10" a="1"/>
  <c r="AK18" i="10"/>
  <c r="AL18" i="10" a="1"/>
  <c r="AL18" i="10"/>
  <c r="AM18" i="10" a="1"/>
  <c r="AM18" i="10"/>
  <c r="AN18" i="10" a="1"/>
  <c r="AN18" i="10"/>
  <c r="AO18" i="10" a="1"/>
  <c r="AO18" i="10"/>
  <c r="AP18" i="10" a="1"/>
  <c r="AP18" i="10"/>
  <c r="AQ18" i="10" a="1"/>
  <c r="AQ18" i="10"/>
  <c r="AR18" i="10" a="1"/>
  <c r="AR18" i="10"/>
  <c r="AS18" i="10" a="1"/>
  <c r="AS18" i="10"/>
  <c r="AT18" i="10" a="1"/>
  <c r="AT18" i="10"/>
  <c r="AU18" i="10" a="1"/>
  <c r="AU18" i="10"/>
  <c r="AV18" i="10" a="1"/>
  <c r="AV18" i="10"/>
  <c r="AW18" i="10" a="1"/>
  <c r="AW18" i="10"/>
  <c r="AX18" i="10" a="1"/>
  <c r="AX18" i="10"/>
  <c r="AY18" i="10" a="1"/>
  <c r="AY18" i="10"/>
  <c r="AZ18" i="10" a="1"/>
  <c r="AZ18" i="10"/>
  <c r="BA18" i="10" a="1"/>
  <c r="BA18" i="10"/>
  <c r="BB18" i="10" a="1"/>
  <c r="BB18" i="10"/>
  <c r="BC18" i="10" a="1"/>
  <c r="BC18" i="10"/>
  <c r="BD18" i="10" a="1"/>
  <c r="BD18" i="10"/>
  <c r="BE18" i="10" a="1"/>
  <c r="BE18" i="10"/>
  <c r="BF18" i="10" a="1"/>
  <c r="BF18" i="10"/>
  <c r="BG18" i="10" a="1"/>
  <c r="BG18" i="10"/>
  <c r="BH18" i="10" a="1"/>
  <c r="BH18" i="10"/>
  <c r="BI18" i="10" a="1"/>
  <c r="BI18" i="10"/>
  <c r="BJ18" i="10" a="1"/>
  <c r="BJ18" i="10"/>
  <c r="BK18" i="10" a="1"/>
  <c r="BK18" i="10"/>
  <c r="BL18" i="10" a="1"/>
  <c r="BL18" i="10"/>
  <c r="BM18" i="10" a="1"/>
  <c r="BM18" i="10"/>
  <c r="BN18" i="10" a="1"/>
  <c r="BN18" i="10"/>
  <c r="BO18" i="10" a="1"/>
  <c r="BO18" i="10"/>
  <c r="BP18" i="10" a="1"/>
  <c r="BP18" i="10"/>
  <c r="BQ18" i="10" a="1"/>
  <c r="BQ18" i="10"/>
  <c r="BR18" i="10" a="1"/>
  <c r="BR18" i="10"/>
  <c r="BS18" i="10" a="1"/>
  <c r="BS18" i="10"/>
  <c r="BT18" i="10" a="1"/>
  <c r="BT18" i="10"/>
  <c r="BU18" i="10" a="1"/>
  <c r="BU18" i="10"/>
  <c r="BV18" i="10" a="1"/>
  <c r="BV18" i="10"/>
  <c r="BW18" i="10" a="1"/>
  <c r="BW18" i="10"/>
  <c r="BX18" i="10" a="1"/>
  <c r="BX18" i="10"/>
  <c r="BY18" i="10" a="1"/>
  <c r="BY18" i="10"/>
  <c r="BZ18" i="10" a="1"/>
  <c r="BZ18" i="10"/>
  <c r="CA18" i="10" a="1"/>
  <c r="CA18" i="10"/>
  <c r="CB18" i="10" a="1"/>
  <c r="CB18" i="10"/>
  <c r="CC18" i="10" a="1"/>
  <c r="CC18" i="10"/>
  <c r="CD18" i="10" a="1"/>
  <c r="CD18" i="10"/>
  <c r="CE18" i="10" a="1"/>
  <c r="CE18" i="10"/>
  <c r="CF18" i="10" a="1"/>
  <c r="CF18" i="10"/>
  <c r="CG18" i="10" a="1"/>
  <c r="CG18" i="10"/>
  <c r="CH18" i="10" a="1"/>
  <c r="CH18" i="10"/>
  <c r="CI18" i="10" a="1"/>
  <c r="CI18" i="10"/>
  <c r="CJ18" i="10" a="1"/>
  <c r="CJ18" i="10"/>
  <c r="CK18" i="10" a="1"/>
  <c r="CK18" i="10"/>
  <c r="CL18" i="10" a="1"/>
  <c r="CL18" i="10"/>
  <c r="CM18" i="10" a="1"/>
  <c r="CM18" i="10"/>
  <c r="CN18" i="10" a="1"/>
  <c r="CN18" i="10"/>
  <c r="CO18" i="10" a="1"/>
  <c r="CO18" i="10"/>
  <c r="CP18" i="10" a="1"/>
  <c r="CP18" i="10"/>
  <c r="CQ18" i="10" a="1"/>
  <c r="CQ18" i="10"/>
  <c r="CR18" i="10" a="1"/>
  <c r="CR18" i="10"/>
  <c r="CS18" i="10" a="1"/>
  <c r="CS18" i="10"/>
  <c r="CT18" i="10" a="1"/>
  <c r="CT18" i="10"/>
  <c r="CU18" i="10" a="1"/>
  <c r="CU18" i="10"/>
  <c r="CV18" i="10" a="1"/>
  <c r="CV18" i="10"/>
  <c r="CW18" i="10" a="1"/>
  <c r="CW18" i="10"/>
  <c r="CX18" i="10" a="1"/>
  <c r="CX18" i="10"/>
  <c r="CY18" i="10" a="1"/>
  <c r="CY18" i="10"/>
  <c r="CZ18" i="10" a="1"/>
  <c r="CZ18" i="10"/>
  <c r="DA18" i="10" a="1"/>
  <c r="DA18" i="10"/>
  <c r="DB18" i="10" a="1"/>
  <c r="DB18" i="10"/>
  <c r="DC18" i="10" a="1"/>
  <c r="DC18" i="10"/>
  <c r="DD18" i="10" a="1"/>
  <c r="DD18" i="10"/>
  <c r="DE18" i="10" a="1"/>
  <c r="DE18" i="10"/>
  <c r="DF18" i="10" a="1"/>
  <c r="DF18" i="10"/>
  <c r="DG18" i="10" a="1"/>
  <c r="DG18" i="10"/>
  <c r="DH18" i="10" a="1"/>
  <c r="DH18" i="10"/>
  <c r="DI18" i="10" a="1"/>
  <c r="DI18" i="10"/>
  <c r="DJ18" i="10" a="1"/>
  <c r="DJ18" i="10"/>
  <c r="DK18" i="10" a="1"/>
  <c r="DK18" i="10"/>
  <c r="DL18" i="10" a="1"/>
  <c r="DL18" i="10"/>
  <c r="DM18" i="10" a="1"/>
  <c r="DM18" i="10"/>
  <c r="DN18" i="10" a="1"/>
  <c r="DN18" i="10"/>
  <c r="DO18" i="10" a="1"/>
  <c r="DO18" i="10"/>
  <c r="DP18" i="10" a="1"/>
  <c r="DP18" i="10"/>
  <c r="DQ18" i="10" a="1"/>
  <c r="DQ18" i="10"/>
  <c r="DR18" i="10" a="1"/>
  <c r="DR18" i="10"/>
  <c r="DS18" i="10" a="1"/>
  <c r="DS18" i="10"/>
  <c r="DT18" i="10" a="1"/>
  <c r="DT18" i="10"/>
  <c r="DU18" i="10" a="1"/>
  <c r="DU18" i="10"/>
  <c r="DV18" i="10" a="1"/>
  <c r="DV18" i="10"/>
  <c r="DW18" i="10" a="1"/>
  <c r="DW18" i="10"/>
  <c r="DX18" i="10" a="1"/>
  <c r="DX18" i="10"/>
  <c r="DY18" i="10" a="1"/>
  <c r="DY18" i="10"/>
  <c r="DZ18" i="10" a="1"/>
  <c r="DZ18" i="10"/>
  <c r="EA18" i="10" a="1"/>
  <c r="EA18" i="10"/>
  <c r="EB18" i="10" a="1"/>
  <c r="EB18" i="10"/>
  <c r="EC18" i="10" a="1"/>
  <c r="EC18" i="10"/>
  <c r="ED18" i="10" a="1"/>
  <c r="ED18" i="10"/>
  <c r="EE18" i="10" a="1"/>
  <c r="EE18" i="10"/>
  <c r="EF18" i="10" a="1"/>
  <c r="EF18" i="10"/>
  <c r="EG18" i="10" a="1"/>
  <c r="EG18" i="10"/>
  <c r="D6" i="10" a="1"/>
  <c r="D6" i="10" s="1"/>
  <c r="D7" i="10" a="1"/>
  <c r="D7" i="10" s="1"/>
  <c r="D8" i="10" a="1"/>
  <c r="D8" i="10" s="1"/>
  <c r="D9" i="10" a="1"/>
  <c r="D9" i="10" s="1"/>
  <c r="D10" i="10" a="1"/>
  <c r="D10" i="10" s="1"/>
  <c r="D11" i="10" a="1"/>
  <c r="D11" i="10" s="1"/>
  <c r="D12" i="10" a="1"/>
  <c r="D12" i="10" s="1"/>
  <c r="D13" i="10" a="1"/>
  <c r="D13" i="10" s="1"/>
  <c r="D14" i="10" a="1"/>
  <c r="D14" i="10" s="1"/>
  <c r="D15" i="10" a="1"/>
  <c r="D15" i="10" s="1"/>
  <c r="D16" i="10" a="1"/>
  <c r="D16" i="10" s="1"/>
  <c r="D17" i="10" a="1"/>
  <c r="D17" i="10" s="1"/>
  <c r="D18" i="10" a="1"/>
  <c r="D18" i="10" s="1"/>
  <c r="D5" i="10" a="1"/>
  <c r="D5" i="10"/>
  <c r="D10" i="6"/>
  <c r="E10" i="6" s="1"/>
  <c r="F10" i="6" s="1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D11" i="6"/>
  <c r="E11" i="6" s="1"/>
  <c r="F11" i="6" s="1"/>
  <c r="G11" i="6" s="1"/>
  <c r="H11" i="6" s="1"/>
  <c r="I11" i="6" s="1"/>
  <c r="J11" i="6" s="1"/>
  <c r="K11" i="6" s="1"/>
  <c r="L11" i="6" s="1"/>
  <c r="M11" i="6" s="1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AG11" i="6" s="1"/>
  <c r="AH11" i="6" s="1"/>
  <c r="AI11" i="6" s="1"/>
  <c r="AJ11" i="6" s="1"/>
  <c r="AK11" i="6" s="1"/>
  <c r="AL11" i="6" s="1"/>
  <c r="AM11" i="6" s="1"/>
  <c r="AN11" i="6" s="1"/>
  <c r="AO11" i="6" s="1"/>
  <c r="AP11" i="6" s="1"/>
  <c r="AQ11" i="6" s="1"/>
  <c r="AR11" i="6" s="1"/>
  <c r="AS11" i="6" s="1"/>
  <c r="AT11" i="6" s="1"/>
  <c r="AU11" i="6" s="1"/>
  <c r="AV11" i="6" s="1"/>
  <c r="AW11" i="6" s="1"/>
  <c r="AX11" i="6" s="1"/>
  <c r="AY11" i="6" s="1"/>
  <c r="AZ11" i="6" s="1"/>
  <c r="BA11" i="6" s="1"/>
  <c r="BB11" i="6" s="1"/>
  <c r="BC11" i="6" s="1"/>
  <c r="BD11" i="6" s="1"/>
  <c r="BE11" i="6" s="1"/>
  <c r="BF11" i="6" s="1"/>
  <c r="BG11" i="6" s="1"/>
  <c r="BH11" i="6" s="1"/>
  <c r="BI11" i="6" s="1"/>
  <c r="BJ11" i="6" s="1"/>
  <c r="BK11" i="6" s="1"/>
  <c r="BL11" i="6" s="1"/>
  <c r="BM11" i="6" s="1"/>
  <c r="BN11" i="6" s="1"/>
  <c r="BO11" i="6" s="1"/>
  <c r="BP11" i="6" s="1"/>
  <c r="BQ11" i="6" s="1"/>
  <c r="BR11" i="6" s="1"/>
  <c r="BS11" i="6" s="1"/>
  <c r="BT11" i="6" s="1"/>
  <c r="BU11" i="6" s="1"/>
  <c r="BV11" i="6" s="1"/>
  <c r="BW11" i="6" s="1"/>
  <c r="BX11" i="6" s="1"/>
  <c r="BY11" i="6" s="1"/>
  <c r="BZ11" i="6" s="1"/>
  <c r="CA11" i="6" s="1"/>
  <c r="CB11" i="6" s="1"/>
  <c r="CC11" i="6" s="1"/>
  <c r="CD11" i="6" s="1"/>
  <c r="CE11" i="6" s="1"/>
  <c r="CF11" i="6" s="1"/>
  <c r="CG11" i="6" s="1"/>
  <c r="CH11" i="6" s="1"/>
  <c r="CI11" i="6" s="1"/>
  <c r="CJ11" i="6" s="1"/>
  <c r="CK11" i="6" s="1"/>
  <c r="CL11" i="6" s="1"/>
  <c r="CM11" i="6" s="1"/>
  <c r="CN11" i="6" s="1"/>
  <c r="CO11" i="6" s="1"/>
  <c r="CP11" i="6" s="1"/>
  <c r="CQ11" i="6" s="1"/>
  <c r="CR11" i="6" s="1"/>
  <c r="CS11" i="6" s="1"/>
  <c r="CT11" i="6" s="1"/>
  <c r="CU11" i="6" s="1"/>
  <c r="CV11" i="6" s="1"/>
  <c r="CW11" i="6" s="1"/>
  <c r="CX11" i="6" s="1"/>
  <c r="CY11" i="6" s="1"/>
  <c r="CZ11" i="6" s="1"/>
  <c r="DA11" i="6" s="1"/>
  <c r="DB11" i="6" s="1"/>
  <c r="DC11" i="6" s="1"/>
  <c r="DD11" i="6" s="1"/>
  <c r="DE11" i="6" s="1"/>
  <c r="DF11" i="6" s="1"/>
  <c r="DG11" i="6" s="1"/>
  <c r="DH11" i="6" s="1"/>
  <c r="DI11" i="6" s="1"/>
  <c r="DJ11" i="6" s="1"/>
  <c r="DK11" i="6" s="1"/>
  <c r="DL11" i="6" s="1"/>
  <c r="DM11" i="6" s="1"/>
  <c r="DN11" i="6" s="1"/>
  <c r="DO11" i="6" s="1"/>
  <c r="DP11" i="6" s="1"/>
  <c r="DQ11" i="6" s="1"/>
  <c r="DR11" i="6" s="1"/>
  <c r="DS11" i="6" s="1"/>
  <c r="DT11" i="6" s="1"/>
  <c r="DU11" i="6" s="1"/>
  <c r="DV11" i="6" s="1"/>
  <c r="DW11" i="6" s="1"/>
  <c r="DX11" i="6" s="1"/>
  <c r="DY11" i="6" s="1"/>
  <c r="DZ11" i="6" s="1"/>
  <c r="EA11" i="6" s="1"/>
  <c r="EB11" i="6" s="1"/>
  <c r="EC11" i="6" s="1"/>
  <c r="ED11" i="6" s="1"/>
  <c r="EE11" i="6" s="1"/>
  <c r="D12" i="6"/>
  <c r="E12" i="6" s="1"/>
  <c r="F12" i="6" s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D13" i="6"/>
  <c r="E13" i="6" s="1"/>
  <c r="F13" i="6" s="1"/>
  <c r="G13" i="6" s="1"/>
  <c r="H13" i="6" s="1"/>
  <c r="I13" i="6" s="1"/>
  <c r="J13" i="6" s="1"/>
  <c r="K13" i="6" s="1"/>
  <c r="L13" i="6" s="1"/>
  <c r="M13" i="6" s="1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AG13" i="6" s="1"/>
  <c r="AH13" i="6" s="1"/>
  <c r="AI13" i="6" s="1"/>
  <c r="AJ13" i="6" s="1"/>
  <c r="AK13" i="6" s="1"/>
  <c r="AL13" i="6" s="1"/>
  <c r="AM13" i="6" s="1"/>
  <c r="AN13" i="6" s="1"/>
  <c r="AO13" i="6" s="1"/>
  <c r="AP13" i="6" s="1"/>
  <c r="AQ13" i="6" s="1"/>
  <c r="AR13" i="6" s="1"/>
  <c r="AS13" i="6" s="1"/>
  <c r="AT13" i="6" s="1"/>
  <c r="AU13" i="6" s="1"/>
  <c r="AV13" i="6" s="1"/>
  <c r="AW13" i="6" s="1"/>
  <c r="AX13" i="6" s="1"/>
  <c r="AY13" i="6" s="1"/>
  <c r="AZ13" i="6" s="1"/>
  <c r="BA13" i="6" s="1"/>
  <c r="BB13" i="6" s="1"/>
  <c r="BC13" i="6" s="1"/>
  <c r="BD13" i="6" s="1"/>
  <c r="BE13" i="6" s="1"/>
  <c r="BF13" i="6" s="1"/>
  <c r="BG13" i="6" s="1"/>
  <c r="BH13" i="6" s="1"/>
  <c r="BI13" i="6" s="1"/>
  <c r="BJ13" i="6" s="1"/>
  <c r="BK13" i="6" s="1"/>
  <c r="BL13" i="6" s="1"/>
  <c r="BM13" i="6" s="1"/>
  <c r="BN13" i="6" s="1"/>
  <c r="BO13" i="6" s="1"/>
  <c r="BP13" i="6" s="1"/>
  <c r="BQ13" i="6" s="1"/>
  <c r="BR13" i="6" s="1"/>
  <c r="BS13" i="6" s="1"/>
  <c r="BT13" i="6" s="1"/>
  <c r="BU13" i="6" s="1"/>
  <c r="BV13" i="6" s="1"/>
  <c r="BW13" i="6" s="1"/>
  <c r="BX13" i="6" s="1"/>
  <c r="BY13" i="6" s="1"/>
  <c r="BZ13" i="6" s="1"/>
  <c r="CA13" i="6" s="1"/>
  <c r="CB13" i="6" s="1"/>
  <c r="CC13" i="6" s="1"/>
  <c r="CD13" i="6" s="1"/>
  <c r="CE13" i="6" s="1"/>
  <c r="CF13" i="6" s="1"/>
  <c r="CG13" i="6" s="1"/>
  <c r="CH13" i="6" s="1"/>
  <c r="CI13" i="6" s="1"/>
  <c r="CJ13" i="6" s="1"/>
  <c r="CK13" i="6" s="1"/>
  <c r="CL13" i="6" s="1"/>
  <c r="CM13" i="6" s="1"/>
  <c r="CN13" i="6" s="1"/>
  <c r="CO13" i="6" s="1"/>
  <c r="CP13" i="6" s="1"/>
  <c r="CQ13" i="6" s="1"/>
  <c r="CR13" i="6" s="1"/>
  <c r="CS13" i="6" s="1"/>
  <c r="CT13" i="6" s="1"/>
  <c r="CU13" i="6" s="1"/>
  <c r="CV13" i="6" s="1"/>
  <c r="CW13" i="6" s="1"/>
  <c r="CX13" i="6" s="1"/>
  <c r="CY13" i="6" s="1"/>
  <c r="CZ13" i="6" s="1"/>
  <c r="DA13" i="6" s="1"/>
  <c r="DB13" i="6" s="1"/>
  <c r="DC13" i="6" s="1"/>
  <c r="DD13" i="6" s="1"/>
  <c r="DE13" i="6" s="1"/>
  <c r="DF13" i="6" s="1"/>
  <c r="DG13" i="6" s="1"/>
  <c r="DH13" i="6" s="1"/>
  <c r="DI13" i="6" s="1"/>
  <c r="DJ13" i="6" s="1"/>
  <c r="DK13" i="6" s="1"/>
  <c r="DL13" i="6" s="1"/>
  <c r="DM13" i="6" s="1"/>
  <c r="DN13" i="6" s="1"/>
  <c r="DO13" i="6" s="1"/>
  <c r="DP13" i="6" s="1"/>
  <c r="DQ13" i="6" s="1"/>
  <c r="DR13" i="6" s="1"/>
  <c r="DS13" i="6" s="1"/>
  <c r="DT13" i="6" s="1"/>
  <c r="DU13" i="6" s="1"/>
  <c r="DV13" i="6" s="1"/>
  <c r="DW13" i="6" s="1"/>
  <c r="DX13" i="6" s="1"/>
  <c r="DY13" i="6" s="1"/>
  <c r="DZ13" i="6" s="1"/>
  <c r="EA13" i="6" s="1"/>
  <c r="EB13" i="6" s="1"/>
  <c r="EC13" i="6" s="1"/>
  <c r="ED13" i="6" s="1"/>
  <c r="EE13" i="6" s="1"/>
  <c r="D14" i="6"/>
  <c r="E14" i="6" s="1"/>
  <c r="F14" i="6" s="1"/>
  <c r="G14" i="6" s="1"/>
  <c r="H14" i="6" s="1"/>
  <c r="I14" i="6" s="1"/>
  <c r="J14" i="6" s="1"/>
  <c r="K14" i="6" s="1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BK14" i="6" s="1"/>
  <c r="BL14" i="6" s="1"/>
  <c r="BM14" i="6" s="1"/>
  <c r="BN14" i="6" s="1"/>
  <c r="BO14" i="6" s="1"/>
  <c r="BP14" i="6" s="1"/>
  <c r="BQ14" i="6" s="1"/>
  <c r="BR14" i="6" s="1"/>
  <c r="BS14" i="6" s="1"/>
  <c r="BT14" i="6" s="1"/>
  <c r="BU14" i="6" s="1"/>
  <c r="BV14" i="6" s="1"/>
  <c r="BW14" i="6" s="1"/>
  <c r="BX14" i="6" s="1"/>
  <c r="BY14" i="6" s="1"/>
  <c r="BZ14" i="6" s="1"/>
  <c r="CA14" i="6" s="1"/>
  <c r="CB14" i="6" s="1"/>
  <c r="CC14" i="6" s="1"/>
  <c r="CD14" i="6" s="1"/>
  <c r="CE14" i="6" s="1"/>
  <c r="CF14" i="6" s="1"/>
  <c r="CG14" i="6" s="1"/>
  <c r="CH14" i="6" s="1"/>
  <c r="CI14" i="6" s="1"/>
  <c r="CJ14" i="6" s="1"/>
  <c r="CK14" i="6" s="1"/>
  <c r="CL14" i="6" s="1"/>
  <c r="CM14" i="6" s="1"/>
  <c r="CN14" i="6" s="1"/>
  <c r="CO14" i="6" s="1"/>
  <c r="CP14" i="6" s="1"/>
  <c r="CQ14" i="6" s="1"/>
  <c r="CR14" i="6" s="1"/>
  <c r="CS14" i="6" s="1"/>
  <c r="CT14" i="6" s="1"/>
  <c r="CU14" i="6" s="1"/>
  <c r="CV14" i="6" s="1"/>
  <c r="CW14" i="6" s="1"/>
  <c r="CX14" i="6" s="1"/>
  <c r="CY14" i="6" s="1"/>
  <c r="CZ14" i="6" s="1"/>
  <c r="DA14" i="6" s="1"/>
  <c r="DB14" i="6" s="1"/>
  <c r="DC14" i="6" s="1"/>
  <c r="DD14" i="6" s="1"/>
  <c r="DE14" i="6" s="1"/>
  <c r="DF14" i="6" s="1"/>
  <c r="DG14" i="6" s="1"/>
  <c r="DH14" i="6" s="1"/>
  <c r="DI14" i="6" s="1"/>
  <c r="DJ14" i="6" s="1"/>
  <c r="DK14" i="6" s="1"/>
  <c r="DL14" i="6" s="1"/>
  <c r="DM14" i="6" s="1"/>
  <c r="DN14" i="6" s="1"/>
  <c r="DO14" i="6" s="1"/>
  <c r="DP14" i="6" s="1"/>
  <c r="DQ14" i="6" s="1"/>
  <c r="DR14" i="6" s="1"/>
  <c r="DS14" i="6" s="1"/>
  <c r="DT14" i="6" s="1"/>
  <c r="DU14" i="6" s="1"/>
  <c r="DV14" i="6" s="1"/>
  <c r="DW14" i="6" s="1"/>
  <c r="DX14" i="6" s="1"/>
  <c r="DY14" i="6" s="1"/>
  <c r="DZ14" i="6" s="1"/>
  <c r="EA14" i="6" s="1"/>
  <c r="EB14" i="6" s="1"/>
  <c r="EC14" i="6" s="1"/>
  <c r="ED14" i="6" s="1"/>
  <c r="EE14" i="6" s="1"/>
  <c r="D15" i="6"/>
  <c r="E15" i="6" s="1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AK15" i="6" s="1"/>
  <c r="AL15" i="6" s="1"/>
  <c r="AM15" i="6" s="1"/>
  <c r="AN15" i="6" s="1"/>
  <c r="AO15" i="6" s="1"/>
  <c r="AP15" i="6" s="1"/>
  <c r="AQ15" i="6" s="1"/>
  <c r="AR15" i="6" s="1"/>
  <c r="AS15" i="6" s="1"/>
  <c r="AT15" i="6" s="1"/>
  <c r="AU15" i="6" s="1"/>
  <c r="AV15" i="6" s="1"/>
  <c r="AW15" i="6" s="1"/>
  <c r="AX15" i="6" s="1"/>
  <c r="AY15" i="6" s="1"/>
  <c r="AZ15" i="6" s="1"/>
  <c r="BA15" i="6" s="1"/>
  <c r="BB15" i="6" s="1"/>
  <c r="BC15" i="6" s="1"/>
  <c r="BD15" i="6" s="1"/>
  <c r="BE15" i="6" s="1"/>
  <c r="BF15" i="6" s="1"/>
  <c r="BG15" i="6" s="1"/>
  <c r="BH15" i="6" s="1"/>
  <c r="BI15" i="6" s="1"/>
  <c r="BJ15" i="6" s="1"/>
  <c r="BK15" i="6" s="1"/>
  <c r="BL15" i="6" s="1"/>
  <c r="BM15" i="6" s="1"/>
  <c r="BN15" i="6" s="1"/>
  <c r="BO15" i="6" s="1"/>
  <c r="BP15" i="6" s="1"/>
  <c r="BQ15" i="6" s="1"/>
  <c r="BR15" i="6" s="1"/>
  <c r="BS15" i="6" s="1"/>
  <c r="BT15" i="6" s="1"/>
  <c r="BU15" i="6" s="1"/>
  <c r="BV15" i="6" s="1"/>
  <c r="BW15" i="6" s="1"/>
  <c r="BX15" i="6" s="1"/>
  <c r="BY15" i="6" s="1"/>
  <c r="BZ15" i="6" s="1"/>
  <c r="CA15" i="6" s="1"/>
  <c r="CB15" i="6" s="1"/>
  <c r="CC15" i="6" s="1"/>
  <c r="CD15" i="6" s="1"/>
  <c r="CE15" i="6" s="1"/>
  <c r="CF15" i="6" s="1"/>
  <c r="CG15" i="6" s="1"/>
  <c r="CH15" i="6" s="1"/>
  <c r="CI15" i="6" s="1"/>
  <c r="CJ15" i="6" s="1"/>
  <c r="CK15" i="6" s="1"/>
  <c r="CL15" i="6" s="1"/>
  <c r="CM15" i="6" s="1"/>
  <c r="CN15" i="6" s="1"/>
  <c r="CO15" i="6" s="1"/>
  <c r="CP15" i="6" s="1"/>
  <c r="CQ15" i="6" s="1"/>
  <c r="CR15" i="6" s="1"/>
  <c r="CS15" i="6" s="1"/>
  <c r="CT15" i="6" s="1"/>
  <c r="CU15" i="6" s="1"/>
  <c r="CV15" i="6" s="1"/>
  <c r="CW15" i="6" s="1"/>
  <c r="CX15" i="6" s="1"/>
  <c r="CY15" i="6" s="1"/>
  <c r="CZ15" i="6" s="1"/>
  <c r="DA15" i="6" s="1"/>
  <c r="DB15" i="6" s="1"/>
  <c r="DC15" i="6" s="1"/>
  <c r="DD15" i="6" s="1"/>
  <c r="DE15" i="6" s="1"/>
  <c r="DF15" i="6" s="1"/>
  <c r="DG15" i="6" s="1"/>
  <c r="DH15" i="6" s="1"/>
  <c r="DI15" i="6" s="1"/>
  <c r="DJ15" i="6" s="1"/>
  <c r="DK15" i="6" s="1"/>
  <c r="DL15" i="6" s="1"/>
  <c r="DM15" i="6" s="1"/>
  <c r="DN15" i="6" s="1"/>
  <c r="DO15" i="6" s="1"/>
  <c r="DP15" i="6" s="1"/>
  <c r="DQ15" i="6" s="1"/>
  <c r="DR15" i="6" s="1"/>
  <c r="DS15" i="6" s="1"/>
  <c r="DT15" i="6" s="1"/>
  <c r="DU15" i="6" s="1"/>
  <c r="DV15" i="6" s="1"/>
  <c r="DW15" i="6" s="1"/>
  <c r="DX15" i="6" s="1"/>
  <c r="DY15" i="6" s="1"/>
  <c r="DZ15" i="6" s="1"/>
  <c r="EA15" i="6" s="1"/>
  <c r="EB15" i="6" s="1"/>
  <c r="EC15" i="6" s="1"/>
  <c r="ED15" i="6" s="1"/>
  <c r="EE15" i="6" s="1"/>
  <c r="D16" i="6"/>
  <c r="E16" i="6" s="1"/>
  <c r="F16" i="6" s="1"/>
  <c r="G16" i="6" s="1"/>
  <c r="H16" i="6" s="1"/>
  <c r="I16" i="6" s="1"/>
  <c r="J16" i="6" s="1"/>
  <c r="K16" i="6" s="1"/>
  <c r="L16" i="6" s="1"/>
  <c r="M16" i="6" s="1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AG16" i="6" s="1"/>
  <c r="AH16" i="6" s="1"/>
  <c r="AI16" i="6" s="1"/>
  <c r="AJ16" i="6" s="1"/>
  <c r="AK16" i="6" s="1"/>
  <c r="AL16" i="6" s="1"/>
  <c r="AM16" i="6" s="1"/>
  <c r="AN16" i="6" s="1"/>
  <c r="AO16" i="6" s="1"/>
  <c r="AP16" i="6" s="1"/>
  <c r="AQ16" i="6" s="1"/>
  <c r="AR16" i="6" s="1"/>
  <c r="AS16" i="6" s="1"/>
  <c r="AT16" i="6" s="1"/>
  <c r="AU16" i="6" s="1"/>
  <c r="AV16" i="6" s="1"/>
  <c r="AW16" i="6" s="1"/>
  <c r="AX16" i="6" s="1"/>
  <c r="AY16" i="6" s="1"/>
  <c r="AZ16" i="6" s="1"/>
  <c r="BA16" i="6" s="1"/>
  <c r="BB16" i="6" s="1"/>
  <c r="BC16" i="6" s="1"/>
  <c r="BD16" i="6" s="1"/>
  <c r="BE16" i="6" s="1"/>
  <c r="BF16" i="6" s="1"/>
  <c r="BG16" i="6" s="1"/>
  <c r="BH16" i="6" s="1"/>
  <c r="BI16" i="6" s="1"/>
  <c r="BJ16" i="6" s="1"/>
  <c r="BK16" i="6" s="1"/>
  <c r="BL16" i="6" s="1"/>
  <c r="BM16" i="6" s="1"/>
  <c r="BN16" i="6" s="1"/>
  <c r="BO16" i="6" s="1"/>
  <c r="BP16" i="6" s="1"/>
  <c r="BQ16" i="6" s="1"/>
  <c r="BR16" i="6" s="1"/>
  <c r="BS16" i="6" s="1"/>
  <c r="BT16" i="6" s="1"/>
  <c r="BU16" i="6" s="1"/>
  <c r="BV16" i="6" s="1"/>
  <c r="BW16" i="6" s="1"/>
  <c r="BX16" i="6" s="1"/>
  <c r="BY16" i="6" s="1"/>
  <c r="BZ16" i="6" s="1"/>
  <c r="CA16" i="6" s="1"/>
  <c r="CB16" i="6" s="1"/>
  <c r="CC16" i="6" s="1"/>
  <c r="CD16" i="6" s="1"/>
  <c r="CE16" i="6" s="1"/>
  <c r="CF16" i="6" s="1"/>
  <c r="CG16" i="6" s="1"/>
  <c r="CH16" i="6" s="1"/>
  <c r="CI16" i="6" s="1"/>
  <c r="CJ16" i="6" s="1"/>
  <c r="CK16" i="6" s="1"/>
  <c r="CL16" i="6" s="1"/>
  <c r="CM16" i="6" s="1"/>
  <c r="CN16" i="6" s="1"/>
  <c r="CO16" i="6" s="1"/>
  <c r="CP16" i="6" s="1"/>
  <c r="CQ16" i="6" s="1"/>
  <c r="CR16" i="6" s="1"/>
  <c r="CS16" i="6" s="1"/>
  <c r="CT16" i="6" s="1"/>
  <c r="CU16" i="6" s="1"/>
  <c r="CV16" i="6" s="1"/>
  <c r="CW16" i="6" s="1"/>
  <c r="CX16" i="6" s="1"/>
  <c r="CY16" i="6" s="1"/>
  <c r="CZ16" i="6" s="1"/>
  <c r="DA16" i="6" s="1"/>
  <c r="DB16" i="6" s="1"/>
  <c r="DC16" i="6" s="1"/>
  <c r="DD16" i="6" s="1"/>
  <c r="DE16" i="6" s="1"/>
  <c r="DF16" i="6" s="1"/>
  <c r="DG16" i="6" s="1"/>
  <c r="DH16" i="6" s="1"/>
  <c r="DI16" i="6" s="1"/>
  <c r="DJ16" i="6" s="1"/>
  <c r="DK16" i="6" s="1"/>
  <c r="DL16" i="6" s="1"/>
  <c r="DM16" i="6" s="1"/>
  <c r="DN16" i="6" s="1"/>
  <c r="DO16" i="6" s="1"/>
  <c r="DP16" i="6" s="1"/>
  <c r="DQ16" i="6" s="1"/>
  <c r="DR16" i="6" s="1"/>
  <c r="DS16" i="6" s="1"/>
  <c r="DT16" i="6" s="1"/>
  <c r="DU16" i="6" s="1"/>
  <c r="DV16" i="6" s="1"/>
  <c r="DW16" i="6" s="1"/>
  <c r="DX16" i="6" s="1"/>
  <c r="DY16" i="6" s="1"/>
  <c r="DZ16" i="6" s="1"/>
  <c r="EA16" i="6" s="1"/>
  <c r="EB16" i="6" s="1"/>
  <c r="EC16" i="6" s="1"/>
  <c r="ED16" i="6" s="1"/>
  <c r="EE16" i="6" s="1"/>
  <c r="D17" i="6"/>
  <c r="E17" i="6" s="1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AI17" i="6" s="1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BY17" i="6" s="1"/>
  <c r="BZ17" i="6" s="1"/>
  <c r="CA17" i="6" s="1"/>
  <c r="CB17" i="6" s="1"/>
  <c r="CC17" i="6" s="1"/>
  <c r="CD17" i="6" s="1"/>
  <c r="CE17" i="6" s="1"/>
  <c r="CF17" i="6" s="1"/>
  <c r="CG17" i="6" s="1"/>
  <c r="CH17" i="6" s="1"/>
  <c r="CI17" i="6" s="1"/>
  <c r="CJ17" i="6" s="1"/>
  <c r="CK17" i="6" s="1"/>
  <c r="CL17" i="6" s="1"/>
  <c r="CM17" i="6" s="1"/>
  <c r="CN17" i="6" s="1"/>
  <c r="CO17" i="6" s="1"/>
  <c r="CP17" i="6" s="1"/>
  <c r="CQ17" i="6" s="1"/>
  <c r="CR17" i="6" s="1"/>
  <c r="CS17" i="6" s="1"/>
  <c r="CT17" i="6" s="1"/>
  <c r="CU17" i="6" s="1"/>
  <c r="CV17" i="6" s="1"/>
  <c r="CW17" i="6" s="1"/>
  <c r="CX17" i="6" s="1"/>
  <c r="CY17" i="6" s="1"/>
  <c r="CZ17" i="6" s="1"/>
  <c r="DA17" i="6" s="1"/>
  <c r="DB17" i="6" s="1"/>
  <c r="DC17" i="6" s="1"/>
  <c r="DD17" i="6" s="1"/>
  <c r="DE17" i="6" s="1"/>
  <c r="DF17" i="6" s="1"/>
  <c r="DG17" i="6" s="1"/>
  <c r="DH17" i="6" s="1"/>
  <c r="DI17" i="6" s="1"/>
  <c r="DJ17" i="6" s="1"/>
  <c r="DK17" i="6" s="1"/>
  <c r="DL17" i="6" s="1"/>
  <c r="DM17" i="6" s="1"/>
  <c r="DN17" i="6" s="1"/>
  <c r="DO17" i="6" s="1"/>
  <c r="DP17" i="6" s="1"/>
  <c r="DQ17" i="6" s="1"/>
  <c r="DR17" i="6" s="1"/>
  <c r="DS17" i="6" s="1"/>
  <c r="DT17" i="6" s="1"/>
  <c r="DU17" i="6" s="1"/>
  <c r="DV17" i="6" s="1"/>
  <c r="DW17" i="6" s="1"/>
  <c r="DX17" i="6" s="1"/>
  <c r="DY17" i="6" s="1"/>
  <c r="DZ17" i="6" s="1"/>
  <c r="EA17" i="6" s="1"/>
  <c r="EB17" i="6" s="1"/>
  <c r="EC17" i="6" s="1"/>
  <c r="ED17" i="6" s="1"/>
  <c r="EE17" i="6" s="1"/>
  <c r="D18" i="6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D19" i="6"/>
  <c r="E19" i="6" s="1"/>
  <c r="F19" i="6" s="1"/>
  <c r="G19" i="6" s="1"/>
  <c r="H19" i="6" s="1"/>
  <c r="I19" i="6" s="1"/>
  <c r="J19" i="6" s="1"/>
  <c r="K19" i="6" s="1"/>
  <c r="L19" i="6" s="1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AG19" i="6" s="1"/>
  <c r="AH19" i="6" s="1"/>
  <c r="AI19" i="6" s="1"/>
  <c r="AJ19" i="6" s="1"/>
  <c r="AK19" i="6" s="1"/>
  <c r="AL19" i="6" s="1"/>
  <c r="AM19" i="6" s="1"/>
  <c r="AN19" i="6" s="1"/>
  <c r="AO19" i="6" s="1"/>
  <c r="AP19" i="6" s="1"/>
  <c r="AQ19" i="6" s="1"/>
  <c r="AR19" i="6" s="1"/>
  <c r="AS19" i="6" s="1"/>
  <c r="AT19" i="6" s="1"/>
  <c r="AU19" i="6" s="1"/>
  <c r="AV19" i="6" s="1"/>
  <c r="AW19" i="6" s="1"/>
  <c r="AX19" i="6" s="1"/>
  <c r="AY19" i="6" s="1"/>
  <c r="AZ19" i="6" s="1"/>
  <c r="BA19" i="6" s="1"/>
  <c r="BB19" i="6" s="1"/>
  <c r="BC19" i="6" s="1"/>
  <c r="BD19" i="6" s="1"/>
  <c r="BE19" i="6" s="1"/>
  <c r="BF19" i="6" s="1"/>
  <c r="BG19" i="6" s="1"/>
  <c r="BH19" i="6" s="1"/>
  <c r="BI19" i="6" s="1"/>
  <c r="BJ19" i="6" s="1"/>
  <c r="BK19" i="6" s="1"/>
  <c r="BL19" i="6" s="1"/>
  <c r="BM19" i="6" s="1"/>
  <c r="BN19" i="6" s="1"/>
  <c r="BO19" i="6" s="1"/>
  <c r="BP19" i="6" s="1"/>
  <c r="BQ19" i="6" s="1"/>
  <c r="BR19" i="6" s="1"/>
  <c r="BS19" i="6" s="1"/>
  <c r="BT19" i="6" s="1"/>
  <c r="BU19" i="6" s="1"/>
  <c r="BV19" i="6" s="1"/>
  <c r="BW19" i="6" s="1"/>
  <c r="BX19" i="6" s="1"/>
  <c r="BY19" i="6" s="1"/>
  <c r="BZ19" i="6" s="1"/>
  <c r="CA19" i="6" s="1"/>
  <c r="CB19" i="6" s="1"/>
  <c r="CC19" i="6" s="1"/>
  <c r="CD19" i="6" s="1"/>
  <c r="CE19" i="6" s="1"/>
  <c r="CF19" i="6" s="1"/>
  <c r="CG19" i="6" s="1"/>
  <c r="CH19" i="6" s="1"/>
  <c r="CI19" i="6" s="1"/>
  <c r="CJ19" i="6" s="1"/>
  <c r="CK19" i="6" s="1"/>
  <c r="CL19" i="6" s="1"/>
  <c r="CM19" i="6" s="1"/>
  <c r="CN19" i="6" s="1"/>
  <c r="CO19" i="6" s="1"/>
  <c r="CP19" i="6" s="1"/>
  <c r="CQ19" i="6" s="1"/>
  <c r="CR19" i="6" s="1"/>
  <c r="CS19" i="6" s="1"/>
  <c r="CT19" i="6" s="1"/>
  <c r="CU19" i="6" s="1"/>
  <c r="CV19" i="6" s="1"/>
  <c r="CW19" i="6" s="1"/>
  <c r="CX19" i="6" s="1"/>
  <c r="CY19" i="6" s="1"/>
  <c r="CZ19" i="6" s="1"/>
  <c r="DA19" i="6" s="1"/>
  <c r="DB19" i="6" s="1"/>
  <c r="DC19" i="6" s="1"/>
  <c r="DD19" i="6" s="1"/>
  <c r="DE19" i="6" s="1"/>
  <c r="DF19" i="6" s="1"/>
  <c r="DG19" i="6" s="1"/>
  <c r="DH19" i="6" s="1"/>
  <c r="DI19" i="6" s="1"/>
  <c r="DJ19" i="6" s="1"/>
  <c r="DK19" i="6" s="1"/>
  <c r="DL19" i="6" s="1"/>
  <c r="DM19" i="6" s="1"/>
  <c r="DN19" i="6" s="1"/>
  <c r="DO19" i="6" s="1"/>
  <c r="DP19" i="6" s="1"/>
  <c r="DQ19" i="6" s="1"/>
  <c r="DR19" i="6" s="1"/>
  <c r="DS19" i="6" s="1"/>
  <c r="DT19" i="6" s="1"/>
  <c r="DU19" i="6" s="1"/>
  <c r="DV19" i="6" s="1"/>
  <c r="DW19" i="6" s="1"/>
  <c r="DX19" i="6" s="1"/>
  <c r="DY19" i="6" s="1"/>
  <c r="DZ19" i="6" s="1"/>
  <c r="EA19" i="6" s="1"/>
  <c r="EB19" i="6" s="1"/>
  <c r="EC19" i="6" s="1"/>
  <c r="ED19" i="6" s="1"/>
  <c r="EE19" i="6" s="1"/>
  <c r="D20" i="6"/>
  <c r="E20" i="6" s="1"/>
  <c r="F20" i="6" s="1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AG20" i="6" s="1"/>
  <c r="AH20" i="6" s="1"/>
  <c r="AI20" i="6" s="1"/>
  <c r="AJ20" i="6" s="1"/>
  <c r="AK20" i="6" s="1"/>
  <c r="AL20" i="6" s="1"/>
  <c r="AM20" i="6" s="1"/>
  <c r="AN20" i="6" s="1"/>
  <c r="AO20" i="6" s="1"/>
  <c r="AP20" i="6" s="1"/>
  <c r="AQ20" i="6" s="1"/>
  <c r="AR20" i="6" s="1"/>
  <c r="AS20" i="6" s="1"/>
  <c r="AT20" i="6" s="1"/>
  <c r="AU20" i="6" s="1"/>
  <c r="AV20" i="6" s="1"/>
  <c r="AW20" i="6" s="1"/>
  <c r="AX20" i="6" s="1"/>
  <c r="AY20" i="6" s="1"/>
  <c r="AZ20" i="6" s="1"/>
  <c r="BA20" i="6" s="1"/>
  <c r="BB20" i="6" s="1"/>
  <c r="BC20" i="6" s="1"/>
  <c r="BD20" i="6" s="1"/>
  <c r="BE20" i="6" s="1"/>
  <c r="BF20" i="6" s="1"/>
  <c r="BG20" i="6" s="1"/>
  <c r="BH20" i="6" s="1"/>
  <c r="BI20" i="6" s="1"/>
  <c r="BJ20" i="6" s="1"/>
  <c r="BK20" i="6" s="1"/>
  <c r="BL20" i="6" s="1"/>
  <c r="BM20" i="6" s="1"/>
  <c r="BN20" i="6" s="1"/>
  <c r="BO20" i="6" s="1"/>
  <c r="BP20" i="6" s="1"/>
  <c r="BQ20" i="6" s="1"/>
  <c r="BR20" i="6" s="1"/>
  <c r="BS20" i="6" s="1"/>
  <c r="BT20" i="6" s="1"/>
  <c r="BU20" i="6" s="1"/>
  <c r="BV20" i="6" s="1"/>
  <c r="BW20" i="6" s="1"/>
  <c r="BX20" i="6" s="1"/>
  <c r="BY20" i="6" s="1"/>
  <c r="BZ20" i="6" s="1"/>
  <c r="CA20" i="6" s="1"/>
  <c r="CB20" i="6" s="1"/>
  <c r="CC20" i="6" s="1"/>
  <c r="CD20" i="6" s="1"/>
  <c r="CE20" i="6" s="1"/>
  <c r="CF20" i="6" s="1"/>
  <c r="CG20" i="6" s="1"/>
  <c r="CH20" i="6" s="1"/>
  <c r="CI20" i="6" s="1"/>
  <c r="CJ20" i="6" s="1"/>
  <c r="CK20" i="6" s="1"/>
  <c r="CL20" i="6" s="1"/>
  <c r="CM20" i="6" s="1"/>
  <c r="CN20" i="6" s="1"/>
  <c r="CO20" i="6" s="1"/>
  <c r="CP20" i="6" s="1"/>
  <c r="CQ20" i="6" s="1"/>
  <c r="CR20" i="6" s="1"/>
  <c r="CS20" i="6" s="1"/>
  <c r="CT20" i="6" s="1"/>
  <c r="CU20" i="6" s="1"/>
  <c r="CV20" i="6" s="1"/>
  <c r="CW20" i="6" s="1"/>
  <c r="CX20" i="6" s="1"/>
  <c r="CY20" i="6" s="1"/>
  <c r="CZ20" i="6" s="1"/>
  <c r="DA20" i="6" s="1"/>
  <c r="DB20" i="6" s="1"/>
  <c r="DC20" i="6" s="1"/>
  <c r="DD20" i="6" s="1"/>
  <c r="DE20" i="6" s="1"/>
  <c r="DF20" i="6" s="1"/>
  <c r="DG20" i="6" s="1"/>
  <c r="DH20" i="6" s="1"/>
  <c r="DI20" i="6" s="1"/>
  <c r="DJ20" i="6" s="1"/>
  <c r="DK20" i="6" s="1"/>
  <c r="DL20" i="6" s="1"/>
  <c r="DM20" i="6" s="1"/>
  <c r="DN20" i="6" s="1"/>
  <c r="DO20" i="6" s="1"/>
  <c r="DP20" i="6" s="1"/>
  <c r="DQ20" i="6" s="1"/>
  <c r="DR20" i="6" s="1"/>
  <c r="DS20" i="6" s="1"/>
  <c r="DT20" i="6" s="1"/>
  <c r="DU20" i="6" s="1"/>
  <c r="DV20" i="6" s="1"/>
  <c r="DW20" i="6" s="1"/>
  <c r="DX20" i="6" s="1"/>
  <c r="DY20" i="6" s="1"/>
  <c r="DZ20" i="6" s="1"/>
  <c r="EA20" i="6" s="1"/>
  <c r="EB20" i="6" s="1"/>
  <c r="EC20" i="6" s="1"/>
  <c r="ED20" i="6" s="1"/>
  <c r="EE20" i="6" s="1"/>
  <c r="D21" i="6"/>
  <c r="E21" i="6" s="1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CV21" i="6" s="1"/>
  <c r="CW21" i="6" s="1"/>
  <c r="CX21" i="6" s="1"/>
  <c r="CY21" i="6" s="1"/>
  <c r="CZ21" i="6" s="1"/>
  <c r="DA21" i="6" s="1"/>
  <c r="DB21" i="6" s="1"/>
  <c r="DC21" i="6" s="1"/>
  <c r="DD21" i="6" s="1"/>
  <c r="DE21" i="6" s="1"/>
  <c r="DF21" i="6" s="1"/>
  <c r="DG21" i="6" s="1"/>
  <c r="DH21" i="6" s="1"/>
  <c r="DI21" i="6" s="1"/>
  <c r="DJ21" i="6" s="1"/>
  <c r="DK21" i="6" s="1"/>
  <c r="DL21" i="6" s="1"/>
  <c r="DM21" i="6" s="1"/>
  <c r="DN21" i="6" s="1"/>
  <c r="DO21" i="6" s="1"/>
  <c r="DP21" i="6" s="1"/>
  <c r="DQ21" i="6" s="1"/>
  <c r="DR21" i="6" s="1"/>
  <c r="DS21" i="6" s="1"/>
  <c r="DT21" i="6" s="1"/>
  <c r="DU21" i="6" s="1"/>
  <c r="DV21" i="6" s="1"/>
  <c r="DW21" i="6" s="1"/>
  <c r="DX21" i="6" s="1"/>
  <c r="DY21" i="6" s="1"/>
  <c r="DZ21" i="6" s="1"/>
  <c r="EA21" i="6" s="1"/>
  <c r="EB21" i="6" s="1"/>
  <c r="EC21" i="6" s="1"/>
  <c r="ED21" i="6" s="1"/>
  <c r="EE21" i="6" s="1"/>
  <c r="D22" i="6"/>
  <c r="E22" i="6" s="1"/>
  <c r="F22" i="6" s="1"/>
  <c r="G22" i="6" s="1"/>
  <c r="H22" i="6" s="1"/>
  <c r="I22" i="6" s="1"/>
  <c r="J22" i="6" s="1"/>
  <c r="K22" i="6" s="1"/>
  <c r="L22" i="6" s="1"/>
  <c r="M22" i="6" s="1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AJ22" i="6" s="1"/>
  <c r="AK22" i="6" s="1"/>
  <c r="AL22" i="6" s="1"/>
  <c r="AM22" i="6" s="1"/>
  <c r="AN22" i="6" s="1"/>
  <c r="AO22" i="6" s="1"/>
  <c r="AP22" i="6" s="1"/>
  <c r="AQ22" i="6" s="1"/>
  <c r="AR22" i="6" s="1"/>
  <c r="AS22" i="6" s="1"/>
  <c r="AT22" i="6" s="1"/>
  <c r="AU22" i="6" s="1"/>
  <c r="AV22" i="6" s="1"/>
  <c r="AW22" i="6" s="1"/>
  <c r="AX22" i="6" s="1"/>
  <c r="AY22" i="6" s="1"/>
  <c r="AZ22" i="6" s="1"/>
  <c r="BA22" i="6" s="1"/>
  <c r="BB22" i="6" s="1"/>
  <c r="BC22" i="6" s="1"/>
  <c r="BD22" i="6" s="1"/>
  <c r="BE22" i="6" s="1"/>
  <c r="BF22" i="6" s="1"/>
  <c r="BG22" i="6" s="1"/>
  <c r="BH22" i="6" s="1"/>
  <c r="BI22" i="6" s="1"/>
  <c r="BJ22" i="6" s="1"/>
  <c r="BK22" i="6" s="1"/>
  <c r="BL22" i="6" s="1"/>
  <c r="BM22" i="6" s="1"/>
  <c r="BN22" i="6" s="1"/>
  <c r="BO22" i="6" s="1"/>
  <c r="BP22" i="6" s="1"/>
  <c r="BQ22" i="6" s="1"/>
  <c r="BR22" i="6" s="1"/>
  <c r="BS22" i="6" s="1"/>
  <c r="BT22" i="6" s="1"/>
  <c r="BU22" i="6" s="1"/>
  <c r="BV22" i="6" s="1"/>
  <c r="BW22" i="6" s="1"/>
  <c r="BX22" i="6" s="1"/>
  <c r="BY22" i="6" s="1"/>
  <c r="BZ22" i="6" s="1"/>
  <c r="CA22" i="6" s="1"/>
  <c r="CB22" i="6" s="1"/>
  <c r="CC22" i="6" s="1"/>
  <c r="CD22" i="6" s="1"/>
  <c r="CE22" i="6" s="1"/>
  <c r="CF22" i="6" s="1"/>
  <c r="CG22" i="6" s="1"/>
  <c r="CH22" i="6" s="1"/>
  <c r="CI22" i="6" s="1"/>
  <c r="CJ22" i="6" s="1"/>
  <c r="CK22" i="6" s="1"/>
  <c r="CL22" i="6" s="1"/>
  <c r="CM22" i="6" s="1"/>
  <c r="CN22" i="6" s="1"/>
  <c r="CO22" i="6" s="1"/>
  <c r="CP22" i="6" s="1"/>
  <c r="CQ22" i="6" s="1"/>
  <c r="CR22" i="6" s="1"/>
  <c r="CS22" i="6" s="1"/>
  <c r="CT22" i="6" s="1"/>
  <c r="CU22" i="6" s="1"/>
  <c r="CV22" i="6" s="1"/>
  <c r="CW22" i="6" s="1"/>
  <c r="CX22" i="6" s="1"/>
  <c r="CY22" i="6" s="1"/>
  <c r="CZ22" i="6" s="1"/>
  <c r="DA22" i="6" s="1"/>
  <c r="DB22" i="6" s="1"/>
  <c r="DC22" i="6" s="1"/>
  <c r="DD22" i="6" s="1"/>
  <c r="DE22" i="6" s="1"/>
  <c r="DF22" i="6" s="1"/>
  <c r="DG22" i="6" s="1"/>
  <c r="DH22" i="6" s="1"/>
  <c r="DI22" i="6" s="1"/>
  <c r="DJ22" i="6" s="1"/>
  <c r="DK22" i="6" s="1"/>
  <c r="DL22" i="6" s="1"/>
  <c r="DM22" i="6" s="1"/>
  <c r="DN22" i="6" s="1"/>
  <c r="DO22" i="6" s="1"/>
  <c r="DP22" i="6" s="1"/>
  <c r="DQ22" i="6" s="1"/>
  <c r="DR22" i="6" s="1"/>
  <c r="DS22" i="6" s="1"/>
  <c r="DT22" i="6" s="1"/>
  <c r="DU22" i="6" s="1"/>
  <c r="DV22" i="6" s="1"/>
  <c r="DW22" i="6" s="1"/>
  <c r="DX22" i="6" s="1"/>
  <c r="DY22" i="6" s="1"/>
  <c r="DZ22" i="6" s="1"/>
  <c r="EA22" i="6" s="1"/>
  <c r="EB22" i="6" s="1"/>
  <c r="EC22" i="6" s="1"/>
  <c r="ED22" i="6" s="1"/>
  <c r="EE22" i="6" s="1"/>
  <c r="D23" i="6"/>
  <c r="E23" i="6" s="1"/>
  <c r="F23" i="6" s="1"/>
  <c r="G23" i="6" s="1"/>
  <c r="H23" i="6" s="1"/>
  <c r="I23" i="6" s="1"/>
  <c r="J23" i="6" s="1"/>
  <c r="K23" i="6" s="1"/>
  <c r="L23" i="6" s="1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AG23" i="6" s="1"/>
  <c r="AH23" i="6" s="1"/>
  <c r="AI23" i="6" s="1"/>
  <c r="AJ23" i="6" s="1"/>
  <c r="AK23" i="6" s="1"/>
  <c r="AL23" i="6" s="1"/>
  <c r="AM23" i="6" s="1"/>
  <c r="AN23" i="6" s="1"/>
  <c r="AO23" i="6" s="1"/>
  <c r="AP23" i="6" s="1"/>
  <c r="AQ23" i="6" s="1"/>
  <c r="AR23" i="6" s="1"/>
  <c r="AS23" i="6" s="1"/>
  <c r="AT23" i="6" s="1"/>
  <c r="AU23" i="6" s="1"/>
  <c r="AV23" i="6" s="1"/>
  <c r="AW23" i="6" s="1"/>
  <c r="AX23" i="6" s="1"/>
  <c r="AY23" i="6" s="1"/>
  <c r="AZ23" i="6" s="1"/>
  <c r="BA23" i="6" s="1"/>
  <c r="BB23" i="6" s="1"/>
  <c r="BC23" i="6" s="1"/>
  <c r="BD23" i="6" s="1"/>
  <c r="BE23" i="6" s="1"/>
  <c r="BF23" i="6" s="1"/>
  <c r="BG23" i="6" s="1"/>
  <c r="BH23" i="6" s="1"/>
  <c r="BI23" i="6" s="1"/>
  <c r="BJ23" i="6" s="1"/>
  <c r="BK23" i="6" s="1"/>
  <c r="BL23" i="6" s="1"/>
  <c r="BM23" i="6" s="1"/>
  <c r="BN23" i="6" s="1"/>
  <c r="BO23" i="6" s="1"/>
  <c r="BP23" i="6" s="1"/>
  <c r="BQ23" i="6" s="1"/>
  <c r="BR23" i="6" s="1"/>
  <c r="BS23" i="6" s="1"/>
  <c r="BT23" i="6" s="1"/>
  <c r="BU23" i="6" s="1"/>
  <c r="BV23" i="6" s="1"/>
  <c r="BW23" i="6" s="1"/>
  <c r="BX23" i="6" s="1"/>
  <c r="BY23" i="6" s="1"/>
  <c r="BZ23" i="6" s="1"/>
  <c r="CA23" i="6" s="1"/>
  <c r="CB23" i="6" s="1"/>
  <c r="CC23" i="6" s="1"/>
  <c r="CD23" i="6" s="1"/>
  <c r="CE23" i="6" s="1"/>
  <c r="CF23" i="6" s="1"/>
  <c r="CG23" i="6" s="1"/>
  <c r="CH23" i="6" s="1"/>
  <c r="CI23" i="6" s="1"/>
  <c r="CJ23" i="6" s="1"/>
  <c r="CK23" i="6" s="1"/>
  <c r="CL23" i="6" s="1"/>
  <c r="CM23" i="6" s="1"/>
  <c r="CN23" i="6" s="1"/>
  <c r="CO23" i="6" s="1"/>
  <c r="CP23" i="6" s="1"/>
  <c r="CQ23" i="6" s="1"/>
  <c r="CR23" i="6" s="1"/>
  <c r="CS23" i="6" s="1"/>
  <c r="CT23" i="6" s="1"/>
  <c r="CU23" i="6" s="1"/>
  <c r="CV23" i="6" s="1"/>
  <c r="CW23" i="6" s="1"/>
  <c r="CX23" i="6" s="1"/>
  <c r="CY23" i="6" s="1"/>
  <c r="CZ23" i="6" s="1"/>
  <c r="DA23" i="6" s="1"/>
  <c r="DB23" i="6" s="1"/>
  <c r="DC23" i="6" s="1"/>
  <c r="DD23" i="6" s="1"/>
  <c r="DE23" i="6" s="1"/>
  <c r="DF23" i="6" s="1"/>
  <c r="DG23" i="6" s="1"/>
  <c r="DH23" i="6" s="1"/>
  <c r="DI23" i="6" s="1"/>
  <c r="DJ23" i="6" s="1"/>
  <c r="DK23" i="6" s="1"/>
  <c r="DL23" i="6" s="1"/>
  <c r="DM23" i="6" s="1"/>
  <c r="DN23" i="6" s="1"/>
  <c r="DO23" i="6" s="1"/>
  <c r="DP23" i="6" s="1"/>
  <c r="DQ23" i="6" s="1"/>
  <c r="DR23" i="6" s="1"/>
  <c r="DS23" i="6" s="1"/>
  <c r="DT23" i="6" s="1"/>
  <c r="DU23" i="6" s="1"/>
  <c r="DV23" i="6" s="1"/>
  <c r="DW23" i="6" s="1"/>
  <c r="DX23" i="6" s="1"/>
  <c r="DY23" i="6" s="1"/>
  <c r="DZ23" i="6" s="1"/>
  <c r="EA23" i="6" s="1"/>
  <c r="EB23" i="6" s="1"/>
  <c r="EC23" i="6" s="1"/>
  <c r="ED23" i="6" s="1"/>
  <c r="EE23" i="6" s="1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10" i="6"/>
  <c r="C11" i="5"/>
  <c r="C12" i="5"/>
  <c r="C13" i="5"/>
  <c r="C14" i="5"/>
  <c r="C15" i="5"/>
  <c r="C16" i="5"/>
  <c r="C17" i="5"/>
  <c r="C18" i="5"/>
  <c r="C19" i="5"/>
  <c r="D19" i="5" s="1"/>
  <c r="E19" i="5" s="1"/>
  <c r="F19" i="5" s="1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ED19" i="5" s="1"/>
  <c r="EE19" i="5" s="1"/>
  <c r="C20" i="5"/>
  <c r="D20" i="5" s="1"/>
  <c r="E20" i="5" s="1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DF20" i="5" s="1"/>
  <c r="DG20" i="5" s="1"/>
  <c r="DH20" i="5" s="1"/>
  <c r="DI20" i="5" s="1"/>
  <c r="DJ20" i="5" s="1"/>
  <c r="DK20" i="5" s="1"/>
  <c r="DL20" i="5" s="1"/>
  <c r="DM20" i="5" s="1"/>
  <c r="DN20" i="5" s="1"/>
  <c r="DO20" i="5" s="1"/>
  <c r="DP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EC20" i="5" s="1"/>
  <c r="ED20" i="5" s="1"/>
  <c r="EE20" i="5" s="1"/>
  <c r="C21" i="5"/>
  <c r="D21" i="5" s="1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C22" i="5"/>
  <c r="D22" i="5" s="1"/>
  <c r="E22" i="5" s="1"/>
  <c r="F22" i="5" s="1"/>
  <c r="G22" i="5" s="1"/>
  <c r="H22" i="5" s="1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CH22" i="5" s="1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DF22" i="5" s="1"/>
  <c r="DG22" i="5" s="1"/>
  <c r="DH22" i="5" s="1"/>
  <c r="DI22" i="5" s="1"/>
  <c r="DJ22" i="5" s="1"/>
  <c r="DK22" i="5" s="1"/>
  <c r="DL22" i="5" s="1"/>
  <c r="DM22" i="5" s="1"/>
  <c r="DN22" i="5" s="1"/>
  <c r="DO22" i="5" s="1"/>
  <c r="DP22" i="5" s="1"/>
  <c r="DQ22" i="5" s="1"/>
  <c r="DR22" i="5" s="1"/>
  <c r="DS22" i="5" s="1"/>
  <c r="DT22" i="5" s="1"/>
  <c r="DU22" i="5" s="1"/>
  <c r="DV22" i="5" s="1"/>
  <c r="DW22" i="5" s="1"/>
  <c r="DX22" i="5" s="1"/>
  <c r="DY22" i="5" s="1"/>
  <c r="DZ22" i="5" s="1"/>
  <c r="EA22" i="5" s="1"/>
  <c r="EB22" i="5" s="1"/>
  <c r="EC22" i="5" s="1"/>
  <c r="ED22" i="5" s="1"/>
  <c r="EE22" i="5" s="1"/>
  <c r="C23" i="5"/>
  <c r="D23" i="5" s="1"/>
  <c r="E23" i="5" s="1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CV23" i="5" s="1"/>
  <c r="CW23" i="5" s="1"/>
  <c r="CX23" i="5" s="1"/>
  <c r="CY23" i="5" s="1"/>
  <c r="CZ23" i="5" s="1"/>
  <c r="DA23" i="5" s="1"/>
  <c r="DB23" i="5" s="1"/>
  <c r="DC23" i="5" s="1"/>
  <c r="DD23" i="5" s="1"/>
  <c r="DE23" i="5" s="1"/>
  <c r="DF23" i="5" s="1"/>
  <c r="DG23" i="5" s="1"/>
  <c r="DH23" i="5" s="1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EE23" i="5" s="1"/>
  <c r="C24" i="5"/>
  <c r="D24" i="5" s="1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EC24" i="5" s="1"/>
  <c r="ED24" i="5" s="1"/>
  <c r="EE24" i="5" s="1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DL5" i="2"/>
  <c r="DM5" i="2"/>
  <c r="DN5" i="2"/>
  <c r="DO5" i="2"/>
  <c r="DP5" i="2"/>
  <c r="DQ5" i="2"/>
  <c r="DR5" i="2"/>
  <c r="DS5" i="2"/>
  <c r="DT5" i="2"/>
  <c r="DU5" i="2"/>
  <c r="DV5" i="2"/>
  <c r="DW5" i="2"/>
  <c r="DX5" i="2"/>
  <c r="DY5" i="2"/>
  <c r="DZ5" i="2"/>
  <c r="EA5" i="2"/>
  <c r="EB5" i="2"/>
  <c r="EC5" i="2"/>
  <c r="ED5" i="2"/>
  <c r="EE5" i="2"/>
  <c r="EF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DV11" i="2"/>
  <c r="DW11" i="2"/>
  <c r="DX11" i="2"/>
  <c r="DY11" i="2"/>
  <c r="DZ11" i="2"/>
  <c r="EA11" i="2"/>
  <c r="EB11" i="2"/>
  <c r="EC11" i="2"/>
  <c r="ED11" i="2"/>
  <c r="EE11" i="2"/>
  <c r="EF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EE14" i="2"/>
  <c r="EF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EB15" i="2"/>
  <c r="EC15" i="2"/>
  <c r="ED15" i="2"/>
  <c r="EE15" i="2"/>
  <c r="EF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DV17" i="2"/>
  <c r="DW17" i="2"/>
  <c r="DX17" i="2"/>
  <c r="DY17" i="2"/>
  <c r="DZ17" i="2"/>
  <c r="EA17" i="2"/>
  <c r="EB17" i="2"/>
  <c r="EC17" i="2"/>
  <c r="ED17" i="2"/>
  <c r="EE17" i="2"/>
  <c r="EF17" i="2"/>
  <c r="C6" i="2"/>
  <c r="C7" i="2"/>
  <c r="C8" i="2"/>
  <c r="C9" i="2"/>
  <c r="C10" i="2"/>
  <c r="C11" i="2"/>
  <c r="C12" i="2"/>
  <c r="C13" i="2"/>
  <c r="C14" i="2"/>
  <c r="C15" i="2"/>
  <c r="C16" i="2"/>
  <c r="C17" i="2"/>
  <c r="C5" i="2"/>
  <c r="EH5" i="2" s="1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X5" i="4"/>
  <c r="CY5" i="4"/>
  <c r="CZ5" i="4"/>
  <c r="DA5" i="4"/>
  <c r="DB5" i="4"/>
  <c r="DC5" i="4"/>
  <c r="DD5" i="4"/>
  <c r="DE5" i="4"/>
  <c r="DF5" i="4"/>
  <c r="DG5" i="4"/>
  <c r="DH5" i="4"/>
  <c r="DI5" i="4"/>
  <c r="DJ5" i="4"/>
  <c r="DK5" i="4"/>
  <c r="DL5" i="4"/>
  <c r="DM5" i="4"/>
  <c r="DN5" i="4"/>
  <c r="DO5" i="4"/>
  <c r="DP5" i="4"/>
  <c r="DQ5" i="4"/>
  <c r="DR5" i="4"/>
  <c r="DS5" i="4"/>
  <c r="DT5" i="4"/>
  <c r="DU5" i="4"/>
  <c r="DV5" i="4"/>
  <c r="DW5" i="4"/>
  <c r="DX5" i="4"/>
  <c r="DY5" i="4"/>
  <c r="DZ5" i="4"/>
  <c r="EA5" i="4"/>
  <c r="EB5" i="4"/>
  <c r="EC5" i="4"/>
  <c r="ED5" i="4"/>
  <c r="EE5" i="4"/>
  <c r="EF5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CX6" i="4"/>
  <c r="CY6" i="4"/>
  <c r="CZ6" i="4"/>
  <c r="DA6" i="4"/>
  <c r="DB6" i="4"/>
  <c r="DC6" i="4"/>
  <c r="DD6" i="4"/>
  <c r="DE6" i="4"/>
  <c r="DF6" i="4"/>
  <c r="DG6" i="4"/>
  <c r="DH6" i="4"/>
  <c r="DI6" i="4"/>
  <c r="DJ6" i="4"/>
  <c r="DK6" i="4"/>
  <c r="DL6" i="4"/>
  <c r="DM6" i="4"/>
  <c r="DN6" i="4"/>
  <c r="DO6" i="4"/>
  <c r="DP6" i="4"/>
  <c r="DQ6" i="4"/>
  <c r="DR6" i="4"/>
  <c r="DS6" i="4"/>
  <c r="DT6" i="4"/>
  <c r="DU6" i="4"/>
  <c r="DV6" i="4"/>
  <c r="DW6" i="4"/>
  <c r="DX6" i="4"/>
  <c r="DY6" i="4"/>
  <c r="DZ6" i="4"/>
  <c r="EA6" i="4"/>
  <c r="EB6" i="4"/>
  <c r="EC6" i="4"/>
  <c r="ED6" i="4"/>
  <c r="EE6" i="4"/>
  <c r="EF6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EF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D8" i="1" a="1"/>
  <c r="D8" i="1"/>
  <c r="E8" i="1" a="1"/>
  <c r="E8" i="1"/>
  <c r="F8" i="1" a="1"/>
  <c r="F8" i="1"/>
  <c r="G8" i="1" a="1"/>
  <c r="G8" i="1"/>
  <c r="H8" i="1" a="1"/>
  <c r="H8" i="1"/>
  <c r="I8" i="1" a="1"/>
  <c r="I8" i="1"/>
  <c r="J8" i="1" a="1"/>
  <c r="J8" i="1"/>
  <c r="K8" i="1" a="1"/>
  <c r="K8" i="1"/>
  <c r="L8" i="1" a="1"/>
  <c r="L8" i="1"/>
  <c r="M8" i="1" a="1"/>
  <c r="M8" i="1"/>
  <c r="N8" i="1" a="1"/>
  <c r="N8" i="1"/>
  <c r="O8" i="1" a="1"/>
  <c r="O8" i="1"/>
  <c r="P8" i="1" a="1"/>
  <c r="P8" i="1"/>
  <c r="Q8" i="1" a="1"/>
  <c r="Q8" i="1"/>
  <c r="R8" i="1" a="1"/>
  <c r="R8" i="1"/>
  <c r="S8" i="1" a="1"/>
  <c r="S8" i="1"/>
  <c r="T8" i="1" a="1"/>
  <c r="T8" i="1"/>
  <c r="U8" i="1" a="1"/>
  <c r="U8" i="1"/>
  <c r="V8" i="1" a="1"/>
  <c r="V8" i="1"/>
  <c r="W8" i="1" a="1"/>
  <c r="W8" i="1"/>
  <c r="X8" i="1" a="1"/>
  <c r="X8" i="1"/>
  <c r="Y8" i="1" a="1"/>
  <c r="Y8" i="1"/>
  <c r="Z8" i="1" a="1"/>
  <c r="Z8" i="1"/>
  <c r="AA8" i="1" a="1"/>
  <c r="AA8" i="1"/>
  <c r="AB8" i="1" a="1"/>
  <c r="AB8" i="1"/>
  <c r="AC8" i="1" a="1"/>
  <c r="AC8" i="1"/>
  <c r="AD8" i="1" a="1"/>
  <c r="AD8" i="1"/>
  <c r="AE8" i="1" a="1"/>
  <c r="AE8" i="1"/>
  <c r="AF8" i="1" a="1"/>
  <c r="AF8" i="1"/>
  <c r="AG8" i="1" a="1"/>
  <c r="AG8" i="1"/>
  <c r="AH8" i="1" a="1"/>
  <c r="AH8" i="1"/>
  <c r="AI8" i="1" a="1"/>
  <c r="AI8" i="1"/>
  <c r="AJ8" i="1" a="1"/>
  <c r="AJ8" i="1"/>
  <c r="AK8" i="1" a="1"/>
  <c r="AK8" i="1"/>
  <c r="AL8" i="1" a="1"/>
  <c r="AL8" i="1"/>
  <c r="AM8" i="1" a="1"/>
  <c r="AM8" i="1"/>
  <c r="AN8" i="1" a="1"/>
  <c r="AN8" i="1"/>
  <c r="AO8" i="1" a="1"/>
  <c r="AO8" i="1"/>
  <c r="AP8" i="1" a="1"/>
  <c r="AP8" i="1"/>
  <c r="AQ8" i="1" a="1"/>
  <c r="AQ8" i="1"/>
  <c r="AR8" i="1" a="1"/>
  <c r="AR8" i="1"/>
  <c r="AS8" i="1" a="1"/>
  <c r="AS8" i="1"/>
  <c r="AT8" i="1" a="1"/>
  <c r="AT8" i="1"/>
  <c r="AU8" i="1" a="1"/>
  <c r="AU8" i="1"/>
  <c r="AV8" i="1" a="1"/>
  <c r="AV8" i="1"/>
  <c r="AW8" i="1" a="1"/>
  <c r="AW8" i="1"/>
  <c r="AX8" i="1" a="1"/>
  <c r="AX8" i="1"/>
  <c r="AY8" i="1" a="1"/>
  <c r="AY8" i="1"/>
  <c r="AZ8" i="1" a="1"/>
  <c r="AZ8" i="1"/>
  <c r="BA8" i="1" a="1"/>
  <c r="BA8" i="1"/>
  <c r="BB8" i="1" a="1"/>
  <c r="BB8" i="1"/>
  <c r="BC8" i="1" a="1"/>
  <c r="BC8" i="1"/>
  <c r="BD8" i="1" a="1"/>
  <c r="BD8" i="1"/>
  <c r="BE8" i="1" a="1"/>
  <c r="BE8" i="1"/>
  <c r="BF8" i="1" a="1"/>
  <c r="BF8" i="1"/>
  <c r="BG8" i="1" a="1"/>
  <c r="BG8" i="1"/>
  <c r="BH8" i="1" a="1"/>
  <c r="BH8" i="1"/>
  <c r="BI8" i="1" a="1"/>
  <c r="BI8" i="1"/>
  <c r="BJ8" i="1" a="1"/>
  <c r="BJ8" i="1"/>
  <c r="BK8" i="1" a="1"/>
  <c r="BK8" i="1"/>
  <c r="BL8" i="1" a="1"/>
  <c r="BL8" i="1"/>
  <c r="BM8" i="1" a="1"/>
  <c r="BM8" i="1"/>
  <c r="BN8" i="1" a="1"/>
  <c r="BN8" i="1"/>
  <c r="BO8" i="1" a="1"/>
  <c r="BO8" i="1"/>
  <c r="BP8" i="1" a="1"/>
  <c r="BP8" i="1"/>
  <c r="BQ8" i="1" a="1"/>
  <c r="BQ8" i="1"/>
  <c r="BR8" i="1" a="1"/>
  <c r="BR8" i="1"/>
  <c r="BS8" i="1" a="1"/>
  <c r="BS8" i="1"/>
  <c r="BT8" i="1" a="1"/>
  <c r="BT8" i="1"/>
  <c r="BU8" i="1" a="1"/>
  <c r="BU8" i="1"/>
  <c r="BV8" i="1" a="1"/>
  <c r="BV8" i="1"/>
  <c r="BW8" i="1" a="1"/>
  <c r="BW8" i="1"/>
  <c r="BX8" i="1" a="1"/>
  <c r="BX8" i="1"/>
  <c r="BY8" i="1" a="1"/>
  <c r="BY8" i="1"/>
  <c r="BZ8" i="1" a="1"/>
  <c r="BZ8" i="1"/>
  <c r="CA8" i="1" a="1"/>
  <c r="CA8" i="1"/>
  <c r="CB8" i="1" a="1"/>
  <c r="CB8" i="1"/>
  <c r="CC8" i="1" a="1"/>
  <c r="CC8" i="1"/>
  <c r="CD8" i="1" a="1"/>
  <c r="CD8" i="1"/>
  <c r="CE8" i="1" a="1"/>
  <c r="CE8" i="1"/>
  <c r="CF8" i="1" a="1"/>
  <c r="CF8" i="1"/>
  <c r="CG8" i="1" a="1"/>
  <c r="CG8" i="1"/>
  <c r="CH8" i="1" a="1"/>
  <c r="CH8" i="1"/>
  <c r="CI8" i="1" a="1"/>
  <c r="CI8" i="1"/>
  <c r="CJ8" i="1" a="1"/>
  <c r="CJ8" i="1"/>
  <c r="CK8" i="1" a="1"/>
  <c r="CK8" i="1"/>
  <c r="CL8" i="1" a="1"/>
  <c r="CL8" i="1"/>
  <c r="CM8" i="1" a="1"/>
  <c r="CM8" i="1"/>
  <c r="CN8" i="1" a="1"/>
  <c r="CN8" i="1"/>
  <c r="CO8" i="1" a="1"/>
  <c r="CO8" i="1"/>
  <c r="CP8" i="1" a="1"/>
  <c r="CP8" i="1"/>
  <c r="CQ8" i="1" a="1"/>
  <c r="CQ8" i="1"/>
  <c r="CR8" i="1" a="1"/>
  <c r="CR8" i="1"/>
  <c r="CS8" i="1" a="1"/>
  <c r="CS8" i="1"/>
  <c r="CT8" i="1" a="1"/>
  <c r="CT8" i="1"/>
  <c r="CU8" i="1" a="1"/>
  <c r="CU8" i="1"/>
  <c r="CV8" i="1" a="1"/>
  <c r="CV8" i="1"/>
  <c r="CW8" i="1" a="1"/>
  <c r="CW8" i="1"/>
  <c r="CX8" i="1" a="1"/>
  <c r="CX8" i="1"/>
  <c r="CY8" i="1" a="1"/>
  <c r="CY8" i="1"/>
  <c r="CZ8" i="1" a="1"/>
  <c r="CZ8" i="1"/>
  <c r="DA8" i="1" a="1"/>
  <c r="DA8" i="1"/>
  <c r="DB8" i="1" a="1"/>
  <c r="DB8" i="1"/>
  <c r="DC8" i="1" a="1"/>
  <c r="DC8" i="1"/>
  <c r="DD8" i="1" a="1"/>
  <c r="DD8" i="1"/>
  <c r="DE8" i="1" a="1"/>
  <c r="DE8" i="1"/>
  <c r="DF8" i="1" a="1"/>
  <c r="DF8" i="1"/>
  <c r="DG8" i="1" a="1"/>
  <c r="DG8" i="1"/>
  <c r="DH8" i="1" a="1"/>
  <c r="DH8" i="1"/>
  <c r="DI8" i="1" a="1"/>
  <c r="DI8" i="1"/>
  <c r="DJ8" i="1" a="1"/>
  <c r="DJ8" i="1"/>
  <c r="DK8" i="1" a="1"/>
  <c r="DK8" i="1"/>
  <c r="DL8" i="1" a="1"/>
  <c r="DL8" i="1"/>
  <c r="DM8" i="1" a="1"/>
  <c r="DM8" i="1"/>
  <c r="DN8" i="1" a="1"/>
  <c r="DN8" i="1"/>
  <c r="DO8" i="1" a="1"/>
  <c r="DO8" i="1"/>
  <c r="DP8" i="1" a="1"/>
  <c r="DP8" i="1"/>
  <c r="DQ8" i="1" a="1"/>
  <c r="DQ8" i="1"/>
  <c r="DR8" i="1" a="1"/>
  <c r="DR8" i="1"/>
  <c r="DS8" i="1" a="1"/>
  <c r="DS8" i="1"/>
  <c r="DT8" i="1" a="1"/>
  <c r="DT8" i="1"/>
  <c r="DU8" i="1" a="1"/>
  <c r="DU8" i="1"/>
  <c r="DV8" i="1" a="1"/>
  <c r="DV8" i="1"/>
  <c r="DW8" i="1" a="1"/>
  <c r="DW8" i="1"/>
  <c r="DX8" i="1" a="1"/>
  <c r="DX8" i="1"/>
  <c r="DY8" i="1" a="1"/>
  <c r="DY8" i="1"/>
  <c r="DZ8" i="1" a="1"/>
  <c r="DZ8" i="1"/>
  <c r="EA8" i="1" a="1"/>
  <c r="EA8" i="1"/>
  <c r="EB8" i="1" a="1"/>
  <c r="EB8" i="1"/>
  <c r="EC8" i="1" a="1"/>
  <c r="EC8" i="1"/>
  <c r="ED8" i="1" a="1"/>
  <c r="ED8" i="1"/>
  <c r="EE8" i="1" a="1"/>
  <c r="EE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F10" i="13"/>
  <c r="EF9" i="13"/>
  <c r="EE8" i="13" a="1"/>
  <c r="EE8" i="13" s="1"/>
  <c r="ED8" i="13" a="1"/>
  <c r="ED8" i="13" s="1"/>
  <c r="EC8" i="13" a="1"/>
  <c r="EC8" i="13" s="1"/>
  <c r="EB8" i="13" a="1"/>
  <c r="EB8" i="13" s="1"/>
  <c r="EA8" i="13" a="1"/>
  <c r="EA8" i="13" s="1"/>
  <c r="DZ8" i="13" a="1"/>
  <c r="DZ8" i="13" s="1"/>
  <c r="DY8" i="13" a="1"/>
  <c r="DY8" i="13" s="1"/>
  <c r="DX8" i="13" a="1"/>
  <c r="DX8" i="13" s="1"/>
  <c r="DW8" i="13" a="1"/>
  <c r="DW8" i="13" s="1"/>
  <c r="DV8" i="13" a="1"/>
  <c r="DV8" i="13" s="1"/>
  <c r="DU8" i="13" a="1"/>
  <c r="DU8" i="13" s="1"/>
  <c r="DT8" i="13" a="1"/>
  <c r="DT8" i="13" s="1"/>
  <c r="DS8" i="13" a="1"/>
  <c r="DS8" i="13" s="1"/>
  <c r="DR8" i="13" a="1"/>
  <c r="DR8" i="13" s="1"/>
  <c r="DQ8" i="13" a="1"/>
  <c r="DQ8" i="13" s="1"/>
  <c r="DP8" i="13" a="1"/>
  <c r="DP8" i="13" s="1"/>
  <c r="DO8" i="13" a="1"/>
  <c r="DO8" i="13" s="1"/>
  <c r="DN8" i="13" a="1"/>
  <c r="DN8" i="13" s="1"/>
  <c r="DM8" i="13" a="1"/>
  <c r="DM8" i="13" s="1"/>
  <c r="DL8" i="13" a="1"/>
  <c r="DL8" i="13" s="1"/>
  <c r="DK8" i="13" a="1"/>
  <c r="DK8" i="13" s="1"/>
  <c r="DJ8" i="13" a="1"/>
  <c r="DJ8" i="13" s="1"/>
  <c r="DI8" i="13" a="1"/>
  <c r="DI8" i="13" s="1"/>
  <c r="DH8" i="13" a="1"/>
  <c r="DH8" i="13" s="1"/>
  <c r="DG8" i="13" a="1"/>
  <c r="DG8" i="13" s="1"/>
  <c r="DF8" i="13" a="1"/>
  <c r="DF8" i="13" s="1"/>
  <c r="DE8" i="13" a="1"/>
  <c r="DE8" i="13" s="1"/>
  <c r="DD8" i="13" a="1"/>
  <c r="DD8" i="13" s="1"/>
  <c r="DC8" i="13" a="1"/>
  <c r="DC8" i="13" s="1"/>
  <c r="DB8" i="13" a="1"/>
  <c r="DB8" i="13" s="1"/>
  <c r="DA8" i="13" a="1"/>
  <c r="DA8" i="13" s="1"/>
  <c r="CZ8" i="13" a="1"/>
  <c r="CZ8" i="13" s="1"/>
  <c r="CY8" i="13" a="1"/>
  <c r="CY8" i="13" s="1"/>
  <c r="CX8" i="13" a="1"/>
  <c r="CX8" i="13" s="1"/>
  <c r="CW8" i="13" a="1"/>
  <c r="CW8" i="13" s="1"/>
  <c r="CV8" i="13" a="1"/>
  <c r="CV8" i="13" s="1"/>
  <c r="CU8" i="13" a="1"/>
  <c r="CU8" i="13" s="1"/>
  <c r="CT8" i="13" a="1"/>
  <c r="CT8" i="13" s="1"/>
  <c r="CS8" i="13" a="1"/>
  <c r="CS8" i="13" s="1"/>
  <c r="CR8" i="13" a="1"/>
  <c r="CR8" i="13" s="1"/>
  <c r="CQ8" i="13" a="1"/>
  <c r="CQ8" i="13" s="1"/>
  <c r="CP8" i="13" a="1"/>
  <c r="CP8" i="13" s="1"/>
  <c r="CO8" i="13" a="1"/>
  <c r="CO8" i="13" s="1"/>
  <c r="CN8" i="13" a="1"/>
  <c r="CN8" i="13" s="1"/>
  <c r="CM8" i="13" a="1"/>
  <c r="CM8" i="13" s="1"/>
  <c r="CL8" i="13" a="1"/>
  <c r="CL8" i="13" s="1"/>
  <c r="CK8" i="13" a="1"/>
  <c r="CK8" i="13" s="1"/>
  <c r="CJ8" i="13" a="1"/>
  <c r="CJ8" i="13" s="1"/>
  <c r="CI8" i="13" a="1"/>
  <c r="CI8" i="13" s="1"/>
  <c r="CH8" i="13" a="1"/>
  <c r="CH8" i="13" s="1"/>
  <c r="CG8" i="13" a="1"/>
  <c r="CG8" i="13" s="1"/>
  <c r="CF8" i="13" a="1"/>
  <c r="CF8" i="13" s="1"/>
  <c r="CE8" i="13" a="1"/>
  <c r="CE8" i="13" s="1"/>
  <c r="CD8" i="13" a="1"/>
  <c r="CD8" i="13" s="1"/>
  <c r="CC8" i="13" a="1"/>
  <c r="CC8" i="13" s="1"/>
  <c r="CB8" i="13" a="1"/>
  <c r="CB8" i="13" s="1"/>
  <c r="CA8" i="13" a="1"/>
  <c r="CA8" i="13" s="1"/>
  <c r="BZ8" i="13" a="1"/>
  <c r="BZ8" i="13" s="1"/>
  <c r="BY8" i="13" a="1"/>
  <c r="BY8" i="13" s="1"/>
  <c r="BX8" i="13" a="1"/>
  <c r="BX8" i="13" s="1"/>
  <c r="BW8" i="13" a="1"/>
  <c r="BW8" i="13" s="1"/>
  <c r="BV8" i="13" a="1"/>
  <c r="BV8" i="13" s="1"/>
  <c r="BU8" i="13" a="1"/>
  <c r="BU8" i="13" s="1"/>
  <c r="BT8" i="13" a="1"/>
  <c r="BT8" i="13" s="1"/>
  <c r="BS8" i="13" a="1"/>
  <c r="BS8" i="13" s="1"/>
  <c r="BR8" i="13" a="1"/>
  <c r="BR8" i="13" s="1"/>
  <c r="BQ8" i="13" a="1"/>
  <c r="BQ8" i="13" s="1"/>
  <c r="BP8" i="13" a="1"/>
  <c r="BP8" i="13" s="1"/>
  <c r="BO8" i="13" a="1"/>
  <c r="BO8" i="13" s="1"/>
  <c r="BN8" i="13" a="1"/>
  <c r="BN8" i="13" s="1"/>
  <c r="BM8" i="13" a="1"/>
  <c r="BM8" i="13" s="1"/>
  <c r="BL8" i="13" a="1"/>
  <c r="BL8" i="13" s="1"/>
  <c r="BK8" i="13" a="1"/>
  <c r="BK8" i="13" s="1"/>
  <c r="BJ8" i="13" a="1"/>
  <c r="BJ8" i="13" s="1"/>
  <c r="BI8" i="13" a="1"/>
  <c r="BI8" i="13" s="1"/>
  <c r="BH8" i="13" a="1"/>
  <c r="BH8" i="13" s="1"/>
  <c r="BG8" i="13" a="1"/>
  <c r="BG8" i="13" s="1"/>
  <c r="BF8" i="13" a="1"/>
  <c r="BF8" i="13" s="1"/>
  <c r="BE8" i="13" a="1"/>
  <c r="BE8" i="13" s="1"/>
  <c r="BD8" i="13" a="1"/>
  <c r="BD8" i="13" s="1"/>
  <c r="BC8" i="13" a="1"/>
  <c r="BC8" i="13" s="1"/>
  <c r="BB8" i="13" a="1"/>
  <c r="BB8" i="13" s="1"/>
  <c r="BA8" i="13" a="1"/>
  <c r="BA8" i="13" s="1"/>
  <c r="AZ8" i="13" a="1"/>
  <c r="AZ8" i="13" s="1"/>
  <c r="AY8" i="13" a="1"/>
  <c r="AY8" i="13" s="1"/>
  <c r="AX8" i="13" a="1"/>
  <c r="AX8" i="13" s="1"/>
  <c r="AW8" i="13" a="1"/>
  <c r="AW8" i="13" s="1"/>
  <c r="AV8" i="13" a="1"/>
  <c r="AV8" i="13" s="1"/>
  <c r="AU8" i="13" a="1"/>
  <c r="AU8" i="13" s="1"/>
  <c r="AT8" i="13" a="1"/>
  <c r="AT8" i="13" s="1"/>
  <c r="AS8" i="13" a="1"/>
  <c r="AS8" i="13" s="1"/>
  <c r="AR8" i="13" a="1"/>
  <c r="AR8" i="13" s="1"/>
  <c r="AQ8" i="13" a="1"/>
  <c r="AQ8" i="13" s="1"/>
  <c r="AP8" i="13" a="1"/>
  <c r="AP8" i="13" s="1"/>
  <c r="AO8" i="13" a="1"/>
  <c r="AO8" i="13" s="1"/>
  <c r="AN8" i="13" a="1"/>
  <c r="AN8" i="13" s="1"/>
  <c r="AM8" i="13" a="1"/>
  <c r="AM8" i="13" s="1"/>
  <c r="AL8" i="13" a="1"/>
  <c r="AL8" i="13" s="1"/>
  <c r="AK8" i="13" a="1"/>
  <c r="AK8" i="13" s="1"/>
  <c r="AJ8" i="13" a="1"/>
  <c r="AJ8" i="13" s="1"/>
  <c r="AI8" i="13" a="1"/>
  <c r="AI8" i="13" s="1"/>
  <c r="AH8" i="13" a="1"/>
  <c r="AH8" i="13" s="1"/>
  <c r="AG8" i="13" a="1"/>
  <c r="AG8" i="13" s="1"/>
  <c r="AF8" i="13" a="1"/>
  <c r="AF8" i="13" s="1"/>
  <c r="AE8" i="13" a="1"/>
  <c r="AE8" i="13" s="1"/>
  <c r="AD8" i="13" a="1"/>
  <c r="AD8" i="13" s="1"/>
  <c r="AC8" i="13" a="1"/>
  <c r="AC8" i="13" s="1"/>
  <c r="AB8" i="13" a="1"/>
  <c r="AB8" i="13" s="1"/>
  <c r="AA8" i="13" a="1"/>
  <c r="AA8" i="13" s="1"/>
  <c r="Z8" i="13" a="1"/>
  <c r="Z8" i="13" s="1"/>
  <c r="Y8" i="13" a="1"/>
  <c r="Y8" i="13" s="1"/>
  <c r="X8" i="13" a="1"/>
  <c r="X8" i="13" s="1"/>
  <c r="W8" i="13" a="1"/>
  <c r="W8" i="13" s="1"/>
  <c r="V8" i="13" a="1"/>
  <c r="V8" i="13" s="1"/>
  <c r="U8" i="13" a="1"/>
  <c r="U8" i="13" s="1"/>
  <c r="T8" i="13" a="1"/>
  <c r="T8" i="13" s="1"/>
  <c r="S8" i="13" a="1"/>
  <c r="S8" i="13" s="1"/>
  <c r="R8" i="13" a="1"/>
  <c r="R8" i="13" s="1"/>
  <c r="Q8" i="13" a="1"/>
  <c r="Q8" i="13" s="1"/>
  <c r="P8" i="13" a="1"/>
  <c r="P8" i="13" s="1"/>
  <c r="O8" i="13" a="1"/>
  <c r="O8" i="13" s="1"/>
  <c r="N8" i="13" a="1"/>
  <c r="N8" i="13" s="1"/>
  <c r="M8" i="13" a="1"/>
  <c r="M8" i="13" s="1"/>
  <c r="L8" i="13" a="1"/>
  <c r="L8" i="13" s="1"/>
  <c r="K8" i="13" a="1"/>
  <c r="K8" i="13" s="1"/>
  <c r="J8" i="13" a="1"/>
  <c r="J8" i="13" s="1"/>
  <c r="I8" i="13" a="1"/>
  <c r="I8" i="13" s="1"/>
  <c r="H8" i="13" a="1"/>
  <c r="H8" i="13" s="1"/>
  <c r="G8" i="13" a="1"/>
  <c r="G8" i="13" s="1"/>
  <c r="F8" i="13" a="1"/>
  <c r="F8" i="13" s="1"/>
  <c r="E8" i="13" a="1"/>
  <c r="E8" i="13" s="1"/>
  <c r="D8" i="13" a="1"/>
  <c r="D8" i="13" s="1"/>
  <c r="C8" i="13" a="1"/>
  <c r="C8" i="13" s="1"/>
  <c r="D18" i="5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DP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D17" i="5"/>
  <c r="E17" i="5" s="1"/>
  <c r="F17" i="5" s="1"/>
  <c r="G17" i="5" s="1"/>
  <c r="H17" i="5" s="1"/>
  <c r="I17" i="5" s="1"/>
  <c r="J17" i="5" s="1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D16" i="5"/>
  <c r="E16" i="5" s="1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D15" i="5"/>
  <c r="E15" i="5" s="1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D14" i="5"/>
  <c r="E14" i="5" s="1"/>
  <c r="F14" i="5" s="1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D13" i="5"/>
  <c r="E13" i="5" s="1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DF13" i="5" s="1"/>
  <c r="DG13" i="5" s="1"/>
  <c r="DH13" i="5" s="1"/>
  <c r="DI13" i="5" s="1"/>
  <c r="DJ13" i="5" s="1"/>
  <c r="DK13" i="5" s="1"/>
  <c r="DL13" i="5" s="1"/>
  <c r="DM13" i="5" s="1"/>
  <c r="DN13" i="5" s="1"/>
  <c r="DO13" i="5" s="1"/>
  <c r="DP13" i="5" s="1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EC13" i="5" s="1"/>
  <c r="ED13" i="5" s="1"/>
  <c r="EE13" i="5" s="1"/>
  <c r="D12" i="5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BH12" i="5" s="1"/>
  <c r="BI12" i="5" s="1"/>
  <c r="BJ12" i="5" s="1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DF12" i="5" s="1"/>
  <c r="DG12" i="5" s="1"/>
  <c r="DH12" i="5" s="1"/>
  <c r="DI12" i="5" s="1"/>
  <c r="DJ12" i="5" s="1"/>
  <c r="DK12" i="5" s="1"/>
  <c r="DL12" i="5" s="1"/>
  <c r="DM12" i="5" s="1"/>
  <c r="DN12" i="5" s="1"/>
  <c r="DO12" i="5" s="1"/>
  <c r="DP12" i="5" s="1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EC12" i="5" s="1"/>
  <c r="ED12" i="5" s="1"/>
  <c r="EE12" i="5" s="1"/>
  <c r="D11" i="5"/>
  <c r="E11" i="5" s="1"/>
  <c r="F11" i="5" s="1"/>
  <c r="G11" i="5" s="1"/>
  <c r="H11" i="5" s="1"/>
  <c r="I11" i="5" s="1"/>
  <c r="J11" i="5" s="1"/>
  <c r="K11" i="5" s="1"/>
  <c r="L11" i="5" s="1"/>
  <c r="M11" i="5" s="1"/>
  <c r="N11" i="5" s="1"/>
  <c r="O11" i="5" s="1"/>
  <c r="P11" i="5" s="1"/>
  <c r="Q11" i="5" s="1"/>
  <c r="R11" i="5" s="1"/>
  <c r="S11" i="5" s="1"/>
  <c r="T11" i="5" s="1"/>
  <c r="U11" i="5" s="1"/>
  <c r="V11" i="5" s="1"/>
  <c r="W11" i="5" s="1"/>
  <c r="X11" i="5" s="1"/>
  <c r="Y11" i="5" s="1"/>
  <c r="Z11" i="5" s="1"/>
  <c r="AA11" i="5" s="1"/>
  <c r="AB11" i="5" s="1"/>
  <c r="AC11" i="5" s="1"/>
  <c r="AD11" i="5" s="1"/>
  <c r="AE11" i="5" s="1"/>
  <c r="AF11" i="5" s="1"/>
  <c r="AG11" i="5" s="1"/>
  <c r="AH11" i="5" s="1"/>
  <c r="AI11" i="5" s="1"/>
  <c r="AJ11" i="5" s="1"/>
  <c r="AK11" i="5" s="1"/>
  <c r="AL11" i="5" s="1"/>
  <c r="AM11" i="5" s="1"/>
  <c r="AN11" i="5" s="1"/>
  <c r="AO11" i="5" s="1"/>
  <c r="AP11" i="5" s="1"/>
  <c r="AQ11" i="5" s="1"/>
  <c r="AR11" i="5" s="1"/>
  <c r="AS11" i="5" s="1"/>
  <c r="AT11" i="5" s="1"/>
  <c r="AU11" i="5" s="1"/>
  <c r="AV11" i="5" s="1"/>
  <c r="AW11" i="5" s="1"/>
  <c r="AX11" i="5" s="1"/>
  <c r="AY11" i="5" s="1"/>
  <c r="AZ11" i="5" s="1"/>
  <c r="BA11" i="5" s="1"/>
  <c r="BB11" i="5" s="1"/>
  <c r="BC11" i="5" s="1"/>
  <c r="BD11" i="5" s="1"/>
  <c r="BE11" i="5" s="1"/>
  <c r="BF11" i="5" s="1"/>
  <c r="BG11" i="5" s="1"/>
  <c r="BH11" i="5" s="1"/>
  <c r="BI11" i="5" s="1"/>
  <c r="BJ11" i="5" s="1"/>
  <c r="BK11" i="5" s="1"/>
  <c r="BL11" i="5" s="1"/>
  <c r="BM11" i="5" s="1"/>
  <c r="BN11" i="5" s="1"/>
  <c r="BO11" i="5" s="1"/>
  <c r="BP11" i="5" s="1"/>
  <c r="BQ11" i="5" s="1"/>
  <c r="BR11" i="5" s="1"/>
  <c r="BS11" i="5" s="1"/>
  <c r="BT11" i="5" s="1"/>
  <c r="BU11" i="5" s="1"/>
  <c r="BV11" i="5" s="1"/>
  <c r="BW11" i="5" s="1"/>
  <c r="BX11" i="5" s="1"/>
  <c r="BY11" i="5" s="1"/>
  <c r="BZ11" i="5" s="1"/>
  <c r="CA11" i="5" s="1"/>
  <c r="CB11" i="5" s="1"/>
  <c r="CC11" i="5" s="1"/>
  <c r="CD11" i="5" s="1"/>
  <c r="CE11" i="5" s="1"/>
  <c r="CF11" i="5" s="1"/>
  <c r="CG11" i="5" s="1"/>
  <c r="CH11" i="5" s="1"/>
  <c r="CI11" i="5" s="1"/>
  <c r="CJ11" i="5" s="1"/>
  <c r="CK11" i="5" s="1"/>
  <c r="CL11" i="5" s="1"/>
  <c r="CM11" i="5" s="1"/>
  <c r="CN11" i="5" s="1"/>
  <c r="CO11" i="5" s="1"/>
  <c r="CP11" i="5" s="1"/>
  <c r="CQ11" i="5" s="1"/>
  <c r="CR11" i="5" s="1"/>
  <c r="CS11" i="5" s="1"/>
  <c r="CT11" i="5" s="1"/>
  <c r="CU11" i="5" s="1"/>
  <c r="CV11" i="5" s="1"/>
  <c r="CW11" i="5" s="1"/>
  <c r="CX11" i="5" s="1"/>
  <c r="CY11" i="5" s="1"/>
  <c r="CZ11" i="5" s="1"/>
  <c r="DA11" i="5" s="1"/>
  <c r="DB11" i="5" s="1"/>
  <c r="DC11" i="5" s="1"/>
  <c r="DD11" i="5" s="1"/>
  <c r="DE11" i="5" s="1"/>
  <c r="DF11" i="5" s="1"/>
  <c r="DG11" i="5" s="1"/>
  <c r="DH11" i="5" s="1"/>
  <c r="DI11" i="5" s="1"/>
  <c r="DJ11" i="5" s="1"/>
  <c r="DK11" i="5" s="1"/>
  <c r="DL11" i="5" s="1"/>
  <c r="DM11" i="5" s="1"/>
  <c r="DN11" i="5" s="1"/>
  <c r="DO11" i="5" s="1"/>
  <c r="DP11" i="5" s="1"/>
  <c r="DQ11" i="5" s="1"/>
  <c r="DR11" i="5" s="1"/>
  <c r="DS11" i="5" s="1"/>
  <c r="DT11" i="5" s="1"/>
  <c r="DU11" i="5" s="1"/>
  <c r="DV11" i="5" s="1"/>
  <c r="DW11" i="5" s="1"/>
  <c r="DX11" i="5" s="1"/>
  <c r="DY11" i="5" s="1"/>
  <c r="DZ11" i="5" s="1"/>
  <c r="EA11" i="5" s="1"/>
  <c r="EB11" i="5" s="1"/>
  <c r="EC11" i="5" s="1"/>
  <c r="ED11" i="5" s="1"/>
  <c r="EE11" i="5" s="1"/>
  <c r="C6" i="4"/>
  <c r="C7" i="4"/>
  <c r="C8" i="4"/>
  <c r="C9" i="4"/>
  <c r="C10" i="4"/>
  <c r="C11" i="4"/>
  <c r="C12" i="4"/>
  <c r="C13" i="4"/>
  <c r="C14" i="4"/>
  <c r="C15" i="4"/>
  <c r="C16" i="4"/>
  <c r="C17" i="4"/>
  <c r="EH27" i="8"/>
  <c r="EG27" i="8"/>
  <c r="EH26" i="8"/>
  <c r="EG26" i="8"/>
  <c r="EH25" i="8"/>
  <c r="EG25" i="8"/>
  <c r="EI25" i="8" s="1"/>
  <c r="EH24" i="8"/>
  <c r="EG24" i="8"/>
  <c r="EI24" i="8" s="1"/>
  <c r="EH23" i="8"/>
  <c r="EG23" i="8"/>
  <c r="EI23" i="8" s="1"/>
  <c r="EH22" i="8"/>
  <c r="EG22" i="8"/>
  <c r="EH21" i="8"/>
  <c r="EG21" i="8"/>
  <c r="EH20" i="8"/>
  <c r="EG20" i="8"/>
  <c r="EH19" i="8"/>
  <c r="EG19" i="8"/>
  <c r="EI19" i="8" s="1"/>
  <c r="EH18" i="8"/>
  <c r="EG18" i="8"/>
  <c r="EH17" i="8"/>
  <c r="EG17" i="8"/>
  <c r="EH16" i="8"/>
  <c r="EG16" i="8"/>
  <c r="EI16" i="8" s="1"/>
  <c r="EH15" i="8"/>
  <c r="EG15" i="8"/>
  <c r="EH14" i="8"/>
  <c r="EG14" i="8"/>
  <c r="EG15" i="7"/>
  <c r="EG16" i="7"/>
  <c r="EG17" i="7"/>
  <c r="EG18" i="7"/>
  <c r="EG19" i="7"/>
  <c r="EG20" i="7"/>
  <c r="EG21" i="7"/>
  <c r="EG22" i="7"/>
  <c r="EG23" i="7"/>
  <c r="EG24" i="7"/>
  <c r="EG25" i="7"/>
  <c r="EG26" i="7"/>
  <c r="EG27" i="7"/>
  <c r="EH27" i="7"/>
  <c r="EI27" i="7" s="1"/>
  <c r="EH26" i="7"/>
  <c r="EH25" i="7"/>
  <c r="EH24" i="7"/>
  <c r="EH23" i="7"/>
  <c r="EH22" i="7"/>
  <c r="EI22" i="7" s="1"/>
  <c r="EH21" i="7"/>
  <c r="EH20" i="7"/>
  <c r="EH19" i="7"/>
  <c r="EH18" i="7"/>
  <c r="EH17" i="7"/>
  <c r="EH16" i="7"/>
  <c r="EH15" i="7"/>
  <c r="EI15" i="7" s="1"/>
  <c r="EH14" i="7"/>
  <c r="EG14" i="7"/>
  <c r="EI20" i="8" l="1"/>
  <c r="EI22" i="8"/>
  <c r="EI14" i="8"/>
  <c r="EI21" i="8"/>
  <c r="EI17" i="8"/>
  <c r="EI27" i="8"/>
  <c r="EI18" i="8"/>
  <c r="EI15" i="8"/>
  <c r="EI26" i="8"/>
  <c r="EI24" i="7"/>
  <c r="EI21" i="7"/>
  <c r="EE9" i="13"/>
  <c r="EE10" i="13"/>
  <c r="ED9" i="13"/>
  <c r="ED10" i="13"/>
  <c r="EC9" i="13"/>
  <c r="EC10" i="13"/>
  <c r="EB9" i="13"/>
  <c r="EB10" i="13"/>
  <c r="EA9" i="13"/>
  <c r="EA10" i="13"/>
  <c r="DZ9" i="13"/>
  <c r="DZ10" i="13"/>
  <c r="DY9" i="13"/>
  <c r="DY10" i="13"/>
  <c r="DX9" i="13"/>
  <c r="DX10" i="13"/>
  <c r="DW9" i="13"/>
  <c r="DW10" i="13"/>
  <c r="DV9" i="13"/>
  <c r="DV10" i="13"/>
  <c r="DU9" i="13"/>
  <c r="DU10" i="13"/>
  <c r="DT9" i="13"/>
  <c r="DT10" i="13"/>
  <c r="DS9" i="13"/>
  <c r="DS10" i="13"/>
  <c r="DR9" i="13"/>
  <c r="DR10" i="13"/>
  <c r="DQ9" i="13"/>
  <c r="DQ10" i="13"/>
  <c r="DP9" i="13"/>
  <c r="DP10" i="13"/>
  <c r="DO9" i="13"/>
  <c r="DO10" i="13"/>
  <c r="DN9" i="13"/>
  <c r="DN10" i="13"/>
  <c r="DM9" i="13"/>
  <c r="DM10" i="13"/>
  <c r="DL9" i="13"/>
  <c r="DL10" i="13"/>
  <c r="DK9" i="13"/>
  <c r="DK10" i="13"/>
  <c r="DJ9" i="13"/>
  <c r="DJ10" i="13"/>
  <c r="DI9" i="13"/>
  <c r="DI10" i="13"/>
  <c r="DH9" i="13"/>
  <c r="DH10" i="13"/>
  <c r="DG9" i="13"/>
  <c r="DG10" i="13"/>
  <c r="DF9" i="13"/>
  <c r="DF10" i="13"/>
  <c r="DE9" i="13"/>
  <c r="DE10" i="13"/>
  <c r="DD9" i="13"/>
  <c r="DD10" i="13"/>
  <c r="DC9" i="13"/>
  <c r="DC10" i="13"/>
  <c r="DB9" i="13"/>
  <c r="DB10" i="13"/>
  <c r="DA10" i="13"/>
  <c r="DA9" i="13"/>
  <c r="CZ9" i="13"/>
  <c r="CZ10" i="13"/>
  <c r="CY9" i="13"/>
  <c r="CY10" i="13"/>
  <c r="CX9" i="13"/>
  <c r="CX10" i="13"/>
  <c r="CW9" i="13"/>
  <c r="CW10" i="13"/>
  <c r="CV9" i="13"/>
  <c r="CV10" i="13"/>
  <c r="CU9" i="13"/>
  <c r="CU10" i="13"/>
  <c r="CT9" i="13"/>
  <c r="CT10" i="13"/>
  <c r="CS10" i="13"/>
  <c r="CS9" i="13"/>
  <c r="CR9" i="13"/>
  <c r="CR10" i="13"/>
  <c r="CQ9" i="13"/>
  <c r="CQ10" i="13"/>
  <c r="CP9" i="13"/>
  <c r="CP10" i="13"/>
  <c r="CO9" i="13"/>
  <c r="CO10" i="13"/>
  <c r="CN9" i="13"/>
  <c r="CN10" i="13"/>
  <c r="CM9" i="13"/>
  <c r="CM10" i="13"/>
  <c r="CL9" i="13"/>
  <c r="CL10" i="13"/>
  <c r="CK9" i="13"/>
  <c r="CK10" i="13"/>
  <c r="CJ9" i="13"/>
  <c r="CJ10" i="13"/>
  <c r="CI9" i="13"/>
  <c r="CI10" i="13"/>
  <c r="CH10" i="13"/>
  <c r="CH9" i="13"/>
  <c r="CG9" i="13"/>
  <c r="CG10" i="13"/>
  <c r="CF10" i="13"/>
  <c r="CF9" i="13"/>
  <c r="CE9" i="13"/>
  <c r="CE10" i="13"/>
  <c r="CD9" i="13"/>
  <c r="CD10" i="13"/>
  <c r="CC9" i="13"/>
  <c r="CC10" i="13"/>
  <c r="CB9" i="13"/>
  <c r="CB10" i="13"/>
  <c r="CA9" i="13"/>
  <c r="CA10" i="13"/>
  <c r="BZ9" i="13"/>
  <c r="BZ10" i="13"/>
  <c r="BY9" i="13"/>
  <c r="BY10" i="13"/>
  <c r="BX9" i="13"/>
  <c r="BX10" i="13"/>
  <c r="BW9" i="13"/>
  <c r="BW10" i="13"/>
  <c r="BV10" i="13"/>
  <c r="BV9" i="13"/>
  <c r="BU9" i="13"/>
  <c r="BU10" i="13"/>
  <c r="BT10" i="13"/>
  <c r="BT9" i="13"/>
  <c r="BS9" i="13"/>
  <c r="BS10" i="13"/>
  <c r="BR9" i="13"/>
  <c r="BR10" i="13"/>
  <c r="BQ9" i="13"/>
  <c r="BQ10" i="13"/>
  <c r="BP10" i="13"/>
  <c r="BP9" i="13"/>
  <c r="BO9" i="13"/>
  <c r="BO10" i="13"/>
  <c r="BN10" i="13"/>
  <c r="BN9" i="13"/>
  <c r="BM9" i="13"/>
  <c r="BM10" i="13"/>
  <c r="BL9" i="13"/>
  <c r="BL10" i="13"/>
  <c r="BK9" i="13"/>
  <c r="BK10" i="13"/>
  <c r="BJ10" i="13"/>
  <c r="BJ9" i="13"/>
  <c r="BI10" i="13"/>
  <c r="BI9" i="13"/>
  <c r="BH9" i="13"/>
  <c r="BH10" i="13"/>
  <c r="BG9" i="13"/>
  <c r="BG10" i="13"/>
  <c r="BF9" i="13"/>
  <c r="BF10" i="13"/>
  <c r="BE9" i="13"/>
  <c r="BE10" i="13"/>
  <c r="BD10" i="13"/>
  <c r="BD9" i="13"/>
  <c r="BC9" i="13"/>
  <c r="BC10" i="13"/>
  <c r="BB9" i="13"/>
  <c r="BB10" i="13"/>
  <c r="BA10" i="13"/>
  <c r="BA9" i="13"/>
  <c r="AZ9" i="13"/>
  <c r="AZ10" i="13"/>
  <c r="AY9" i="13"/>
  <c r="AY10" i="13"/>
  <c r="AX9" i="13"/>
  <c r="AX10" i="13"/>
  <c r="AW10" i="13"/>
  <c r="AW9" i="13"/>
  <c r="AV10" i="13"/>
  <c r="AV9" i="13"/>
  <c r="AU9" i="13"/>
  <c r="AU10" i="13"/>
  <c r="AT9" i="13"/>
  <c r="AT10" i="13"/>
  <c r="AS9" i="13"/>
  <c r="AS10" i="13"/>
  <c r="AR9" i="13"/>
  <c r="AR10" i="13"/>
  <c r="AQ9" i="13"/>
  <c r="AQ10" i="13"/>
  <c r="AP10" i="13"/>
  <c r="AP9" i="13"/>
  <c r="AO9" i="13"/>
  <c r="AO10" i="13"/>
  <c r="AN9" i="13"/>
  <c r="AN10" i="13"/>
  <c r="AM9" i="13"/>
  <c r="AM10" i="13"/>
  <c r="AL9" i="13"/>
  <c r="AL10" i="13"/>
  <c r="AK9" i="13"/>
  <c r="AK10" i="13"/>
  <c r="AJ9" i="13"/>
  <c r="AJ10" i="13"/>
  <c r="AI10" i="13"/>
  <c r="AI9" i="13"/>
  <c r="AH9" i="13"/>
  <c r="AH10" i="13"/>
  <c r="AG9" i="13"/>
  <c r="AG10" i="13"/>
  <c r="AF9" i="13"/>
  <c r="AF10" i="13"/>
  <c r="AE9" i="13"/>
  <c r="AE10" i="13"/>
  <c r="AD9" i="13"/>
  <c r="AD10" i="13"/>
  <c r="AC9" i="13"/>
  <c r="AC10" i="13"/>
  <c r="AB9" i="13"/>
  <c r="AB10" i="13"/>
  <c r="AA9" i="13"/>
  <c r="AA10" i="13"/>
  <c r="Z9" i="13"/>
  <c r="Z10" i="13"/>
  <c r="Y9" i="13"/>
  <c r="Y10" i="13"/>
  <c r="X9" i="13"/>
  <c r="X10" i="13"/>
  <c r="W9" i="13"/>
  <c r="W10" i="13"/>
  <c r="V9" i="13"/>
  <c r="V10" i="13"/>
  <c r="U9" i="13"/>
  <c r="U10" i="13"/>
  <c r="T9" i="13"/>
  <c r="T10" i="13"/>
  <c r="S9" i="13"/>
  <c r="S10" i="13"/>
  <c r="R9" i="13"/>
  <c r="R10" i="13"/>
  <c r="Q9" i="13"/>
  <c r="Q10" i="13"/>
  <c r="P9" i="13"/>
  <c r="P10" i="13"/>
  <c r="O9" i="13"/>
  <c r="O10" i="13"/>
  <c r="N9" i="13"/>
  <c r="N10" i="13"/>
  <c r="M10" i="13"/>
  <c r="M9" i="13"/>
  <c r="L9" i="13"/>
  <c r="L10" i="13"/>
  <c r="K9" i="13"/>
  <c r="K10" i="13"/>
  <c r="J9" i="13"/>
  <c r="J10" i="13"/>
  <c r="I9" i="13"/>
  <c r="I10" i="13"/>
  <c r="H9" i="13"/>
  <c r="H10" i="13"/>
  <c r="G9" i="13"/>
  <c r="G10" i="13"/>
  <c r="F10" i="13"/>
  <c r="F9" i="13"/>
  <c r="E9" i="13"/>
  <c r="E10" i="13"/>
  <c r="D10" i="13"/>
  <c r="D9" i="13"/>
  <c r="C9" i="13"/>
  <c r="C10" i="13"/>
  <c r="EI16" i="7"/>
  <c r="EI20" i="7"/>
  <c r="EI23" i="7"/>
  <c r="EI17" i="7"/>
  <c r="EI25" i="7"/>
  <c r="EI18" i="7"/>
  <c r="EI26" i="7"/>
  <c r="EI19" i="7"/>
  <c r="EH17" i="4" l="1"/>
  <c r="EH9" i="4"/>
  <c r="EH5" i="4"/>
  <c r="EH10" i="2"/>
  <c r="EH11" i="4" l="1"/>
  <c r="EH13" i="4"/>
  <c r="EH10" i="4"/>
  <c r="EG17" i="4"/>
  <c r="EG9" i="4"/>
  <c r="EH16" i="4"/>
  <c r="EH8" i="4"/>
  <c r="EH15" i="4"/>
  <c r="EH7" i="4"/>
  <c r="EH14" i="4"/>
  <c r="EH6" i="4"/>
  <c r="EG13" i="4"/>
  <c r="EG5" i="4"/>
  <c r="EH12" i="4"/>
  <c r="EG16" i="2"/>
  <c r="EG8" i="2"/>
  <c r="EG9" i="2"/>
  <c r="EG15" i="2"/>
  <c r="EG7" i="2"/>
  <c r="EH9" i="2"/>
  <c r="EG13" i="2"/>
  <c r="EH17" i="2"/>
  <c r="EG14" i="2"/>
  <c r="EG6" i="2"/>
  <c r="EH13" i="2"/>
  <c r="EG5" i="2"/>
  <c r="EH12" i="2"/>
  <c r="EG17" i="2"/>
  <c r="EH11" i="2"/>
  <c r="EG12" i="2"/>
  <c r="EH16" i="2"/>
  <c r="EH8" i="2"/>
  <c r="EG11" i="2"/>
  <c r="EH15" i="2"/>
  <c r="EH7" i="2"/>
  <c r="EG10" i="2"/>
  <c r="EH14" i="2"/>
  <c r="EH6" i="2"/>
  <c r="EG6" i="4"/>
  <c r="EG10" i="4"/>
  <c r="EG14" i="4"/>
  <c r="EG7" i="4"/>
  <c r="EG11" i="4"/>
  <c r="EG15" i="4"/>
  <c r="EG8" i="4"/>
  <c r="EG12" i="4"/>
  <c r="EG1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<sst xmlns="http://schemas.openxmlformats.org/spreadsheetml/2006/main" count="3080" uniqueCount="261">
  <si>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</si>
  <si>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</si>
  <si>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</si>
  <si>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</si>
  <si>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</si>
  <si>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</si>
  <si>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</si>
  <si>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</si>
  <si>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</si>
  <si>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</si>
  <si>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</si>
  <si>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</si>
  <si>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</si>
  <si>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</si>
  <si>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</si>
  <si>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</si>
  <si>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</si>
  <si>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</si>
  <si>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</si>
  <si>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</si>
  <si>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</si>
  <si>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</si>
  <si>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</si>
  <si>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</si>
  <si>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</si>
  <si>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</si>
  <si>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</si>
  <si>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</si>
  <si>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</si>
  <si>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</si>
  <si>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</si>
  <si>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</si>
  <si>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</si>
  <si>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</si>
  <si>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</si>
  <si>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</si>
  <si>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</si>
  <si>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</si>
  <si>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</si>
  <si>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</si>
  <si>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</si>
  <si>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</si>
  <si>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</si>
  <si>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</si>
  <si>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</si>
  <si>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</si>
  <si>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</si>
  <si>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</si>
  <si>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</si>
  <si>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</si>
  <si>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</si>
  <si>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</si>
  <si>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</si>
  <si>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</si>
  <si>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</si>
  <si>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</si>
  <si>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</si>
  <si>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</si>
  <si>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</si>
  <si>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</si>
  <si>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</si>
  <si>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</si>
  <si>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</si>
  <si>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</si>
  <si>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</si>
  <si>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</si>
  <si>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</si>
  <si>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</si>
  <si>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</si>
  <si>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</si>
  <si>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</si>
  <si>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</si>
  <si>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</si>
  <si>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</si>
  <si>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</si>
  <si>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</si>
  <si>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</si>
  <si>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</si>
  <si>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</si>
  <si>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</si>
  <si>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</si>
  <si>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</si>
  <si>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</si>
  <si>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</si>
  <si>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</si>
  <si>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</si>
  <si>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</si>
  <si>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</si>
  <si>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</si>
  <si>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</si>
  <si>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</si>
  <si>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</si>
  <si>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</si>
  <si>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</si>
  <si>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</si>
  <si>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</si>
  <si>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</si>
  <si>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</si>
  <si>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</si>
  <si>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</si>
  <si>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</si>
  <si>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</si>
  <si>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</si>
  <si>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</si>
  <si>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</si>
  <si>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</si>
  <si>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</si>
  <si>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</si>
  <si>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</si>
  <si>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</si>
  <si>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</si>
  <si>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</si>
  <si>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</si>
  <si>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</si>
  <si>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</si>
  <si>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</si>
  <si>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</si>
  <si>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</si>
  <si>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</si>
  <si>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</si>
  <si>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</si>
  <si>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</si>
  <si>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</si>
  <si>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</si>
  <si>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</si>
  <si>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</si>
  <si>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</si>
  <si>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</si>
  <si>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</si>
  <si>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</si>
  <si>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</si>
  <si>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</si>
  <si>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</si>
  <si>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</si>
  <si>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</si>
  <si>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選絕對值最大</t>
  </si>
  <si>
    <t>投資組合</t>
  </si>
  <si>
    <t>公司數</t>
  </si>
  <si>
    <t>等分</t>
  </si>
  <si>
    <t>家數</t>
  </si>
  <si>
    <t>2025/01</t>
  </si>
  <si>
    <t>大盤</t>
  </si>
  <si>
    <t>TWⅡ</t>
  </si>
  <si>
    <t>Predict</t>
  </si>
  <si>
    <t>2025/02</t>
  </si>
  <si>
    <t>SUM</t>
    <phoneticPr fontId="2" type="noConversion"/>
  </si>
  <si>
    <r>
      <rPr>
        <sz val="11"/>
        <color rgb="FF000000"/>
        <rFont val="新細明體"/>
        <family val="2"/>
        <charset val="136"/>
      </rPr>
      <t>勝率</t>
    </r>
    <phoneticPr fontId="2" type="noConversion"/>
  </si>
  <si>
    <t>時間</t>
    <phoneticPr fontId="2" type="noConversion"/>
  </si>
  <si>
    <r>
      <t>10</t>
    </r>
    <r>
      <rPr>
        <b/>
        <sz val="12"/>
        <color theme="1"/>
        <rFont val="Microsoft JhengHei"/>
        <family val="2"/>
      </rPr>
      <t>等分</t>
    </r>
    <phoneticPr fontId="2" type="noConversion"/>
  </si>
  <si>
    <r>
      <t>20</t>
    </r>
    <r>
      <rPr>
        <b/>
        <sz val="12"/>
        <color theme="1"/>
        <rFont val="細明體"/>
        <family val="2"/>
        <charset val="136"/>
      </rPr>
      <t>等分</t>
    </r>
    <phoneticPr fontId="2" type="noConversion"/>
  </si>
  <si>
    <r>
      <t>50</t>
    </r>
    <r>
      <rPr>
        <b/>
        <sz val="12"/>
        <color theme="1"/>
        <rFont val="細明體"/>
        <family val="2"/>
        <charset val="136"/>
      </rPr>
      <t>等分</t>
    </r>
    <phoneticPr fontId="2" type="noConversion"/>
  </si>
  <si>
    <r>
      <t>100</t>
    </r>
    <r>
      <rPr>
        <b/>
        <sz val="12"/>
        <color theme="1"/>
        <rFont val="細明體"/>
        <family val="2"/>
        <charset val="136"/>
      </rPr>
      <t>等分</t>
    </r>
    <phoneticPr fontId="2" type="noConversion"/>
  </si>
  <si>
    <r>
      <t>107</t>
    </r>
    <r>
      <rPr>
        <b/>
        <sz val="12"/>
        <color theme="1"/>
        <rFont val="細明體"/>
        <family val="2"/>
        <charset val="136"/>
      </rPr>
      <t>等分</t>
    </r>
    <phoneticPr fontId="2" type="noConversion"/>
  </si>
  <si>
    <r>
      <t>120</t>
    </r>
    <r>
      <rPr>
        <b/>
        <sz val="12"/>
        <color theme="1"/>
        <rFont val="細明體"/>
        <family val="2"/>
        <charset val="136"/>
      </rPr>
      <t>等分</t>
    </r>
    <phoneticPr fontId="2" type="noConversion"/>
  </si>
  <si>
    <r>
      <t>137</t>
    </r>
    <r>
      <rPr>
        <b/>
        <sz val="12"/>
        <color theme="1"/>
        <rFont val="細明體"/>
        <family val="2"/>
        <charset val="136"/>
      </rPr>
      <t>等分</t>
    </r>
    <phoneticPr fontId="2" type="noConversion"/>
  </si>
  <si>
    <r>
      <t>160</t>
    </r>
    <r>
      <rPr>
        <b/>
        <sz val="12"/>
        <color theme="1"/>
        <rFont val="細明體"/>
        <family val="2"/>
        <charset val="136"/>
      </rPr>
      <t>等分</t>
    </r>
    <phoneticPr fontId="2" type="noConversion"/>
  </si>
  <si>
    <r>
      <t>192</t>
    </r>
    <r>
      <rPr>
        <b/>
        <sz val="12"/>
        <color theme="1"/>
        <rFont val="細明體"/>
        <family val="2"/>
        <charset val="136"/>
      </rPr>
      <t>等分</t>
    </r>
    <phoneticPr fontId="2" type="noConversion"/>
  </si>
  <si>
    <r>
      <t>241</t>
    </r>
    <r>
      <rPr>
        <b/>
        <sz val="12"/>
        <color theme="1"/>
        <rFont val="細明體"/>
        <family val="2"/>
        <charset val="136"/>
      </rPr>
      <t>等分</t>
    </r>
    <phoneticPr fontId="2" type="noConversion"/>
  </si>
  <si>
    <r>
      <t>321</t>
    </r>
    <r>
      <rPr>
        <b/>
        <sz val="12"/>
        <color theme="1"/>
        <rFont val="細明體"/>
        <family val="2"/>
        <charset val="136"/>
      </rPr>
      <t>等分</t>
    </r>
    <phoneticPr fontId="2" type="noConversion"/>
  </si>
  <si>
    <r>
      <t>482</t>
    </r>
    <r>
      <rPr>
        <b/>
        <sz val="12"/>
        <color theme="1"/>
        <rFont val="細明體"/>
        <family val="2"/>
        <charset val="136"/>
      </rPr>
      <t>等分</t>
    </r>
    <phoneticPr fontId="2" type="noConversion"/>
  </si>
  <si>
    <r>
      <t>964</t>
    </r>
    <r>
      <rPr>
        <b/>
        <sz val="12"/>
        <color theme="1"/>
        <rFont val="細明體"/>
        <family val="2"/>
        <charset val="136"/>
      </rPr>
      <t>等分</t>
    </r>
    <phoneticPr fontId="2" type="noConversion"/>
  </si>
  <si>
    <t>平均值</t>
    <phoneticPr fontId="2" type="noConversion"/>
  </si>
  <si>
    <t>標準差</t>
    <phoneticPr fontId="2" type="noConversion"/>
  </si>
  <si>
    <t>夏普比率</t>
    <phoneticPr fontId="2" type="noConversion"/>
  </si>
  <si>
    <r>
      <rPr>
        <b/>
        <sz val="12"/>
        <color theme="1"/>
        <rFont val="新細明體"/>
        <family val="2"/>
        <charset val="136"/>
      </rPr>
      <t>等分</t>
    </r>
  </si>
  <si>
    <r>
      <rPr>
        <b/>
        <sz val="12"/>
        <color theme="1"/>
        <rFont val="新細明體"/>
        <family val="2"/>
        <charset val="136"/>
      </rPr>
      <t>大盤</t>
    </r>
  </si>
  <si>
    <t>台泥</t>
  </si>
  <si>
    <t>希華</t>
  </si>
  <si>
    <t>天仁</t>
  </si>
  <si>
    <t>京城</t>
  </si>
  <si>
    <t>志信</t>
  </si>
  <si>
    <t>瑞昱</t>
  </si>
  <si>
    <t>寶徠</t>
  </si>
  <si>
    <t>基泰</t>
  </si>
  <si>
    <t>威健</t>
  </si>
  <si>
    <t>群光</t>
  </si>
  <si>
    <t>憶聲</t>
  </si>
  <si>
    <t>中石化</t>
  </si>
  <si>
    <t>工信</t>
  </si>
  <si>
    <t>達欣工</t>
  </si>
  <si>
    <t>凱衛</t>
  </si>
  <si>
    <t>松翰</t>
  </si>
  <si>
    <t>燁輝</t>
  </si>
  <si>
    <t>奇鋐</t>
  </si>
  <si>
    <t>得力</t>
  </si>
  <si>
    <t>創見</t>
  </si>
  <si>
    <t>飛寶企業</t>
  </si>
  <si>
    <t>新普</t>
  </si>
  <si>
    <t>三圓</t>
  </si>
  <si>
    <t>豐謙</t>
  </si>
  <si>
    <t>華友聯</t>
  </si>
  <si>
    <t>光罩</t>
  </si>
  <si>
    <t>凌網</t>
  </si>
  <si>
    <t>新潤</t>
  </si>
  <si>
    <t>均豪</t>
  </si>
  <si>
    <t>力特</t>
  </si>
  <si>
    <t>聯上發</t>
  </si>
  <si>
    <t>漢平</t>
  </si>
  <si>
    <t>巨路</t>
  </si>
  <si>
    <t>北基</t>
  </si>
  <si>
    <t>上福</t>
  </si>
  <si>
    <t>歐格</t>
  </si>
  <si>
    <t>三星</t>
  </si>
  <si>
    <t>加捷生醫</t>
  </si>
  <si>
    <t>福華</t>
  </si>
  <si>
    <t>臺鹽</t>
  </si>
  <si>
    <t>立康</t>
  </si>
  <si>
    <t>廣積</t>
  </si>
  <si>
    <t>郡都開發</t>
  </si>
  <si>
    <t>嘉晶</t>
  </si>
  <si>
    <t>神基</t>
  </si>
  <si>
    <t>揚博</t>
  </si>
  <si>
    <t>固緯</t>
  </si>
  <si>
    <t>杏輝</t>
  </si>
  <si>
    <t>桂盟</t>
  </si>
  <si>
    <t>寶成</t>
  </si>
  <si>
    <t>陞泰</t>
  </si>
  <si>
    <t>美好證</t>
  </si>
  <si>
    <t>昱捷</t>
  </si>
  <si>
    <t>統懋</t>
  </si>
  <si>
    <t>大展證</t>
  </si>
  <si>
    <t>台半</t>
  </si>
  <si>
    <t>沛亨</t>
  </si>
  <si>
    <t>新光鋼</t>
  </si>
  <si>
    <t>鉅橡</t>
  </si>
  <si>
    <t>皇田</t>
  </si>
  <si>
    <t>倚強科</t>
  </si>
  <si>
    <t>廣宇</t>
  </si>
  <si>
    <t>瑞軒</t>
  </si>
  <si>
    <t>南紡</t>
  </si>
  <si>
    <t>偉詮電</t>
  </si>
  <si>
    <t>年興</t>
  </si>
  <si>
    <t>新門</t>
  </si>
  <si>
    <t>江興鍛</t>
  </si>
  <si>
    <t>宏璟</t>
  </si>
  <si>
    <t>中鋼</t>
  </si>
  <si>
    <t>聚亨</t>
  </si>
  <si>
    <t>榮運</t>
  </si>
  <si>
    <t>櫻花建</t>
  </si>
  <si>
    <t>光洋科</t>
  </si>
  <si>
    <t>華祺</t>
  </si>
  <si>
    <t>銘異</t>
  </si>
  <si>
    <t>佳總</t>
  </si>
  <si>
    <t>啟碁</t>
  </si>
  <si>
    <t>國產</t>
  </si>
  <si>
    <t>中華食</t>
  </si>
  <si>
    <t>正文</t>
  </si>
  <si>
    <t>來思達</t>
  </si>
  <si>
    <t>南良</t>
  </si>
  <si>
    <t>霖宏</t>
  </si>
  <si>
    <t>久正</t>
  </si>
  <si>
    <t>至上</t>
  </si>
  <si>
    <t>精金</t>
  </si>
  <si>
    <t>mom1</t>
    <phoneticPr fontId="2" type="noConversion"/>
  </si>
  <si>
    <t>mom12</t>
    <phoneticPr fontId="2" type="noConversion"/>
  </si>
  <si>
    <t>chmom</t>
    <phoneticPr fontId="2" type="noConversion"/>
  </si>
  <si>
    <t>retvol</t>
    <phoneticPr fontId="2" type="noConversion"/>
  </si>
  <si>
    <t>maxret</t>
    <phoneticPr fontId="2" type="noConversion"/>
  </si>
  <si>
    <t>Real</t>
    <phoneticPr fontId="2" type="noConversion"/>
  </si>
  <si>
    <r>
      <t>(</t>
    </r>
    <r>
      <rPr>
        <b/>
        <sz val="12"/>
        <color theme="1"/>
        <rFont val="Noto Sans HK Black"/>
        <family val="2"/>
        <charset val="136"/>
      </rPr>
      <t>預測</t>
    </r>
    <r>
      <rPr>
        <b/>
        <sz val="12"/>
        <color theme="1"/>
        <rFont val="Calibri"/>
        <family val="2"/>
      </rPr>
      <t>-</t>
    </r>
    <r>
      <rPr>
        <b/>
        <sz val="12"/>
        <color theme="1"/>
        <rFont val="Noto Sans HK Black"/>
        <family val="2"/>
        <charset val="136"/>
      </rPr>
      <t>真實</t>
    </r>
    <r>
      <rPr>
        <b/>
        <sz val="12"/>
        <color theme="1"/>
        <rFont val="Calibri"/>
        <family val="2"/>
      </rPr>
      <t>)^2</t>
    </r>
    <phoneticPr fontId="2" type="noConversion"/>
  </si>
  <si>
    <r>
      <rPr>
        <b/>
        <sz val="12"/>
        <color theme="1"/>
        <rFont val="Noto Sans HK Black"/>
        <family val="2"/>
        <charset val="136"/>
      </rPr>
      <t>真實</t>
    </r>
    <r>
      <rPr>
        <b/>
        <sz val="12"/>
        <color theme="1"/>
        <rFont val="Calibri"/>
        <family val="2"/>
      </rPr>
      <t>^2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</si>
</sst>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7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b/>
      <sz val="12"/>
      <color theme="1"/>
      <name val="Microsoft JhengHe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2"/>
      <color theme="1"/>
      <name val="Cha"/>
    </font>
    <font>
      <sz val="11"/>
      <color rgb="FF000000"/>
      <name val="Cha"/>
    </font>
    <font>
      <sz val="11"/>
      <color rgb="FF000000"/>
      <name val="新細明體"/>
      <family val="2"/>
      <charset val="136"/>
    </font>
    <font>
      <b/>
      <sz val="12"/>
      <color theme="1"/>
      <name val="Microsoft JhengHei"/>
      <family val="2"/>
      <charset val="136"/>
    </font>
    <font>
      <b/>
      <sz val="12"/>
      <color theme="1"/>
      <name val="細明體"/>
      <family val="2"/>
      <charset val="136"/>
    </font>
    <font>
      <b/>
      <sz val="12"/>
      <color theme="1"/>
      <name val="Noto Sans HK Black"/>
      <family val="2"/>
      <charset val="136"/>
    </font>
    <font>
      <sz val="12"/>
      <color theme="1"/>
      <name val="Noto Sans HK Black"/>
      <family val="2"/>
      <charset val="136"/>
    </font>
    <font>
      <b/>
      <sz val="12"/>
      <color theme="1"/>
      <name val="新細明體"/>
      <family val="2"/>
      <charset val="136"/>
    </font>
    <font>
      <sz val="12"/>
      <color rgb="FF000000"/>
      <name val="Calibri"/>
      <family val="2"/>
    </font>
    <font>
      <b/>
      <sz val="12"/>
      <color theme="1"/>
      <name val="Noto Sans HK Black"/>
      <charset val="136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3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3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  <xf numFmtId="0" fontId="7" fillId="5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76" fontId="1" fillId="0" borderId="0" xfId="0" applyNumberFormat="1" applyFont="1">
      <alignment vertical="center"/>
    </xf>
    <xf numFmtId="176" fontId="1" fillId="5" borderId="1" xfId="0" applyNumberFormat="1" applyFont="1" applyFill="1" applyBorder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6" fontId="1" fillId="5" borderId="5" xfId="0" applyNumberFormat="1" applyFont="1" applyFill="1" applyBorder="1" applyAlignment="1">
      <alignment horizontal="center" vertical="center"/>
    </xf>
    <xf numFmtId="176" fontId="1" fillId="5" borderId="7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/>
    </xf>
    <xf numFmtId="176" fontId="1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76" fontId="8" fillId="5" borderId="1" xfId="0" applyNumberFormat="1" applyFont="1" applyFill="1" applyBorder="1" applyAlignment="1">
      <alignment horizontal="center" vertical="top" wrapText="1"/>
    </xf>
    <xf numFmtId="176" fontId="7" fillId="5" borderId="1" xfId="0" applyNumberFormat="1" applyFont="1" applyFill="1" applyBorder="1" applyAlignment="1">
      <alignment horizontal="center"/>
    </xf>
    <xf numFmtId="176" fontId="7" fillId="5" borderId="1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16" fillId="3" borderId="0" xfId="0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6" fontId="3" fillId="8" borderId="0" xfId="0" applyNumberFormat="1" applyFont="1" applyFill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76" fontId="3" fillId="1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606821809780324E-2"/>
          <c:y val="0.10477844635076336"/>
          <c:w val="0.93848744116724858"/>
          <c:h val="0.81214132099158409"/>
        </c:manualLayout>
      </c:layout>
      <c:lineChart>
        <c:grouping val="standard"/>
        <c:varyColors val="0"/>
        <c:ser>
          <c:idx val="0"/>
          <c:order val="0"/>
          <c:tx>
            <c:strRef>
              <c:f>預測OLS累積報酬!$A$20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預測OLS累積報酬!$B$20:$EE$20</c:f>
              <c:numCache>
                <c:formatCode>General</c:formatCode>
                <c:ptCount val="134"/>
                <c:pt idx="0">
                  <c:v>1.038483447742689E-2</c:v>
                </c:pt>
                <c:pt idx="1">
                  <c:v>0.33539311611962908</c:v>
                </c:pt>
                <c:pt idx="2">
                  <c:v>0.29167556123990807</c:v>
                </c:pt>
                <c:pt idx="3">
                  <c:v>0.28891651651691452</c:v>
                </c:pt>
                <c:pt idx="4">
                  <c:v>0.26381244955266786</c:v>
                </c:pt>
                <c:pt idx="5">
                  <c:v>0.22596837252437546</c:v>
                </c:pt>
                <c:pt idx="6">
                  <c:v>0.46529143470212947</c:v>
                </c:pt>
                <c:pt idx="7">
                  <c:v>0.55585807394657627</c:v>
                </c:pt>
                <c:pt idx="8">
                  <c:v>0.76273809994997177</c:v>
                </c:pt>
                <c:pt idx="9">
                  <c:v>0.81996426681491619</c:v>
                </c:pt>
                <c:pt idx="10">
                  <c:v>0.72027967340670496</c:v>
                </c:pt>
                <c:pt idx="11">
                  <c:v>0.46652696693132578</c:v>
                </c:pt>
                <c:pt idx="12">
                  <c:v>0.50087895639201641</c:v>
                </c:pt>
                <c:pt idx="13">
                  <c:v>0.49867855455384097</c:v>
                </c:pt>
                <c:pt idx="14">
                  <c:v>0.60297336594687012</c:v>
                </c:pt>
                <c:pt idx="15">
                  <c:v>0.49185240453338475</c:v>
                </c:pt>
                <c:pt idx="16">
                  <c:v>0.70392441877043843</c:v>
                </c:pt>
                <c:pt idx="17">
                  <c:v>0.65249673301635092</c:v>
                </c:pt>
                <c:pt idx="18">
                  <c:v>0.82446451000077314</c:v>
                </c:pt>
                <c:pt idx="19">
                  <c:v>0.6413221721645177</c:v>
                </c:pt>
                <c:pt idx="20">
                  <c:v>0.53085879631782962</c:v>
                </c:pt>
                <c:pt idx="21">
                  <c:v>0.2619305012716327</c:v>
                </c:pt>
                <c:pt idx="22">
                  <c:v>0.15266120082793622</c:v>
                </c:pt>
                <c:pt idx="23">
                  <c:v>0.26204140197569981</c:v>
                </c:pt>
                <c:pt idx="24">
                  <c:v>0.15140549497322101</c:v>
                </c:pt>
                <c:pt idx="25">
                  <c:v>0.12944955108408684</c:v>
                </c:pt>
                <c:pt idx="26">
                  <c:v>0.14827728779088697</c:v>
                </c:pt>
                <c:pt idx="27">
                  <c:v>0.12234401179345208</c:v>
                </c:pt>
                <c:pt idx="28">
                  <c:v>0.24604601340922128</c:v>
                </c:pt>
                <c:pt idx="29">
                  <c:v>0.5411902714925847</c:v>
                </c:pt>
                <c:pt idx="30">
                  <c:v>0.53014369938614081</c:v>
                </c:pt>
                <c:pt idx="31">
                  <c:v>0.77049495504490761</c:v>
                </c:pt>
                <c:pt idx="32">
                  <c:v>0.91119437836254569</c:v>
                </c:pt>
                <c:pt idx="33">
                  <c:v>0.93975912148181728</c:v>
                </c:pt>
                <c:pt idx="34">
                  <c:v>0.97791979097198511</c:v>
                </c:pt>
                <c:pt idx="35">
                  <c:v>1.0153112771067394</c:v>
                </c:pt>
                <c:pt idx="36">
                  <c:v>0.9237131075569972</c:v>
                </c:pt>
                <c:pt idx="37">
                  <c:v>0.90192407801117658</c:v>
                </c:pt>
                <c:pt idx="38">
                  <c:v>0.81635630309728924</c:v>
                </c:pt>
                <c:pt idx="39">
                  <c:v>0.62825509732697027</c:v>
                </c:pt>
                <c:pt idx="40">
                  <c:v>0.59121890887639539</c:v>
                </c:pt>
                <c:pt idx="41">
                  <c:v>0.62541680950721956</c:v>
                </c:pt>
                <c:pt idx="42">
                  <c:v>0.67082349156722776</c:v>
                </c:pt>
                <c:pt idx="43">
                  <c:v>0.40598523401923053</c:v>
                </c:pt>
                <c:pt idx="44">
                  <c:v>0.46944056363251058</c:v>
                </c:pt>
                <c:pt idx="45">
                  <c:v>0.1982667230813232</c:v>
                </c:pt>
                <c:pt idx="46">
                  <c:v>0.19137659223073383</c:v>
                </c:pt>
                <c:pt idx="47">
                  <c:v>0.16591651858704787</c:v>
                </c:pt>
                <c:pt idx="48">
                  <c:v>0.47890097447772234</c:v>
                </c:pt>
                <c:pt idx="49">
                  <c:v>0.45806199271538367</c:v>
                </c:pt>
                <c:pt idx="50">
                  <c:v>0.50096976937748361</c:v>
                </c:pt>
                <c:pt idx="51">
                  <c:v>0.56959814322939295</c:v>
                </c:pt>
                <c:pt idx="52">
                  <c:v>0.73405867515821965</c:v>
                </c:pt>
                <c:pt idx="53">
                  <c:v>0.78812805291606536</c:v>
                </c:pt>
                <c:pt idx="54">
                  <c:v>0.77567816318121929</c:v>
                </c:pt>
                <c:pt idx="55">
                  <c:v>0.77423761327573359</c:v>
                </c:pt>
                <c:pt idx="56">
                  <c:v>0.78307623943108173</c:v>
                </c:pt>
                <c:pt idx="57">
                  <c:v>0.82620870891333797</c:v>
                </c:pt>
                <c:pt idx="58">
                  <c:v>0.88241834341865233</c:v>
                </c:pt>
                <c:pt idx="59">
                  <c:v>0.85043582900766024</c:v>
                </c:pt>
                <c:pt idx="60">
                  <c:v>0.87304159152507943</c:v>
                </c:pt>
                <c:pt idx="61">
                  <c:v>0.85826036255645766</c:v>
                </c:pt>
                <c:pt idx="62">
                  <c:v>0.85541753534046483</c:v>
                </c:pt>
                <c:pt idx="63">
                  <c:v>0.84148835053862636</c:v>
                </c:pt>
                <c:pt idx="64">
                  <c:v>0.76713817695487074</c:v>
                </c:pt>
                <c:pt idx="65">
                  <c:v>0.5624039613275893</c:v>
                </c:pt>
                <c:pt idx="66">
                  <c:v>0.61116952134719627</c:v>
                </c:pt>
                <c:pt idx="67">
                  <c:v>0.32389398003479636</c:v>
                </c:pt>
                <c:pt idx="68">
                  <c:v>0.30074706637824683</c:v>
                </c:pt>
                <c:pt idx="69">
                  <c:v>0.30858872151251709</c:v>
                </c:pt>
                <c:pt idx="70">
                  <c:v>0.22088379584728851</c:v>
                </c:pt>
                <c:pt idx="71">
                  <c:v>0.4090408078882693</c:v>
                </c:pt>
                <c:pt idx="72">
                  <c:v>0.39797231426446605</c:v>
                </c:pt>
                <c:pt idx="73">
                  <c:v>0.36586624442260596</c:v>
                </c:pt>
                <c:pt idx="74">
                  <c:v>0.32587670363404608</c:v>
                </c:pt>
                <c:pt idx="75">
                  <c:v>0.4086677890764151</c:v>
                </c:pt>
                <c:pt idx="76">
                  <c:v>0.44000793040923242</c:v>
                </c:pt>
                <c:pt idx="77">
                  <c:v>0.53210461130977238</c:v>
                </c:pt>
                <c:pt idx="78">
                  <c:v>0.43363395744084987</c:v>
                </c:pt>
                <c:pt idx="79">
                  <c:v>0.28284556723856918</c:v>
                </c:pt>
                <c:pt idx="80">
                  <c:v>0.64705310243551417</c:v>
                </c:pt>
                <c:pt idx="81">
                  <c:v>0.66467180151602656</c:v>
                </c:pt>
                <c:pt idx="82">
                  <c:v>0.57772602322217681</c:v>
                </c:pt>
                <c:pt idx="83">
                  <c:v>0.57037446398647618</c:v>
                </c:pt>
                <c:pt idx="84">
                  <c:v>0.45545920100421006</c:v>
                </c:pt>
                <c:pt idx="85">
                  <c:v>0.37993119228527328</c:v>
                </c:pt>
                <c:pt idx="86">
                  <c:v>0.44984584948451528</c:v>
                </c:pt>
                <c:pt idx="87">
                  <c:v>0.70931662037269194</c:v>
                </c:pt>
                <c:pt idx="88">
                  <c:v>0.77231095323311627</c:v>
                </c:pt>
                <c:pt idx="89">
                  <c:v>0.89262757007448912</c:v>
                </c:pt>
                <c:pt idx="90">
                  <c:v>0.67020198086408667</c:v>
                </c:pt>
                <c:pt idx="91">
                  <c:v>0.83009287233218554</c:v>
                </c:pt>
                <c:pt idx="92">
                  <c:v>0.70901949227544114</c:v>
                </c:pt>
                <c:pt idx="93">
                  <c:v>0.46995952591417323</c:v>
                </c:pt>
                <c:pt idx="94">
                  <c:v>0.45753740033259888</c:v>
                </c:pt>
                <c:pt idx="95">
                  <c:v>0.39029713702901381</c:v>
                </c:pt>
                <c:pt idx="96">
                  <c:v>0.23138051471156371</c:v>
                </c:pt>
                <c:pt idx="97">
                  <c:v>0.28808722705792744</c:v>
                </c:pt>
                <c:pt idx="98">
                  <c:v>0.32643274392961019</c:v>
                </c:pt>
                <c:pt idx="99">
                  <c:v>0.1694638970179986</c:v>
                </c:pt>
                <c:pt idx="100">
                  <c:v>0.32191620326331782</c:v>
                </c:pt>
                <c:pt idx="101">
                  <c:v>0.30806899685161721</c:v>
                </c:pt>
                <c:pt idx="102">
                  <c:v>0.58423986285433849</c:v>
                </c:pt>
                <c:pt idx="103">
                  <c:v>1.0565905983250155</c:v>
                </c:pt>
                <c:pt idx="104">
                  <c:v>0.90268580295529688</c:v>
                </c:pt>
                <c:pt idx="105">
                  <c:v>0.90669032386572268</c:v>
                </c:pt>
                <c:pt idx="106">
                  <c:v>0.86915234942912645</c:v>
                </c:pt>
                <c:pt idx="107">
                  <c:v>0.92589602479095945</c:v>
                </c:pt>
                <c:pt idx="108">
                  <c:v>0.8856103522572869</c:v>
                </c:pt>
                <c:pt idx="109">
                  <c:v>0.85397545049140988</c:v>
                </c:pt>
                <c:pt idx="110">
                  <c:v>0.73709988620946831</c:v>
                </c:pt>
                <c:pt idx="111">
                  <c:v>0.89370560467310989</c:v>
                </c:pt>
                <c:pt idx="112">
                  <c:v>0.91848638644756386</c:v>
                </c:pt>
                <c:pt idx="113">
                  <c:v>0.83629621032495338</c:v>
                </c:pt>
                <c:pt idx="114">
                  <c:v>0.86016603050557106</c:v>
                </c:pt>
                <c:pt idx="115">
                  <c:v>0.93225302956178724</c:v>
                </c:pt>
                <c:pt idx="116">
                  <c:v>0.92101818859363094</c:v>
                </c:pt>
                <c:pt idx="117">
                  <c:v>0.89814149505042284</c:v>
                </c:pt>
                <c:pt idx="118">
                  <c:v>0.91719121522605185</c:v>
                </c:pt>
                <c:pt idx="119">
                  <c:v>1.0335887295189028</c:v>
                </c:pt>
                <c:pt idx="120">
                  <c:v>1.1181941631244388</c:v>
                </c:pt>
                <c:pt idx="121">
                  <c:v>1.1129789727777595</c:v>
                </c:pt>
                <c:pt idx="122">
                  <c:v>1.4527856116353273</c:v>
                </c:pt>
                <c:pt idx="123">
                  <c:v>1.2927048601227278</c:v>
                </c:pt>
                <c:pt idx="124">
                  <c:v>1.3751063914728607</c:v>
                </c:pt>
                <c:pt idx="125">
                  <c:v>1.4098149402310081</c:v>
                </c:pt>
                <c:pt idx="126">
                  <c:v>1.4048813630436794</c:v>
                </c:pt>
                <c:pt idx="127">
                  <c:v>1.3445424136823947</c:v>
                </c:pt>
                <c:pt idx="128">
                  <c:v>1.3796088708676313</c:v>
                </c:pt>
                <c:pt idx="129">
                  <c:v>1.614807154375598</c:v>
                </c:pt>
                <c:pt idx="130">
                  <c:v>1.7549011723278238</c:v>
                </c:pt>
                <c:pt idx="131">
                  <c:v>1.6257459689906375</c:v>
                </c:pt>
                <c:pt idx="132">
                  <c:v>1.6367019143975119</c:v>
                </c:pt>
                <c:pt idx="133">
                  <c:v>1.4580476347645233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F8-4FF1-AB83-B207041D9503}"/>
            </c:ext>
          </c:extLst>
        </c:ser>
        <c:ser>
          <c:idx val="1"/>
          <c:order val="1"/>
          <c:tx>
            <c:strRef>
              <c:f>預測OLS累積報酬!$A$21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預測OLS累積報酬!$B$21:$EE$21</c:f>
              <c:numCache>
                <c:formatCode>General</c:formatCode>
                <c:ptCount val="134"/>
                <c:pt idx="0">
                  <c:v>2.5922326608526759E-2</c:v>
                </c:pt>
                <c:pt idx="1">
                  <c:v>0.4433442512485557</c:v>
                </c:pt>
                <c:pt idx="2">
                  <c:v>0.42111383898931759</c:v>
                </c:pt>
                <c:pt idx="3">
                  <c:v>0.42107114012399649</c:v>
                </c:pt>
                <c:pt idx="4">
                  <c:v>0.39680539374431201</c:v>
                </c:pt>
                <c:pt idx="5">
                  <c:v>0.16699984925291142</c:v>
                </c:pt>
                <c:pt idx="6">
                  <c:v>0.4214327521633614</c:v>
                </c:pt>
                <c:pt idx="7">
                  <c:v>0.5398110333456495</c:v>
                </c:pt>
                <c:pt idx="8">
                  <c:v>0.78517694602840526</c:v>
                </c:pt>
                <c:pt idx="9">
                  <c:v>0.89266411467964701</c:v>
                </c:pt>
                <c:pt idx="10">
                  <c:v>0.81856405590907444</c:v>
                </c:pt>
                <c:pt idx="11">
                  <c:v>0.55442067081681579</c:v>
                </c:pt>
                <c:pt idx="12">
                  <c:v>0.54770479250544835</c:v>
                </c:pt>
                <c:pt idx="13">
                  <c:v>0.53745563406093044</c:v>
                </c:pt>
                <c:pt idx="14">
                  <c:v>0.66211199182389668</c:v>
                </c:pt>
                <c:pt idx="15">
                  <c:v>0.51022406466105363</c:v>
                </c:pt>
                <c:pt idx="16">
                  <c:v>0.62068589071903668</c:v>
                </c:pt>
                <c:pt idx="17">
                  <c:v>0.57191217275610717</c:v>
                </c:pt>
                <c:pt idx="18">
                  <c:v>0.74595780236024267</c:v>
                </c:pt>
                <c:pt idx="19">
                  <c:v>0.56108216670676714</c:v>
                </c:pt>
                <c:pt idx="20">
                  <c:v>0.47703107474601836</c:v>
                </c:pt>
                <c:pt idx="21">
                  <c:v>0.10230565655121737</c:v>
                </c:pt>
                <c:pt idx="22">
                  <c:v>-3.3601130673380941E-2</c:v>
                </c:pt>
                <c:pt idx="23">
                  <c:v>0.11654897924619326</c:v>
                </c:pt>
                <c:pt idx="24">
                  <c:v>3.4024553668080243E-2</c:v>
                </c:pt>
                <c:pt idx="25">
                  <c:v>3.788978379341966E-2</c:v>
                </c:pt>
                <c:pt idx="26">
                  <c:v>0.12366624450885212</c:v>
                </c:pt>
                <c:pt idx="27">
                  <c:v>0.10507249529419087</c:v>
                </c:pt>
                <c:pt idx="28">
                  <c:v>0.26881989241660059</c:v>
                </c:pt>
                <c:pt idx="29">
                  <c:v>0.69873666046521254</c:v>
                </c:pt>
                <c:pt idx="30">
                  <c:v>0.6879245598983702</c:v>
                </c:pt>
                <c:pt idx="31">
                  <c:v>0.93554680606177154</c:v>
                </c:pt>
                <c:pt idx="32">
                  <c:v>1.1323637718792381</c:v>
                </c:pt>
                <c:pt idx="33">
                  <c:v>1.1430383917978664</c:v>
                </c:pt>
                <c:pt idx="34">
                  <c:v>1.1881036465835166</c:v>
                </c:pt>
                <c:pt idx="35">
                  <c:v>1.1892483728072634</c:v>
                </c:pt>
                <c:pt idx="36">
                  <c:v>1.0762504714703121</c:v>
                </c:pt>
                <c:pt idx="37">
                  <c:v>1.0483899045849161</c:v>
                </c:pt>
                <c:pt idx="38">
                  <c:v>0.8902370292911892</c:v>
                </c:pt>
                <c:pt idx="39">
                  <c:v>0.6388419716428223</c:v>
                </c:pt>
                <c:pt idx="40">
                  <c:v>0.6939686923671653</c:v>
                </c:pt>
                <c:pt idx="41">
                  <c:v>0.80215239291540175</c:v>
                </c:pt>
                <c:pt idx="42">
                  <c:v>0.72830869022956812</c:v>
                </c:pt>
                <c:pt idx="43">
                  <c:v>0.71058031923513143</c:v>
                </c:pt>
                <c:pt idx="44">
                  <c:v>0.82049491655331586</c:v>
                </c:pt>
                <c:pt idx="45">
                  <c:v>0.49140026802615405</c:v>
                </c:pt>
                <c:pt idx="46">
                  <c:v>0.48684772861503206</c:v>
                </c:pt>
                <c:pt idx="47">
                  <c:v>0.47519602827673779</c:v>
                </c:pt>
                <c:pt idx="48">
                  <c:v>0.78207615120720197</c:v>
                </c:pt>
                <c:pt idx="49">
                  <c:v>0.71867420871568932</c:v>
                </c:pt>
                <c:pt idx="50">
                  <c:v>0.81369029461573983</c:v>
                </c:pt>
                <c:pt idx="51">
                  <c:v>0.88976415208707071</c:v>
                </c:pt>
                <c:pt idx="52">
                  <c:v>1.0853901874375884</c:v>
                </c:pt>
                <c:pt idx="53">
                  <c:v>1.0806643083118652</c:v>
                </c:pt>
                <c:pt idx="54">
                  <c:v>1.0656566487603345</c:v>
                </c:pt>
                <c:pt idx="55">
                  <c:v>0.96059101487614218</c:v>
                </c:pt>
                <c:pt idx="56">
                  <c:v>1.0290584726815157</c:v>
                </c:pt>
                <c:pt idx="57">
                  <c:v>1.107582715364184</c:v>
                </c:pt>
                <c:pt idx="58">
                  <c:v>1.2237993838128436</c:v>
                </c:pt>
                <c:pt idx="59">
                  <c:v>1.2340333592619472</c:v>
                </c:pt>
                <c:pt idx="60">
                  <c:v>1.2795227323043241</c:v>
                </c:pt>
                <c:pt idx="61">
                  <c:v>1.2451932381190529</c:v>
                </c:pt>
                <c:pt idx="62">
                  <c:v>1.300640146383526</c:v>
                </c:pt>
                <c:pt idx="63">
                  <c:v>1.2147074556836175</c:v>
                </c:pt>
                <c:pt idx="64">
                  <c:v>1.1181403207778207</c:v>
                </c:pt>
                <c:pt idx="65">
                  <c:v>0.87898822228603335</c:v>
                </c:pt>
                <c:pt idx="66">
                  <c:v>0.91106035743329838</c:v>
                </c:pt>
                <c:pt idx="67">
                  <c:v>0.53761578837680912</c:v>
                </c:pt>
                <c:pt idx="68">
                  <c:v>0.45726885858928479</c:v>
                </c:pt>
                <c:pt idx="69">
                  <c:v>0.41735893500475779</c:v>
                </c:pt>
                <c:pt idx="70">
                  <c:v>0.27303217349725328</c:v>
                </c:pt>
                <c:pt idx="71">
                  <c:v>0.49215277919401068</c:v>
                </c:pt>
                <c:pt idx="72">
                  <c:v>0.46305584719029846</c:v>
                </c:pt>
                <c:pt idx="73">
                  <c:v>0.44868006481898925</c:v>
                </c:pt>
                <c:pt idx="74">
                  <c:v>0.41144221306670048</c:v>
                </c:pt>
                <c:pt idx="75">
                  <c:v>0.61198068982882581</c:v>
                </c:pt>
                <c:pt idx="76">
                  <c:v>0.60934312117388278</c:v>
                </c:pt>
                <c:pt idx="77">
                  <c:v>0.76335481561770779</c:v>
                </c:pt>
                <c:pt idx="78">
                  <c:v>0.50049767995961669</c:v>
                </c:pt>
                <c:pt idx="79">
                  <c:v>0.18472601975676767</c:v>
                </c:pt>
                <c:pt idx="80">
                  <c:v>0.52916402010145025</c:v>
                </c:pt>
                <c:pt idx="81">
                  <c:v>0.54088826310600679</c:v>
                </c:pt>
                <c:pt idx="82">
                  <c:v>0.33132234004620231</c:v>
                </c:pt>
                <c:pt idx="83">
                  <c:v>0.37676347897990003</c:v>
                </c:pt>
                <c:pt idx="84">
                  <c:v>0.3362553081944395</c:v>
                </c:pt>
                <c:pt idx="85">
                  <c:v>0.27975090024630994</c:v>
                </c:pt>
                <c:pt idx="86">
                  <c:v>0.40234894935236265</c:v>
                </c:pt>
                <c:pt idx="87">
                  <c:v>0.54470331197104793</c:v>
                </c:pt>
                <c:pt idx="88">
                  <c:v>0.59114459094574567</c:v>
                </c:pt>
                <c:pt idx="89">
                  <c:v>0.71270342627234495</c:v>
                </c:pt>
                <c:pt idx="90">
                  <c:v>0.46295702660348503</c:v>
                </c:pt>
                <c:pt idx="91">
                  <c:v>0.54472707770939022</c:v>
                </c:pt>
                <c:pt idx="92">
                  <c:v>0.3845762924098402</c:v>
                </c:pt>
                <c:pt idx="93">
                  <c:v>0.13780352241795352</c:v>
                </c:pt>
                <c:pt idx="94">
                  <c:v>0.12267668383776953</c:v>
                </c:pt>
                <c:pt idx="95">
                  <c:v>4.9451629480621317E-3</c:v>
                </c:pt>
                <c:pt idx="96">
                  <c:v>-0.16240874823830606</c:v>
                </c:pt>
                <c:pt idx="97">
                  <c:v>-0.11574866719844348</c:v>
                </c:pt>
                <c:pt idx="98">
                  <c:v>-9.2864624866458759E-2</c:v>
                </c:pt>
                <c:pt idx="99">
                  <c:v>-0.14715792034026243</c:v>
                </c:pt>
                <c:pt idx="100">
                  <c:v>1.5281948373184279E-2</c:v>
                </c:pt>
                <c:pt idx="101">
                  <c:v>7.6947019320452587E-3</c:v>
                </c:pt>
                <c:pt idx="102">
                  <c:v>0.31314636538689644</c:v>
                </c:pt>
                <c:pt idx="103">
                  <c:v>0.90652153711312811</c:v>
                </c:pt>
                <c:pt idx="104">
                  <c:v>0.76535430139381855</c:v>
                </c:pt>
                <c:pt idx="105">
                  <c:v>0.76579303219222472</c:v>
                </c:pt>
                <c:pt idx="106">
                  <c:v>0.71951685293013801</c:v>
                </c:pt>
                <c:pt idx="107">
                  <c:v>0.79525631281693221</c:v>
                </c:pt>
                <c:pt idx="108">
                  <c:v>0.74087187334523685</c:v>
                </c:pt>
                <c:pt idx="109">
                  <c:v>0.70564738088318435</c:v>
                </c:pt>
                <c:pt idx="110">
                  <c:v>0.52140066185220613</c:v>
                </c:pt>
                <c:pt idx="111">
                  <c:v>0.67510042468253584</c:v>
                </c:pt>
                <c:pt idx="112">
                  <c:v>0.7161657807251014</c:v>
                </c:pt>
                <c:pt idx="113">
                  <c:v>0.61434885789661786</c:v>
                </c:pt>
                <c:pt idx="114">
                  <c:v>0.65836548012756191</c:v>
                </c:pt>
                <c:pt idx="115">
                  <c:v>0.73672266164701405</c:v>
                </c:pt>
                <c:pt idx="116">
                  <c:v>0.72511754466848566</c:v>
                </c:pt>
                <c:pt idx="117">
                  <c:v>0.73384617236367566</c:v>
                </c:pt>
                <c:pt idx="118">
                  <c:v>0.71238953691799622</c:v>
                </c:pt>
                <c:pt idx="119">
                  <c:v>0.84202025002134517</c:v>
                </c:pt>
                <c:pt idx="120">
                  <c:v>0.97154408939055026</c:v>
                </c:pt>
                <c:pt idx="121">
                  <c:v>0.99867284336872031</c:v>
                </c:pt>
                <c:pt idx="122">
                  <c:v>1.3739417157106923</c:v>
                </c:pt>
                <c:pt idx="123">
                  <c:v>1.1336171849179053</c:v>
                </c:pt>
                <c:pt idx="124">
                  <c:v>0.99070360713595118</c:v>
                </c:pt>
                <c:pt idx="125">
                  <c:v>1.0198191047928189</c:v>
                </c:pt>
                <c:pt idx="126">
                  <c:v>1.0105559486330609</c:v>
                </c:pt>
                <c:pt idx="127">
                  <c:v>0.95903714077506208</c:v>
                </c:pt>
                <c:pt idx="128">
                  <c:v>0.99322838318493512</c:v>
                </c:pt>
                <c:pt idx="129">
                  <c:v>1.2114454546032505</c:v>
                </c:pt>
                <c:pt idx="130">
                  <c:v>1.1830166428251996</c:v>
                </c:pt>
                <c:pt idx="131">
                  <c:v>0.99933465632104379</c:v>
                </c:pt>
                <c:pt idx="132">
                  <c:v>1.0352340135171125</c:v>
                </c:pt>
                <c:pt idx="133">
                  <c:v>0.8740878124988346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F8-4FF1-AB83-B207041D9503}"/>
            </c:ext>
          </c:extLst>
        </c:ser>
        <c:ser>
          <c:idx val="2"/>
          <c:order val="2"/>
          <c:tx>
            <c:strRef>
              <c:f>預測OLS累積報酬!$A$22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預測OLS累積報酬!$B$22:$EE$22</c:f>
              <c:numCache>
                <c:formatCode>General</c:formatCode>
                <c:ptCount val="134"/>
                <c:pt idx="0">
                  <c:v>3.1325684581971477E-2</c:v>
                </c:pt>
                <c:pt idx="1">
                  <c:v>-5.7640938152385288E-2</c:v>
                </c:pt>
                <c:pt idx="2">
                  <c:v>-7.270252583935069E-2</c:v>
                </c:pt>
                <c:pt idx="3">
                  <c:v>-0.11768780759911401</c:v>
                </c:pt>
                <c:pt idx="4">
                  <c:v>-0.16351216263647411</c:v>
                </c:pt>
                <c:pt idx="5">
                  <c:v>-0.42632240383792691</c:v>
                </c:pt>
                <c:pt idx="6">
                  <c:v>-0.17061953177234979</c:v>
                </c:pt>
                <c:pt idx="7">
                  <c:v>-1.5325714869366597E-2</c:v>
                </c:pt>
                <c:pt idx="8">
                  <c:v>0.12728186025528831</c:v>
                </c:pt>
                <c:pt idx="9">
                  <c:v>0.3597262212977505</c:v>
                </c:pt>
                <c:pt idx="10">
                  <c:v>0.10127630493910811</c:v>
                </c:pt>
                <c:pt idx="11">
                  <c:v>-6.2529660602829301E-2</c:v>
                </c:pt>
                <c:pt idx="12">
                  <c:v>-8.1937371869598444E-2</c:v>
                </c:pt>
                <c:pt idx="13">
                  <c:v>-0.14041660669885814</c:v>
                </c:pt>
                <c:pt idx="14">
                  <c:v>-3.2095027709078405E-3</c:v>
                </c:pt>
                <c:pt idx="15">
                  <c:v>-8.6337141714308827E-2</c:v>
                </c:pt>
                <c:pt idx="16">
                  <c:v>3.8964161175680564E-2</c:v>
                </c:pt>
                <c:pt idx="17">
                  <c:v>2.3894461375991164E-2</c:v>
                </c:pt>
                <c:pt idx="18">
                  <c:v>0.17788971212438956</c:v>
                </c:pt>
                <c:pt idx="19">
                  <c:v>0.12195870795827143</c:v>
                </c:pt>
                <c:pt idx="20">
                  <c:v>-9.7005073846301554E-2</c:v>
                </c:pt>
                <c:pt idx="21">
                  <c:v>-0.3557080737878755</c:v>
                </c:pt>
                <c:pt idx="22">
                  <c:v>-0.43477310966338978</c:v>
                </c:pt>
                <c:pt idx="23">
                  <c:v>-0.28713270022011617</c:v>
                </c:pt>
                <c:pt idx="24">
                  <c:v>-0.23038425426000586</c:v>
                </c:pt>
                <c:pt idx="25">
                  <c:v>-0.19939286920401375</c:v>
                </c:pt>
                <c:pt idx="26">
                  <c:v>-3.0638069567101051E-2</c:v>
                </c:pt>
                <c:pt idx="27">
                  <c:v>-3.3633361137585235E-2</c:v>
                </c:pt>
                <c:pt idx="28">
                  <c:v>0.24953833009577847</c:v>
                </c:pt>
                <c:pt idx="29">
                  <c:v>0.57419765573598969</c:v>
                </c:pt>
                <c:pt idx="30">
                  <c:v>0.72009154867566172</c:v>
                </c:pt>
                <c:pt idx="31">
                  <c:v>0.5844426283249945</c:v>
                </c:pt>
                <c:pt idx="32">
                  <c:v>0.81851068561312379</c:v>
                </c:pt>
                <c:pt idx="33">
                  <c:v>0.86592141982764115</c:v>
                </c:pt>
                <c:pt idx="34">
                  <c:v>0.95902448647437599</c:v>
                </c:pt>
                <c:pt idx="35">
                  <c:v>1.0103347976568628</c:v>
                </c:pt>
                <c:pt idx="36">
                  <c:v>1.0433205621846922</c:v>
                </c:pt>
                <c:pt idx="37">
                  <c:v>0.88280042142236081</c:v>
                </c:pt>
                <c:pt idx="38">
                  <c:v>0.79201794189274333</c:v>
                </c:pt>
                <c:pt idx="39">
                  <c:v>0.80246576334029296</c:v>
                </c:pt>
                <c:pt idx="40">
                  <c:v>0.626753554757286</c:v>
                </c:pt>
                <c:pt idx="41">
                  <c:v>0.88021435053763009</c:v>
                </c:pt>
                <c:pt idx="42">
                  <c:v>0.79855072975705987</c:v>
                </c:pt>
                <c:pt idx="43">
                  <c:v>0.68904482679215961</c:v>
                </c:pt>
                <c:pt idx="44">
                  <c:v>0.89264071797374545</c:v>
                </c:pt>
                <c:pt idx="45">
                  <c:v>0.39337167313215665</c:v>
                </c:pt>
                <c:pt idx="46">
                  <c:v>0.425285666723352</c:v>
                </c:pt>
                <c:pt idx="47">
                  <c:v>0.41612384232307881</c:v>
                </c:pt>
                <c:pt idx="48">
                  <c:v>0.83847833360795176</c:v>
                </c:pt>
                <c:pt idx="49">
                  <c:v>0.77302781688894484</c:v>
                </c:pt>
                <c:pt idx="50">
                  <c:v>0.98199480957266683</c:v>
                </c:pt>
                <c:pt idx="51">
                  <c:v>1.058710370993089</c:v>
                </c:pt>
                <c:pt idx="52">
                  <c:v>1.3115795528930285</c:v>
                </c:pt>
                <c:pt idx="53">
                  <c:v>1.3027261894771809</c:v>
                </c:pt>
                <c:pt idx="54">
                  <c:v>1.3461430155931664</c:v>
                </c:pt>
                <c:pt idx="55">
                  <c:v>1.3055999249013255</c:v>
                </c:pt>
                <c:pt idx="56">
                  <c:v>1.3664760832555707</c:v>
                </c:pt>
                <c:pt idx="57">
                  <c:v>1.3452450183223434</c:v>
                </c:pt>
                <c:pt idx="58">
                  <c:v>1.3321636331106301</c:v>
                </c:pt>
                <c:pt idx="59">
                  <c:v>1.2741434195659878</c:v>
                </c:pt>
                <c:pt idx="60">
                  <c:v>1.3706619864241056</c:v>
                </c:pt>
                <c:pt idx="61">
                  <c:v>1.3163304317265909</c:v>
                </c:pt>
                <c:pt idx="62">
                  <c:v>1.3174531688425155</c:v>
                </c:pt>
                <c:pt idx="63">
                  <c:v>1.0959899459483757</c:v>
                </c:pt>
                <c:pt idx="64">
                  <c:v>1.1170311792911147</c:v>
                </c:pt>
                <c:pt idx="65">
                  <c:v>0.86963255307286058</c:v>
                </c:pt>
                <c:pt idx="66">
                  <c:v>0.87572061023546022</c:v>
                </c:pt>
                <c:pt idx="67">
                  <c:v>0.50887388169871817</c:v>
                </c:pt>
                <c:pt idx="68">
                  <c:v>0.38040959527862217</c:v>
                </c:pt>
                <c:pt idx="69">
                  <c:v>0.4077311700768349</c:v>
                </c:pt>
                <c:pt idx="70">
                  <c:v>0.23285073145127511</c:v>
                </c:pt>
                <c:pt idx="71">
                  <c:v>0.54321446721842004</c:v>
                </c:pt>
                <c:pt idx="72">
                  <c:v>0.49251263469306078</c:v>
                </c:pt>
                <c:pt idx="73">
                  <c:v>0.36833836391404079</c:v>
                </c:pt>
                <c:pt idx="74">
                  <c:v>0.38917291294667372</c:v>
                </c:pt>
                <c:pt idx="75">
                  <c:v>0.72577124076294131</c:v>
                </c:pt>
                <c:pt idx="76">
                  <c:v>0.69148762091759475</c:v>
                </c:pt>
                <c:pt idx="77">
                  <c:v>0.84501206277337237</c:v>
                </c:pt>
                <c:pt idx="78">
                  <c:v>0.70392957161364389</c:v>
                </c:pt>
                <c:pt idx="79">
                  <c:v>6.3182994097091272E-2</c:v>
                </c:pt>
                <c:pt idx="80">
                  <c:v>0.26695018464001258</c:v>
                </c:pt>
                <c:pt idx="81">
                  <c:v>0.31039264967050273</c:v>
                </c:pt>
                <c:pt idx="82">
                  <c:v>0.23528317996810258</c:v>
                </c:pt>
                <c:pt idx="83">
                  <c:v>0.28853910218320022</c:v>
                </c:pt>
                <c:pt idx="84">
                  <c:v>0.27054706305750931</c:v>
                </c:pt>
                <c:pt idx="85">
                  <c:v>0.30585113737184993</c:v>
                </c:pt>
                <c:pt idx="86">
                  <c:v>0.3995630687774111</c:v>
                </c:pt>
                <c:pt idx="87">
                  <c:v>0.52333370597287054</c:v>
                </c:pt>
                <c:pt idx="88">
                  <c:v>0.53030871498609167</c:v>
                </c:pt>
                <c:pt idx="89">
                  <c:v>0.83852199958884932</c:v>
                </c:pt>
                <c:pt idx="90">
                  <c:v>0.62221296847419616</c:v>
                </c:pt>
                <c:pt idx="91">
                  <c:v>0.6982070236357486</c:v>
                </c:pt>
                <c:pt idx="92">
                  <c:v>0.57897884381600284</c:v>
                </c:pt>
                <c:pt idx="93">
                  <c:v>0.42798067334205525</c:v>
                </c:pt>
                <c:pt idx="94">
                  <c:v>0.40992524685966425</c:v>
                </c:pt>
                <c:pt idx="95">
                  <c:v>0.30998606814848062</c:v>
                </c:pt>
                <c:pt idx="96">
                  <c:v>0.10788218316132381</c:v>
                </c:pt>
                <c:pt idx="97">
                  <c:v>0.18698535612755235</c:v>
                </c:pt>
                <c:pt idx="98">
                  <c:v>0.16279906833855112</c:v>
                </c:pt>
                <c:pt idx="99">
                  <c:v>0.10093907519127046</c:v>
                </c:pt>
                <c:pt idx="100">
                  <c:v>0.38264990266529031</c:v>
                </c:pt>
                <c:pt idx="101">
                  <c:v>0.44393100317993123</c:v>
                </c:pt>
                <c:pt idx="102">
                  <c:v>0.96170196479989367</c:v>
                </c:pt>
                <c:pt idx="103">
                  <c:v>1.8262775393971049</c:v>
                </c:pt>
                <c:pt idx="104">
                  <c:v>1.6683286400788517</c:v>
                </c:pt>
                <c:pt idx="105">
                  <c:v>1.7042499426924884</c:v>
                </c:pt>
                <c:pt idx="106">
                  <c:v>1.6591295862890589</c:v>
                </c:pt>
                <c:pt idx="107">
                  <c:v>1.766523471952345</c:v>
                </c:pt>
                <c:pt idx="108">
                  <c:v>1.6818231670768533</c:v>
                </c:pt>
                <c:pt idx="109">
                  <c:v>1.6260070900005918</c:v>
                </c:pt>
                <c:pt idx="110">
                  <c:v>1.4082771011293607</c:v>
                </c:pt>
                <c:pt idx="111">
                  <c:v>1.5283096829532794</c:v>
                </c:pt>
                <c:pt idx="112">
                  <c:v>1.5856874732784236</c:v>
                </c:pt>
                <c:pt idx="113">
                  <c:v>1.5198820853284898</c:v>
                </c:pt>
                <c:pt idx="114">
                  <c:v>1.5446928198219512</c:v>
                </c:pt>
                <c:pt idx="115">
                  <c:v>1.6120771030777337</c:v>
                </c:pt>
                <c:pt idx="116">
                  <c:v>1.6583395098490095</c:v>
                </c:pt>
                <c:pt idx="117">
                  <c:v>1.6787335252721083</c:v>
                </c:pt>
                <c:pt idx="118">
                  <c:v>1.727116400555289</c:v>
                </c:pt>
                <c:pt idx="119">
                  <c:v>1.851033755084543</c:v>
                </c:pt>
                <c:pt idx="120">
                  <c:v>2.0982283065270115</c:v>
                </c:pt>
                <c:pt idx="121">
                  <c:v>2.0759318494572545</c:v>
                </c:pt>
                <c:pt idx="122">
                  <c:v>2.6011735561103544</c:v>
                </c:pt>
                <c:pt idx="123">
                  <c:v>2.2997301976850233</c:v>
                </c:pt>
                <c:pt idx="124">
                  <c:v>2.0714479610625771</c:v>
                </c:pt>
                <c:pt idx="125">
                  <c:v>2.0886006245816997</c:v>
                </c:pt>
                <c:pt idx="126">
                  <c:v>2.08840537743612</c:v>
                </c:pt>
                <c:pt idx="127">
                  <c:v>2.0128409647288548</c:v>
                </c:pt>
                <c:pt idx="128">
                  <c:v>2.1062030441978234</c:v>
                </c:pt>
                <c:pt idx="129">
                  <c:v>2.416588927531532</c:v>
                </c:pt>
                <c:pt idx="130">
                  <c:v>2.2933839845758675</c:v>
                </c:pt>
                <c:pt idx="131">
                  <c:v>2.0990607060539483</c:v>
                </c:pt>
                <c:pt idx="132">
                  <c:v>2.1686062641489348</c:v>
                </c:pt>
                <c:pt idx="133">
                  <c:v>2.0853344873994519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F8-4FF1-AB83-B207041D9503}"/>
            </c:ext>
          </c:extLst>
        </c:ser>
        <c:ser>
          <c:idx val="3"/>
          <c:order val="3"/>
          <c:tx>
            <c:strRef>
              <c:f>預測OLS累積報酬!$A$23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預測OLS累積報酬!$B$23:$EE$23</c:f>
              <c:numCache>
                <c:formatCode>General</c:formatCode>
                <c:ptCount val="134"/>
                <c:pt idx="0">
                  <c:v>2.776696731044102E-2</c:v>
                </c:pt>
                <c:pt idx="1">
                  <c:v>-5.4221411859182875E-2</c:v>
                </c:pt>
                <c:pt idx="2">
                  <c:v>2.7658922751214621E-2</c:v>
                </c:pt>
                <c:pt idx="3">
                  <c:v>-0.18273881291871588</c:v>
                </c:pt>
                <c:pt idx="4">
                  <c:v>-0.2389603253411855</c:v>
                </c:pt>
                <c:pt idx="5">
                  <c:v>-0.58978251667222437</c:v>
                </c:pt>
                <c:pt idx="6">
                  <c:v>-0.34939627190130856</c:v>
                </c:pt>
                <c:pt idx="7">
                  <c:v>-0.34536054696204893</c:v>
                </c:pt>
                <c:pt idx="8">
                  <c:v>-0.29491621096856024</c:v>
                </c:pt>
                <c:pt idx="9">
                  <c:v>3.884323350708635E-2</c:v>
                </c:pt>
                <c:pt idx="10">
                  <c:v>-0.10797610539242214</c:v>
                </c:pt>
                <c:pt idx="11">
                  <c:v>-0.15348914228968807</c:v>
                </c:pt>
                <c:pt idx="12">
                  <c:v>-0.11684035155014434</c:v>
                </c:pt>
                <c:pt idx="13">
                  <c:v>-9.3047309312204576E-2</c:v>
                </c:pt>
                <c:pt idx="14">
                  <c:v>-0.15157366454108107</c:v>
                </c:pt>
                <c:pt idx="15">
                  <c:v>-0.35729316348767803</c:v>
                </c:pt>
                <c:pt idx="16">
                  <c:v>-0.19514499236746963</c:v>
                </c:pt>
                <c:pt idx="17">
                  <c:v>-0.18645702229628708</c:v>
                </c:pt>
                <c:pt idx="18">
                  <c:v>0.12673902344688731</c:v>
                </c:pt>
                <c:pt idx="19">
                  <c:v>0.24660989458286361</c:v>
                </c:pt>
                <c:pt idx="20">
                  <c:v>-0.11185349767203559</c:v>
                </c:pt>
                <c:pt idx="21">
                  <c:v>-0.50623377335570696</c:v>
                </c:pt>
                <c:pt idx="22">
                  <c:v>-0.49201246063263088</c:v>
                </c:pt>
                <c:pt idx="23">
                  <c:v>-0.34160253494384119</c:v>
                </c:pt>
                <c:pt idx="24">
                  <c:v>-0.560147114634996</c:v>
                </c:pt>
                <c:pt idx="25">
                  <c:v>-0.25975332107801352</c:v>
                </c:pt>
                <c:pt idx="26">
                  <c:v>0.14199401276894108</c:v>
                </c:pt>
                <c:pt idx="27">
                  <c:v>8.2071865958121992E-2</c:v>
                </c:pt>
                <c:pt idx="28">
                  <c:v>7.4380836325339206E-2</c:v>
                </c:pt>
                <c:pt idx="29">
                  <c:v>0.56977024912950114</c:v>
                </c:pt>
                <c:pt idx="30">
                  <c:v>0.94982564171229722</c:v>
                </c:pt>
                <c:pt idx="31">
                  <c:v>0.64770288510572194</c:v>
                </c:pt>
                <c:pt idx="32">
                  <c:v>0.86790592310458026</c:v>
                </c:pt>
                <c:pt idx="33">
                  <c:v>0.82484576642122531</c:v>
                </c:pt>
                <c:pt idx="34">
                  <c:v>0.89930786127507978</c:v>
                </c:pt>
                <c:pt idx="35">
                  <c:v>1.0067622875808213</c:v>
                </c:pt>
                <c:pt idx="36">
                  <c:v>1.0154976563136375</c:v>
                </c:pt>
                <c:pt idx="37">
                  <c:v>0.90483688437808707</c:v>
                </c:pt>
                <c:pt idx="38">
                  <c:v>0.80193118180029754</c:v>
                </c:pt>
                <c:pt idx="39">
                  <c:v>1.2183397156900082</c:v>
                </c:pt>
                <c:pt idx="40">
                  <c:v>0.86184778399249007</c:v>
                </c:pt>
                <c:pt idx="41">
                  <c:v>0.8821986284853045</c:v>
                </c:pt>
                <c:pt idx="42">
                  <c:v>0.87891185477868172</c:v>
                </c:pt>
                <c:pt idx="43">
                  <c:v>0.72814287485300089</c:v>
                </c:pt>
                <c:pt idx="44">
                  <c:v>0.95798389053242072</c:v>
                </c:pt>
                <c:pt idx="45">
                  <c:v>0.93097093664222264</c:v>
                </c:pt>
                <c:pt idx="46">
                  <c:v>1.0416636780735817</c:v>
                </c:pt>
                <c:pt idx="47">
                  <c:v>0.95410130652485792</c:v>
                </c:pt>
                <c:pt idx="48">
                  <c:v>0.80286777996627723</c:v>
                </c:pt>
                <c:pt idx="49">
                  <c:v>0.66769300159802447</c:v>
                </c:pt>
                <c:pt idx="50">
                  <c:v>0.8398617813464293</c:v>
                </c:pt>
                <c:pt idx="51">
                  <c:v>0.93727343295384835</c:v>
                </c:pt>
                <c:pt idx="52">
                  <c:v>0.93290656333946498</c:v>
                </c:pt>
                <c:pt idx="53">
                  <c:v>0.92444395291074888</c:v>
                </c:pt>
                <c:pt idx="54">
                  <c:v>0.69911853587824435</c:v>
                </c:pt>
                <c:pt idx="55">
                  <c:v>0.70442575388753714</c:v>
                </c:pt>
                <c:pt idx="56">
                  <c:v>0.94256776619140636</c:v>
                </c:pt>
                <c:pt idx="57">
                  <c:v>1.3271261894802571</c:v>
                </c:pt>
                <c:pt idx="58">
                  <c:v>1.3400151882962543</c:v>
                </c:pt>
                <c:pt idx="59">
                  <c:v>1.4005824426187137</c:v>
                </c:pt>
                <c:pt idx="60">
                  <c:v>1.5366782470502871</c:v>
                </c:pt>
                <c:pt idx="61">
                  <c:v>1.351656425935877</c:v>
                </c:pt>
                <c:pt idx="62">
                  <c:v>1.2668734860968887</c:v>
                </c:pt>
                <c:pt idx="63">
                  <c:v>1.2469833276176689</c:v>
                </c:pt>
                <c:pt idx="64">
                  <c:v>1.3061360204527097</c:v>
                </c:pt>
                <c:pt idx="65">
                  <c:v>0.73894740614566157</c:v>
                </c:pt>
                <c:pt idx="66">
                  <c:v>0.7087276538513565</c:v>
                </c:pt>
                <c:pt idx="67">
                  <c:v>0.24310862292344487</c:v>
                </c:pt>
                <c:pt idx="68">
                  <c:v>-5.5885615202259709E-2</c:v>
                </c:pt>
                <c:pt idx="69">
                  <c:v>-4.2320337241313816E-2</c:v>
                </c:pt>
                <c:pt idx="70">
                  <c:v>-0.46633364626206641</c:v>
                </c:pt>
                <c:pt idx="71">
                  <c:v>0.11103314561037803</c:v>
                </c:pt>
                <c:pt idx="72">
                  <c:v>-1.5234276990910567E-2</c:v>
                </c:pt>
                <c:pt idx="73">
                  <c:v>-0.13071012638982987</c:v>
                </c:pt>
                <c:pt idx="74">
                  <c:v>-0.19292655933742725</c:v>
                </c:pt>
                <c:pt idx="75">
                  <c:v>-1.8402191203550161E-2</c:v>
                </c:pt>
                <c:pt idx="76">
                  <c:v>-0.10375432999078329</c:v>
                </c:pt>
                <c:pt idx="77">
                  <c:v>-3.9627246834741212E-2</c:v>
                </c:pt>
                <c:pt idx="78">
                  <c:v>-0.25302142786383169</c:v>
                </c:pt>
                <c:pt idx="79">
                  <c:v>-0.9443533964532147</c:v>
                </c:pt>
                <c:pt idx="80">
                  <c:v>-0.95596730147115139</c:v>
                </c:pt>
                <c:pt idx="81">
                  <c:v>-1.1765670711581315</c:v>
                </c:pt>
                <c:pt idx="82">
                  <c:v>-1.4371658043496087</c:v>
                </c:pt>
                <c:pt idx="83">
                  <c:v>-1.2540130416656075</c:v>
                </c:pt>
                <c:pt idx="84">
                  <c:v>-1.3989525436040919</c:v>
                </c:pt>
                <c:pt idx="85">
                  <c:v>-1.1131493394976171</c:v>
                </c:pt>
                <c:pt idx="86">
                  <c:v>-1.0427416490867512</c:v>
                </c:pt>
                <c:pt idx="87">
                  <c:v>-0.9571207705830409</c:v>
                </c:pt>
                <c:pt idx="88">
                  <c:v>-0.91243223225910897</c:v>
                </c:pt>
                <c:pt idx="89">
                  <c:v>-0.34330973321275227</c:v>
                </c:pt>
                <c:pt idx="90">
                  <c:v>-0.8156227264091418</c:v>
                </c:pt>
                <c:pt idx="91">
                  <c:v>-0.85504761241476479</c:v>
                </c:pt>
                <c:pt idx="92">
                  <c:v>-0.80360758442181113</c:v>
                </c:pt>
                <c:pt idx="93">
                  <c:v>-0.94139504047051425</c:v>
                </c:pt>
                <c:pt idx="94">
                  <c:v>-0.68459121764719733</c:v>
                </c:pt>
                <c:pt idx="95">
                  <c:v>-0.78668382111395097</c:v>
                </c:pt>
                <c:pt idx="96">
                  <c:v>-0.83941286592760578</c:v>
                </c:pt>
                <c:pt idx="97">
                  <c:v>-0.74968703076895749</c:v>
                </c:pt>
                <c:pt idx="98">
                  <c:v>-0.98468024604180349</c:v>
                </c:pt>
                <c:pt idx="99">
                  <c:v>-1.1313748717120911</c:v>
                </c:pt>
                <c:pt idx="100">
                  <c:v>-0.77114682494335329</c:v>
                </c:pt>
                <c:pt idx="101">
                  <c:v>-0.60903991506519306</c:v>
                </c:pt>
                <c:pt idx="102">
                  <c:v>0.20398248184177037</c:v>
                </c:pt>
                <c:pt idx="103">
                  <c:v>1.1520920712217395</c:v>
                </c:pt>
                <c:pt idx="104">
                  <c:v>0.86936229249322139</c:v>
                </c:pt>
                <c:pt idx="105">
                  <c:v>0.8988553109089843</c:v>
                </c:pt>
                <c:pt idx="106">
                  <c:v>0.78759015336804628</c:v>
                </c:pt>
                <c:pt idx="107">
                  <c:v>0.88827740851332648</c:v>
                </c:pt>
                <c:pt idx="108">
                  <c:v>0.66955699607515684</c:v>
                </c:pt>
                <c:pt idx="109">
                  <c:v>0.58680948428950375</c:v>
                </c:pt>
                <c:pt idx="110">
                  <c:v>0.21066044274332096</c:v>
                </c:pt>
                <c:pt idx="111">
                  <c:v>0.44003031727441033</c:v>
                </c:pt>
                <c:pt idx="112">
                  <c:v>0.6600849009357912</c:v>
                </c:pt>
                <c:pt idx="113">
                  <c:v>0.50682350529341713</c:v>
                </c:pt>
                <c:pt idx="114">
                  <c:v>0.37577963459276531</c:v>
                </c:pt>
                <c:pt idx="115">
                  <c:v>0.45145702294844037</c:v>
                </c:pt>
                <c:pt idx="116">
                  <c:v>0.50379454805667057</c:v>
                </c:pt>
                <c:pt idx="117">
                  <c:v>0.51570879592091723</c:v>
                </c:pt>
                <c:pt idx="118">
                  <c:v>0.56452427846896169</c:v>
                </c:pt>
                <c:pt idx="119">
                  <c:v>0.91179844812298816</c:v>
                </c:pt>
                <c:pt idx="120">
                  <c:v>1.0558054229618024</c:v>
                </c:pt>
                <c:pt idx="121">
                  <c:v>1.026369696572939</c:v>
                </c:pt>
                <c:pt idx="122">
                  <c:v>1.7969130043288977</c:v>
                </c:pt>
                <c:pt idx="123">
                  <c:v>1.4754141149494111</c:v>
                </c:pt>
                <c:pt idx="124">
                  <c:v>1.2487567443354048</c:v>
                </c:pt>
                <c:pt idx="125">
                  <c:v>1.2768990669026654</c:v>
                </c:pt>
                <c:pt idx="126">
                  <c:v>1.4426862810341046</c:v>
                </c:pt>
                <c:pt idx="127">
                  <c:v>1.5009895742663846</c:v>
                </c:pt>
                <c:pt idx="128">
                  <c:v>1.5241610761130595</c:v>
                </c:pt>
                <c:pt idx="129">
                  <c:v>2.1899686710904898</c:v>
                </c:pt>
                <c:pt idx="130">
                  <c:v>1.9333172911269634</c:v>
                </c:pt>
                <c:pt idx="131">
                  <c:v>1.8487771985596986</c:v>
                </c:pt>
                <c:pt idx="132">
                  <c:v>1.8131132156887337</c:v>
                </c:pt>
                <c:pt idx="133">
                  <c:v>1.6841554426102954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F8-4FF1-AB83-B207041D9503}"/>
            </c:ext>
          </c:extLst>
        </c:ser>
        <c:ser>
          <c:idx val="4"/>
          <c:order val="4"/>
          <c:tx>
            <c:strRef>
              <c:f>預測OLS累積報酬!$A$24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預測OLS累積報酬!$B$24:$EE$24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F8-4FF1-AB83-B207041D9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150175"/>
        <c:axId val="772967887"/>
      </c:lineChart>
      <c:catAx>
        <c:axId val="223150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2967887"/>
        <c:crosses val="autoZero"/>
        <c:auto val="1"/>
        <c:lblAlgn val="ctr"/>
        <c:lblOffset val="100"/>
        <c:noMultiLvlLbl val="0"/>
      </c:catAx>
      <c:valAx>
        <c:axId val="77296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315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'真實OLS累積報酬 '!$A$19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'真實OLS累積報酬 '!$B$19:$EE$19</c:f>
              <c:numCache>
                <c:formatCode>General</c:formatCode>
                <c:ptCount val="134"/>
                <c:pt idx="0">
                  <c:v>1.038483447742689E-2</c:v>
                </c:pt>
                <c:pt idx="1">
                  <c:v>0.33539311611962908</c:v>
                </c:pt>
                <c:pt idx="2">
                  <c:v>0.37911067099935009</c:v>
                </c:pt>
                <c:pt idx="3">
                  <c:v>0.5631492526054801</c:v>
                </c:pt>
                <c:pt idx="4">
                  <c:v>0.83888160328771644</c:v>
                </c:pt>
                <c:pt idx="5">
                  <c:v>0.87672568031600884</c:v>
                </c:pt>
                <c:pt idx="6">
                  <c:v>0.93212807728622027</c:v>
                </c:pt>
                <c:pt idx="7">
                  <c:v>0.89270568429891728</c:v>
                </c:pt>
                <c:pt idx="8">
                  <c:v>0.89845688563770354</c:v>
                </c:pt>
                <c:pt idx="9">
                  <c:v>1.01651900304892</c:v>
                </c:pt>
                <c:pt idx="10">
                  <c:v>1.0152366878594057</c:v>
                </c:pt>
                <c:pt idx="11">
                  <c:v>1.1542873637202056</c:v>
                </c:pt>
                <c:pt idx="12">
                  <c:v>1.0733263878448871</c:v>
                </c:pt>
                <c:pt idx="13">
                  <c:v>1.1132181107049899</c:v>
                </c:pt>
                <c:pt idx="14">
                  <c:v>1.2347933753601397</c:v>
                </c:pt>
                <c:pt idx="15">
                  <c:v>1.2452819518598528</c:v>
                </c:pt>
                <c:pt idx="16">
                  <c:v>1.4091581065851131</c:v>
                </c:pt>
                <c:pt idx="17">
                  <c:v>1.6799192791382906</c:v>
                </c:pt>
                <c:pt idx="18">
                  <c:v>1.7125308599869007</c:v>
                </c:pt>
                <c:pt idx="19">
                  <c:v>1.9625951398214239</c:v>
                </c:pt>
                <c:pt idx="20">
                  <c:v>2.2855156885096108</c:v>
                </c:pt>
                <c:pt idx="21">
                  <c:v>2.5544439835558079</c:v>
                </c:pt>
                <c:pt idx="22">
                  <c:v>2.6914489557761869</c:v>
                </c:pt>
                <c:pt idx="23">
                  <c:v>2.8276605178911511</c:v>
                </c:pt>
                <c:pt idx="24">
                  <c:v>2.9400691838830477</c:v>
                </c:pt>
                <c:pt idx="25">
                  <c:v>3.0248544388997569</c:v>
                </c:pt>
                <c:pt idx="26">
                  <c:v>3.2538144540642917</c:v>
                </c:pt>
                <c:pt idx="27">
                  <c:v>3.357761629040906</c:v>
                </c:pt>
                <c:pt idx="28">
                  <c:v>3.4858666078371519</c:v>
                </c:pt>
                <c:pt idx="29">
                  <c:v>3.7624669235713952</c:v>
                </c:pt>
                <c:pt idx="30">
                  <c:v>3.7514203514649513</c:v>
                </c:pt>
                <c:pt idx="31">
                  <c:v>4.2700949463192996</c:v>
                </c:pt>
                <c:pt idx="32">
                  <c:v>4.3378246269144505</c:v>
                </c:pt>
                <c:pt idx="33">
                  <c:v>4.3759080740470297</c:v>
                </c:pt>
                <c:pt idx="34">
                  <c:v>4.4166654703029407</c:v>
                </c:pt>
                <c:pt idx="35">
                  <c:v>4.5484178066211687</c:v>
                </c:pt>
                <c:pt idx="36">
                  <c:v>4.6400159761709112</c:v>
                </c:pt>
                <c:pt idx="37">
                  <c:v>4.6182269466250903</c:v>
                </c:pt>
                <c:pt idx="38">
                  <c:v>4.5326591717112032</c:v>
                </c:pt>
                <c:pt idx="39">
                  <c:v>4.674630140396423</c:v>
                </c:pt>
                <c:pt idx="40">
                  <c:v>4.7600010405086666</c:v>
                </c:pt>
                <c:pt idx="41">
                  <c:v>4.7258031398778426</c:v>
                </c:pt>
                <c:pt idx="42">
                  <c:v>4.7030180075185832</c:v>
                </c:pt>
                <c:pt idx="43">
                  <c:v>4.8935447547541528</c:v>
                </c:pt>
                <c:pt idx="44">
                  <c:v>4.9570000843674329</c:v>
                </c:pt>
                <c:pt idx="45">
                  <c:v>4.8665832440856036</c:v>
                </c:pt>
                <c:pt idx="46">
                  <c:v>5.1851525609820595</c:v>
                </c:pt>
                <c:pt idx="47">
                  <c:v>5.1574452708652361</c:v>
                </c:pt>
                <c:pt idx="48">
                  <c:v>5.4704297267559108</c:v>
                </c:pt>
                <c:pt idx="49">
                  <c:v>5.5634891208845039</c:v>
                </c:pt>
                <c:pt idx="50">
                  <c:v>5.5827823285202109</c:v>
                </c:pt>
                <c:pt idx="51">
                  <c:v>5.7544994636982576</c:v>
                </c:pt>
                <c:pt idx="52">
                  <c:v>5.866472774564075</c:v>
                </c:pt>
                <c:pt idx="53">
                  <c:v>5.8361847952561616</c:v>
                </c:pt>
                <c:pt idx="54">
                  <c:v>5.6994394393481969</c:v>
                </c:pt>
                <c:pt idx="55">
                  <c:v>5.6979988894427107</c:v>
                </c:pt>
                <c:pt idx="56">
                  <c:v>5.7068375155980586</c:v>
                </c:pt>
                <c:pt idx="57">
                  <c:v>5.7028307574824275</c:v>
                </c:pt>
                <c:pt idx="58">
                  <c:v>5.810354767539379</c:v>
                </c:pt>
                <c:pt idx="59">
                  <c:v>5.8423372819503712</c:v>
                </c:pt>
                <c:pt idx="60">
                  <c:v>5.7593641200603054</c:v>
                </c:pt>
                <c:pt idx="61">
                  <c:v>5.8111096024882789</c:v>
                </c:pt>
                <c:pt idx="62">
                  <c:v>5.8139524297042717</c:v>
                </c:pt>
                <c:pt idx="63">
                  <c:v>6.0551345138310078</c:v>
                </c:pt>
                <c:pt idx="64">
                  <c:v>6.129484687414763</c:v>
                </c:pt>
                <c:pt idx="65">
                  <c:v>6.3342189030420446</c:v>
                </c:pt>
                <c:pt idx="66">
                  <c:v>6.2793020348293407</c:v>
                </c:pt>
                <c:pt idx="67">
                  <c:v>6.5665775761417402</c:v>
                </c:pt>
                <c:pt idx="68">
                  <c:v>6.5008357551813925</c:v>
                </c:pt>
                <c:pt idx="69">
                  <c:v>6.4078835518331356</c:v>
                </c:pt>
                <c:pt idx="70">
                  <c:v>6.4208801588350752</c:v>
                </c:pt>
                <c:pt idx="71">
                  <c:v>6.6090371708760562</c:v>
                </c:pt>
                <c:pt idx="72">
                  <c:v>6.7934978415964657</c:v>
                </c:pt>
                <c:pt idx="73">
                  <c:v>6.7634549592927691</c:v>
                </c:pt>
                <c:pt idx="74">
                  <c:v>6.6421717082744998</c:v>
                </c:pt>
                <c:pt idx="75">
                  <c:v>6.8861426424656251</c:v>
                </c:pt>
                <c:pt idx="76">
                  <c:v>6.9242215819408912</c:v>
                </c:pt>
                <c:pt idx="77">
                  <c:v>6.9976876813458206</c:v>
                </c:pt>
                <c:pt idx="78">
                  <c:v>6.9443801034063668</c:v>
                </c:pt>
                <c:pt idx="79">
                  <c:v>6.9486218561228501</c:v>
                </c:pt>
                <c:pt idx="80">
                  <c:v>7.0939968165668379</c:v>
                </c:pt>
                <c:pt idx="81">
                  <c:v>7.1116155156473502</c:v>
                </c:pt>
                <c:pt idx="82">
                  <c:v>7.2438749378839438</c:v>
                </c:pt>
                <c:pt idx="83">
                  <c:v>7.2460946249529687</c:v>
                </c:pt>
                <c:pt idx="84">
                  <c:v>7.3976342763313649</c:v>
                </c:pt>
                <c:pt idx="85">
                  <c:v>7.4731622850503019</c:v>
                </c:pt>
                <c:pt idx="86">
                  <c:v>7.5268561582636604</c:v>
                </c:pt>
                <c:pt idx="87">
                  <c:v>7.709456727563313</c:v>
                </c:pt>
                <c:pt idx="88">
                  <c:v>7.6464623947028887</c:v>
                </c:pt>
                <c:pt idx="89">
                  <c:v>7.9502174911154357</c:v>
                </c:pt>
                <c:pt idx="90">
                  <c:v>8.1726430803258374</c:v>
                </c:pt>
                <c:pt idx="91">
                  <c:v>8.2709503864498881</c:v>
                </c:pt>
                <c:pt idx="92">
                  <c:v>8.3920237665066324</c:v>
                </c:pt>
                <c:pt idx="93">
                  <c:v>8.5074438106344026</c:v>
                </c:pt>
                <c:pt idx="94">
                  <c:v>8.4536608949975864</c:v>
                </c:pt>
                <c:pt idx="95">
                  <c:v>8.5209011583011716</c:v>
                </c:pt>
                <c:pt idx="96">
                  <c:v>8.7539908732902081</c:v>
                </c:pt>
                <c:pt idx="97">
                  <c:v>8.8106975856365715</c:v>
                </c:pt>
                <c:pt idx="98">
                  <c:v>8.891871655239644</c:v>
                </c:pt>
                <c:pt idx="99">
                  <c:v>9.0488405021512559</c:v>
                </c:pt>
                <c:pt idx="100">
                  <c:v>8.8963881959059368</c:v>
                </c:pt>
                <c:pt idx="101">
                  <c:v>8.9102354023176371</c:v>
                </c:pt>
                <c:pt idx="102">
                  <c:v>9.0282380727193985</c:v>
                </c:pt>
                <c:pt idx="103">
                  <c:v>8.5558873372487216</c:v>
                </c:pt>
                <c:pt idx="104">
                  <c:v>8.732693599639795</c:v>
                </c:pt>
                <c:pt idx="105">
                  <c:v>8.8080915954553607</c:v>
                </c:pt>
                <c:pt idx="106">
                  <c:v>8.8069103178351149</c:v>
                </c:pt>
                <c:pt idx="107">
                  <c:v>8.9557192203248572</c:v>
                </c:pt>
                <c:pt idx="108">
                  <c:v>8.8075342891931285</c:v>
                </c:pt>
                <c:pt idx="109">
                  <c:v>8.8178898606949865</c:v>
                </c:pt>
                <c:pt idx="110">
                  <c:v>8.727740657977165</c:v>
                </c:pt>
                <c:pt idx="111">
                  <c:v>8.9345660032561423</c:v>
                </c:pt>
                <c:pt idx="112">
                  <c:v>8.913599941104124</c:v>
                </c:pt>
                <c:pt idx="113">
                  <c:v>8.8670073698378395</c:v>
                </c:pt>
                <c:pt idx="114">
                  <c:v>8.8264781100711538</c:v>
                </c:pt>
                <c:pt idx="115">
                  <c:v>8.84956254952764</c:v>
                </c:pt>
                <c:pt idx="116">
                  <c:v>8.8310037404698534</c:v>
                </c:pt>
                <c:pt idx="117">
                  <c:v>8.8821308278198856</c:v>
                </c:pt>
                <c:pt idx="118">
                  <c:v>8.9690260085462743</c:v>
                </c:pt>
                <c:pt idx="119">
                  <c:v>8.922801188323735</c:v>
                </c:pt>
                <c:pt idx="120">
                  <c:v>8.8381957547181997</c:v>
                </c:pt>
                <c:pt idx="121">
                  <c:v>8.8735353775372392</c:v>
                </c:pt>
                <c:pt idx="122">
                  <c:v>9.2133420163948063</c:v>
                </c:pt>
                <c:pt idx="123">
                  <c:v>9.2051760882712124</c:v>
                </c:pt>
                <c:pt idx="124">
                  <c:v>9.1515917953528447</c:v>
                </c:pt>
                <c:pt idx="125">
                  <c:v>9.4024182662660412</c:v>
                </c:pt>
                <c:pt idx="126">
                  <c:v>9.6280801474540301</c:v>
                </c:pt>
                <c:pt idx="127">
                  <c:v>9.6568976524518515</c:v>
                </c:pt>
                <c:pt idx="128">
                  <c:v>9.6586976690658748</c:v>
                </c:pt>
                <c:pt idx="129">
                  <c:v>9.8938959525738408</c:v>
                </c:pt>
                <c:pt idx="130">
                  <c:v>10.025922581691365</c:v>
                </c:pt>
                <c:pt idx="131">
                  <c:v>10.217359565747104</c:v>
                </c:pt>
                <c:pt idx="132">
                  <c:v>10.228315511153978</c:v>
                </c:pt>
                <c:pt idx="133">
                  <c:v>10.049661231520989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87-4D87-8AAA-E6B3228FB0E2}"/>
            </c:ext>
          </c:extLst>
        </c:ser>
        <c:ser>
          <c:idx val="1"/>
          <c:order val="1"/>
          <c:tx>
            <c:strRef>
              <c:f>'真實OLS累積報酬 '!$A$20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'真實OLS累積報酬 '!$B$20:$EE$20</c:f>
              <c:numCache>
                <c:formatCode>General</c:formatCode>
                <c:ptCount val="134"/>
                <c:pt idx="0">
                  <c:v>2.5922326608526759E-2</c:v>
                </c:pt>
                <c:pt idx="1">
                  <c:v>0.4433442512485557</c:v>
                </c:pt>
                <c:pt idx="2">
                  <c:v>0.46557466350779381</c:v>
                </c:pt>
                <c:pt idx="3">
                  <c:v>0.53340572442907142</c:v>
                </c:pt>
                <c:pt idx="4">
                  <c:v>0.70162380302474769</c:v>
                </c:pt>
                <c:pt idx="5">
                  <c:v>0.93142934751614825</c:v>
                </c:pt>
                <c:pt idx="6">
                  <c:v>0.98394929118084218</c:v>
                </c:pt>
                <c:pt idx="7">
                  <c:v>0.97597162290967798</c:v>
                </c:pt>
                <c:pt idx="8">
                  <c:v>0.98571082826552525</c:v>
                </c:pt>
                <c:pt idx="9">
                  <c:v>1.1169183190032335</c:v>
                </c:pt>
                <c:pt idx="10">
                  <c:v>1.0713667231837429</c:v>
                </c:pt>
                <c:pt idx="11">
                  <c:v>1.1693975839913757</c:v>
                </c:pt>
                <c:pt idx="12">
                  <c:v>1.0396894090176825</c:v>
                </c:pt>
                <c:pt idx="13">
                  <c:v>1.0825478975366725</c:v>
                </c:pt>
                <c:pt idx="14">
                  <c:v>1.2530040839079317</c:v>
                </c:pt>
                <c:pt idx="15">
                  <c:v>1.275812726156651</c:v>
                </c:pt>
                <c:pt idx="16">
                  <c:v>1.4821672528487464</c:v>
                </c:pt>
                <c:pt idx="17">
                  <c:v>1.7188266043863081</c:v>
                </c:pt>
                <c:pt idx="18">
                  <c:v>1.7445237477439393</c:v>
                </c:pt>
                <c:pt idx="19">
                  <c:v>1.9456688501660591</c:v>
                </c:pt>
                <c:pt idx="20">
                  <c:v>2.2918623354653076</c:v>
                </c:pt>
                <c:pt idx="21">
                  <c:v>2.6665877536601084</c:v>
                </c:pt>
                <c:pt idx="22">
                  <c:v>2.797412751932296</c:v>
                </c:pt>
                <c:pt idx="23">
                  <c:v>2.9420398215831849</c:v>
                </c:pt>
                <c:pt idx="24">
                  <c:v>2.9695975235651701</c:v>
                </c:pt>
                <c:pt idx="25">
                  <c:v>3.0347986486761114</c:v>
                </c:pt>
                <c:pt idx="26">
                  <c:v>3.3399154067876875</c:v>
                </c:pt>
                <c:pt idx="27">
                  <c:v>3.4038525627355773</c:v>
                </c:pt>
                <c:pt idx="28">
                  <c:v>3.5346764055519113</c:v>
                </c:pt>
                <c:pt idx="29">
                  <c:v>3.6899996089090981</c:v>
                </c:pt>
                <c:pt idx="30">
                  <c:v>3.6791875083422556</c:v>
                </c:pt>
                <c:pt idx="31">
                  <c:v>4.2891131623392136</c:v>
                </c:pt>
                <c:pt idx="32">
                  <c:v>4.3565060633504</c:v>
                </c:pt>
                <c:pt idx="33">
                  <c:v>4.3804954016840609</c:v>
                </c:pt>
                <c:pt idx="34">
                  <c:v>4.4193848006951768</c:v>
                </c:pt>
                <c:pt idx="35">
                  <c:v>4.5355944265992507</c:v>
                </c:pt>
                <c:pt idx="36">
                  <c:v>4.6485923279362025</c:v>
                </c:pt>
                <c:pt idx="37">
                  <c:v>4.6207317610508065</c:v>
                </c:pt>
                <c:pt idx="38">
                  <c:v>4.4625788857570798</c:v>
                </c:pt>
                <c:pt idx="39">
                  <c:v>4.646094176702781</c:v>
                </c:pt>
                <c:pt idx="40">
                  <c:v>4.6539591820185153</c:v>
                </c:pt>
                <c:pt idx="41">
                  <c:v>4.5457754814702787</c:v>
                </c:pt>
                <c:pt idx="42">
                  <c:v>4.555786195425287</c:v>
                </c:pt>
                <c:pt idx="43">
                  <c:v>4.7653881019034987</c:v>
                </c:pt>
                <c:pt idx="44">
                  <c:v>4.8753026992216828</c:v>
                </c:pt>
                <c:pt idx="45">
                  <c:v>4.7439988845156087</c:v>
                </c:pt>
                <c:pt idx="46">
                  <c:v>5.1474826566630849</c:v>
                </c:pt>
                <c:pt idx="47">
                  <c:v>5.1315412112838485</c:v>
                </c:pt>
                <c:pt idx="48">
                  <c:v>5.4384213342143131</c:v>
                </c:pt>
                <c:pt idx="49">
                  <c:v>5.6659068304477671</c:v>
                </c:pt>
                <c:pt idx="50">
                  <c:v>5.7150837701949877</c:v>
                </c:pt>
                <c:pt idx="51">
                  <c:v>5.9453746304154667</c:v>
                </c:pt>
                <c:pt idx="52">
                  <c:v>6.1081372121489501</c:v>
                </c:pt>
                <c:pt idx="53">
                  <c:v>6.0498008575073889</c:v>
                </c:pt>
                <c:pt idx="54">
                  <c:v>5.9217329735417286</c:v>
                </c:pt>
                <c:pt idx="55">
                  <c:v>5.8166673396575366</c:v>
                </c:pt>
                <c:pt idx="56">
                  <c:v>5.8851347974629098</c:v>
                </c:pt>
                <c:pt idx="57">
                  <c:v>5.9531924451127667</c:v>
                </c:pt>
                <c:pt idx="58">
                  <c:v>6.0714571997882745</c:v>
                </c:pt>
                <c:pt idx="59">
                  <c:v>6.0612232243391713</c:v>
                </c:pt>
                <c:pt idx="60">
                  <c:v>6.0403684690094046</c:v>
                </c:pt>
                <c:pt idx="61">
                  <c:v>6.0912110644765978</c:v>
                </c:pt>
                <c:pt idx="62">
                  <c:v>6.0357641562121245</c:v>
                </c:pt>
                <c:pt idx="63">
                  <c:v>6.2381190844883605</c:v>
                </c:pt>
                <c:pt idx="64">
                  <c:v>6.3346862193941575</c:v>
                </c:pt>
                <c:pt idx="65">
                  <c:v>6.5738383178859445</c:v>
                </c:pt>
                <c:pt idx="66">
                  <c:v>6.4532055187542037</c:v>
                </c:pt>
                <c:pt idx="67">
                  <c:v>6.8266500878106928</c:v>
                </c:pt>
                <c:pt idx="68">
                  <c:v>6.7296024981061482</c:v>
                </c:pt>
                <c:pt idx="69">
                  <c:v>6.7967457135238734</c:v>
                </c:pt>
                <c:pt idx="70">
                  <c:v>6.8371141821137513</c:v>
                </c:pt>
                <c:pt idx="71">
                  <c:v>7.0562347878105083</c:v>
                </c:pt>
                <c:pt idx="72">
                  <c:v>7.1884065793462897</c:v>
                </c:pt>
                <c:pt idx="73">
                  <c:v>7.1343196650701479</c:v>
                </c:pt>
                <c:pt idx="74">
                  <c:v>6.8964280114912624</c:v>
                </c:pt>
                <c:pt idx="75">
                  <c:v>6.9912742856238808</c:v>
                </c:pt>
                <c:pt idx="76">
                  <c:v>7.0546810496882433</c:v>
                </c:pt>
                <c:pt idx="77">
                  <c:v>7.1182853192279323</c:v>
                </c:pt>
                <c:pt idx="78">
                  <c:v>7.1407167849809179</c:v>
                </c:pt>
                <c:pt idx="79">
                  <c:v>7.0954702431845531</c:v>
                </c:pt>
                <c:pt idx="80">
                  <c:v>7.2294126742357445</c:v>
                </c:pt>
                <c:pt idx="81">
                  <c:v>7.2411369172403015</c:v>
                </c:pt>
                <c:pt idx="82">
                  <c:v>7.3754602431942811</c:v>
                </c:pt>
                <c:pt idx="83">
                  <c:v>7.4040622452606488</c:v>
                </c:pt>
                <c:pt idx="84">
                  <c:v>7.4705932302220326</c:v>
                </c:pt>
                <c:pt idx="85">
                  <c:v>7.5270976381701624</c:v>
                </c:pt>
                <c:pt idx="86">
                  <c:v>7.5732572849142858</c:v>
                </c:pt>
                <c:pt idx="87">
                  <c:v>7.9785976209883156</c:v>
                </c:pt>
                <c:pt idx="88">
                  <c:v>7.9321563420136183</c:v>
                </c:pt>
                <c:pt idx="89">
                  <c:v>8.2743209452887641</c:v>
                </c:pt>
                <c:pt idx="90">
                  <c:v>8.5240673449576239</c:v>
                </c:pt>
                <c:pt idx="91">
                  <c:v>8.6959110781000231</c:v>
                </c:pt>
                <c:pt idx="92">
                  <c:v>8.8560618633995727</c:v>
                </c:pt>
                <c:pt idx="93">
                  <c:v>8.9386974678943911</c:v>
                </c:pt>
                <c:pt idx="94">
                  <c:v>8.8282910991945016</c:v>
                </c:pt>
                <c:pt idx="95">
                  <c:v>8.946022620084209</c:v>
                </c:pt>
                <c:pt idx="96">
                  <c:v>9.1624930400492275</c:v>
                </c:pt>
                <c:pt idx="97">
                  <c:v>9.2091531210890896</c:v>
                </c:pt>
                <c:pt idx="98">
                  <c:v>9.2257121757788081</c:v>
                </c:pt>
                <c:pt idx="99">
                  <c:v>9.2800054712526112</c:v>
                </c:pt>
                <c:pt idx="100">
                  <c:v>9.1175656025391643</c:v>
                </c:pt>
                <c:pt idx="101">
                  <c:v>9.1251528489803029</c:v>
                </c:pt>
                <c:pt idx="102">
                  <c:v>9.3523956959259547</c:v>
                </c:pt>
                <c:pt idx="103">
                  <c:v>8.7590205241997232</c:v>
                </c:pt>
                <c:pt idx="104">
                  <c:v>8.9510979892484119</c:v>
                </c:pt>
                <c:pt idx="105">
                  <c:v>9.0881077152352905</c:v>
                </c:pt>
                <c:pt idx="106">
                  <c:v>8.9982992593368021</c:v>
                </c:pt>
                <c:pt idx="107">
                  <c:v>9.0953709649730285</c:v>
                </c:pt>
                <c:pt idx="108">
                  <c:v>9.0072495544699649</c:v>
                </c:pt>
                <c:pt idx="109">
                  <c:v>8.9725608020407748</c:v>
                </c:pt>
                <c:pt idx="110">
                  <c:v>8.8914552582005051</c:v>
                </c:pt>
                <c:pt idx="111">
                  <c:v>9.0781967877982694</c:v>
                </c:pt>
                <c:pt idx="112">
                  <c:v>9.0548506111653086</c:v>
                </c:pt>
                <c:pt idx="113">
                  <c:v>9.0874145195048772</c:v>
                </c:pt>
                <c:pt idx="114">
                  <c:v>9.0691012927689236</c:v>
                </c:pt>
                <c:pt idx="115">
                  <c:v>9.0421395479810833</c:v>
                </c:pt>
                <c:pt idx="116">
                  <c:v>9.0659082162685323</c:v>
                </c:pt>
                <c:pt idx="117">
                  <c:v>9.1172866539461683</c:v>
                </c:pt>
                <c:pt idx="118">
                  <c:v>9.2697608762480836</c:v>
                </c:pt>
                <c:pt idx="119">
                  <c:v>9.2118815760422113</c:v>
                </c:pt>
                <c:pt idx="120">
                  <c:v>9.0823577366730053</c:v>
                </c:pt>
                <c:pt idx="121">
                  <c:v>9.1726638605102533</c:v>
                </c:pt>
                <c:pt idx="122">
                  <c:v>9.5479327328522245</c:v>
                </c:pt>
                <c:pt idx="123">
                  <c:v>9.5513109715331836</c:v>
                </c:pt>
                <c:pt idx="124">
                  <c:v>9.4981784961547522</c:v>
                </c:pt>
                <c:pt idx="125">
                  <c:v>9.8468735858253797</c:v>
                </c:pt>
                <c:pt idx="126">
                  <c:v>10.164627958189863</c:v>
                </c:pt>
                <c:pt idx="127">
                  <c:v>10.22547694523848</c:v>
                </c:pt>
                <c:pt idx="128">
                  <c:v>10.240883531288105</c:v>
                </c:pt>
                <c:pt idx="129">
                  <c:v>10.459100602706421</c:v>
                </c:pt>
                <c:pt idx="130">
                  <c:v>10.584996594747112</c:v>
                </c:pt>
                <c:pt idx="131">
                  <c:v>10.792227754412428</c:v>
                </c:pt>
                <c:pt idx="132">
                  <c:v>10.828127111608497</c:v>
                </c:pt>
                <c:pt idx="133">
                  <c:v>10.666980910590219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87-4D87-8AAA-E6B3228FB0E2}"/>
            </c:ext>
          </c:extLst>
        </c:ser>
        <c:ser>
          <c:idx val="2"/>
          <c:order val="2"/>
          <c:tx>
            <c:strRef>
              <c:f>'真實OLS累積報酬 '!$A$21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'真實OLS累積報酬 '!$B$21:$EE$21</c:f>
              <c:numCache>
                <c:formatCode>General</c:formatCode>
                <c:ptCount val="134"/>
                <c:pt idx="0">
                  <c:v>3.1325684581971477E-2</c:v>
                </c:pt>
                <c:pt idx="1">
                  <c:v>-5.7640938152385288E-2</c:v>
                </c:pt>
                <c:pt idx="2">
                  <c:v>-4.2579350465419885E-2</c:v>
                </c:pt>
                <c:pt idx="3">
                  <c:v>0.13981672485545882</c:v>
                </c:pt>
                <c:pt idx="4">
                  <c:v>0.27585059669172729</c:v>
                </c:pt>
                <c:pt idx="5">
                  <c:v>0.53866083789318009</c:v>
                </c:pt>
                <c:pt idx="6">
                  <c:v>0.59170608577548078</c:v>
                </c:pt>
                <c:pt idx="7">
                  <c:v>0.65981894059937907</c:v>
                </c:pt>
                <c:pt idx="8">
                  <c:v>0.70555303212335452</c:v>
                </c:pt>
                <c:pt idx="9">
                  <c:v>0.79004766608877119</c:v>
                </c:pt>
                <c:pt idx="10">
                  <c:v>0.68748386586455312</c:v>
                </c:pt>
                <c:pt idx="11">
                  <c:v>0.81428387955688164</c:v>
                </c:pt>
                <c:pt idx="12">
                  <c:v>0.69679154121208831</c:v>
                </c:pt>
                <c:pt idx="13">
                  <c:v>0.70747504597183508</c:v>
                </c:pt>
                <c:pt idx="14">
                  <c:v>0.91734209761006325</c:v>
                </c:pt>
                <c:pt idx="15">
                  <c:v>0.90883711987461291</c:v>
                </c:pt>
                <c:pt idx="16">
                  <c:v>1.1483926667233237</c:v>
                </c:pt>
                <c:pt idx="17">
                  <c:v>1.3427863145872658</c:v>
                </c:pt>
                <c:pt idx="18">
                  <c:v>1.4225185669293501</c:v>
                </c:pt>
                <c:pt idx="19">
                  <c:v>1.5735876358801926</c:v>
                </c:pt>
                <c:pt idx="20">
                  <c:v>2.0775069670655033</c:v>
                </c:pt>
                <c:pt idx="21">
                  <c:v>2.3362099670070773</c:v>
                </c:pt>
                <c:pt idx="22">
                  <c:v>2.5313208592015779</c:v>
                </c:pt>
                <c:pt idx="23">
                  <c:v>2.6466954899143489</c:v>
                </c:pt>
                <c:pt idx="24">
                  <c:v>2.6618160149172816</c:v>
                </c:pt>
                <c:pt idx="25">
                  <c:v>2.758725302027913</c:v>
                </c:pt>
                <c:pt idx="26">
                  <c:v>3.0238524192711229</c:v>
                </c:pt>
                <c:pt idx="27">
                  <c:v>3.1143956113661462</c:v>
                </c:pt>
                <c:pt idx="28">
                  <c:v>3.2516076001238061</c:v>
                </c:pt>
                <c:pt idx="29">
                  <c:v>3.4855874303635908</c:v>
                </c:pt>
                <c:pt idx="30">
                  <c:v>3.6314813233032628</c:v>
                </c:pt>
                <c:pt idx="31">
                  <c:v>4.3657230833378176</c:v>
                </c:pt>
                <c:pt idx="32">
                  <c:v>4.4411732530772801</c:v>
                </c:pt>
                <c:pt idx="33">
                  <c:v>4.4897423692779217</c:v>
                </c:pt>
                <c:pt idx="34">
                  <c:v>4.5503433946885048</c:v>
                </c:pt>
                <c:pt idx="35">
                  <c:v>4.6189989107426186</c:v>
                </c:pt>
                <c:pt idx="36">
                  <c:v>4.5860131462147891</c:v>
                </c:pt>
                <c:pt idx="37">
                  <c:v>4.4254930054524575</c:v>
                </c:pt>
                <c:pt idx="38">
                  <c:v>4.3347105259228398</c:v>
                </c:pt>
                <c:pt idx="39">
                  <c:v>4.6522248865893863</c:v>
                </c:pt>
                <c:pt idx="40">
                  <c:v>4.566642098487983</c:v>
                </c:pt>
                <c:pt idx="41">
                  <c:v>4.3131813027076387</c:v>
                </c:pt>
                <c:pt idx="42">
                  <c:v>4.2995670132084438</c:v>
                </c:pt>
                <c:pt idx="43">
                  <c:v>4.504753688668603</c:v>
                </c:pt>
                <c:pt idx="44">
                  <c:v>4.7083495798501893</c:v>
                </c:pt>
                <c:pt idx="45">
                  <c:v>4.5944200506672495</c:v>
                </c:pt>
                <c:pt idx="46">
                  <c:v>4.6742496021386781</c:v>
                </c:pt>
                <c:pt idx="47">
                  <c:v>4.7578096086007715</c:v>
                </c:pt>
                <c:pt idx="48">
                  <c:v>5.1801640998856442</c:v>
                </c:pt>
                <c:pt idx="49">
                  <c:v>5.4961486211414456</c:v>
                </c:pt>
                <c:pt idx="50">
                  <c:v>5.3240677117657134</c:v>
                </c:pt>
                <c:pt idx="51">
                  <c:v>5.7366902788344447</c:v>
                </c:pt>
                <c:pt idx="52">
                  <c:v>5.9111696766121771</c:v>
                </c:pt>
                <c:pt idx="53">
                  <c:v>5.8958190073877432</c:v>
                </c:pt>
                <c:pt idx="54">
                  <c:v>5.771526864361844</c:v>
                </c:pt>
                <c:pt idx="55">
                  <c:v>5.7309837736700029</c:v>
                </c:pt>
                <c:pt idx="56">
                  <c:v>5.7918599320242476</c:v>
                </c:pt>
                <c:pt idx="57">
                  <c:v>5.9290493081141955</c:v>
                </c:pt>
                <c:pt idx="58">
                  <c:v>5.9555559417118156</c:v>
                </c:pt>
                <c:pt idx="59">
                  <c:v>6.0135761552564579</c:v>
                </c:pt>
                <c:pt idx="60">
                  <c:v>6.0085662917819231</c:v>
                </c:pt>
                <c:pt idx="61">
                  <c:v>6.0490645306832835</c:v>
                </c:pt>
                <c:pt idx="62">
                  <c:v>6.0479417935673592</c:v>
                </c:pt>
                <c:pt idx="63">
                  <c:v>6.3188157510365723</c:v>
                </c:pt>
                <c:pt idx="64">
                  <c:v>6.2977745176938331</c:v>
                </c:pt>
                <c:pt idx="65">
                  <c:v>6.5451731439120868</c:v>
                </c:pt>
                <c:pt idx="66">
                  <c:v>6.4754222613745718</c:v>
                </c:pt>
                <c:pt idx="67">
                  <c:v>6.8422689899113136</c:v>
                </c:pt>
                <c:pt idx="68">
                  <c:v>6.6217018955089229</c:v>
                </c:pt>
                <c:pt idx="69">
                  <c:v>6.6918911596735597</c:v>
                </c:pt>
                <c:pt idx="70">
                  <c:v>6.8551658496657808</c:v>
                </c:pt>
                <c:pt idx="71">
                  <c:v>7.1655295854329255</c:v>
                </c:pt>
                <c:pt idx="72">
                  <c:v>7.180892100476016</c:v>
                </c:pt>
                <c:pt idx="73">
                  <c:v>7.109870124924492</c:v>
                </c:pt>
                <c:pt idx="74">
                  <c:v>6.919034915099683</c:v>
                </c:pt>
                <c:pt idx="75">
                  <c:v>7.2241509903441115</c:v>
                </c:pt>
                <c:pt idx="76">
                  <c:v>7.1898673704987646</c:v>
                </c:pt>
                <c:pt idx="77">
                  <c:v>7.1482023821201759</c:v>
                </c:pt>
                <c:pt idx="78">
                  <c:v>7.2317582911583447</c:v>
                </c:pt>
                <c:pt idx="79">
                  <c:v>7.1534840382009843</c:v>
                </c:pt>
                <c:pt idx="80">
                  <c:v>7.3580747597034293</c:v>
                </c:pt>
                <c:pt idx="81">
                  <c:v>7.4015172247339196</c:v>
                </c:pt>
                <c:pt idx="82">
                  <c:v>7.482953579844497</c:v>
                </c:pt>
                <c:pt idx="83">
                  <c:v>7.5638699421407001</c:v>
                </c:pt>
                <c:pt idx="84">
                  <c:v>7.5840001272575055</c:v>
                </c:pt>
                <c:pt idx="85">
                  <c:v>7.548696052943165</c:v>
                </c:pt>
                <c:pt idx="86">
                  <c:v>7.5860038064060964</c:v>
                </c:pt>
                <c:pt idx="87">
                  <c:v>7.8908519175666259</c:v>
                </c:pt>
                <c:pt idx="88">
                  <c:v>7.8838769085534048</c:v>
                </c:pt>
                <c:pt idx="89">
                  <c:v>8.2591508152525392</c:v>
                </c:pt>
                <c:pt idx="90">
                  <c:v>8.4754598463671922</c:v>
                </c:pt>
                <c:pt idx="91">
                  <c:v>8.7215616188234115</c:v>
                </c:pt>
                <c:pt idx="92">
                  <c:v>8.8407897986431578</c:v>
                </c:pt>
                <c:pt idx="93">
                  <c:v>8.90270228648318</c:v>
                </c:pt>
                <c:pt idx="94">
                  <c:v>9.0868136318649295</c:v>
                </c:pt>
                <c:pt idx="95">
                  <c:v>9.1867528105761131</c:v>
                </c:pt>
                <c:pt idx="96">
                  <c:v>9.3176498577804132</c:v>
                </c:pt>
                <c:pt idx="97">
                  <c:v>9.3967530307466411</c:v>
                </c:pt>
                <c:pt idx="98">
                  <c:v>9.5323370601277073</c:v>
                </c:pt>
                <c:pt idx="99">
                  <c:v>9.5941970532749874</c:v>
                </c:pt>
                <c:pt idx="100">
                  <c:v>9.3124862258009671</c:v>
                </c:pt>
                <c:pt idx="101">
                  <c:v>9.2512051252863259</c:v>
                </c:pt>
                <c:pt idx="102">
                  <c:v>9.3718978746750334</c:v>
                </c:pt>
                <c:pt idx="103">
                  <c:v>8.5073223000778224</c:v>
                </c:pt>
                <c:pt idx="104">
                  <c:v>8.7266133691831751</c:v>
                </c:pt>
                <c:pt idx="105">
                  <c:v>9.0114650406284404</c:v>
                </c:pt>
                <c:pt idx="106">
                  <c:v>8.8715208885854082</c:v>
                </c:pt>
                <c:pt idx="107">
                  <c:v>9.0628947623978604</c:v>
                </c:pt>
                <c:pt idx="108">
                  <c:v>8.9099181081028078</c:v>
                </c:pt>
                <c:pt idx="109">
                  <c:v>8.8003359097407099</c:v>
                </c:pt>
                <c:pt idx="110">
                  <c:v>8.6154231961926051</c:v>
                </c:pt>
                <c:pt idx="111">
                  <c:v>8.7938397780638855</c:v>
                </c:pt>
                <c:pt idx="112">
                  <c:v>8.7460899810153059</c:v>
                </c:pt>
                <c:pt idx="113">
                  <c:v>8.8010618909778167</c:v>
                </c:pt>
                <c:pt idx="114">
                  <c:v>8.6012919639316632</c:v>
                </c:pt>
                <c:pt idx="115">
                  <c:v>8.6475056243929291</c:v>
                </c:pt>
                <c:pt idx="116">
                  <c:v>8.5628347965857472</c:v>
                </c:pt>
                <c:pt idx="117">
                  <c:v>8.6591053076301066</c:v>
                </c:pt>
                <c:pt idx="118">
                  <c:v>8.8968932384367498</c:v>
                </c:pt>
                <c:pt idx="119">
                  <c:v>8.8209612650456499</c:v>
                </c:pt>
                <c:pt idx="120">
                  <c:v>8.573766713603181</c:v>
                </c:pt>
                <c:pt idx="121">
                  <c:v>8.6289848888746565</c:v>
                </c:pt>
                <c:pt idx="122">
                  <c:v>9.1542265955277564</c:v>
                </c:pt>
                <c:pt idx="123">
                  <c:v>9.1294995092198583</c:v>
                </c:pt>
                <c:pt idx="124">
                  <c:v>9.3396656801745532</c:v>
                </c:pt>
                <c:pt idx="125">
                  <c:v>9.5986506491779391</c:v>
                </c:pt>
                <c:pt idx="126">
                  <c:v>9.8668725785500637</c:v>
                </c:pt>
                <c:pt idx="127">
                  <c:v>9.8928277432296827</c:v>
                </c:pt>
                <c:pt idx="128">
                  <c:v>9.9286098376643128</c:v>
                </c:pt>
                <c:pt idx="129">
                  <c:v>10.238995720998021</c:v>
                </c:pt>
                <c:pt idx="130">
                  <c:v>10.570464069536865</c:v>
                </c:pt>
                <c:pt idx="131">
                  <c:v>10.633656541741379</c:v>
                </c:pt>
                <c:pt idx="132">
                  <c:v>10.703202099836366</c:v>
                </c:pt>
                <c:pt idx="133">
                  <c:v>10.619930323086884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87-4D87-8AAA-E6B3228FB0E2}"/>
            </c:ext>
          </c:extLst>
        </c:ser>
        <c:ser>
          <c:idx val="3"/>
          <c:order val="3"/>
          <c:tx>
            <c:strRef>
              <c:f>'真實OLS累積報酬 '!$A$22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'真實OLS累積報酬 '!$B$22:$EE$22</c:f>
              <c:numCache>
                <c:formatCode>General</c:formatCode>
                <c:ptCount val="134"/>
                <c:pt idx="0">
                  <c:v>2.776696731044102E-2</c:v>
                </c:pt>
                <c:pt idx="1">
                  <c:v>-5.4221411859182875E-2</c:v>
                </c:pt>
                <c:pt idx="2">
                  <c:v>-0.13610174646958037</c:v>
                </c:pt>
                <c:pt idx="3">
                  <c:v>6.5443972402065842E-2</c:v>
                </c:pt>
                <c:pt idx="4">
                  <c:v>4.2821583839448188E-2</c:v>
                </c:pt>
                <c:pt idx="5">
                  <c:v>0.39364377517048699</c:v>
                </c:pt>
                <c:pt idx="6">
                  <c:v>0.44218544247456287</c:v>
                </c:pt>
                <c:pt idx="7">
                  <c:v>0.43701492352978044</c:v>
                </c:pt>
                <c:pt idx="8">
                  <c:v>0.41727036780033555</c:v>
                </c:pt>
                <c:pt idx="9">
                  <c:v>0.22469674071581855</c:v>
                </c:pt>
                <c:pt idx="10">
                  <c:v>0.36114794553961871</c:v>
                </c:pt>
                <c:pt idx="11">
                  <c:v>0.46633965633546409</c:v>
                </c:pt>
                <c:pt idx="12">
                  <c:v>0.19584240863778407</c:v>
                </c:pt>
                <c:pt idx="13">
                  <c:v>0.27357889449184131</c:v>
                </c:pt>
                <c:pt idx="14">
                  <c:v>0.36037243468352043</c:v>
                </c:pt>
                <c:pt idx="15">
                  <c:v>0.38282670027241478</c:v>
                </c:pt>
                <c:pt idx="16">
                  <c:v>0.6817606495216304</c:v>
                </c:pt>
                <c:pt idx="17">
                  <c:v>1.1359364451887903</c:v>
                </c:pt>
                <c:pt idx="18">
                  <c:v>1.2532584123106958</c:v>
                </c:pt>
                <c:pt idx="19">
                  <c:v>1.8157759960528386</c:v>
                </c:pt>
                <c:pt idx="20">
                  <c:v>2.4587095246584978</c:v>
                </c:pt>
                <c:pt idx="21">
                  <c:v>2.8530898003421692</c:v>
                </c:pt>
                <c:pt idx="22">
                  <c:v>3.0033799803322707</c:v>
                </c:pt>
                <c:pt idx="23">
                  <c:v>3.0930506434979073</c:v>
                </c:pt>
                <c:pt idx="24">
                  <c:v>3.1711616896034105</c:v>
                </c:pt>
                <c:pt idx="25">
                  <c:v>3.2371294632727756</c:v>
                </c:pt>
                <c:pt idx="26">
                  <c:v>3.63887679711973</c:v>
                </c:pt>
                <c:pt idx="27">
                  <c:v>3.274981353921369</c:v>
                </c:pt>
                <c:pt idx="28">
                  <c:v>3.468123143633127</c:v>
                </c:pt>
                <c:pt idx="29">
                  <c:v>3.9571639788989468</c:v>
                </c:pt>
                <c:pt idx="30">
                  <c:v>4.3372193714817424</c:v>
                </c:pt>
                <c:pt idx="31">
                  <c:v>5.8001669807839482</c:v>
                </c:pt>
                <c:pt idx="32">
                  <c:v>5.9520786555673455</c:v>
                </c:pt>
                <c:pt idx="33">
                  <c:v>5.9996388598678339</c:v>
                </c:pt>
                <c:pt idx="34">
                  <c:v>6.1910451693622486</c:v>
                </c:pt>
                <c:pt idx="35">
                  <c:v>6.3665622760164311</c:v>
                </c:pt>
                <c:pt idx="36">
                  <c:v>6.3578269072836147</c:v>
                </c:pt>
                <c:pt idx="37">
                  <c:v>6.2471661353480643</c:v>
                </c:pt>
                <c:pt idx="38">
                  <c:v>6.1442604327702748</c:v>
                </c:pt>
                <c:pt idx="39">
                  <c:v>6.3444087469316948</c:v>
                </c:pt>
                <c:pt idx="40">
                  <c:v>6.011310350459576</c:v>
                </c:pt>
                <c:pt idx="41">
                  <c:v>5.990959505966762</c:v>
                </c:pt>
                <c:pt idx="42">
                  <c:v>5.686884336607557</c:v>
                </c:pt>
                <c:pt idx="43">
                  <c:v>5.474227886601116</c:v>
                </c:pt>
                <c:pt idx="44">
                  <c:v>5.704068902280536</c:v>
                </c:pt>
                <c:pt idx="45">
                  <c:v>5.4662457467291627</c:v>
                </c:pt>
                <c:pt idx="46">
                  <c:v>5.6900584181753961</c:v>
                </c:pt>
                <c:pt idx="47">
                  <c:v>5.6166509227797263</c:v>
                </c:pt>
                <c:pt idx="48">
                  <c:v>5.4654173962211452</c:v>
                </c:pt>
                <c:pt idx="49">
                  <c:v>6.0753169564059224</c:v>
                </c:pt>
                <c:pt idx="50">
                  <c:v>5.9735342620959804</c:v>
                </c:pt>
                <c:pt idx="51">
                  <c:v>6.7526865831867706</c:v>
                </c:pt>
                <c:pt idx="52">
                  <c:v>6.6628942930006048</c:v>
                </c:pt>
                <c:pt idx="53">
                  <c:v>6.8354644317139455</c:v>
                </c:pt>
                <c:pt idx="54">
                  <c:v>6.8928449696990253</c:v>
                </c:pt>
                <c:pt idx="55">
                  <c:v>6.8981521877083178</c:v>
                </c:pt>
                <c:pt idx="56">
                  <c:v>7.1362942000121867</c:v>
                </c:pt>
                <c:pt idx="57">
                  <c:v>7.3667204269080013</c:v>
                </c:pt>
                <c:pt idx="58">
                  <c:v>7.2465960483139042</c:v>
                </c:pt>
                <c:pt idx="59">
                  <c:v>7.1860287939914445</c:v>
                </c:pt>
                <c:pt idx="60">
                  <c:v>7.176009067042374</c:v>
                </c:pt>
                <c:pt idx="61">
                  <c:v>7.2821159871935404</c:v>
                </c:pt>
                <c:pt idx="62">
                  <c:v>7.3668989270325289</c:v>
                </c:pt>
                <c:pt idx="63">
                  <c:v>7.589158695699731</c:v>
                </c:pt>
                <c:pt idx="64">
                  <c:v>7.53000600286469</c:v>
                </c:pt>
                <c:pt idx="65">
                  <c:v>8.0971946171717377</c:v>
                </c:pt>
                <c:pt idx="66">
                  <c:v>7.9567097770470632</c:v>
                </c:pt>
                <c:pt idx="67">
                  <c:v>8.4223288079749743</c:v>
                </c:pt>
                <c:pt idx="68">
                  <c:v>8.3007077714453672</c:v>
                </c:pt>
                <c:pt idx="69">
                  <c:v>8.356507027753624</c:v>
                </c:pt>
                <c:pt idx="70">
                  <c:v>8.8080765645352415</c:v>
                </c:pt>
                <c:pt idx="71">
                  <c:v>9.385443356407686</c:v>
                </c:pt>
                <c:pt idx="72">
                  <c:v>9.5364708018301059</c:v>
                </c:pt>
                <c:pt idx="73">
                  <c:v>9.6349299788472393</c:v>
                </c:pt>
                <c:pt idx="74">
                  <c:v>9.2376480729097157</c:v>
                </c:pt>
                <c:pt idx="75">
                  <c:v>9.0960034641460599</c:v>
                </c:pt>
                <c:pt idx="76">
                  <c:v>9.0106513253588272</c:v>
                </c:pt>
                <c:pt idx="77">
                  <c:v>9.0747784085148684</c:v>
                </c:pt>
                <c:pt idx="78">
                  <c:v>9.2946096017160951</c:v>
                </c:pt>
                <c:pt idx="79">
                  <c:v>9.2494580762585645</c:v>
                </c:pt>
                <c:pt idx="80">
                  <c:v>9.4287618601250802</c:v>
                </c:pt>
                <c:pt idx="81">
                  <c:v>9.2081620904380994</c:v>
                </c:pt>
                <c:pt idx="82">
                  <c:v>9.2884844792769332</c:v>
                </c:pt>
                <c:pt idx="83">
                  <c:v>9.4498564097593505</c:v>
                </c:pt>
                <c:pt idx="84">
                  <c:v>9.3436558624115751</c:v>
                </c:pt>
                <c:pt idx="85">
                  <c:v>9.0578526583050998</c:v>
                </c:pt>
                <c:pt idx="86">
                  <c:v>8.7480861817128268</c:v>
                </c:pt>
                <c:pt idx="87">
                  <c:v>8.7059155395047103</c:v>
                </c:pt>
                <c:pt idx="88">
                  <c:v>8.6612270011807784</c:v>
                </c:pt>
                <c:pt idx="89">
                  <c:v>8.8083621178361771</c:v>
                </c:pt>
                <c:pt idx="90">
                  <c:v>9.2806751110325667</c:v>
                </c:pt>
                <c:pt idx="91">
                  <c:v>9.4787424565796599</c:v>
                </c:pt>
                <c:pt idx="92">
                  <c:v>9.4273024285867066</c:v>
                </c:pt>
                <c:pt idx="93">
                  <c:v>9.1722397389381864</c:v>
                </c:pt>
                <c:pt idx="94">
                  <c:v>9.3298049247336081</c:v>
                </c:pt>
                <c:pt idx="95">
                  <c:v>9.431897528200361</c:v>
                </c:pt>
                <c:pt idx="96">
                  <c:v>9.6606069123939573</c:v>
                </c:pt>
                <c:pt idx="97">
                  <c:v>9.7503327475526049</c:v>
                </c:pt>
                <c:pt idx="98">
                  <c:v>9.9939825150608375</c:v>
                </c:pt>
                <c:pt idx="99">
                  <c:v>10.140677140731125</c:v>
                </c:pt>
                <c:pt idx="100">
                  <c:v>9.7804490939623872</c:v>
                </c:pt>
                <c:pt idx="101">
                  <c:v>9.6183421840842271</c:v>
                </c:pt>
                <c:pt idx="102">
                  <c:v>9.8788761976196859</c:v>
                </c:pt>
                <c:pt idx="103">
                  <c:v>8.9307666082397166</c:v>
                </c:pt>
                <c:pt idx="104">
                  <c:v>9.2808841516322893</c:v>
                </c:pt>
                <c:pt idx="105">
                  <c:v>9.3563898497972389</c:v>
                </c:pt>
                <c:pt idx="106">
                  <c:v>9.1441348573529186</c:v>
                </c:pt>
                <c:pt idx="107">
                  <c:v>9.3387729211088484</c:v>
                </c:pt>
                <c:pt idx="108">
                  <c:v>9.0901839383756187</c:v>
                </c:pt>
                <c:pt idx="109">
                  <c:v>8.9873510943941035</c:v>
                </c:pt>
                <c:pt idx="110">
                  <c:v>8.5642522946657653</c:v>
                </c:pt>
                <c:pt idx="111">
                  <c:v>8.7556992542032859</c:v>
                </c:pt>
                <c:pt idx="112">
                  <c:v>8.5896775258490354</c:v>
                </c:pt>
                <c:pt idx="113">
                  <c:v>8.6679045617975792</c:v>
                </c:pt>
                <c:pt idx="114">
                  <c:v>8.2998761937793848</c:v>
                </c:pt>
                <c:pt idx="115">
                  <c:v>8.3324538664460075</c:v>
                </c:pt>
                <c:pt idx="116">
                  <c:v>8.2493395768560021</c:v>
                </c:pt>
                <c:pt idx="117">
                  <c:v>8.1942494160801118</c:v>
                </c:pt>
                <c:pt idx="118">
                  <c:v>8.270359755335928</c:v>
                </c:pt>
                <c:pt idx="119">
                  <c:v>8.1878027286956794</c:v>
                </c:pt>
                <c:pt idx="120">
                  <c:v>8.0437957538568643</c:v>
                </c:pt>
                <c:pt idx="121">
                  <c:v>7.9820246810766058</c:v>
                </c:pt>
                <c:pt idx="122">
                  <c:v>8.7525679888325651</c:v>
                </c:pt>
                <c:pt idx="123">
                  <c:v>8.6509432963418806</c:v>
                </c:pt>
                <c:pt idx="124">
                  <c:v>8.8830755675631625</c:v>
                </c:pt>
                <c:pt idx="125">
                  <c:v>9.4502515186139977</c:v>
                </c:pt>
                <c:pt idx="126">
                  <c:v>9.4823180543439491</c:v>
                </c:pt>
                <c:pt idx="127">
                  <c:v>9.6129196632571716</c:v>
                </c:pt>
                <c:pt idx="128">
                  <c:v>9.8858366990669033</c:v>
                </c:pt>
                <c:pt idx="129">
                  <c:v>10.551644294044333</c:v>
                </c:pt>
                <c:pt idx="130">
                  <c:v>10.695080811891597</c:v>
                </c:pt>
                <c:pt idx="131">
                  <c:v>10.987911618888699</c:v>
                </c:pt>
                <c:pt idx="132">
                  <c:v>10.952247636017734</c:v>
                </c:pt>
                <c:pt idx="133">
                  <c:v>10.823289862939296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87-4D87-8AAA-E6B3228FB0E2}"/>
            </c:ext>
          </c:extLst>
        </c:ser>
        <c:ser>
          <c:idx val="4"/>
          <c:order val="4"/>
          <c:tx>
            <c:strRef>
              <c:f>'真實OLS累積報酬 '!$A$23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'真實OLS累積報酬 '!$B$23:$EE$23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87-4D87-8AAA-E6B3228FB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668959"/>
        <c:axId val="1086670879"/>
      </c:lineChart>
      <c:catAx>
        <c:axId val="1086668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70879"/>
        <c:crosses val="autoZero"/>
        <c:auto val="1"/>
        <c:lblAlgn val="ctr"/>
        <c:lblOffset val="100"/>
        <c:noMultiLvlLbl val="0"/>
      </c:catAx>
      <c:valAx>
        <c:axId val="108667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6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預測ＯＬＳ再投資累積報酬!$C$23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預測ＯＬＳ再投資累積報酬!$D$22:$EG$22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預測ＯＬＳ再投資累積報酬!$D$23:$EG$23</c:f>
              <c:numCache>
                <c:formatCode>General</c:formatCode>
                <c:ptCount val="134"/>
                <c:pt idx="0">
                  <c:v>1.4499246984096104E-2</c:v>
                </c:pt>
                <c:pt idx="1">
                  <c:v>-3.9213245731639645E-4</c:v>
                </c:pt>
                <c:pt idx="2">
                  <c:v>-1.7853104735537917E-3</c:v>
                </c:pt>
                <c:pt idx="3">
                  <c:v>-9.4001077874112937E-3</c:v>
                </c:pt>
                <c:pt idx="4">
                  <c:v>-1.4943066823013496E-2</c:v>
                </c:pt>
                <c:pt idx="5">
                  <c:v>-5.4872508254879548E-3</c:v>
                </c:pt>
                <c:pt idx="6">
                  <c:v>-1.409789363567826E-2</c:v>
                </c:pt>
                <c:pt idx="7">
                  <c:v>-6.8122805047002855E-3</c:v>
                </c:pt>
                <c:pt idx="8">
                  <c:v>2.2176880798341347E-2</c:v>
                </c:pt>
                <c:pt idx="9">
                  <c:v>3.1129674214090297E-2</c:v>
                </c:pt>
                <c:pt idx="10">
                  <c:v>5.8855899268611012E-2</c:v>
                </c:pt>
                <c:pt idx="11">
                  <c:v>-9.767125920434605E-3</c:v>
                </c:pt>
                <c:pt idx="12">
                  <c:v>1.7874986179957419E-2</c:v>
                </c:pt>
                <c:pt idx="13">
                  <c:v>1.9504096798671933E-2</c:v>
                </c:pt>
                <c:pt idx="14">
                  <c:v>4.168402969130991E-2</c:v>
                </c:pt>
                <c:pt idx="15">
                  <c:v>6.0273266356878352E-3</c:v>
                </c:pt>
                <c:pt idx="16">
                  <c:v>1.7736680301454699E-2</c:v>
                </c:pt>
                <c:pt idx="17">
                  <c:v>-4.972664749899991E-3</c:v>
                </c:pt>
                <c:pt idx="18">
                  <c:v>-2.179837282866226E-2</c:v>
                </c:pt>
                <c:pt idx="19">
                  <c:v>-1.4832858800881366E-2</c:v>
                </c:pt>
                <c:pt idx="20">
                  <c:v>-3.6829953972130625E-2</c:v>
                </c:pt>
                <c:pt idx="21">
                  <c:v>-0.13928181032255327</c:v>
                </c:pt>
                <c:pt idx="22">
                  <c:v>-0.1079376474889816</c:v>
                </c:pt>
                <c:pt idx="23">
                  <c:v>-6.0522671739532741E-2</c:v>
                </c:pt>
                <c:pt idx="24">
                  <c:v>-8.5811972866631225E-2</c:v>
                </c:pt>
                <c:pt idx="25">
                  <c:v>-9.5624254282011045E-2</c:v>
                </c:pt>
                <c:pt idx="26">
                  <c:v>-5.332393670178881E-2</c:v>
                </c:pt>
                <c:pt idx="27">
                  <c:v>-5.0928439350713894E-2</c:v>
                </c:pt>
                <c:pt idx="28">
                  <c:v>-8.6855544078927704E-2</c:v>
                </c:pt>
                <c:pt idx="29">
                  <c:v>-3.9360980787525257E-2</c:v>
                </c:pt>
                <c:pt idx="30">
                  <c:v>-3.5696209769714549E-2</c:v>
                </c:pt>
                <c:pt idx="31">
                  <c:v>-2.054407174998063E-2</c:v>
                </c:pt>
                <c:pt idx="32">
                  <c:v>-1.3174851544021315E-2</c:v>
                </c:pt>
                <c:pt idx="33">
                  <c:v>-2.2203982499711672E-2</c:v>
                </c:pt>
                <c:pt idx="34">
                  <c:v>-4.4344262050292071E-2</c:v>
                </c:pt>
                <c:pt idx="35">
                  <c:v>1.336550449217766E-3</c:v>
                </c:pt>
                <c:pt idx="36">
                  <c:v>-2.7242523458217649E-2</c:v>
                </c:pt>
                <c:pt idx="37">
                  <c:v>-5.3162258092952719E-2</c:v>
                </c:pt>
                <c:pt idx="38">
                  <c:v>-6.7360535844892433E-2</c:v>
                </c:pt>
                <c:pt idx="39">
                  <c:v>-7.331112023359132E-2</c:v>
                </c:pt>
                <c:pt idx="40">
                  <c:v>-7.1738593537659212E-2</c:v>
                </c:pt>
                <c:pt idx="41">
                  <c:v>-9.2367370896750733E-2</c:v>
                </c:pt>
                <c:pt idx="42">
                  <c:v>-0.11049848799807493</c:v>
                </c:pt>
                <c:pt idx="43">
                  <c:v>-0.17471638976012305</c:v>
                </c:pt>
                <c:pt idx="44">
                  <c:v>-0.17778111052012036</c:v>
                </c:pt>
                <c:pt idx="45">
                  <c:v>-0.17589237317878081</c:v>
                </c:pt>
                <c:pt idx="46">
                  <c:v>-0.18713136854393497</c:v>
                </c:pt>
                <c:pt idx="47">
                  <c:v>-0.19188231068748762</c:v>
                </c:pt>
                <c:pt idx="48">
                  <c:v>-0.152966177276043</c:v>
                </c:pt>
                <c:pt idx="49">
                  <c:v>-0.17540869390216285</c:v>
                </c:pt>
                <c:pt idx="50">
                  <c:v>-0.17079720021458811</c:v>
                </c:pt>
                <c:pt idx="51">
                  <c:v>-0.16072779217091859</c:v>
                </c:pt>
                <c:pt idx="52">
                  <c:v>-0.13832680596165681</c:v>
                </c:pt>
                <c:pt idx="53">
                  <c:v>-0.15584790796355419</c:v>
                </c:pt>
                <c:pt idx="54">
                  <c:v>-0.13054628428210024</c:v>
                </c:pt>
                <c:pt idx="55">
                  <c:v>-6.8897725630997053E-2</c:v>
                </c:pt>
                <c:pt idx="56">
                  <c:v>-4.213788185631373E-2</c:v>
                </c:pt>
                <c:pt idx="57">
                  <c:v>-4.5232907975361392E-2</c:v>
                </c:pt>
                <c:pt idx="58">
                  <c:v>7.8098270932347447E-4</c:v>
                </c:pt>
                <c:pt idx="59">
                  <c:v>-2.3901404940896542E-2</c:v>
                </c:pt>
                <c:pt idx="60">
                  <c:v>-1.589158880934527E-2</c:v>
                </c:pt>
                <c:pt idx="61">
                  <c:v>-3.6098902924520226E-2</c:v>
                </c:pt>
                <c:pt idx="62">
                  <c:v>-5.5988056000203401E-2</c:v>
                </c:pt>
                <c:pt idx="63">
                  <c:v>-7.006172301929714E-2</c:v>
                </c:pt>
                <c:pt idx="64">
                  <c:v>-0.12729131433464391</c:v>
                </c:pt>
                <c:pt idx="65">
                  <c:v>-0.15608631677243112</c:v>
                </c:pt>
                <c:pt idx="66">
                  <c:v>-0.16462479701968102</c:v>
                </c:pt>
                <c:pt idx="67">
                  <c:v>-0.21223005218233082</c:v>
                </c:pt>
                <c:pt idx="68">
                  <c:v>-0.21097461001067497</c:v>
                </c:pt>
                <c:pt idx="69">
                  <c:v>-0.21462369248005131</c:v>
                </c:pt>
                <c:pt idx="70">
                  <c:v>-0.23282004518715649</c:v>
                </c:pt>
                <c:pt idx="71">
                  <c:v>-0.20369088058718632</c:v>
                </c:pt>
                <c:pt idx="72">
                  <c:v>-0.16885575728915048</c:v>
                </c:pt>
                <c:pt idx="73">
                  <c:v>-0.17635106338591855</c:v>
                </c:pt>
                <c:pt idx="74">
                  <c:v>-0.19098858679621056</c:v>
                </c:pt>
                <c:pt idx="75">
                  <c:v>-0.20041579185595859</c:v>
                </c:pt>
                <c:pt idx="76">
                  <c:v>-0.21520502587098811</c:v>
                </c:pt>
                <c:pt idx="77">
                  <c:v>-0.19989351212090734</c:v>
                </c:pt>
                <c:pt idx="78">
                  <c:v>-0.23482758769386647</c:v>
                </c:pt>
                <c:pt idx="79">
                  <c:v>-0.26876701155497462</c:v>
                </c:pt>
                <c:pt idx="80">
                  <c:v>-0.26191562372607835</c:v>
                </c:pt>
                <c:pt idx="81">
                  <c:v>-0.25331098789696982</c:v>
                </c:pt>
                <c:pt idx="82">
                  <c:v>-0.25677820473726243</c:v>
                </c:pt>
                <c:pt idx="83">
                  <c:v>-0.2480045634316892</c:v>
                </c:pt>
                <c:pt idx="84">
                  <c:v>-0.24685867304974052</c:v>
                </c:pt>
                <c:pt idx="85">
                  <c:v>-0.29510444869158736</c:v>
                </c:pt>
                <c:pt idx="86">
                  <c:v>-0.2848826194879559</c:v>
                </c:pt>
                <c:pt idx="87">
                  <c:v>-0.23044715229625612</c:v>
                </c:pt>
                <c:pt idx="88">
                  <c:v>-0.21016639438049844</c:v>
                </c:pt>
                <c:pt idx="89">
                  <c:v>-9.9804604007780351E-2</c:v>
                </c:pt>
                <c:pt idx="90">
                  <c:v>-0.15037922141274274</c:v>
                </c:pt>
                <c:pt idx="91">
                  <c:v>-0.1467667477067679</c:v>
                </c:pt>
                <c:pt idx="92">
                  <c:v>-0.2042546898875367</c:v>
                </c:pt>
                <c:pt idx="93">
                  <c:v>-0.24973948108812272</c:v>
                </c:pt>
                <c:pt idx="94">
                  <c:v>-0.26781987184423117</c:v>
                </c:pt>
                <c:pt idx="95">
                  <c:v>-0.31591245839668192</c:v>
                </c:pt>
                <c:pt idx="96">
                  <c:v>-0.36706820274501861</c:v>
                </c:pt>
                <c:pt idx="97">
                  <c:v>-0.34460976066371518</c:v>
                </c:pt>
                <c:pt idx="98">
                  <c:v>-0.33606565479954109</c:v>
                </c:pt>
                <c:pt idx="99">
                  <c:v>-0.35648338755083575</c:v>
                </c:pt>
                <c:pt idx="100">
                  <c:v>-0.34591646107905238</c:v>
                </c:pt>
                <c:pt idx="101">
                  <c:v>-0.35397755802179176</c:v>
                </c:pt>
                <c:pt idx="102">
                  <c:v>-0.34310866144537366</c:v>
                </c:pt>
                <c:pt idx="103">
                  <c:v>-0.31973299749657524</c:v>
                </c:pt>
                <c:pt idx="104">
                  <c:v>-0.32279512675090483</c:v>
                </c:pt>
                <c:pt idx="105">
                  <c:v>-0.3193336163228544</c:v>
                </c:pt>
                <c:pt idx="106">
                  <c:v>-0.32532132339859932</c:v>
                </c:pt>
                <c:pt idx="107">
                  <c:v>-0.31223610865875762</c:v>
                </c:pt>
                <c:pt idx="108">
                  <c:v>-0.32208094565279344</c:v>
                </c:pt>
                <c:pt idx="109">
                  <c:v>-0.32111236087874628</c:v>
                </c:pt>
                <c:pt idx="110">
                  <c:v>-0.34765003707946318</c:v>
                </c:pt>
                <c:pt idx="111">
                  <c:v>-0.32065707230465346</c:v>
                </c:pt>
                <c:pt idx="112">
                  <c:v>-0.33846472927505067</c:v>
                </c:pt>
                <c:pt idx="113">
                  <c:v>-0.34903567045686912</c:v>
                </c:pt>
                <c:pt idx="114">
                  <c:v>-0.36722480948047231</c:v>
                </c:pt>
                <c:pt idx="115">
                  <c:v>-0.3592679043333683</c:v>
                </c:pt>
                <c:pt idx="116">
                  <c:v>-0.35316751846184147</c:v>
                </c:pt>
                <c:pt idx="117">
                  <c:v>-0.3460107218785281</c:v>
                </c:pt>
                <c:pt idx="118">
                  <c:v>-0.33855265655253763</c:v>
                </c:pt>
                <c:pt idx="119">
                  <c:v>-0.34573071383311116</c:v>
                </c:pt>
                <c:pt idx="120">
                  <c:v>-0.31561844166208242</c:v>
                </c:pt>
                <c:pt idx="121">
                  <c:v>-0.29863630610512915</c:v>
                </c:pt>
                <c:pt idx="122">
                  <c:v>-0.26652286707702799</c:v>
                </c:pt>
                <c:pt idx="123">
                  <c:v>-0.27369932522162832</c:v>
                </c:pt>
                <c:pt idx="124">
                  <c:v>-0.27047297365966316</c:v>
                </c:pt>
                <c:pt idx="125">
                  <c:v>-0.27669465883785427</c:v>
                </c:pt>
                <c:pt idx="126">
                  <c:v>-0.26559038093859699</c:v>
                </c:pt>
                <c:pt idx="127">
                  <c:v>-0.26040799358425226</c:v>
                </c:pt>
                <c:pt idx="128">
                  <c:v>-0.34407584937137459</c:v>
                </c:pt>
                <c:pt idx="129">
                  <c:v>-0.3231601237502032</c:v>
                </c:pt>
                <c:pt idx="130">
                  <c:v>-0.31308609444530722</c:v>
                </c:pt>
                <c:pt idx="131">
                  <c:v>-0.29698168970110772</c:v>
                </c:pt>
                <c:pt idx="132">
                  <c:v>-0.31681825137789887</c:v>
                </c:pt>
                <c:pt idx="133">
                  <c:v>-0.33855084915885747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CA-CF47-ADFB-38AE782182F0}"/>
            </c:ext>
          </c:extLst>
        </c:ser>
        <c:ser>
          <c:idx val="1"/>
          <c:order val="1"/>
          <c:tx>
            <c:strRef>
              <c:f>預測ＯＬＳ再投資累積報酬!$C$24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預測ＯＬＳ再投資累積報酬!$D$22:$EG$22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預測ＯＬＳ再投資累積報酬!$D$24:$EG$24</c:f>
              <c:numCache>
                <c:formatCode>General</c:formatCode>
                <c:ptCount val="134"/>
                <c:pt idx="0">
                  <c:v>-7.4773642018864939E-3</c:v>
                </c:pt>
                <c:pt idx="1">
                  <c:v>-2.0613071426295315E-3</c:v>
                </c:pt>
                <c:pt idx="2">
                  <c:v>-7.5735479547391904E-3</c:v>
                </c:pt>
                <c:pt idx="3">
                  <c:v>-1.7888177631160018E-2</c:v>
                </c:pt>
                <c:pt idx="4">
                  <c:v>7.6607374377246629E-4</c:v>
                </c:pt>
                <c:pt idx="5">
                  <c:v>1.816778155801968E-2</c:v>
                </c:pt>
                <c:pt idx="6">
                  <c:v>5.1040338086181913E-2</c:v>
                </c:pt>
                <c:pt idx="7">
                  <c:v>7.521469537250125E-2</c:v>
                </c:pt>
                <c:pt idx="8">
                  <c:v>0.1400782467850723</c:v>
                </c:pt>
                <c:pt idx="9">
                  <c:v>0.16513770291795771</c:v>
                </c:pt>
                <c:pt idx="10">
                  <c:v>0.16895907288353107</c:v>
                </c:pt>
                <c:pt idx="11">
                  <c:v>8.0680255742253904E-2</c:v>
                </c:pt>
                <c:pt idx="12">
                  <c:v>9.9508622348991382E-2</c:v>
                </c:pt>
                <c:pt idx="13">
                  <c:v>9.2941129043873971E-2</c:v>
                </c:pt>
                <c:pt idx="14">
                  <c:v>0.11923616116816516</c:v>
                </c:pt>
                <c:pt idx="15">
                  <c:v>6.6360635944067381E-2</c:v>
                </c:pt>
                <c:pt idx="16">
                  <c:v>9.4276925038321746E-2</c:v>
                </c:pt>
                <c:pt idx="17">
                  <c:v>6.5499485189480122E-2</c:v>
                </c:pt>
                <c:pt idx="18">
                  <c:v>6.3072459582504958E-2</c:v>
                </c:pt>
                <c:pt idx="19">
                  <c:v>5.1287600125974109E-2</c:v>
                </c:pt>
                <c:pt idx="20">
                  <c:v>1.4922892914384311E-2</c:v>
                </c:pt>
                <c:pt idx="21">
                  <c:v>-0.13770707566116203</c:v>
                </c:pt>
                <c:pt idx="22">
                  <c:v>-0.11906157330106992</c:v>
                </c:pt>
                <c:pt idx="23">
                  <c:v>-4.7484090949306501E-2</c:v>
                </c:pt>
                <c:pt idx="24">
                  <c:v>-9.2931147661120428E-2</c:v>
                </c:pt>
                <c:pt idx="25">
                  <c:v>-0.10653860756391442</c:v>
                </c:pt>
                <c:pt idx="26">
                  <c:v>-4.6880671165350218E-2</c:v>
                </c:pt>
                <c:pt idx="27">
                  <c:v>-2.739869441649434E-2</c:v>
                </c:pt>
                <c:pt idx="28">
                  <c:v>-6.7125321167793794E-2</c:v>
                </c:pt>
                <c:pt idx="29">
                  <c:v>1.2368182043682729E-3</c:v>
                </c:pt>
                <c:pt idx="30">
                  <c:v>-8.6806404639406809E-3</c:v>
                </c:pt>
                <c:pt idx="31">
                  <c:v>1.6057938910163383E-2</c:v>
                </c:pt>
                <c:pt idx="32">
                  <c:v>1.2973957069057018E-2</c:v>
                </c:pt>
                <c:pt idx="33">
                  <c:v>1.1890172218542938E-2</c:v>
                </c:pt>
                <c:pt idx="34">
                  <c:v>-1.200935775889278E-2</c:v>
                </c:pt>
                <c:pt idx="35">
                  <c:v>3.665795946535555E-2</c:v>
                </c:pt>
                <c:pt idx="36">
                  <c:v>-6.7131432640110678E-3</c:v>
                </c:pt>
                <c:pt idx="37">
                  <c:v>-3.6489559454143339E-2</c:v>
                </c:pt>
                <c:pt idx="38">
                  <c:v>-3.4843067828350893E-2</c:v>
                </c:pt>
                <c:pt idx="39">
                  <c:v>-3.2805904213206838E-2</c:v>
                </c:pt>
                <c:pt idx="40">
                  <c:v>-3.0542598302419233E-2</c:v>
                </c:pt>
                <c:pt idx="41">
                  <c:v>-5.0753888670129532E-2</c:v>
                </c:pt>
                <c:pt idx="42">
                  <c:v>-7.297095929780828E-2</c:v>
                </c:pt>
                <c:pt idx="43">
                  <c:v>-0.15308751103242213</c:v>
                </c:pt>
                <c:pt idx="44">
                  <c:v>-0.13979486514747064</c:v>
                </c:pt>
                <c:pt idx="45">
                  <c:v>-0.14401669986200349</c:v>
                </c:pt>
                <c:pt idx="46">
                  <c:v>-0.15368283626589574</c:v>
                </c:pt>
                <c:pt idx="47">
                  <c:v>-0.1535134456713847</c:v>
                </c:pt>
                <c:pt idx="48">
                  <c:v>-9.5709297582482922E-2</c:v>
                </c:pt>
                <c:pt idx="49">
                  <c:v>-0.11095293254907068</c:v>
                </c:pt>
                <c:pt idx="50">
                  <c:v>-9.5212558937250891E-2</c:v>
                </c:pt>
                <c:pt idx="51">
                  <c:v>-9.3310736920306003E-2</c:v>
                </c:pt>
                <c:pt idx="52">
                  <c:v>-7.5983118754065604E-2</c:v>
                </c:pt>
                <c:pt idx="53">
                  <c:v>-6.1633252788329318E-2</c:v>
                </c:pt>
                <c:pt idx="54">
                  <c:v>-1.5687146675235519E-2</c:v>
                </c:pt>
                <c:pt idx="55">
                  <c:v>5.5165223488283344E-2</c:v>
                </c:pt>
                <c:pt idx="56">
                  <c:v>0.1161810430797181</c:v>
                </c:pt>
                <c:pt idx="57">
                  <c:v>0.11736762579848747</c:v>
                </c:pt>
                <c:pt idx="58">
                  <c:v>0.15926824290046837</c:v>
                </c:pt>
                <c:pt idx="59">
                  <c:v>0.13113733815115092</c:v>
                </c:pt>
                <c:pt idx="60">
                  <c:v>0.12934623502893405</c:v>
                </c:pt>
                <c:pt idx="61">
                  <c:v>0.11080937676021185</c:v>
                </c:pt>
                <c:pt idx="62">
                  <c:v>8.3247914819584157E-2</c:v>
                </c:pt>
                <c:pt idx="63">
                  <c:v>5.9661734925718468E-2</c:v>
                </c:pt>
                <c:pt idx="64">
                  <c:v>-2.7842838350754406E-2</c:v>
                </c:pt>
                <c:pt idx="65">
                  <c:v>-8.383717113195388E-2</c:v>
                </c:pt>
                <c:pt idx="66">
                  <c:v>-9.8636234898704322E-2</c:v>
                </c:pt>
                <c:pt idx="67">
                  <c:v>-0.17203266532448869</c:v>
                </c:pt>
                <c:pt idx="68">
                  <c:v>-0.16976892589041448</c:v>
                </c:pt>
                <c:pt idx="69">
                  <c:v>-0.15096321147635128</c:v>
                </c:pt>
                <c:pt idx="70">
                  <c:v>-0.17234084624479118</c:v>
                </c:pt>
                <c:pt idx="71">
                  <c:v>-0.11455825339772241</c:v>
                </c:pt>
                <c:pt idx="72">
                  <c:v>-4.3482587450528798E-2</c:v>
                </c:pt>
                <c:pt idx="73">
                  <c:v>-5.8059443788423981E-2</c:v>
                </c:pt>
                <c:pt idx="74">
                  <c:v>-5.066845055827196E-2</c:v>
                </c:pt>
                <c:pt idx="75">
                  <c:v>-0.11039632507285402</c:v>
                </c:pt>
                <c:pt idx="76">
                  <c:v>-0.14831388317183269</c:v>
                </c:pt>
                <c:pt idx="77">
                  <c:v>-0.12893822817051626</c:v>
                </c:pt>
                <c:pt idx="78">
                  <c:v>-0.1311738752033953</c:v>
                </c:pt>
                <c:pt idx="79">
                  <c:v>-0.14959658936081233</c:v>
                </c:pt>
                <c:pt idx="80">
                  <c:v>-0.13031757734586069</c:v>
                </c:pt>
                <c:pt idx="81">
                  <c:v>-0.12078135813460755</c:v>
                </c:pt>
                <c:pt idx="82">
                  <c:v>-0.14029711374888265</c:v>
                </c:pt>
                <c:pt idx="83">
                  <c:v>-0.114938384658968</c:v>
                </c:pt>
                <c:pt idx="84">
                  <c:v>-0.10909057096478414</c:v>
                </c:pt>
                <c:pt idx="85">
                  <c:v>-0.18122052231392538</c:v>
                </c:pt>
                <c:pt idx="86">
                  <c:v>-0.17243099572351739</c:v>
                </c:pt>
                <c:pt idx="87">
                  <c:v>-0.11392976823719336</c:v>
                </c:pt>
                <c:pt idx="88">
                  <c:v>-0.10151527322982157</c:v>
                </c:pt>
                <c:pt idx="89">
                  <c:v>2.5482638585482276E-2</c:v>
                </c:pt>
                <c:pt idx="90">
                  <c:v>-3.6711073990874921E-2</c:v>
                </c:pt>
                <c:pt idx="91">
                  <c:v>-1.0616468531031042E-2</c:v>
                </c:pt>
                <c:pt idx="92">
                  <c:v>-8.3157352556259556E-2</c:v>
                </c:pt>
                <c:pt idx="93">
                  <c:v>-0.18551814575888959</c:v>
                </c:pt>
                <c:pt idx="94">
                  <c:v>-0.20052039459917359</c:v>
                </c:pt>
                <c:pt idx="95">
                  <c:v>-0.27636574982977946</c:v>
                </c:pt>
                <c:pt idx="96">
                  <c:v>-0.35386043760943531</c:v>
                </c:pt>
                <c:pt idx="97">
                  <c:v>-0.31859615002587705</c:v>
                </c:pt>
                <c:pt idx="98">
                  <c:v>-0.29385497603467181</c:v>
                </c:pt>
                <c:pt idx="99">
                  <c:v>-0.31545089736427523</c:v>
                </c:pt>
                <c:pt idx="100">
                  <c:v>-0.287246275084997</c:v>
                </c:pt>
                <c:pt idx="101">
                  <c:v>-0.29073749689852235</c:v>
                </c:pt>
                <c:pt idx="102">
                  <c:v>-0.27872498281071822</c:v>
                </c:pt>
                <c:pt idx="103">
                  <c:v>-0.23447029924903651</c:v>
                </c:pt>
                <c:pt idx="104">
                  <c:v>-0.24530244256700118</c:v>
                </c:pt>
                <c:pt idx="105">
                  <c:v>-0.24574799219247623</c:v>
                </c:pt>
                <c:pt idx="106">
                  <c:v>-0.25493182605165277</c:v>
                </c:pt>
                <c:pt idx="107">
                  <c:v>-0.24010970046230362</c:v>
                </c:pt>
                <c:pt idx="108">
                  <c:v>-0.24899742991742768</c:v>
                </c:pt>
                <c:pt idx="109">
                  <c:v>-0.27490561314990136</c:v>
                </c:pt>
                <c:pt idx="110">
                  <c:v>-0.30693708428824273</c:v>
                </c:pt>
                <c:pt idx="111">
                  <c:v>-0.30207100388367147</c:v>
                </c:pt>
                <c:pt idx="112">
                  <c:v>-0.30483321062688939</c:v>
                </c:pt>
                <c:pt idx="113">
                  <c:v>-0.32126790198939903</c:v>
                </c:pt>
                <c:pt idx="114">
                  <c:v>-0.3446591025072816</c:v>
                </c:pt>
                <c:pt idx="115">
                  <c:v>-0.33763708108572477</c:v>
                </c:pt>
                <c:pt idx="116">
                  <c:v>-0.32949046795384884</c:v>
                </c:pt>
                <c:pt idx="117">
                  <c:v>-0.32067687914831489</c:v>
                </c:pt>
                <c:pt idx="118">
                  <c:v>-0.31146968607704695</c:v>
                </c:pt>
                <c:pt idx="119">
                  <c:v>-0.32143062760008934</c:v>
                </c:pt>
                <c:pt idx="120">
                  <c:v>-0.30113109325602982</c:v>
                </c:pt>
                <c:pt idx="121">
                  <c:v>-0.28027278523679033</c:v>
                </c:pt>
                <c:pt idx="122">
                  <c:v>-0.2632160752117656</c:v>
                </c:pt>
                <c:pt idx="123">
                  <c:v>-0.2858261110360113</c:v>
                </c:pt>
                <c:pt idx="124">
                  <c:v>-0.27334367773601698</c:v>
                </c:pt>
                <c:pt idx="125">
                  <c:v>-0.2619113643050367</c:v>
                </c:pt>
                <c:pt idx="126">
                  <c:v>-0.25470826315417006</c:v>
                </c:pt>
                <c:pt idx="127">
                  <c:v>-0.25985807709957254</c:v>
                </c:pt>
                <c:pt idx="128">
                  <c:v>-0.35198277112543874</c:v>
                </c:pt>
                <c:pt idx="129">
                  <c:v>-0.31435915241289825</c:v>
                </c:pt>
                <c:pt idx="130">
                  <c:v>-0.29928543948910635</c:v>
                </c:pt>
                <c:pt idx="131">
                  <c:v>-0.26146225518734423</c:v>
                </c:pt>
                <c:pt idx="132">
                  <c:v>-0.28795174290540915</c:v>
                </c:pt>
                <c:pt idx="133">
                  <c:v>-0.32204409045017635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CA-CF47-ADFB-38AE782182F0}"/>
            </c:ext>
          </c:extLst>
        </c:ser>
        <c:ser>
          <c:idx val="2"/>
          <c:order val="2"/>
          <c:tx>
            <c:strRef>
              <c:f>預測ＯＬＳ再投資累積報酬!$C$25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預測ＯＬＳ再投資累積報酬!$D$22:$EG$22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預測ＯＬＳ再投資累積報酬!$D$25:$EG$25</c:f>
              <c:numCache>
                <c:formatCode>General</c:formatCode>
                <c:ptCount val="134"/>
                <c:pt idx="0">
                  <c:v>-3.3228977675766158E-2</c:v>
                </c:pt>
                <c:pt idx="1">
                  <c:v>0.10370799743454429</c:v>
                </c:pt>
                <c:pt idx="2">
                  <c:v>5.0817486816669533E-2</c:v>
                </c:pt>
                <c:pt idx="3">
                  <c:v>6.9687863981603648E-2</c:v>
                </c:pt>
                <c:pt idx="4">
                  <c:v>8.9108798746094786E-2</c:v>
                </c:pt>
                <c:pt idx="5">
                  <c:v>7.6575050582890825E-2</c:v>
                </c:pt>
                <c:pt idx="6">
                  <c:v>0.10898010525197521</c:v>
                </c:pt>
                <c:pt idx="7">
                  <c:v>0.15914102098314253</c:v>
                </c:pt>
                <c:pt idx="8">
                  <c:v>0.21805722211872802</c:v>
                </c:pt>
                <c:pt idx="9">
                  <c:v>0.28659862357048849</c:v>
                </c:pt>
                <c:pt idx="10">
                  <c:v>0.26212531192188915</c:v>
                </c:pt>
                <c:pt idx="11">
                  <c:v>0.10555668645994754</c:v>
                </c:pt>
                <c:pt idx="12">
                  <c:v>0.10720883914870871</c:v>
                </c:pt>
                <c:pt idx="13">
                  <c:v>0.12046159702721715</c:v>
                </c:pt>
                <c:pt idx="14">
                  <c:v>0.17592555795909881</c:v>
                </c:pt>
                <c:pt idx="15">
                  <c:v>0.18939363669796738</c:v>
                </c:pt>
                <c:pt idx="16">
                  <c:v>0.23900997463001872</c:v>
                </c:pt>
                <c:pt idx="17">
                  <c:v>0.24176184735915651</c:v>
                </c:pt>
                <c:pt idx="18">
                  <c:v>0.22339691308342502</c:v>
                </c:pt>
                <c:pt idx="19">
                  <c:v>0.20695327231466787</c:v>
                </c:pt>
                <c:pt idx="20">
                  <c:v>0.18075968407576637</c:v>
                </c:pt>
                <c:pt idx="21">
                  <c:v>-7.6776442462435868E-2</c:v>
                </c:pt>
                <c:pt idx="22">
                  <c:v>-0.10631245270045353</c:v>
                </c:pt>
                <c:pt idx="23">
                  <c:v>-2.0155128760458441E-3</c:v>
                </c:pt>
                <c:pt idx="24">
                  <c:v>-0.1017200307868511</c:v>
                </c:pt>
                <c:pt idx="25">
                  <c:v>-0.12627539280705957</c:v>
                </c:pt>
                <c:pt idx="26">
                  <c:v>-0.12897219827409467</c:v>
                </c:pt>
                <c:pt idx="27">
                  <c:v>-6.810948623853863E-2</c:v>
                </c:pt>
                <c:pt idx="28">
                  <c:v>-7.3404957003463167E-2</c:v>
                </c:pt>
                <c:pt idx="29">
                  <c:v>1.5622383177287702E-2</c:v>
                </c:pt>
                <c:pt idx="30">
                  <c:v>-1.0102615785936964E-2</c:v>
                </c:pt>
                <c:pt idx="31">
                  <c:v>7.0031739821598826E-2</c:v>
                </c:pt>
                <c:pt idx="32">
                  <c:v>0.13771474175802667</c:v>
                </c:pt>
                <c:pt idx="33">
                  <c:v>0.11929541612506256</c:v>
                </c:pt>
                <c:pt idx="34">
                  <c:v>0.10958232249638855</c:v>
                </c:pt>
                <c:pt idx="35">
                  <c:v>0.16642642789608053</c:v>
                </c:pt>
                <c:pt idx="36">
                  <c:v>0.13374989124601466</c:v>
                </c:pt>
                <c:pt idx="37">
                  <c:v>0.11205839512008398</c:v>
                </c:pt>
                <c:pt idx="38">
                  <c:v>0.15436593675139143</c:v>
                </c:pt>
                <c:pt idx="39">
                  <c:v>0.14472492452639241</c:v>
                </c:pt>
                <c:pt idx="40">
                  <c:v>0.11068838278073168</c:v>
                </c:pt>
                <c:pt idx="41">
                  <c:v>0.10226637523549909</c:v>
                </c:pt>
                <c:pt idx="42">
                  <c:v>0.10961776268752099</c:v>
                </c:pt>
                <c:pt idx="43">
                  <c:v>2.1510251181398932E-2</c:v>
                </c:pt>
                <c:pt idx="44">
                  <c:v>8.016701761685896E-2</c:v>
                </c:pt>
                <c:pt idx="45">
                  <c:v>6.6866542818866392E-2</c:v>
                </c:pt>
                <c:pt idx="46">
                  <c:v>7.0950124668785808E-2</c:v>
                </c:pt>
                <c:pt idx="47">
                  <c:v>5.9581836876601457E-2</c:v>
                </c:pt>
                <c:pt idx="48">
                  <c:v>0.21136536147296203</c:v>
                </c:pt>
                <c:pt idx="49">
                  <c:v>0.17344723572768173</c:v>
                </c:pt>
                <c:pt idx="50">
                  <c:v>0.24945237282341859</c:v>
                </c:pt>
                <c:pt idx="51">
                  <c:v>0.28959452182700818</c:v>
                </c:pt>
                <c:pt idx="52">
                  <c:v>0.25283374854536844</c:v>
                </c:pt>
                <c:pt idx="53">
                  <c:v>0.31826809254308785</c:v>
                </c:pt>
                <c:pt idx="54">
                  <c:v>0.41849211796951979</c:v>
                </c:pt>
                <c:pt idx="55">
                  <c:v>0.57477098491750089</c:v>
                </c:pt>
                <c:pt idx="56">
                  <c:v>0.73299574616164542</c:v>
                </c:pt>
                <c:pt idx="57">
                  <c:v>0.89096460594039506</c:v>
                </c:pt>
                <c:pt idx="58">
                  <c:v>1.0248662414712628</c:v>
                </c:pt>
                <c:pt idx="59">
                  <c:v>0.88595192177286886</c:v>
                </c:pt>
                <c:pt idx="60">
                  <c:v>0.87467530565505891</c:v>
                </c:pt>
                <c:pt idx="61">
                  <c:v>0.85287835793213751</c:v>
                </c:pt>
                <c:pt idx="62">
                  <c:v>0.82113803203827818</c:v>
                </c:pt>
                <c:pt idx="63">
                  <c:v>0.81242604343754721</c:v>
                </c:pt>
                <c:pt idx="64">
                  <c:v>0.77592209547715929</c:v>
                </c:pt>
                <c:pt idx="65">
                  <c:v>0.65104041806767721</c:v>
                </c:pt>
                <c:pt idx="66">
                  <c:v>0.68021724626129543</c:v>
                </c:pt>
                <c:pt idx="67">
                  <c:v>0.53432703304172313</c:v>
                </c:pt>
                <c:pt idx="68">
                  <c:v>0.54210040179594166</c:v>
                </c:pt>
                <c:pt idx="69">
                  <c:v>0.58287013534342025</c:v>
                </c:pt>
                <c:pt idx="70">
                  <c:v>0.46140845183246859</c:v>
                </c:pt>
                <c:pt idx="71">
                  <c:v>0.61013490940835946</c:v>
                </c:pt>
                <c:pt idx="72">
                  <c:v>0.63586526403080557</c:v>
                </c:pt>
                <c:pt idx="73">
                  <c:v>0.48507492614960102</c:v>
                </c:pt>
                <c:pt idx="74">
                  <c:v>0.54829603855982101</c:v>
                </c:pt>
                <c:pt idx="75">
                  <c:v>0.28798635518861126</c:v>
                </c:pt>
                <c:pt idx="76">
                  <c:v>0.22207980165065377</c:v>
                </c:pt>
                <c:pt idx="77">
                  <c:v>0.36428963232509126</c:v>
                </c:pt>
                <c:pt idx="78">
                  <c:v>0.31518372881649426</c:v>
                </c:pt>
                <c:pt idx="79">
                  <c:v>0.35848797771158458</c:v>
                </c:pt>
                <c:pt idx="80">
                  <c:v>0.41698504830939265</c:v>
                </c:pt>
                <c:pt idx="81">
                  <c:v>0.44636665600089698</c:v>
                </c:pt>
                <c:pt idx="82">
                  <c:v>0.3879328190694824</c:v>
                </c:pt>
                <c:pt idx="83">
                  <c:v>0.39085113566194618</c:v>
                </c:pt>
                <c:pt idx="84">
                  <c:v>0.32412296731097556</c:v>
                </c:pt>
                <c:pt idx="85">
                  <c:v>0.15818771356925887</c:v>
                </c:pt>
                <c:pt idx="86">
                  <c:v>0.24458849218472944</c:v>
                </c:pt>
                <c:pt idx="87">
                  <c:v>0.35890608405610069</c:v>
                </c:pt>
                <c:pt idx="88">
                  <c:v>0.35197959450884575</c:v>
                </c:pt>
                <c:pt idx="89">
                  <c:v>0.63386266783754919</c:v>
                </c:pt>
                <c:pt idx="90">
                  <c:v>0.43998854749474603</c:v>
                </c:pt>
                <c:pt idx="91">
                  <c:v>0.47712984765397515</c:v>
                </c:pt>
                <c:pt idx="92">
                  <c:v>0.34056508805798114</c:v>
                </c:pt>
                <c:pt idx="93">
                  <c:v>6.2103293257520509E-2</c:v>
                </c:pt>
                <c:pt idx="94">
                  <c:v>7.3194947719344539E-2</c:v>
                </c:pt>
                <c:pt idx="95">
                  <c:v>-3.3777995074612432E-2</c:v>
                </c:pt>
                <c:pt idx="96">
                  <c:v>-0.1318930085229375</c:v>
                </c:pt>
                <c:pt idx="97">
                  <c:v>-8.0956763905784102E-2</c:v>
                </c:pt>
                <c:pt idx="98">
                  <c:v>-3.9816818686902788E-2</c:v>
                </c:pt>
                <c:pt idx="99">
                  <c:v>-0.12684708035551362</c:v>
                </c:pt>
                <c:pt idx="100">
                  <c:v>-4.2709078244633325E-2</c:v>
                </c:pt>
                <c:pt idx="101">
                  <c:v>-5.2570514619015851E-2</c:v>
                </c:pt>
                <c:pt idx="102">
                  <c:v>-0.10595994786099006</c:v>
                </c:pt>
                <c:pt idx="103">
                  <c:v>-2.5282655475694638E-2</c:v>
                </c:pt>
                <c:pt idx="104">
                  <c:v>-6.7194080133052059E-2</c:v>
                </c:pt>
                <c:pt idx="105">
                  <c:v>-7.2464862114018924E-2</c:v>
                </c:pt>
                <c:pt idx="106">
                  <c:v>-5.9370076222922341E-2</c:v>
                </c:pt>
                <c:pt idx="107">
                  <c:v>-3.8104339757662697E-2</c:v>
                </c:pt>
                <c:pt idx="108">
                  <c:v>-6.4038734054235436E-2</c:v>
                </c:pt>
                <c:pt idx="109">
                  <c:v>-6.2853585850000782E-2</c:v>
                </c:pt>
                <c:pt idx="110">
                  <c:v>-0.18012844671036088</c:v>
                </c:pt>
                <c:pt idx="111">
                  <c:v>-0.17291847217690348</c:v>
                </c:pt>
                <c:pt idx="112">
                  <c:v>-0.11618769641861915</c:v>
                </c:pt>
                <c:pt idx="113">
                  <c:v>-0.17236112518253577</c:v>
                </c:pt>
                <c:pt idx="114">
                  <c:v>-0.18961163808204473</c:v>
                </c:pt>
                <c:pt idx="115">
                  <c:v>-0.1882594208024696</c:v>
                </c:pt>
                <c:pt idx="116">
                  <c:v>-0.18725415376214705</c:v>
                </c:pt>
                <c:pt idx="117">
                  <c:v>-0.20186778020269902</c:v>
                </c:pt>
                <c:pt idx="118">
                  <c:v>-0.17602047156142164</c:v>
                </c:pt>
                <c:pt idx="119">
                  <c:v>-0.18053925459974107</c:v>
                </c:pt>
                <c:pt idx="120">
                  <c:v>-0.10724852572123289</c:v>
                </c:pt>
                <c:pt idx="121">
                  <c:v>-0.10032587158903106</c:v>
                </c:pt>
                <c:pt idx="122">
                  <c:v>6.661204458886294E-3</c:v>
                </c:pt>
                <c:pt idx="123">
                  <c:v>-4.3326195575453585E-2</c:v>
                </c:pt>
                <c:pt idx="124">
                  <c:v>8.5147221821204599E-3</c:v>
                </c:pt>
                <c:pt idx="125">
                  <c:v>4.1636788096395483E-2</c:v>
                </c:pt>
                <c:pt idx="126">
                  <c:v>8.0041752513370756E-2</c:v>
                </c:pt>
                <c:pt idx="127">
                  <c:v>5.5685150116829618E-2</c:v>
                </c:pt>
                <c:pt idx="128">
                  <c:v>-1.0730836740597827E-2</c:v>
                </c:pt>
                <c:pt idx="129">
                  <c:v>7.6481927447617837E-2</c:v>
                </c:pt>
                <c:pt idx="130">
                  <c:v>0.12305055449898461</c:v>
                </c:pt>
                <c:pt idx="131">
                  <c:v>0.21109689156941047</c:v>
                </c:pt>
                <c:pt idx="132">
                  <c:v>0.15961832282767574</c:v>
                </c:pt>
                <c:pt idx="133">
                  <c:v>6.1107140839186558E-2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CA-CF47-ADFB-38AE782182F0}"/>
            </c:ext>
          </c:extLst>
        </c:ser>
        <c:ser>
          <c:idx val="3"/>
          <c:order val="3"/>
          <c:tx>
            <c:strRef>
              <c:f>預測ＯＬＳ再投資累積報酬!$C$26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預測ＯＬＳ再投資累積報酬!$D$22:$EG$22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預測ＯＬＳ再投資累積報酬!$D$26:$EG$26</c:f>
              <c:numCache>
                <c:formatCode>General</c:formatCode>
                <c:ptCount val="134"/>
                <c:pt idx="0">
                  <c:v>-3.6350225217569587E-2</c:v>
                </c:pt>
                <c:pt idx="1">
                  <c:v>0.22675976836332001</c:v>
                </c:pt>
                <c:pt idx="2">
                  <c:v>0.10979484224106018</c:v>
                </c:pt>
                <c:pt idx="3">
                  <c:v>0.1246041245796925</c:v>
                </c:pt>
                <c:pt idx="4">
                  <c:v>0.124546861776337</c:v>
                </c:pt>
                <c:pt idx="5">
                  <c:v>0.12314823354078541</c:v>
                </c:pt>
                <c:pt idx="6">
                  <c:v>0.21220612823980467</c:v>
                </c:pt>
                <c:pt idx="7">
                  <c:v>0.28750983939239116</c:v>
                </c:pt>
                <c:pt idx="8">
                  <c:v>0.40919857126018244</c:v>
                </c:pt>
                <c:pt idx="9">
                  <c:v>0.52358471384119243</c:v>
                </c:pt>
                <c:pt idx="10">
                  <c:v>0.52033488260449245</c:v>
                </c:pt>
                <c:pt idx="11">
                  <c:v>0.31536597209655359</c:v>
                </c:pt>
                <c:pt idx="12">
                  <c:v>0.29922538490441752</c:v>
                </c:pt>
                <c:pt idx="13">
                  <c:v>0.30513715513966044</c:v>
                </c:pt>
                <c:pt idx="14">
                  <c:v>0.37399267230358935</c:v>
                </c:pt>
                <c:pt idx="15">
                  <c:v>0.32767377500143668</c:v>
                </c:pt>
                <c:pt idx="16">
                  <c:v>0.44525374010196517</c:v>
                </c:pt>
                <c:pt idx="17">
                  <c:v>0.4357468310845285</c:v>
                </c:pt>
                <c:pt idx="18">
                  <c:v>0.44735935908523783</c:v>
                </c:pt>
                <c:pt idx="19">
                  <c:v>0.44656149398036704</c:v>
                </c:pt>
                <c:pt idx="20">
                  <c:v>0.43776726121527942</c:v>
                </c:pt>
                <c:pt idx="21">
                  <c:v>7.5646524209353583E-2</c:v>
                </c:pt>
                <c:pt idx="22">
                  <c:v>2.6124473244247604E-2</c:v>
                </c:pt>
                <c:pt idx="23">
                  <c:v>9.0466704660391528E-2</c:v>
                </c:pt>
                <c:pt idx="24">
                  <c:v>-8.4935283755786739E-2</c:v>
                </c:pt>
                <c:pt idx="25">
                  <c:v>-0.10521897495994426</c:v>
                </c:pt>
                <c:pt idx="26">
                  <c:v>-0.10135560680229805</c:v>
                </c:pt>
                <c:pt idx="27">
                  <c:v>-2.7924340609771003E-2</c:v>
                </c:pt>
                <c:pt idx="28">
                  <c:v>-1.2636030087749828E-2</c:v>
                </c:pt>
                <c:pt idx="29">
                  <c:v>0.12334994358125351</c:v>
                </c:pt>
                <c:pt idx="30">
                  <c:v>7.3557969337983309E-2</c:v>
                </c:pt>
                <c:pt idx="31">
                  <c:v>0.21630614370604362</c:v>
                </c:pt>
                <c:pt idx="32">
                  <c:v>0.31224397138704063</c:v>
                </c:pt>
                <c:pt idx="33">
                  <c:v>0.34137725523212858</c:v>
                </c:pt>
                <c:pt idx="34">
                  <c:v>0.42214424721095312</c:v>
                </c:pt>
                <c:pt idx="35">
                  <c:v>0.46816508221462172</c:v>
                </c:pt>
                <c:pt idx="36">
                  <c:v>0.49906799720877171</c:v>
                </c:pt>
                <c:pt idx="37">
                  <c:v>0.4458503933390261</c:v>
                </c:pt>
                <c:pt idx="38">
                  <c:v>0.52014472213952012</c:v>
                </c:pt>
                <c:pt idx="39">
                  <c:v>0.38248744671500878</c:v>
                </c:pt>
                <c:pt idx="40">
                  <c:v>0.33209119022544109</c:v>
                </c:pt>
                <c:pt idx="41">
                  <c:v>0.30846811716256539</c:v>
                </c:pt>
                <c:pt idx="42">
                  <c:v>0.37223398355103354</c:v>
                </c:pt>
                <c:pt idx="43">
                  <c:v>0.27481935021031001</c:v>
                </c:pt>
                <c:pt idx="44">
                  <c:v>0.37320235722318662</c:v>
                </c:pt>
                <c:pt idx="45">
                  <c:v>0.24313803889434671</c:v>
                </c:pt>
                <c:pt idx="46">
                  <c:v>0.21475962502749346</c:v>
                </c:pt>
                <c:pt idx="47">
                  <c:v>0.14865721071038851</c:v>
                </c:pt>
                <c:pt idx="48">
                  <c:v>0.37839585470931247</c:v>
                </c:pt>
                <c:pt idx="49">
                  <c:v>0.37058368659784002</c:v>
                </c:pt>
                <c:pt idx="50">
                  <c:v>0.56706072891906745</c:v>
                </c:pt>
                <c:pt idx="51">
                  <c:v>0.61464613823351888</c:v>
                </c:pt>
                <c:pt idx="52">
                  <c:v>0.56469432857577018</c:v>
                </c:pt>
                <c:pt idx="53">
                  <c:v>0.65847073594764027</c:v>
                </c:pt>
                <c:pt idx="54">
                  <c:v>0.78253799013709702</c:v>
                </c:pt>
                <c:pt idx="55">
                  <c:v>1.009370070822341</c:v>
                </c:pt>
                <c:pt idx="56">
                  <c:v>1.2689201832042101</c:v>
                </c:pt>
                <c:pt idx="57">
                  <c:v>1.3847355473215033</c:v>
                </c:pt>
                <c:pt idx="58">
                  <c:v>1.6373677388936265</c:v>
                </c:pt>
                <c:pt idx="59">
                  <c:v>1.2942191497620112</c:v>
                </c:pt>
                <c:pt idx="60">
                  <c:v>1.3812244886651417</c:v>
                </c:pt>
                <c:pt idx="61">
                  <c:v>1.3700306132273172</c:v>
                </c:pt>
                <c:pt idx="62">
                  <c:v>1.3436603884591585</c:v>
                </c:pt>
                <c:pt idx="63">
                  <c:v>1.2041381895317387</c:v>
                </c:pt>
                <c:pt idx="64">
                  <c:v>1.1403546384798116</c:v>
                </c:pt>
                <c:pt idx="65">
                  <c:v>0.8443957475349495</c:v>
                </c:pt>
                <c:pt idx="66">
                  <c:v>0.89643384036627993</c:v>
                </c:pt>
                <c:pt idx="67">
                  <c:v>0.64648323862657864</c:v>
                </c:pt>
                <c:pt idx="68">
                  <c:v>0.64740249832630359</c:v>
                </c:pt>
                <c:pt idx="69">
                  <c:v>0.80456434580114955</c:v>
                </c:pt>
                <c:pt idx="70">
                  <c:v>0.73154054314237338</c:v>
                </c:pt>
                <c:pt idx="71">
                  <c:v>1.0165414628324552</c:v>
                </c:pt>
                <c:pt idx="72">
                  <c:v>0.98797281988290386</c:v>
                </c:pt>
                <c:pt idx="73">
                  <c:v>0.97678810962405649</c:v>
                </c:pt>
                <c:pt idx="74">
                  <c:v>0.98171474662027891</c:v>
                </c:pt>
                <c:pt idx="75">
                  <c:v>0.68614920428938087</c:v>
                </c:pt>
                <c:pt idx="76">
                  <c:v>0.46706204203118595</c:v>
                </c:pt>
                <c:pt idx="77">
                  <c:v>0.70455431719305883</c:v>
                </c:pt>
                <c:pt idx="78">
                  <c:v>0.60020631461844309</c:v>
                </c:pt>
                <c:pt idx="79">
                  <c:v>0.52481344520905004</c:v>
                </c:pt>
                <c:pt idx="80">
                  <c:v>0.68116086024702627</c:v>
                </c:pt>
                <c:pt idx="81">
                  <c:v>0.75716727022643315</c:v>
                </c:pt>
                <c:pt idx="82">
                  <c:v>0.53708728381080806</c:v>
                </c:pt>
                <c:pt idx="83">
                  <c:v>0.55527848861791651</c:v>
                </c:pt>
                <c:pt idx="84">
                  <c:v>0.5069081132848583</c:v>
                </c:pt>
                <c:pt idx="85">
                  <c:v>0.42106323652865574</c:v>
                </c:pt>
                <c:pt idx="86">
                  <c:v>0.54288293150585276</c:v>
                </c:pt>
                <c:pt idx="87">
                  <c:v>0.75482956383715072</c:v>
                </c:pt>
                <c:pt idx="88">
                  <c:v>0.67300794036898748</c:v>
                </c:pt>
                <c:pt idx="89">
                  <c:v>1.1363846285916162</c:v>
                </c:pt>
                <c:pt idx="90">
                  <c:v>0.71026941794934384</c:v>
                </c:pt>
                <c:pt idx="91">
                  <c:v>0.86855822458118914</c:v>
                </c:pt>
                <c:pt idx="92">
                  <c:v>0.74319849243375113</c:v>
                </c:pt>
                <c:pt idx="93">
                  <c:v>0.42682725936700638</c:v>
                </c:pt>
                <c:pt idx="94">
                  <c:v>0.52019300981985839</c:v>
                </c:pt>
                <c:pt idx="95">
                  <c:v>0.26368162136717044</c:v>
                </c:pt>
                <c:pt idx="96">
                  <c:v>0.10692200290760723</c:v>
                </c:pt>
                <c:pt idx="97">
                  <c:v>0.20061392139184253</c:v>
                </c:pt>
                <c:pt idx="98">
                  <c:v>0.23191643668993001</c:v>
                </c:pt>
                <c:pt idx="99">
                  <c:v>4.4187427122736711E-2</c:v>
                </c:pt>
                <c:pt idx="100">
                  <c:v>0.1412424602071245</c:v>
                </c:pt>
                <c:pt idx="101">
                  <c:v>0.11412273314867427</c:v>
                </c:pt>
                <c:pt idx="102">
                  <c:v>0.17861054930865294</c:v>
                </c:pt>
                <c:pt idx="103">
                  <c:v>0.42572204680315817</c:v>
                </c:pt>
                <c:pt idx="104">
                  <c:v>0.32921145417726971</c:v>
                </c:pt>
                <c:pt idx="105">
                  <c:v>0.31101272662984814</c:v>
                </c:pt>
                <c:pt idx="106">
                  <c:v>0.31080270557633627</c:v>
                </c:pt>
                <c:pt idx="107">
                  <c:v>0.36939599629847253</c:v>
                </c:pt>
                <c:pt idx="108">
                  <c:v>0.31810207895101872</c:v>
                </c:pt>
                <c:pt idx="109">
                  <c:v>0.27473325676744853</c:v>
                </c:pt>
                <c:pt idx="110">
                  <c:v>0.13373534481800031</c:v>
                </c:pt>
                <c:pt idx="111">
                  <c:v>0.20178642198211483</c:v>
                </c:pt>
                <c:pt idx="112">
                  <c:v>0.38988250486121889</c:v>
                </c:pt>
                <c:pt idx="113">
                  <c:v>0.30296318854469773</c:v>
                </c:pt>
                <c:pt idx="114">
                  <c:v>0.30876449107062798</c:v>
                </c:pt>
                <c:pt idx="115">
                  <c:v>0.33118138654469398</c:v>
                </c:pt>
                <c:pt idx="116">
                  <c:v>0.31150785187068397</c:v>
                </c:pt>
                <c:pt idx="117">
                  <c:v>0.25239499900591844</c:v>
                </c:pt>
                <c:pt idx="118">
                  <c:v>0.30625132125019716</c:v>
                </c:pt>
                <c:pt idx="119">
                  <c:v>0.34605624815887936</c:v>
                </c:pt>
                <c:pt idx="120">
                  <c:v>0.35894008269001731</c:v>
                </c:pt>
                <c:pt idx="121">
                  <c:v>0.43058175951708111</c:v>
                </c:pt>
                <c:pt idx="122">
                  <c:v>0.7004476252179761</c:v>
                </c:pt>
                <c:pt idx="123">
                  <c:v>0.53567059350716195</c:v>
                </c:pt>
                <c:pt idx="124">
                  <c:v>0.55045764256440677</c:v>
                </c:pt>
                <c:pt idx="125">
                  <c:v>0.62842285111651353</c:v>
                </c:pt>
                <c:pt idx="126">
                  <c:v>0.64534665676784342</c:v>
                </c:pt>
                <c:pt idx="127">
                  <c:v>0.59948342943174215</c:v>
                </c:pt>
                <c:pt idx="128">
                  <c:v>0.52998392260477334</c:v>
                </c:pt>
                <c:pt idx="129">
                  <c:v>0.64518312887245255</c:v>
                </c:pt>
                <c:pt idx="130">
                  <c:v>0.77047546676249512</c:v>
                </c:pt>
                <c:pt idx="131">
                  <c:v>0.96639634297498067</c:v>
                </c:pt>
                <c:pt idx="132">
                  <c:v>0.8693661279935514</c:v>
                </c:pt>
                <c:pt idx="133">
                  <c:v>0.5708593156955577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CA-CF47-ADFB-38AE782182F0}"/>
            </c:ext>
          </c:extLst>
        </c:ser>
        <c:ser>
          <c:idx val="4"/>
          <c:order val="4"/>
          <c:tx>
            <c:strRef>
              <c:f>預測ＯＬＳ再投資累積報酬!$C$27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預測ＯＬＳ再投資累積報酬!$D$22:$EG$22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預測ＯＬＳ再投資累積報酬!$D$27:$EG$27</c:f>
              <c:numCache>
                <c:formatCode>General</c:formatCode>
                <c:ptCount val="134"/>
                <c:pt idx="0">
                  <c:v>1.1241331728202963E-2</c:v>
                </c:pt>
                <c:pt idx="1">
                  <c:v>0.23632989290661865</c:v>
                </c:pt>
                <c:pt idx="2">
                  <c:v>5.5671304430283675E-2</c:v>
                </c:pt>
                <c:pt idx="3">
                  <c:v>8.0818137381297062E-2</c:v>
                </c:pt>
                <c:pt idx="4">
                  <c:v>5.9111792663703255E-2</c:v>
                </c:pt>
                <c:pt idx="5">
                  <c:v>7.137951217825611E-2</c:v>
                </c:pt>
                <c:pt idx="6">
                  <c:v>0.2705095104523807</c:v>
                </c:pt>
                <c:pt idx="7">
                  <c:v>0.45764048313411099</c:v>
                </c:pt>
                <c:pt idx="8">
                  <c:v>0.77063161253714663</c:v>
                </c:pt>
                <c:pt idx="9">
                  <c:v>0.78656689217946063</c:v>
                </c:pt>
                <c:pt idx="10">
                  <c:v>0.64771807859542618</c:v>
                </c:pt>
                <c:pt idx="11">
                  <c:v>6.0271020082181215E-2</c:v>
                </c:pt>
                <c:pt idx="12">
                  <c:v>0.11314131370113212</c:v>
                </c:pt>
                <c:pt idx="13">
                  <c:v>0.1105389498224727</c:v>
                </c:pt>
                <c:pt idx="14">
                  <c:v>0.20858707164221246</c:v>
                </c:pt>
                <c:pt idx="15">
                  <c:v>0.12569143964167639</c:v>
                </c:pt>
                <c:pt idx="16">
                  <c:v>0.30955615752404109</c:v>
                </c:pt>
                <c:pt idx="17">
                  <c:v>0.23126625911307208</c:v>
                </c:pt>
                <c:pt idx="18">
                  <c:v>0.42998582809452346</c:v>
                </c:pt>
                <c:pt idx="19">
                  <c:v>0.20431073803239208</c:v>
                </c:pt>
                <c:pt idx="20">
                  <c:v>0.24969813688220777</c:v>
                </c:pt>
                <c:pt idx="21">
                  <c:v>-2.9463316281693852E-2</c:v>
                </c:pt>
                <c:pt idx="22">
                  <c:v>-0.11247469793444576</c:v>
                </c:pt>
                <c:pt idx="23">
                  <c:v>-4.6773713065247025E-2</c:v>
                </c:pt>
                <c:pt idx="24">
                  <c:v>-0.1711538899087921</c:v>
                </c:pt>
                <c:pt idx="25">
                  <c:v>-0.19842172122512092</c:v>
                </c:pt>
                <c:pt idx="26">
                  <c:v>-0.16054854011253339</c:v>
                </c:pt>
                <c:pt idx="27">
                  <c:v>-0.13789400873170143</c:v>
                </c:pt>
                <c:pt idx="28">
                  <c:v>2.383515558576077E-2</c:v>
                </c:pt>
                <c:pt idx="29">
                  <c:v>0.25266008052624467</c:v>
                </c:pt>
                <c:pt idx="30">
                  <c:v>0.21237046259213832</c:v>
                </c:pt>
                <c:pt idx="31">
                  <c:v>0.47502137312652692</c:v>
                </c:pt>
                <c:pt idx="32">
                  <c:v>0.63782497586592402</c:v>
                </c:pt>
                <c:pt idx="33">
                  <c:v>0.70607716339773163</c:v>
                </c:pt>
                <c:pt idx="34">
                  <c:v>0.74896370276553781</c:v>
                </c:pt>
                <c:pt idx="35">
                  <c:v>0.7853076321743151</c:v>
                </c:pt>
                <c:pt idx="36">
                  <c:v>0.70775105676993966</c:v>
                </c:pt>
                <c:pt idx="37">
                  <c:v>0.64892839306680661</c:v>
                </c:pt>
                <c:pt idx="38">
                  <c:v>0.56795233170080994</c:v>
                </c:pt>
                <c:pt idx="39">
                  <c:v>0.34887762700809555</c:v>
                </c:pt>
                <c:pt idx="40">
                  <c:v>0.30394889928810032</c:v>
                </c:pt>
                <c:pt idx="41">
                  <c:v>0.34272703540882943</c:v>
                </c:pt>
                <c:pt idx="42">
                  <c:v>0.39951326645871377</c:v>
                </c:pt>
                <c:pt idx="43">
                  <c:v>6.4856409584014729E-2</c:v>
                </c:pt>
                <c:pt idx="44">
                  <c:v>0.21720822831141917</c:v>
                </c:pt>
                <c:pt idx="45">
                  <c:v>-6.9456927495279652E-2</c:v>
                </c:pt>
                <c:pt idx="46">
                  <c:v>-9.1760462425012013E-2</c:v>
                </c:pt>
                <c:pt idx="47">
                  <c:v>-0.11633474950905631</c:v>
                </c:pt>
                <c:pt idx="48">
                  <c:v>0.19730939604777986</c:v>
                </c:pt>
                <c:pt idx="49">
                  <c:v>0.16355381699151761</c:v>
                </c:pt>
                <c:pt idx="50">
                  <c:v>0.17533320197101276</c:v>
                </c:pt>
                <c:pt idx="51">
                  <c:v>0.24830113698153222</c:v>
                </c:pt>
                <c:pt idx="52">
                  <c:v>0.54806901460757818</c:v>
                </c:pt>
                <c:pt idx="53">
                  <c:v>0.59379689988353745</c:v>
                </c:pt>
                <c:pt idx="54">
                  <c:v>0.56149102138011897</c:v>
                </c:pt>
                <c:pt idx="55">
                  <c:v>0.65494524951935373</c:v>
                </c:pt>
                <c:pt idx="56">
                  <c:v>0.74768727066582463</c:v>
                </c:pt>
                <c:pt idx="57">
                  <c:v>0.81255628721743345</c:v>
                </c:pt>
                <c:pt idx="58">
                  <c:v>0.96046019652022463</c:v>
                </c:pt>
                <c:pt idx="59">
                  <c:v>0.86412360629261298</c:v>
                </c:pt>
                <c:pt idx="60">
                  <c:v>0.89761000762361687</c:v>
                </c:pt>
                <c:pt idx="61">
                  <c:v>0.89922283424830507</c:v>
                </c:pt>
                <c:pt idx="62">
                  <c:v>0.88132797088009074</c:v>
                </c:pt>
                <c:pt idx="63">
                  <c:v>0.77149560444758603</c:v>
                </c:pt>
                <c:pt idx="64">
                  <c:v>0.6551863704753611</c:v>
                </c:pt>
                <c:pt idx="65">
                  <c:v>0.32542553723819467</c:v>
                </c:pt>
                <c:pt idx="66">
                  <c:v>0.38577932444171736</c:v>
                </c:pt>
                <c:pt idx="67">
                  <c:v>8.8959170458010606E-2</c:v>
                </c:pt>
                <c:pt idx="68">
                  <c:v>8.556303938995713E-2</c:v>
                </c:pt>
                <c:pt idx="69">
                  <c:v>0.1387640760107145</c:v>
                </c:pt>
                <c:pt idx="70">
                  <c:v>5.751165582523754E-2</c:v>
                </c:pt>
                <c:pt idx="71">
                  <c:v>0.19439350909914932</c:v>
                </c:pt>
                <c:pt idx="72">
                  <c:v>0.11104369651349644</c:v>
                </c:pt>
                <c:pt idx="73">
                  <c:v>0.12402598732467229</c:v>
                </c:pt>
                <c:pt idx="74">
                  <c:v>2.9319097847672504E-2</c:v>
                </c:pt>
                <c:pt idx="75">
                  <c:v>6.8046429734034186E-2</c:v>
                </c:pt>
                <c:pt idx="76">
                  <c:v>-6.8421065281249804E-2</c:v>
                </c:pt>
                <c:pt idx="77">
                  <c:v>9.2427994737878771E-2</c:v>
                </c:pt>
                <c:pt idx="78">
                  <c:v>4.9520573729631145E-2</c:v>
                </c:pt>
                <c:pt idx="79">
                  <c:v>-0.14869137022921197</c:v>
                </c:pt>
                <c:pt idx="80">
                  <c:v>0.11103585191081722</c:v>
                </c:pt>
                <c:pt idx="81">
                  <c:v>0.12669585698479913</c:v>
                </c:pt>
                <c:pt idx="82">
                  <c:v>3.1844606084956872E-2</c:v>
                </c:pt>
                <c:pt idx="83">
                  <c:v>3.1611629304867606E-2</c:v>
                </c:pt>
                <c:pt idx="84">
                  <c:v>-6.3220779063997035E-2</c:v>
                </c:pt>
                <c:pt idx="85">
                  <c:v>-0.20932982472472672</c:v>
                </c:pt>
                <c:pt idx="86">
                  <c:v>-0.15277258849229225</c:v>
                </c:pt>
                <c:pt idx="87">
                  <c:v>6.8594673884279089E-3</c:v>
                </c:pt>
                <c:pt idx="88">
                  <c:v>8.685921167972066E-2</c:v>
                </c:pt>
                <c:pt idx="89">
                  <c:v>0.22807186344891073</c:v>
                </c:pt>
                <c:pt idx="90">
                  <c:v>-3.5065932355213381E-2</c:v>
                </c:pt>
                <c:pt idx="91">
                  <c:v>9.1776257363580083E-2</c:v>
                </c:pt>
                <c:pt idx="92">
                  <c:v>1.065441052280125E-2</c:v>
                </c:pt>
                <c:pt idx="93">
                  <c:v>-0.18691448923475318</c:v>
                </c:pt>
                <c:pt idx="94">
                  <c:v>-0.16818221687796697</c:v>
                </c:pt>
                <c:pt idx="95">
                  <c:v>-0.26013464856564128</c:v>
                </c:pt>
                <c:pt idx="96">
                  <c:v>-0.36869361856268423</c:v>
                </c:pt>
                <c:pt idx="97">
                  <c:v>-0.3515618328032043</c:v>
                </c:pt>
                <c:pt idx="98">
                  <c:v>-0.30753047672844147</c:v>
                </c:pt>
                <c:pt idx="99">
                  <c:v>-0.4080453280935793</c:v>
                </c:pt>
                <c:pt idx="100">
                  <c:v>-0.34827764370946168</c:v>
                </c:pt>
                <c:pt idx="101">
                  <c:v>-0.35679085422958035</c:v>
                </c:pt>
                <c:pt idx="102">
                  <c:v>-0.21231356265229639</c:v>
                </c:pt>
                <c:pt idx="103">
                  <c:v>8.8968559963744864E-2</c:v>
                </c:pt>
                <c:pt idx="104">
                  <c:v>4.8314846863242167E-2</c:v>
                </c:pt>
                <c:pt idx="105">
                  <c:v>4.5491849814025986E-2</c:v>
                </c:pt>
                <c:pt idx="106">
                  <c:v>6.3666137595661532E-3</c:v>
                </c:pt>
                <c:pt idx="107">
                  <c:v>9.9280303167841977E-2</c:v>
                </c:pt>
                <c:pt idx="108">
                  <c:v>4.8370173517497506E-2</c:v>
                </c:pt>
                <c:pt idx="109">
                  <c:v>1.1866839561704534E-2</c:v>
                </c:pt>
                <c:pt idx="110">
                  <c:v>-0.11952378174390133</c:v>
                </c:pt>
                <c:pt idx="111">
                  <c:v>7.1237105350685503E-4</c:v>
                </c:pt>
                <c:pt idx="112">
                  <c:v>0.11369653112169154</c:v>
                </c:pt>
                <c:pt idx="113">
                  <c:v>4.2234134180938021E-2</c:v>
                </c:pt>
                <c:pt idx="114">
                  <c:v>3.6694888187323471E-2</c:v>
                </c:pt>
                <c:pt idx="115">
                  <c:v>9.1878697803942755E-2</c:v>
                </c:pt>
                <c:pt idx="116">
                  <c:v>8.6540761339466199E-2</c:v>
                </c:pt>
                <c:pt idx="117">
                  <c:v>5.4791489588750908E-2</c:v>
                </c:pt>
                <c:pt idx="118">
                  <c:v>0.12861575330604258</c:v>
                </c:pt>
                <c:pt idx="119">
                  <c:v>0.22816968917685077</c:v>
                </c:pt>
                <c:pt idx="120">
                  <c:v>0.31388703895157954</c:v>
                </c:pt>
                <c:pt idx="121">
                  <c:v>0.27488385705689389</c:v>
                </c:pt>
                <c:pt idx="122">
                  <c:v>0.622473709340718</c:v>
                </c:pt>
                <c:pt idx="123">
                  <c:v>0.39299108658426674</c:v>
                </c:pt>
                <c:pt idx="124">
                  <c:v>0.48116623058708496</c:v>
                </c:pt>
                <c:pt idx="125">
                  <c:v>0.54369752071675759</c:v>
                </c:pt>
                <c:pt idx="126">
                  <c:v>0.5568318998292805</c:v>
                </c:pt>
                <c:pt idx="127">
                  <c:v>0.46142058683177467</c:v>
                </c:pt>
                <c:pt idx="128">
                  <c:v>0.47008037959914084</c:v>
                </c:pt>
                <c:pt idx="129">
                  <c:v>0.77916402773787241</c:v>
                </c:pt>
                <c:pt idx="130">
                  <c:v>1.0122454496903273</c:v>
                </c:pt>
                <c:pt idx="131">
                  <c:v>1.1286087026188523</c:v>
                </c:pt>
                <c:pt idx="132">
                  <c:v>1.0859990920929854</c:v>
                </c:pt>
                <c:pt idx="133">
                  <c:v>0.64889520755140784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CA-CF47-ADFB-38AE782182F0}"/>
            </c:ext>
          </c:extLst>
        </c:ser>
        <c:ser>
          <c:idx val="5"/>
          <c:order val="5"/>
          <c:tx>
            <c:strRef>
              <c:f>預測ＯＬＳ再投資累積報酬!$C$28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預測ＯＬＳ再投資累積報酬!$D$22:$EG$22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預測ＯＬＳ再投資累積報酬!$D$28:$EG$28</c:f>
              <c:numCache>
                <c:formatCode>General</c:formatCode>
                <c:ptCount val="134"/>
                <c:pt idx="0">
                  <c:v>2.7766967310441037E-2</c:v>
                </c:pt>
                <c:pt idx="1">
                  <c:v>-5.6497980503421807E-2</c:v>
                </c:pt>
                <c:pt idx="2">
                  <c:v>2.0756280558543949E-2</c:v>
                </c:pt>
                <c:pt idx="3">
                  <c:v>-0.19400852954183401</c:v>
                </c:pt>
                <c:pt idx="4">
                  <c:v>-0.23932258901060233</c:v>
                </c:pt>
                <c:pt idx="5">
                  <c:v>-0.50618510522992399</c:v>
                </c:pt>
                <c:pt idx="6">
                  <c:v>-0.38747879706420052</c:v>
                </c:pt>
                <c:pt idx="7">
                  <c:v>-0.38500682996968716</c:v>
                </c:pt>
                <c:pt idx="8">
                  <c:v>-0.35398390786697731</c:v>
                </c:pt>
                <c:pt idx="9">
                  <c:v>-0.13836993583433155</c:v>
                </c:pt>
                <c:pt idx="10">
                  <c:v>-0.26487389223107605</c:v>
                </c:pt>
                <c:pt idx="11">
                  <c:v>-0.29833171389810653</c:v>
                </c:pt>
                <c:pt idx="12">
                  <c:v>-0.27261641971218398</c:v>
                </c:pt>
                <c:pt idx="13">
                  <c:v>-0.25530975146321211</c:v>
                </c:pt>
                <c:pt idx="14">
                  <c:v>-0.29889375748455649</c:v>
                </c:pt>
                <c:pt idx="15">
                  <c:v>-0.44312498240316489</c:v>
                </c:pt>
                <c:pt idx="16">
                  <c:v>-0.35282871675730421</c:v>
                </c:pt>
                <c:pt idx="17">
                  <c:v>-0.3472061120175628</c:v>
                </c:pt>
                <c:pt idx="18">
                  <c:v>-0.14275364761615073</c:v>
                </c:pt>
                <c:pt idx="19">
                  <c:v>-3.9994780577760514E-2</c:v>
                </c:pt>
                <c:pt idx="20">
                  <c:v>-0.38412150811426538</c:v>
                </c:pt>
                <c:pt idx="21">
                  <c:v>-0.62701183753180523</c:v>
                </c:pt>
                <c:pt idx="22">
                  <c:v>-0.62170745623133938</c:v>
                </c:pt>
                <c:pt idx="23">
                  <c:v>-0.56480850283447204</c:v>
                </c:pt>
                <c:pt idx="24">
                  <c:v>-0.65991724566767673</c:v>
                </c:pt>
                <c:pt idx="25">
                  <c:v>-0.55775849697048274</c:v>
                </c:pt>
                <c:pt idx="26">
                  <c:v>-0.38008915221190431</c:v>
                </c:pt>
                <c:pt idx="27">
                  <c:v>-0.4172355410426819</c:v>
                </c:pt>
                <c:pt idx="28">
                  <c:v>-0.42171759976545531</c:v>
                </c:pt>
                <c:pt idx="29">
                  <c:v>-0.13524262107828289</c:v>
                </c:pt>
                <c:pt idx="30">
                  <c:v>0.19341308405668012</c:v>
                </c:pt>
                <c:pt idx="31">
                  <c:v>-0.16714416666887866</c:v>
                </c:pt>
                <c:pt idx="32">
                  <c:v>1.6253218045704898E-2</c:v>
                </c:pt>
                <c:pt idx="33">
                  <c:v>-2.7506804753306802E-2</c:v>
                </c:pt>
                <c:pt idx="34">
                  <c:v>4.4907075795880269E-2</c:v>
                </c:pt>
                <c:pt idx="35">
                  <c:v>0.15718696616833649</c:v>
                </c:pt>
                <c:pt idx="36">
                  <c:v>0.16729542101062589</c:v>
                </c:pt>
                <c:pt idx="37">
                  <c:v>3.8121608644756666E-2</c:v>
                </c:pt>
                <c:pt idx="38">
                  <c:v>-6.8707024854017029E-2</c:v>
                </c:pt>
                <c:pt idx="39">
                  <c:v>0.31909131754830855</c:v>
                </c:pt>
                <c:pt idx="40">
                  <c:v>-0.15115409432991223</c:v>
                </c:pt>
                <c:pt idx="41">
                  <c:v>-0.13387936330525807</c:v>
                </c:pt>
                <c:pt idx="42">
                  <c:v>-0.13672610584070977</c:v>
                </c:pt>
                <c:pt idx="43">
                  <c:v>-0.2668810302595761</c:v>
                </c:pt>
                <c:pt idx="44">
                  <c:v>-9.8380221640587129E-2</c:v>
                </c:pt>
                <c:pt idx="45">
                  <c:v>-0.1227356351399006</c:v>
                </c:pt>
                <c:pt idx="46">
                  <c:v>-2.5628837633496215E-2</c:v>
                </c:pt>
                <c:pt idx="47">
                  <c:v>-0.11094708737899395</c:v>
                </c:pt>
                <c:pt idx="48">
                  <c:v>-0.24540169465184636</c:v>
                </c:pt>
                <c:pt idx="49">
                  <c:v>-0.34740435333434205</c:v>
                </c:pt>
                <c:pt idx="50">
                  <c:v>-0.23504775717879456</c:v>
                </c:pt>
                <c:pt idx="51">
                  <c:v>-0.16053249580478146</c:v>
                </c:pt>
                <c:pt idx="52">
                  <c:v>-0.16419834094111385</c:v>
                </c:pt>
                <c:pt idx="53">
                  <c:v>-0.17127140477740366</c:v>
                </c:pt>
                <c:pt idx="54">
                  <c:v>-0.35800502110269683</c:v>
                </c:pt>
                <c:pt idx="55">
                  <c:v>-0.3545978137888175</c:v>
                </c:pt>
                <c:pt idx="56">
                  <c:v>-0.20090043841917005</c:v>
                </c:pt>
                <c:pt idx="57">
                  <c:v>0.10640002903316592</c:v>
                </c:pt>
                <c:pt idx="58">
                  <c:v>0.12066041769739377</c:v>
                </c:pt>
                <c:pt idx="59">
                  <c:v>0.18853574222518543</c:v>
                </c:pt>
                <c:pt idx="60">
                  <c:v>0.35029047015899928</c:v>
                </c:pt>
                <c:pt idx="61">
                  <c:v>0.10045726833674817</c:v>
                </c:pt>
                <c:pt idx="62">
                  <c:v>7.1572659599763444E-3</c:v>
                </c:pt>
                <c:pt idx="63">
                  <c:v>-1.287525167346526E-2</c:v>
                </c:pt>
                <c:pt idx="64">
                  <c:v>4.5515835354161149E-2</c:v>
                </c:pt>
                <c:pt idx="65">
                  <c:v>-0.54748884253644148</c:v>
                </c:pt>
                <c:pt idx="66">
                  <c:v>-0.56116361762539946</c:v>
                </c:pt>
                <c:pt idx="67">
                  <c:v>-0.76549418872257147</c:v>
                </c:pt>
                <c:pt idx="68">
                  <c:v>-0.83561007510151641</c:v>
                </c:pt>
                <c:pt idx="69">
                  <c:v>-0.8333800800762895</c:v>
                </c:pt>
                <c:pt idx="70">
                  <c:v>-0.90402914367191478</c:v>
                </c:pt>
                <c:pt idx="71">
                  <c:v>-0.84861875824051702</c:v>
                </c:pt>
                <c:pt idx="72">
                  <c:v>-0.86773327746766948</c:v>
                </c:pt>
                <c:pt idx="73">
                  <c:v>-0.88300688959930151</c:v>
                </c:pt>
                <c:pt idx="74">
                  <c:v>-0.89028578360787747</c:v>
                </c:pt>
                <c:pt idx="75">
                  <c:v>-0.87113797931673875</c:v>
                </c:pt>
                <c:pt idx="76">
                  <c:v>-0.88213662839049978</c:v>
                </c:pt>
                <c:pt idx="77">
                  <c:v>-0.8745783941582459</c:v>
                </c:pt>
                <c:pt idx="78">
                  <c:v>-0.9013426350202004</c:v>
                </c:pt>
                <c:pt idx="79">
                  <c:v>-0.96954762536752648</c:v>
                </c:pt>
                <c:pt idx="80">
                  <c:v>-0.96990129635407862</c:v>
                </c:pt>
                <c:pt idx="81">
                  <c:v>-0.97654106344624558</c:v>
                </c:pt>
                <c:pt idx="82">
                  <c:v>-0.98265443259417318</c:v>
                </c:pt>
                <c:pt idx="83">
                  <c:v>-0.97947754400347453</c:v>
                </c:pt>
                <c:pt idx="84">
                  <c:v>-0.9824520585541654</c:v>
                </c:pt>
                <c:pt idx="85">
                  <c:v>-0.97743680066347305</c:v>
                </c:pt>
                <c:pt idx="86">
                  <c:v>-0.97584817790990819</c:v>
                </c:pt>
                <c:pt idx="87">
                  <c:v>-0.97378027768508924</c:v>
                </c:pt>
                <c:pt idx="88">
                  <c:v>-0.97260855661957646</c:v>
                </c:pt>
                <c:pt idx="89">
                  <c:v>-0.95701946991042297</c:v>
                </c:pt>
                <c:pt idx="90">
                  <c:v>-0.97731973272619865</c:v>
                </c:pt>
                <c:pt idx="91">
                  <c:v>-0.97821389967804528</c:v>
                </c:pt>
                <c:pt idx="92">
                  <c:v>-0.97709322206762661</c:v>
                </c:pt>
                <c:pt idx="93">
                  <c:v>-0.9802494887252009</c:v>
                </c:pt>
                <c:pt idx="94">
                  <c:v>-0.97517748192711751</c:v>
                </c:pt>
                <c:pt idx="95">
                  <c:v>-0.97771167742177867</c:v>
                </c:pt>
                <c:pt idx="96">
                  <c:v>-0.97888691938182681</c:v>
                </c:pt>
                <c:pt idx="97">
                  <c:v>-0.97699253059058944</c:v>
                </c:pt>
                <c:pt idx="98">
                  <c:v>-0.98239912980239841</c:v>
                </c:pt>
                <c:pt idx="99">
                  <c:v>-0.98498108286750696</c:v>
                </c:pt>
                <c:pt idx="100">
                  <c:v>-0.97957084768428737</c:v>
                </c:pt>
                <c:pt idx="101">
                  <c:v>-0.976259140930957</c:v>
                </c:pt>
                <c:pt idx="102">
                  <c:v>-0.95695729078601321</c:v>
                </c:pt>
                <c:pt idx="103">
                  <c:v>-0.91614808542733883</c:v>
                </c:pt>
                <c:pt idx="104">
                  <c:v>-0.93985551868042994</c:v>
                </c:pt>
                <c:pt idx="105">
                  <c:v>-0.9380816763852653</c:v>
                </c:pt>
                <c:pt idx="106">
                  <c:v>-0.94497102841692959</c:v>
                </c:pt>
                <c:pt idx="107">
                  <c:v>-0.93943031231476259</c:v>
                </c:pt>
                <c:pt idx="108">
                  <c:v>-0.95267813938652879</c:v>
                </c:pt>
                <c:pt idx="109">
                  <c:v>-0.95659390560536106</c:v>
                </c:pt>
                <c:pt idx="110">
                  <c:v>-0.97292106640916765</c:v>
                </c:pt>
                <c:pt idx="111">
                  <c:v>-0.96670997480900267</c:v>
                </c:pt>
                <c:pt idx="112">
                  <c:v>-0.95938435217552087</c:v>
                </c:pt>
                <c:pt idx="113">
                  <c:v>-0.96560916304601974</c:v>
                </c:pt>
                <c:pt idx="114">
                  <c:v>-0.97011587143710432</c:v>
                </c:pt>
                <c:pt idx="115">
                  <c:v>-0.96785431863417914</c:v>
                </c:pt>
                <c:pt idx="116">
                  <c:v>-0.96617189322857433</c:v>
                </c:pt>
                <c:pt idx="117">
                  <c:v>-0.96576885677972135</c:v>
                </c:pt>
                <c:pt idx="118">
                  <c:v>-0.96409784700525225</c:v>
                </c:pt>
                <c:pt idx="119">
                  <c:v>-0.95162995663520944</c:v>
                </c:pt>
                <c:pt idx="120">
                  <c:v>-0.9446643330174237</c:v>
                </c:pt>
                <c:pt idx="121">
                  <c:v>-0.94629317857026807</c:v>
                </c:pt>
                <c:pt idx="122">
                  <c:v>-0.90490974673674374</c:v>
                </c:pt>
                <c:pt idx="123">
                  <c:v>-0.9354811575516947</c:v>
                </c:pt>
                <c:pt idx="124">
                  <c:v>-0.95010482873608693</c:v>
                </c:pt>
                <c:pt idx="125">
                  <c:v>-0.94870066273182918</c:v>
                </c:pt>
                <c:pt idx="126">
                  <c:v>-0.94019588851934999</c:v>
                </c:pt>
                <c:pt idx="127">
                  <c:v>-0.93670911187119776</c:v>
                </c:pt>
                <c:pt idx="128">
                  <c:v>-0.93524256694004348</c:v>
                </c:pt>
                <c:pt idx="129">
                  <c:v>-0.89212657617748192</c:v>
                </c:pt>
                <c:pt idx="130">
                  <c:v>-0.91981243926292156</c:v>
                </c:pt>
                <c:pt idx="131">
                  <c:v>-0.9265915030703773</c:v>
                </c:pt>
                <c:pt idx="132">
                  <c:v>-0.92920954244745868</c:v>
                </c:pt>
                <c:pt idx="133">
                  <c:v>-0.93833852220863811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CA-CF47-ADFB-38AE782182F0}"/>
            </c:ext>
          </c:extLst>
        </c:ser>
        <c:ser>
          <c:idx val="6"/>
          <c:order val="6"/>
          <c:tx>
            <c:strRef>
              <c:f>預測ＯＬＳ再投資累積報酬!$C$29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預測ＯＬＳ再投資累積報酬!$D$22:$EG$22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預測ＯＬＳ再投資累積報酬!$D$29:$EG$29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CA-CF47-ADFB-38AE78218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451504"/>
        <c:axId val="2104460624"/>
      </c:lineChart>
      <c:catAx>
        <c:axId val="210445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60624"/>
        <c:crosses val="autoZero"/>
        <c:auto val="1"/>
        <c:lblAlgn val="ctr"/>
        <c:lblOffset val="100"/>
        <c:noMultiLvlLbl val="0"/>
      </c:catAx>
      <c:valAx>
        <c:axId val="210446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5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真實OLS再投資累積報酬!$C$23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真實OLS再投資累積報酬!$D$22:$EG$22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真實OLS再投資累積報酬!$D$23:$EG$23</c:f>
              <c:numCache>
                <c:formatCode>General</c:formatCode>
                <c:ptCount val="134"/>
                <c:pt idx="0">
                  <c:v>1.4499246984096104E-2</c:v>
                </c:pt>
                <c:pt idx="1">
                  <c:v>-3.9213245731639645E-4</c:v>
                </c:pt>
                <c:pt idx="2">
                  <c:v>1.0010455589208878E-3</c:v>
                </c:pt>
                <c:pt idx="3">
                  <c:v>-5.5014357119156254E-2</c:v>
                </c:pt>
                <c:pt idx="4">
                  <c:v>-1.536138516245622E-2</c:v>
                </c:pt>
                <c:pt idx="5">
                  <c:v>-2.4813185614166122E-2</c:v>
                </c:pt>
                <c:pt idx="6">
                  <c:v>9.0323693452580844E-3</c:v>
                </c:pt>
                <c:pt idx="7">
                  <c:v>3.2546476297351079E-2</c:v>
                </c:pt>
                <c:pt idx="8">
                  <c:v>4.2835704774678351E-2</c:v>
                </c:pt>
                <c:pt idx="9">
                  <c:v>7.5489742594432307E-2</c:v>
                </c:pt>
                <c:pt idx="10">
                  <c:v>5.6109786849479981E-2</c:v>
                </c:pt>
                <c:pt idx="11">
                  <c:v>9.2760338902505568E-2</c:v>
                </c:pt>
                <c:pt idx="12">
                  <c:v>0.12202967709692758</c:v>
                </c:pt>
                <c:pt idx="13">
                  <c:v>0.12174431341185543</c:v>
                </c:pt>
                <c:pt idx="14">
                  <c:v>0.1478582699885751</c:v>
                </c:pt>
                <c:pt idx="15">
                  <c:v>0.17813861189379732</c:v>
                </c:pt>
                <c:pt idx="16">
                  <c:v>0.26134171506414328</c:v>
                </c:pt>
                <c:pt idx="17">
                  <c:v>0.36397823295921805</c:v>
                </c:pt>
                <c:pt idx="18">
                  <c:v>0.37666431631300812</c:v>
                </c:pt>
                <c:pt idx="19">
                  <c:v>0.39334010433867883</c:v>
                </c:pt>
                <c:pt idx="20">
                  <c:v>0.43293557367053337</c:v>
                </c:pt>
                <c:pt idx="21">
                  <c:v>0.58535612511784896</c:v>
                </c:pt>
                <c:pt idx="22">
                  <c:v>0.66308010963605168</c:v>
                </c:pt>
                <c:pt idx="23">
                  <c:v>0.77178361299203746</c:v>
                </c:pt>
                <c:pt idx="24">
                  <c:v>0.78401206415056124</c:v>
                </c:pt>
                <c:pt idx="25">
                  <c:v>0.80872643092733809</c:v>
                </c:pt>
                <c:pt idx="26">
                  <c:v>0.85659289637632297</c:v>
                </c:pt>
                <c:pt idx="27">
                  <c:v>0.91065120334982819</c:v>
                </c:pt>
                <c:pt idx="28">
                  <c:v>0.99937748258041958</c:v>
                </c:pt>
                <c:pt idx="29">
                  <c:v>1.0438325611711594</c:v>
                </c:pt>
                <c:pt idx="30">
                  <c:v>1.0516296401838132</c:v>
                </c:pt>
                <c:pt idx="31">
                  <c:v>1.0902058780226143</c:v>
                </c:pt>
                <c:pt idx="32">
                  <c:v>1.071825041265178</c:v>
                </c:pt>
                <c:pt idx="33">
                  <c:v>1.1133694647888608</c:v>
                </c:pt>
                <c:pt idx="34">
                  <c:v>1.1433070669142906</c:v>
                </c:pt>
                <c:pt idx="35">
                  <c:v>1.2440707331435772</c:v>
                </c:pt>
                <c:pt idx="36">
                  <c:v>1.3081185932833592</c:v>
                </c:pt>
                <c:pt idx="37">
                  <c:v>1.2466173220147101</c:v>
                </c:pt>
                <c:pt idx="38">
                  <c:v>1.2129282374667736</c:v>
                </c:pt>
                <c:pt idx="39">
                  <c:v>1.3008348875706091</c:v>
                </c:pt>
                <c:pt idx="40">
                  <c:v>1.3231380718723176</c:v>
                </c:pt>
                <c:pt idx="41">
                  <c:v>1.3747652296163011</c:v>
                </c:pt>
                <c:pt idx="42">
                  <c:v>1.4300078758104657</c:v>
                </c:pt>
                <c:pt idx="43">
                  <c:v>1.6168360195928444</c:v>
                </c:pt>
                <c:pt idx="44">
                  <c:v>1.6071183036764651</c:v>
                </c:pt>
                <c:pt idx="45">
                  <c:v>1.7294190235482185</c:v>
                </c:pt>
                <c:pt idx="46">
                  <c:v>1.7773569659231527</c:v>
                </c:pt>
                <c:pt idx="47">
                  <c:v>1.8897890644963988</c:v>
                </c:pt>
                <c:pt idx="48">
                  <c:v>2.0289512413082291</c:v>
                </c:pt>
                <c:pt idx="49">
                  <c:v>2.1004785714312058</c:v>
                </c:pt>
                <c:pt idx="50">
                  <c:v>2.1824376447651788</c:v>
                </c:pt>
                <c:pt idx="51">
                  <c:v>2.1863646843518585</c:v>
                </c:pt>
                <c:pt idx="52">
                  <c:v>2.3051399630145442</c:v>
                </c:pt>
                <c:pt idx="53">
                  <c:v>2.3323134360992155</c:v>
                </c:pt>
                <c:pt idx="54">
                  <c:v>2.2144543579055185</c:v>
                </c:pt>
                <c:pt idx="55">
                  <c:v>2.4423750331895482</c:v>
                </c:pt>
                <c:pt idx="56">
                  <c:v>2.5413087600612281</c:v>
                </c:pt>
                <c:pt idx="57">
                  <c:v>2.8385090912484356</c:v>
                </c:pt>
                <c:pt idx="58">
                  <c:v>3.1401166854202867</c:v>
                </c:pt>
                <c:pt idx="59">
                  <c:v>3.2422249056125239</c:v>
                </c:pt>
                <c:pt idx="60">
                  <c:v>3.239436136977349</c:v>
                </c:pt>
                <c:pt idx="61">
                  <c:v>3.4540209877411634</c:v>
                </c:pt>
                <c:pt idx="62">
                  <c:v>3.5459253392314407</c:v>
                </c:pt>
                <c:pt idx="63">
                  <c:v>3.6109559807832845</c:v>
                </c:pt>
                <c:pt idx="64">
                  <c:v>3.8947201110329281</c:v>
                </c:pt>
                <c:pt idx="65">
                  <c:v>4.0562212853016639</c:v>
                </c:pt>
                <c:pt idx="66">
                  <c:v>4.2193663464204674</c:v>
                </c:pt>
                <c:pt idx="67">
                  <c:v>4.5168006799058817</c:v>
                </c:pt>
                <c:pt idx="68">
                  <c:v>4.6968848039482358</c:v>
                </c:pt>
                <c:pt idx="69">
                  <c:v>4.7901130893320918</c:v>
                </c:pt>
                <c:pt idx="70">
                  <c:v>4.8880529519686435</c:v>
                </c:pt>
                <c:pt idx="71">
                  <c:v>5.1116172702687441</c:v>
                </c:pt>
                <c:pt idx="72">
                  <c:v>5.3834436953827636</c:v>
                </c:pt>
                <c:pt idx="73">
                  <c:v>5.4789934259146182</c:v>
                </c:pt>
                <c:pt idx="74">
                  <c:v>6.0492181557677176</c:v>
                </c:pt>
                <c:pt idx="75">
                  <c:v>6.2588336491036305</c:v>
                </c:pt>
                <c:pt idx="76">
                  <c:v>6.2544515751817125</c:v>
                </c:pt>
                <c:pt idx="77">
                  <c:v>6.4515830469243918</c:v>
                </c:pt>
                <c:pt idx="78">
                  <c:v>6.3314547300711306</c:v>
                </c:pt>
                <c:pt idx="79">
                  <c:v>6.6909585315712974</c:v>
                </c:pt>
                <c:pt idx="80">
                  <c:v>7.0817864259614467</c:v>
                </c:pt>
                <c:pt idx="81">
                  <c:v>7.1760044195668584</c:v>
                </c:pt>
                <c:pt idx="82">
                  <c:v>7.3448875329194365</c:v>
                </c:pt>
                <c:pt idx="83">
                  <c:v>7.6165817436609551</c:v>
                </c:pt>
                <c:pt idx="84">
                  <c:v>8.1257683177126889</c:v>
                </c:pt>
                <c:pt idx="85">
                  <c:v>8.7103594894635386</c:v>
                </c:pt>
                <c:pt idx="86">
                  <c:v>9.3803020870502287</c:v>
                </c:pt>
                <c:pt idx="87">
                  <c:v>10.496338587180771</c:v>
                </c:pt>
                <c:pt idx="88">
                  <c:v>10.193364645235262</c:v>
                </c:pt>
                <c:pt idx="89">
                  <c:v>11.941459353386172</c:v>
                </c:pt>
                <c:pt idx="90">
                  <c:v>12.668534117791028</c:v>
                </c:pt>
                <c:pt idx="91">
                  <c:v>12.654796939807042</c:v>
                </c:pt>
                <c:pt idx="92">
                  <c:v>13.574810517402572</c:v>
                </c:pt>
                <c:pt idx="93">
                  <c:v>14.388206339682224</c:v>
                </c:pt>
                <c:pt idx="94">
                  <c:v>14.730688774042138</c:v>
                </c:pt>
                <c:pt idx="95">
                  <c:v>15.763944775268026</c:v>
                </c:pt>
                <c:pt idx="96">
                  <c:v>16.624230589120774</c:v>
                </c:pt>
                <c:pt idx="97">
                  <c:v>17.249594591419193</c:v>
                </c:pt>
                <c:pt idx="98">
                  <c:v>17.558842711100464</c:v>
                </c:pt>
                <c:pt idx="99">
                  <c:v>18.129576087657679</c:v>
                </c:pt>
                <c:pt idx="100">
                  <c:v>17.815457042330575</c:v>
                </c:pt>
                <c:pt idx="101">
                  <c:v>18.047343665697362</c:v>
                </c:pt>
                <c:pt idx="102">
                  <c:v>19.256768585630034</c:v>
                </c:pt>
                <c:pt idx="103">
                  <c:v>18.535925750058247</c:v>
                </c:pt>
                <c:pt idx="104">
                  <c:v>19.010972059338325</c:v>
                </c:pt>
                <c:pt idx="105">
                  <c:v>20.287549360431242</c:v>
                </c:pt>
                <c:pt idx="106">
                  <c:v>21.929502729352535</c:v>
                </c:pt>
                <c:pt idx="107">
                  <c:v>21.662962859342677</c:v>
                </c:pt>
                <c:pt idx="108">
                  <c:v>20.58886484220594</c:v>
                </c:pt>
                <c:pt idx="109">
                  <c:v>19.9238596881634</c:v>
                </c:pt>
                <c:pt idx="110">
                  <c:v>19.296577972246542</c:v>
                </c:pt>
                <c:pt idx="111">
                  <c:v>20.244418926966993</c:v>
                </c:pt>
                <c:pt idx="112">
                  <c:v>20.267175919386556</c:v>
                </c:pt>
                <c:pt idx="113">
                  <c:v>20.528985137514709</c:v>
                </c:pt>
                <c:pt idx="114">
                  <c:v>21.730617629587464</c:v>
                </c:pt>
                <c:pt idx="115">
                  <c:v>22.1297259669029</c:v>
                </c:pt>
                <c:pt idx="116">
                  <c:v>22.569901496689969</c:v>
                </c:pt>
                <c:pt idx="117">
                  <c:v>24.067084418443251</c:v>
                </c:pt>
                <c:pt idx="118">
                  <c:v>24.736058670657624</c:v>
                </c:pt>
                <c:pt idx="119">
                  <c:v>25.23475573648324</c:v>
                </c:pt>
                <c:pt idx="120">
                  <c:v>24.02732001883604</c:v>
                </c:pt>
                <c:pt idx="121">
                  <c:v>24.27949357157285</c:v>
                </c:pt>
                <c:pt idx="122">
                  <c:v>25.436969332777085</c:v>
                </c:pt>
                <c:pt idx="123">
                  <c:v>25.408493470471537</c:v>
                </c:pt>
                <c:pt idx="124">
                  <c:v>26.926491396586147</c:v>
                </c:pt>
                <c:pt idx="125">
                  <c:v>27.980199367898365</c:v>
                </c:pt>
                <c:pt idx="126">
                  <c:v>26.162322985598127</c:v>
                </c:pt>
                <c:pt idx="127">
                  <c:v>26.935180323001525</c:v>
                </c:pt>
                <c:pt idx="128">
                  <c:v>29.637494464462939</c:v>
                </c:pt>
                <c:pt idx="129">
                  <c:v>30.61444496601823</c:v>
                </c:pt>
                <c:pt idx="130">
                  <c:v>31.299927436983481</c:v>
                </c:pt>
                <c:pt idx="131">
                  <c:v>32.216632992124012</c:v>
                </c:pt>
                <c:pt idx="132">
                  <c:v>31.279383166065472</c:v>
                </c:pt>
                <c:pt idx="133">
                  <c:v>30.252548282990183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9-42E6-BEFE-A8C70BEF73FA}"/>
            </c:ext>
          </c:extLst>
        </c:ser>
        <c:ser>
          <c:idx val="1"/>
          <c:order val="1"/>
          <c:tx>
            <c:strRef>
              <c:f>真實OLS再投資累積報酬!$C$24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真實OLS再投資累積報酬!$D$22:$EG$22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真實OLS再投資累積報酬!$D$24:$EG$24</c:f>
              <c:numCache>
                <c:formatCode>General</c:formatCode>
                <c:ptCount val="134"/>
                <c:pt idx="0">
                  <c:v>-7.4773642018864939E-3</c:v>
                </c:pt>
                <c:pt idx="1">
                  <c:v>-2.0613071426295315E-3</c:v>
                </c:pt>
                <c:pt idx="2">
                  <c:v>3.4509336694801274E-3</c:v>
                </c:pt>
                <c:pt idx="3">
                  <c:v>-5.6742602548122578E-2</c:v>
                </c:pt>
                <c:pt idx="4">
                  <c:v>-2.7811881860548726E-2</c:v>
                </c:pt>
                <c:pt idx="5">
                  <c:v>-4.4716665122293442E-2</c:v>
                </c:pt>
                <c:pt idx="6">
                  <c:v>1.0770031231770449E-2</c:v>
                </c:pt>
                <c:pt idx="7">
                  <c:v>5.1055973038990787E-2</c:v>
                </c:pt>
                <c:pt idx="8">
                  <c:v>6.7727495995814513E-2</c:v>
                </c:pt>
                <c:pt idx="9">
                  <c:v>0.13030417350407486</c:v>
                </c:pt>
                <c:pt idx="10">
                  <c:v>0.12818909094345354</c:v>
                </c:pt>
                <c:pt idx="11">
                  <c:v>0.17714394295791691</c:v>
                </c:pt>
                <c:pt idx="12">
                  <c:v>0.20683181625194602</c:v>
                </c:pt>
                <c:pt idx="13">
                  <c:v>0.19925575132375384</c:v>
                </c:pt>
                <c:pt idx="14">
                  <c:v>0.2077219192231714</c:v>
                </c:pt>
                <c:pt idx="15">
                  <c:v>0.21699003486270141</c:v>
                </c:pt>
                <c:pt idx="16">
                  <c:v>0.32941677392414337</c:v>
                </c:pt>
                <c:pt idx="17">
                  <c:v>0.460682274826691</c:v>
                </c:pt>
                <c:pt idx="18">
                  <c:v>0.50075501209876228</c:v>
                </c:pt>
                <c:pt idx="19">
                  <c:v>0.53501837874449687</c:v>
                </c:pt>
                <c:pt idx="20">
                  <c:v>0.58255621566379845</c:v>
                </c:pt>
                <c:pt idx="21">
                  <c:v>0.82055016294012328</c:v>
                </c:pt>
                <c:pt idx="22">
                  <c:v>0.92904450628665547</c:v>
                </c:pt>
                <c:pt idx="23">
                  <c:v>1.101880309641269</c:v>
                </c:pt>
                <c:pt idx="24">
                  <c:v>1.1897324935356348</c:v>
                </c:pt>
                <c:pt idx="25">
                  <c:v>1.2106743689598298</c:v>
                </c:pt>
                <c:pt idx="26">
                  <c:v>1.3496976261533722</c:v>
                </c:pt>
                <c:pt idx="27">
                  <c:v>1.4498187898693997</c:v>
                </c:pt>
                <c:pt idx="28">
                  <c:v>1.6386297947285708</c:v>
                </c:pt>
                <c:pt idx="29">
                  <c:v>1.8123322354275091</c:v>
                </c:pt>
                <c:pt idx="30">
                  <c:v>1.7844755004380533</c:v>
                </c:pt>
                <c:pt idx="31">
                  <c:v>1.934604740786614</c:v>
                </c:pt>
                <c:pt idx="32">
                  <c:v>1.8798859646830386</c:v>
                </c:pt>
                <c:pt idx="33">
                  <c:v>1.9174275515929291</c:v>
                </c:pt>
                <c:pt idx="34">
                  <c:v>1.9533690896965581</c:v>
                </c:pt>
                <c:pt idx="35">
                  <c:v>2.191408942020959</c:v>
                </c:pt>
                <c:pt idx="36">
                  <c:v>2.3249292838193245</c:v>
                </c:pt>
                <c:pt idx="37">
                  <c:v>2.2252556824962402</c:v>
                </c:pt>
                <c:pt idx="38">
                  <c:v>2.2307671499892767</c:v>
                </c:pt>
                <c:pt idx="39">
                  <c:v>2.382319821547922</c:v>
                </c:pt>
                <c:pt idx="40">
                  <c:v>2.4915462505469588</c:v>
                </c:pt>
                <c:pt idx="41">
                  <c:v>2.5643381596896657</c:v>
                </c:pt>
                <c:pt idx="42">
                  <c:v>2.6193791356543019</c:v>
                </c:pt>
                <c:pt idx="43">
                  <c:v>2.9392003094205545</c:v>
                </c:pt>
                <c:pt idx="44">
                  <c:v>3.0010277065426001</c:v>
                </c:pt>
                <c:pt idx="45">
                  <c:v>3.3337602016138765</c:v>
                </c:pt>
                <c:pt idx="46">
                  <c:v>3.5587370014139559</c:v>
                </c:pt>
                <c:pt idx="47">
                  <c:v>3.7795358907972885</c:v>
                </c:pt>
                <c:pt idx="48">
                  <c:v>4.1059167399851351</c:v>
                </c:pt>
                <c:pt idx="49">
                  <c:v>4.2653261978576253</c:v>
                </c:pt>
                <c:pt idx="50">
                  <c:v>4.4032160032931493</c:v>
                </c:pt>
                <c:pt idx="51">
                  <c:v>4.6974882890449194</c:v>
                </c:pt>
                <c:pt idx="52">
                  <c:v>4.9669285265340246</c:v>
                </c:pt>
                <c:pt idx="53">
                  <c:v>5.0323398657427258</c:v>
                </c:pt>
                <c:pt idx="54">
                  <c:v>4.7682814909562401</c:v>
                </c:pt>
                <c:pt idx="55">
                  <c:v>5.1834913645489005</c:v>
                </c:pt>
                <c:pt idx="56">
                  <c:v>5.5410569714755775</c:v>
                </c:pt>
                <c:pt idx="57">
                  <c:v>5.9488029642231197</c:v>
                </c:pt>
                <c:pt idx="58">
                  <c:v>6.4375783555607882</c:v>
                </c:pt>
                <c:pt idx="59">
                  <c:v>6.6180592835661889</c:v>
                </c:pt>
                <c:pt idx="60">
                  <c:v>6.550423137134433</c:v>
                </c:pt>
                <c:pt idx="61">
                  <c:v>6.847234131887145</c:v>
                </c:pt>
                <c:pt idx="62">
                  <c:v>7.0419401268041177</c:v>
                </c:pt>
                <c:pt idx="63">
                  <c:v>7.1080952638835999</c:v>
                </c:pt>
                <c:pt idx="64">
                  <c:v>7.7776442272618613</c:v>
                </c:pt>
                <c:pt idx="65">
                  <c:v>8.2832192014383192</c:v>
                </c:pt>
                <c:pt idx="66">
                  <c:v>8.5076549999217939</c:v>
                </c:pt>
                <c:pt idx="67">
                  <c:v>9.2818462484857953</c:v>
                </c:pt>
                <c:pt idx="68">
                  <c:v>9.6949761193349584</c:v>
                </c:pt>
                <c:pt idx="69">
                  <c:v>9.7005489684641333</c:v>
                </c:pt>
                <c:pt idx="70">
                  <c:v>9.8666981730947558</c:v>
                </c:pt>
                <c:pt idx="71">
                  <c:v>10.625351047625315</c:v>
                </c:pt>
                <c:pt idx="72">
                  <c:v>11.505552942373598</c:v>
                </c:pt>
                <c:pt idx="73">
                  <c:v>11.983645578739278</c:v>
                </c:pt>
                <c:pt idx="74">
                  <c:v>13.13780658526658</c:v>
                </c:pt>
                <c:pt idx="75">
                  <c:v>13.839320914808035</c:v>
                </c:pt>
                <c:pt idx="76">
                  <c:v>13.675776975795776</c:v>
                </c:pt>
                <c:pt idx="77">
                  <c:v>14.057602235165483</c:v>
                </c:pt>
                <c:pt idx="78">
                  <c:v>14.181448143148071</c:v>
                </c:pt>
                <c:pt idx="79">
                  <c:v>15.745692830951391</c:v>
                </c:pt>
                <c:pt idx="80">
                  <c:v>17.075934997553002</c:v>
                </c:pt>
                <c:pt idx="81">
                  <c:v>17.274140772551839</c:v>
                </c:pt>
                <c:pt idx="82">
                  <c:v>17.402220989937188</c:v>
                </c:pt>
                <c:pt idx="83">
                  <c:v>18.690026653005042</c:v>
                </c:pt>
                <c:pt idx="84">
                  <c:v>19.721125553818691</c:v>
                </c:pt>
                <c:pt idx="85">
                  <c:v>21.398752627218219</c:v>
                </c:pt>
                <c:pt idx="86">
                  <c:v>22.176267717530244</c:v>
                </c:pt>
                <c:pt idx="87">
                  <c:v>24.398980765900362</c:v>
                </c:pt>
                <c:pt idx="88">
                  <c:v>24.043122382887887</c:v>
                </c:pt>
                <c:pt idx="89">
                  <c:v>28.844731706967639</c:v>
                </c:pt>
                <c:pt idx="90">
                  <c:v>30.65476202426483</c:v>
                </c:pt>
                <c:pt idx="91">
                  <c:v>31.30612192759294</c:v>
                </c:pt>
                <c:pt idx="92">
                  <c:v>33.674783391540011</c:v>
                </c:pt>
                <c:pt idx="93">
                  <c:v>35.883362873124192</c:v>
                </c:pt>
                <c:pt idx="94">
                  <c:v>36.637175744360853</c:v>
                </c:pt>
                <c:pt idx="95">
                  <c:v>40.207754587052669</c:v>
                </c:pt>
                <c:pt idx="96">
                  <c:v>44.017988696623682</c:v>
                </c:pt>
                <c:pt idx="97">
                  <c:v>46.474930497180878</c:v>
                </c:pt>
                <c:pt idx="98">
                  <c:v>47.517866486171798</c:v>
                </c:pt>
                <c:pt idx="99">
                  <c:v>49.001680705851143</c:v>
                </c:pt>
                <c:pt idx="100">
                  <c:v>46.941523863620837</c:v>
                </c:pt>
                <c:pt idx="101">
                  <c:v>47.176351810547779</c:v>
                </c:pt>
                <c:pt idx="102">
                  <c:v>51.597184174541766</c:v>
                </c:pt>
                <c:pt idx="103">
                  <c:v>48.3700215993697</c:v>
                </c:pt>
                <c:pt idx="104">
                  <c:v>49.727663089310177</c:v>
                </c:pt>
                <c:pt idx="105">
                  <c:v>53.978948097282711</c:v>
                </c:pt>
                <c:pt idx="106">
                  <c:v>57.205466458029463</c:v>
                </c:pt>
                <c:pt idx="107">
                  <c:v>56.200163059337669</c:v>
                </c:pt>
                <c:pt idx="108">
                  <c:v>52.119745943082457</c:v>
                </c:pt>
                <c:pt idx="109">
                  <c:v>50.058353622278418</c:v>
                </c:pt>
                <c:pt idx="110">
                  <c:v>48.548536679824615</c:v>
                </c:pt>
                <c:pt idx="111">
                  <c:v>51.623293137964282</c:v>
                </c:pt>
                <c:pt idx="112">
                  <c:v>50.391861144052818</c:v>
                </c:pt>
                <c:pt idx="113">
                  <c:v>51.174667612519286</c:v>
                </c:pt>
                <c:pt idx="114">
                  <c:v>53.811784552114105</c:v>
                </c:pt>
                <c:pt idx="115">
                  <c:v>55.700641789466012</c:v>
                </c:pt>
                <c:pt idx="116">
                  <c:v>58.213905642112472</c:v>
                </c:pt>
                <c:pt idx="117">
                  <c:v>62.440920915454612</c:v>
                </c:pt>
                <c:pt idx="118">
                  <c:v>63.669085581483785</c:v>
                </c:pt>
                <c:pt idx="119">
                  <c:v>65.249216797953864</c:v>
                </c:pt>
                <c:pt idx="120">
                  <c:v>63.267358632294503</c:v>
                </c:pt>
                <c:pt idx="121">
                  <c:v>62.009399557944519</c:v>
                </c:pt>
                <c:pt idx="122">
                  <c:v>63.502650104909549</c:v>
                </c:pt>
                <c:pt idx="123">
                  <c:v>63.382115447367369</c:v>
                </c:pt>
                <c:pt idx="124">
                  <c:v>67.773746673784785</c:v>
                </c:pt>
                <c:pt idx="125">
                  <c:v>71.115789578060472</c:v>
                </c:pt>
                <c:pt idx="126">
                  <c:v>70.430356055685635</c:v>
                </c:pt>
                <c:pt idx="127">
                  <c:v>73.47463331228667</c:v>
                </c:pt>
                <c:pt idx="128">
                  <c:v>83.629737246444037</c:v>
                </c:pt>
                <c:pt idx="129">
                  <c:v>88.543305627075853</c:v>
                </c:pt>
                <c:pt idx="130">
                  <c:v>88.675466540592808</c:v>
                </c:pt>
                <c:pt idx="131">
                  <c:v>89.777135454942211</c:v>
                </c:pt>
                <c:pt idx="132">
                  <c:v>86.521188373558047</c:v>
                </c:pt>
                <c:pt idx="133">
                  <c:v>82.330738159218143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E9-42E6-BEFE-A8C70BEF73FA}"/>
            </c:ext>
          </c:extLst>
        </c:ser>
        <c:ser>
          <c:idx val="2"/>
          <c:order val="2"/>
          <c:tx>
            <c:strRef>
              <c:f>真實OLS再投資累積報酬!$C$25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真實OLS再投資累積報酬!$D$22:$EG$22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真實OLS再投資累積報酬!$D$25:$EG$25</c:f>
              <c:numCache>
                <c:formatCode>General</c:formatCode>
                <c:ptCount val="134"/>
                <c:pt idx="0">
                  <c:v>-3.3228977675766158E-2</c:v>
                </c:pt>
                <c:pt idx="1">
                  <c:v>0.10370799743454429</c:v>
                </c:pt>
                <c:pt idx="2">
                  <c:v>0.15659850805241926</c:v>
                </c:pt>
                <c:pt idx="3">
                  <c:v>8.6807150865061189E-2</c:v>
                </c:pt>
                <c:pt idx="4">
                  <c:v>8.9154553677129655E-2</c:v>
                </c:pt>
                <c:pt idx="5">
                  <c:v>0.1016888284000157</c:v>
                </c:pt>
                <c:pt idx="6">
                  <c:v>0.13379852760311284</c:v>
                </c:pt>
                <c:pt idx="7">
                  <c:v>0.2155164075169993</c:v>
                </c:pt>
                <c:pt idx="8">
                  <c:v>0.25566700143670396</c:v>
                </c:pt>
                <c:pt idx="9">
                  <c:v>0.3942391855583729</c:v>
                </c:pt>
                <c:pt idx="10">
                  <c:v>0.34889209500359097</c:v>
                </c:pt>
                <c:pt idx="11">
                  <c:v>0.42627726111613651</c:v>
                </c:pt>
                <c:pt idx="12">
                  <c:v>0.44085478637698849</c:v>
                </c:pt>
                <c:pt idx="13">
                  <c:v>0.45028002407424639</c:v>
                </c:pt>
                <c:pt idx="14">
                  <c:v>0.51864444592729675</c:v>
                </c:pt>
                <c:pt idx="15">
                  <c:v>0.55488146531145977</c:v>
                </c:pt>
                <c:pt idx="16">
                  <c:v>0.71316020022671101</c:v>
                </c:pt>
                <c:pt idx="17">
                  <c:v>0.95949010073308472</c:v>
                </c:pt>
                <c:pt idx="18">
                  <c:v>1.0284308846043189</c:v>
                </c:pt>
                <c:pt idx="19">
                  <c:v>1.1484688772960485</c:v>
                </c:pt>
                <c:pt idx="20">
                  <c:v>1.251154953159296</c:v>
                </c:pt>
                <c:pt idx="21">
                  <c:v>1.7421555646238822</c:v>
                </c:pt>
                <c:pt idx="22">
                  <c:v>1.8243007620764442</c:v>
                </c:pt>
                <c:pt idx="23">
                  <c:v>2.2359252511865408</c:v>
                </c:pt>
                <c:pt idx="24">
                  <c:v>2.5824393215559058</c:v>
                </c:pt>
                <c:pt idx="25">
                  <c:v>2.7051896937413766</c:v>
                </c:pt>
                <c:pt idx="26">
                  <c:v>2.9583331970477316</c:v>
                </c:pt>
                <c:pt idx="27">
                  <c:v>3.1096201228981428</c:v>
                </c:pt>
                <c:pt idx="28">
                  <c:v>3.5897754797682602</c:v>
                </c:pt>
                <c:pt idx="29">
                  <c:v>4.3082289775508844</c:v>
                </c:pt>
                <c:pt idx="30">
                  <c:v>4.1737752797928085</c:v>
                </c:pt>
                <c:pt idx="31">
                  <c:v>4.5838062280628611</c:v>
                </c:pt>
                <c:pt idx="32">
                  <c:v>4.7818227599275058</c:v>
                </c:pt>
                <c:pt idx="33">
                  <c:v>4.932494455460156</c:v>
                </c:pt>
                <c:pt idx="34">
                  <c:v>4.910210957926175</c:v>
                </c:pt>
                <c:pt idx="35">
                  <c:v>5.5127235165299044</c:v>
                </c:pt>
                <c:pt idx="36">
                  <c:v>5.6951724422315388</c:v>
                </c:pt>
                <c:pt idx="37">
                  <c:v>5.5670768999832445</c:v>
                </c:pt>
                <c:pt idx="38">
                  <c:v>5.8169170887370338</c:v>
                </c:pt>
                <c:pt idx="39">
                  <c:v>6.3432689273220975</c:v>
                </c:pt>
                <c:pt idx="40">
                  <c:v>6.7069042157176906</c:v>
                </c:pt>
                <c:pt idx="41">
                  <c:v>6.7653432940959624</c:v>
                </c:pt>
                <c:pt idx="42">
                  <c:v>6.9764305721745838</c:v>
                </c:pt>
                <c:pt idx="43">
                  <c:v>7.9905273327275452</c:v>
                </c:pt>
                <c:pt idx="44">
                  <c:v>8.5067779149194713</c:v>
                </c:pt>
                <c:pt idx="45">
                  <c:v>8.7223488055102241</c:v>
                </c:pt>
                <c:pt idx="46">
                  <c:v>9.9348280530705235</c:v>
                </c:pt>
                <c:pt idx="47">
                  <c:v>10.52205803313956</c:v>
                </c:pt>
                <c:pt idx="48">
                  <c:v>12.172575735508786</c:v>
                </c:pt>
                <c:pt idx="49">
                  <c:v>12.977032582109395</c:v>
                </c:pt>
                <c:pt idx="50">
                  <c:v>13.911953937275138</c:v>
                </c:pt>
                <c:pt idx="51">
                  <c:v>15.999357453310562</c:v>
                </c:pt>
                <c:pt idx="52">
                  <c:v>16.580774611239832</c:v>
                </c:pt>
                <c:pt idx="53">
                  <c:v>17.531712603917445</c:v>
                </c:pt>
                <c:pt idx="54">
                  <c:v>16.23297738073628</c:v>
                </c:pt>
                <c:pt idx="55">
                  <c:v>18.131578116746518</c:v>
                </c:pt>
                <c:pt idx="56">
                  <c:v>20.053819133845586</c:v>
                </c:pt>
                <c:pt idx="57">
                  <c:v>21.571529251341985</c:v>
                </c:pt>
                <c:pt idx="58">
                  <c:v>22.538269356335714</c:v>
                </c:pt>
                <c:pt idx="59">
                  <c:v>24.153093391397459</c:v>
                </c:pt>
                <c:pt idx="60">
                  <c:v>23.305649960899231</c:v>
                </c:pt>
                <c:pt idx="61">
                  <c:v>24.338557886678792</c:v>
                </c:pt>
                <c:pt idx="62">
                  <c:v>24.772614489240208</c:v>
                </c:pt>
                <c:pt idx="63">
                  <c:v>26.906398396420059</c:v>
                </c:pt>
                <c:pt idx="64">
                  <c:v>27.468459242165054</c:v>
                </c:pt>
                <c:pt idx="65">
                  <c:v>29.470342631351578</c:v>
                </c:pt>
                <c:pt idx="66">
                  <c:v>29.898606204558391</c:v>
                </c:pt>
                <c:pt idx="67">
                  <c:v>32.58147608784347</c:v>
                </c:pt>
                <c:pt idx="68">
                  <c:v>33.600093733084364</c:v>
                </c:pt>
                <c:pt idx="69">
                  <c:v>32.536954779045537</c:v>
                </c:pt>
                <c:pt idx="70">
                  <c:v>33.140704267997577</c:v>
                </c:pt>
                <c:pt idx="71">
                  <c:v>36.615178497675466</c:v>
                </c:pt>
                <c:pt idx="72">
                  <c:v>41.538911646954993</c:v>
                </c:pt>
                <c:pt idx="73">
                  <c:v>44.456716650910138</c:v>
                </c:pt>
                <c:pt idx="74">
                  <c:v>47.484587295348497</c:v>
                </c:pt>
                <c:pt idx="75">
                  <c:v>48.772260607338175</c:v>
                </c:pt>
                <c:pt idx="76">
                  <c:v>43.96842494741113</c:v>
                </c:pt>
                <c:pt idx="77">
                  <c:v>46.643014669313828</c:v>
                </c:pt>
                <c:pt idx="78">
                  <c:v>48.023503487422253</c:v>
                </c:pt>
                <c:pt idx="79">
                  <c:v>52.75857283205</c:v>
                </c:pt>
                <c:pt idx="80">
                  <c:v>58.906032750751002</c:v>
                </c:pt>
                <c:pt idx="81">
                  <c:v>60.148202210998306</c:v>
                </c:pt>
                <c:pt idx="82">
                  <c:v>59.912485310352089</c:v>
                </c:pt>
                <c:pt idx="83">
                  <c:v>61.446164303693038</c:v>
                </c:pt>
                <c:pt idx="84">
                  <c:v>65.481994995305385</c:v>
                </c:pt>
                <c:pt idx="85">
                  <c:v>73.813325982792662</c:v>
                </c:pt>
                <c:pt idx="86">
                  <c:v>77.573650133906895</c:v>
                </c:pt>
                <c:pt idx="87">
                  <c:v>79.15038296392035</c:v>
                </c:pt>
                <c:pt idx="88">
                  <c:v>79.558918032179818</c:v>
                </c:pt>
                <c:pt idx="89">
                  <c:v>97.110645254181719</c:v>
                </c:pt>
                <c:pt idx="90">
                  <c:v>108.7524529895247</c:v>
                </c:pt>
                <c:pt idx="91">
                  <c:v>119.03179724702747</c:v>
                </c:pt>
                <c:pt idx="92">
                  <c:v>130.12907049010076</c:v>
                </c:pt>
                <c:pt idx="93">
                  <c:v>146.59752277491074</c:v>
                </c:pt>
                <c:pt idx="94">
                  <c:v>143.37819698584519</c:v>
                </c:pt>
                <c:pt idx="95">
                  <c:v>157.76939463328367</c:v>
                </c:pt>
                <c:pt idx="96">
                  <c:v>177.13035173299511</c:v>
                </c:pt>
                <c:pt idx="97">
                  <c:v>187.58216384681467</c:v>
                </c:pt>
                <c:pt idx="98">
                  <c:v>185.94652487594772</c:v>
                </c:pt>
                <c:pt idx="99">
                  <c:v>202.8912134464569</c:v>
                </c:pt>
                <c:pt idx="100">
                  <c:v>183.24402569573306</c:v>
                </c:pt>
                <c:pt idx="101">
                  <c:v>185.14199703910162</c:v>
                </c:pt>
                <c:pt idx="102">
                  <c:v>201.9422776382454</c:v>
                </c:pt>
                <c:pt idx="103">
                  <c:v>183.62896669519967</c:v>
                </c:pt>
                <c:pt idx="104">
                  <c:v>187.24530880574176</c:v>
                </c:pt>
                <c:pt idx="105">
                  <c:v>205.13357838006092</c:v>
                </c:pt>
                <c:pt idx="106">
                  <c:v>211.19417851762819</c:v>
                </c:pt>
                <c:pt idx="107">
                  <c:v>197.57546959250342</c:v>
                </c:pt>
                <c:pt idx="108">
                  <c:v>180.23490528192858</c:v>
                </c:pt>
                <c:pt idx="109">
                  <c:v>178.71013246077973</c:v>
                </c:pt>
                <c:pt idx="110">
                  <c:v>171.40327398968049</c:v>
                </c:pt>
                <c:pt idx="111">
                  <c:v>184.49209173637058</c:v>
                </c:pt>
                <c:pt idx="112">
                  <c:v>170.13253970521089</c:v>
                </c:pt>
                <c:pt idx="113">
                  <c:v>178.498992716842</c:v>
                </c:pt>
                <c:pt idx="114">
                  <c:v>176.69657468995109</c:v>
                </c:pt>
                <c:pt idx="115">
                  <c:v>180.12680092820682</c:v>
                </c:pt>
                <c:pt idx="116">
                  <c:v>192.85794094041549</c:v>
                </c:pt>
                <c:pt idx="117">
                  <c:v>205.67759152324962</c:v>
                </c:pt>
                <c:pt idx="118">
                  <c:v>215.23127902209762</c:v>
                </c:pt>
                <c:pt idx="119">
                  <c:v>212.16807472424429</c:v>
                </c:pt>
                <c:pt idx="120">
                  <c:v>193.10280081348833</c:v>
                </c:pt>
                <c:pt idx="121">
                  <c:v>199.34286475090002</c:v>
                </c:pt>
                <c:pt idx="122">
                  <c:v>223.16715471311076</c:v>
                </c:pt>
                <c:pt idx="123">
                  <c:v>222.93059060159993</c:v>
                </c:pt>
                <c:pt idx="124">
                  <c:v>240.54647276619048</c:v>
                </c:pt>
                <c:pt idx="125">
                  <c:v>256.31730185991916</c:v>
                </c:pt>
                <c:pt idx="126">
                  <c:v>244.05330538342295</c:v>
                </c:pt>
                <c:pt idx="127">
                  <c:v>248.39809111721237</c:v>
                </c:pt>
                <c:pt idx="128">
                  <c:v>296.36985366708598</c:v>
                </c:pt>
                <c:pt idx="129">
                  <c:v>322.58561767523929</c:v>
                </c:pt>
                <c:pt idx="130">
                  <c:v>320.38080438064043</c:v>
                </c:pt>
                <c:pt idx="131">
                  <c:v>330.86485699907155</c:v>
                </c:pt>
                <c:pt idx="132">
                  <c:v>316.75869590418648</c:v>
                </c:pt>
                <c:pt idx="133">
                  <c:v>289.7646547576893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E9-42E6-BEFE-A8C70BEF73FA}"/>
            </c:ext>
          </c:extLst>
        </c:ser>
        <c:ser>
          <c:idx val="3"/>
          <c:order val="3"/>
          <c:tx>
            <c:strRef>
              <c:f>真實OLS再投資累積報酬!$C$26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真實OLS再投資累積報酬!$D$22:$EG$22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真實OLS再投資累積報酬!$D$26:$EG$26</c:f>
              <c:numCache>
                <c:formatCode>General</c:formatCode>
                <c:ptCount val="134"/>
                <c:pt idx="0">
                  <c:v>-3.6350225217569587E-2</c:v>
                </c:pt>
                <c:pt idx="1">
                  <c:v>0.22675976836332001</c:v>
                </c:pt>
                <c:pt idx="2">
                  <c:v>0.34372469448557963</c:v>
                </c:pt>
                <c:pt idx="3">
                  <c:v>0.39064949115372549</c:v>
                </c:pt>
                <c:pt idx="4">
                  <c:v>0.52427699783670656</c:v>
                </c:pt>
                <c:pt idx="5">
                  <c:v>0.52617278085868624</c:v>
                </c:pt>
                <c:pt idx="6">
                  <c:v>0.56122860450817025</c:v>
                </c:pt>
                <c:pt idx="7">
                  <c:v>0.59121604682361628</c:v>
                </c:pt>
                <c:pt idx="8">
                  <c:v>0.59825673659641843</c:v>
                </c:pt>
                <c:pt idx="9">
                  <c:v>0.6377078454256413</c:v>
                </c:pt>
                <c:pt idx="10">
                  <c:v>0.74854042463016812</c:v>
                </c:pt>
                <c:pt idx="11">
                  <c:v>0.94052350905306814</c:v>
                </c:pt>
                <c:pt idx="12">
                  <c:v>0.83708535887676017</c:v>
                </c:pt>
                <c:pt idx="13">
                  <c:v>0.87731122674904372</c:v>
                </c:pt>
                <c:pt idx="14">
                  <c:v>0.9927130574775116</c:v>
                </c:pt>
                <c:pt idx="15">
                  <c:v>1.0172699988325351</c:v>
                </c:pt>
                <c:pt idx="16">
                  <c:v>1.3063867881782332</c:v>
                </c:pt>
                <c:pt idx="17">
                  <c:v>1.7641867749931914</c:v>
                </c:pt>
                <c:pt idx="18">
                  <c:v>1.8615224638459407</c:v>
                </c:pt>
                <c:pt idx="19">
                  <c:v>2.3985334892296057</c:v>
                </c:pt>
                <c:pt idx="20">
                  <c:v>2.5707420214731673</c:v>
                </c:pt>
                <c:pt idx="21">
                  <c:v>3.4700807165140777</c:v>
                </c:pt>
                <c:pt idx="22">
                  <c:v>3.5116819647100179</c:v>
                </c:pt>
                <c:pt idx="23">
                  <c:v>3.8961774485877134</c:v>
                </c:pt>
                <c:pt idx="24">
                  <c:v>4.4511357083854879</c:v>
                </c:pt>
                <c:pt idx="25">
                  <c:v>4.6322279740989831</c:v>
                </c:pt>
                <c:pt idx="26">
                  <c:v>5.5284526120987687</c:v>
                </c:pt>
                <c:pt idx="27">
                  <c:v>5.4779993454142817</c:v>
                </c:pt>
                <c:pt idx="28">
                  <c:v>6.8499919484380705</c:v>
                </c:pt>
                <c:pt idx="29">
                  <c:v>8.4468850516462304</c:v>
                </c:pt>
                <c:pt idx="30">
                  <c:v>8.0281561774797989</c:v>
                </c:pt>
                <c:pt idx="31">
                  <c:v>9.5181612826390527</c:v>
                </c:pt>
                <c:pt idx="32">
                  <c:v>9.7795297769127814</c:v>
                </c:pt>
                <c:pt idx="33">
                  <c:v>10.318151713598009</c:v>
                </c:pt>
                <c:pt idx="34">
                  <c:v>10.340342617332849</c:v>
                </c:pt>
                <c:pt idx="35">
                  <c:v>11.358522241934264</c:v>
                </c:pt>
                <c:pt idx="36">
                  <c:v>11.098391847251591</c:v>
                </c:pt>
                <c:pt idx="37">
                  <c:v>10.668893368205394</c:v>
                </c:pt>
                <c:pt idx="38">
                  <c:v>11.268493855661966</c:v>
                </c:pt>
                <c:pt idx="39">
                  <c:v>12.189540720012907</c:v>
                </c:pt>
                <c:pt idx="40">
                  <c:v>13.853827126466976</c:v>
                </c:pt>
                <c:pt idx="41">
                  <c:v>14.117242308585606</c:v>
                </c:pt>
                <c:pt idx="42">
                  <c:v>14.12933050614844</c:v>
                </c:pt>
                <c:pt idx="43">
                  <c:v>15.924610247320818</c:v>
                </c:pt>
                <c:pt idx="44">
                  <c:v>17.23075142597305</c:v>
                </c:pt>
                <c:pt idx="45">
                  <c:v>17.149382996092733</c:v>
                </c:pt>
                <c:pt idx="46">
                  <c:v>20.586164147398268</c:v>
                </c:pt>
                <c:pt idx="47">
                  <c:v>23.029207823787676</c:v>
                </c:pt>
                <c:pt idx="48">
                  <c:v>27.835200046995148</c:v>
                </c:pt>
                <c:pt idx="49">
                  <c:v>29.791562519585703</c:v>
                </c:pt>
                <c:pt idx="50">
                  <c:v>29.325016816473532</c:v>
                </c:pt>
                <c:pt idx="51">
                  <c:v>31.892478047581015</c:v>
                </c:pt>
                <c:pt idx="52">
                  <c:v>33.835529120041514</c:v>
                </c:pt>
                <c:pt idx="53">
                  <c:v>34.171604230236753</c:v>
                </c:pt>
                <c:pt idx="54">
                  <c:v>32.715571188950165</c:v>
                </c:pt>
                <c:pt idx="55">
                  <c:v>37.005955577163299</c:v>
                </c:pt>
                <c:pt idx="56">
                  <c:v>41.915180704218166</c:v>
                </c:pt>
                <c:pt idx="57">
                  <c:v>44.85213549518464</c:v>
                </c:pt>
                <c:pt idx="58">
                  <c:v>51.058404625969054</c:v>
                </c:pt>
                <c:pt idx="59">
                  <c:v>57.831736928629994</c:v>
                </c:pt>
                <c:pt idx="60">
                  <c:v>60.514754308375899</c:v>
                </c:pt>
                <c:pt idx="61">
                  <c:v>61.813494813225255</c:v>
                </c:pt>
                <c:pt idx="62">
                  <c:v>62.512391260998456</c:v>
                </c:pt>
                <c:pt idx="63">
                  <c:v>68.946512020517474</c:v>
                </c:pt>
                <c:pt idx="64">
                  <c:v>70.970630536114143</c:v>
                </c:pt>
                <c:pt idx="65">
                  <c:v>80.922414979275089</c:v>
                </c:pt>
                <c:pt idx="66">
                  <c:v>80.446634772196148</c:v>
                </c:pt>
                <c:pt idx="67">
                  <c:v>91.181327930304008</c:v>
                </c:pt>
                <c:pt idx="68">
                  <c:v>92.275143354962509</c:v>
                </c:pt>
                <c:pt idx="69">
                  <c:v>86.692538711066433</c:v>
                </c:pt>
                <c:pt idx="70">
                  <c:v>85.36486644921537</c:v>
                </c:pt>
                <c:pt idx="71">
                  <c:v>99.579992086567302</c:v>
                </c:pt>
                <c:pt idx="72">
                  <c:v>129.64123849295535</c:v>
                </c:pt>
                <c:pt idx="73">
                  <c:v>138.24594926307606</c:v>
                </c:pt>
                <c:pt idx="74">
                  <c:v>140.66311446308279</c:v>
                </c:pt>
                <c:pt idx="75">
                  <c:v>142.47254149960406</c:v>
                </c:pt>
                <c:pt idx="76">
                  <c:v>129.14099635655651</c:v>
                </c:pt>
                <c:pt idx="77">
                  <c:v>141.20299819576687</c:v>
                </c:pt>
                <c:pt idx="78">
                  <c:v>136.17490734480052</c:v>
                </c:pt>
                <c:pt idx="79">
                  <c:v>134.81800546395075</c:v>
                </c:pt>
                <c:pt idx="80">
                  <c:v>148.05900402079806</c:v>
                </c:pt>
                <c:pt idx="81">
                  <c:v>154.79806156051626</c:v>
                </c:pt>
                <c:pt idx="82">
                  <c:v>158.61697555678884</c:v>
                </c:pt>
                <c:pt idx="83">
                  <c:v>164.2502155713496</c:v>
                </c:pt>
                <c:pt idx="84">
                  <c:v>180.04611977909195</c:v>
                </c:pt>
                <c:pt idx="85">
                  <c:v>190.35987527792301</c:v>
                </c:pt>
                <c:pt idx="86">
                  <c:v>194.46592639554626</c:v>
                </c:pt>
                <c:pt idx="87">
                  <c:v>207.17639858095276</c:v>
                </c:pt>
                <c:pt idx="88">
                  <c:v>216.88294288056181</c:v>
                </c:pt>
                <c:pt idx="89">
                  <c:v>283.93827642645596</c:v>
                </c:pt>
                <c:pt idx="90">
                  <c:v>340.77098906376204</c:v>
                </c:pt>
                <c:pt idx="91">
                  <c:v>385.23496673217284</c:v>
                </c:pt>
                <c:pt idx="92">
                  <c:v>411.1470904961364</c:v>
                </c:pt>
                <c:pt idx="93">
                  <c:v>467.39614828058239</c:v>
                </c:pt>
                <c:pt idx="94">
                  <c:v>439.33334990104902</c:v>
                </c:pt>
                <c:pt idx="95">
                  <c:v>513.63346721215669</c:v>
                </c:pt>
                <c:pt idx="96">
                  <c:v>608.46503748170562</c:v>
                </c:pt>
                <c:pt idx="97">
                  <c:v>660.05128155376747</c:v>
                </c:pt>
                <c:pt idx="98">
                  <c:v>687.80403927042278</c:v>
                </c:pt>
                <c:pt idx="99">
                  <c:v>792.76935690638288</c:v>
                </c:pt>
                <c:pt idx="100">
                  <c:v>718.99015865630986</c:v>
                </c:pt>
                <c:pt idx="101">
                  <c:v>736.09952609430854</c:v>
                </c:pt>
                <c:pt idx="102">
                  <c:v>856.00427829477837</c:v>
                </c:pt>
                <c:pt idx="103">
                  <c:v>676.32184571105222</c:v>
                </c:pt>
                <c:pt idx="104">
                  <c:v>733.72279570613819</c:v>
                </c:pt>
                <c:pt idx="105">
                  <c:v>807.34110176193008</c:v>
                </c:pt>
                <c:pt idx="106">
                  <c:v>789.30415104689644</c:v>
                </c:pt>
                <c:pt idx="107">
                  <c:v>794.08906829275804</c:v>
                </c:pt>
                <c:pt idx="108">
                  <c:v>704.17120296224459</c:v>
                </c:pt>
                <c:pt idx="109">
                  <c:v>704.83294603242859</c:v>
                </c:pt>
                <c:pt idx="110">
                  <c:v>666.64151206980489</c:v>
                </c:pt>
                <c:pt idx="111">
                  <c:v>700.10237511741684</c:v>
                </c:pt>
                <c:pt idx="112">
                  <c:v>649.4907777393762</c:v>
                </c:pt>
                <c:pt idx="113">
                  <c:v>698.49069423075605</c:v>
                </c:pt>
                <c:pt idx="114">
                  <c:v>661.89487072633415</c:v>
                </c:pt>
                <c:pt idx="115">
                  <c:v>630.7622185121545</c:v>
                </c:pt>
                <c:pt idx="116">
                  <c:v>652.30809986686495</c:v>
                </c:pt>
                <c:pt idx="117">
                  <c:v>747.32649154846922</c:v>
                </c:pt>
                <c:pt idx="118">
                  <c:v>778.69373339028721</c:v>
                </c:pt>
                <c:pt idx="119">
                  <c:v>750.48837685973592</c:v>
                </c:pt>
                <c:pt idx="120">
                  <c:v>743.29547395335487</c:v>
                </c:pt>
                <c:pt idx="121">
                  <c:v>779.88471555936633</c:v>
                </c:pt>
                <c:pt idx="122">
                  <c:v>927.1913118969029</c:v>
                </c:pt>
                <c:pt idx="123">
                  <c:v>942.21886421532474</c:v>
                </c:pt>
                <c:pt idx="124">
                  <c:v>997.87223622487318</c:v>
                </c:pt>
                <c:pt idx="125">
                  <c:v>1110.1492241756769</c:v>
                </c:pt>
                <c:pt idx="126">
                  <c:v>1203.1231184482504</c:v>
                </c:pt>
                <c:pt idx="127">
                  <c:v>1184.2610768322072</c:v>
                </c:pt>
                <c:pt idx="128">
                  <c:v>1356.4235563125631</c:v>
                </c:pt>
                <c:pt idx="129">
                  <c:v>1458.6299350502122</c:v>
                </c:pt>
                <c:pt idx="130">
                  <c:v>1479.2811713814963</c:v>
                </c:pt>
                <c:pt idx="131">
                  <c:v>1566.9994919954297</c:v>
                </c:pt>
                <c:pt idx="132">
                  <c:v>1489.6278429163283</c:v>
                </c:pt>
                <c:pt idx="133">
                  <c:v>1251.599262507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9-42E6-BEFE-A8C70BEF73FA}"/>
            </c:ext>
          </c:extLst>
        </c:ser>
        <c:ser>
          <c:idx val="4"/>
          <c:order val="4"/>
          <c:tx>
            <c:strRef>
              <c:f>真實OLS再投資累積報酬!$C$27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真實OLS再投資累積報酬!$D$22:$EG$22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真實OLS再投資累積報酬!$D$27:$EG$27</c:f>
              <c:numCache>
                <c:formatCode>General</c:formatCode>
                <c:ptCount val="134"/>
                <c:pt idx="0">
                  <c:v>1.1241331728202963E-2</c:v>
                </c:pt>
                <c:pt idx="1">
                  <c:v>0.23632989290661865</c:v>
                </c:pt>
                <c:pt idx="2">
                  <c:v>0.41698848138295364</c:v>
                </c:pt>
                <c:pt idx="3">
                  <c:v>0.70822391550713659</c:v>
                </c:pt>
                <c:pt idx="4">
                  <c:v>1.2323568185130069</c:v>
                </c:pt>
                <c:pt idx="5">
                  <c:v>1.2064993712674799</c:v>
                </c:pt>
                <c:pt idx="6">
                  <c:v>1.2638799262918874</c:v>
                </c:pt>
                <c:pt idx="7">
                  <c:v>1.1668710082147919</c:v>
                </c:pt>
                <c:pt idx="8">
                  <c:v>1.1902979796060276</c:v>
                </c:pt>
                <c:pt idx="9">
                  <c:v>1.2641183189256071</c:v>
                </c:pt>
                <c:pt idx="10">
                  <c:v>1.3474284194302708</c:v>
                </c:pt>
                <c:pt idx="11">
                  <c:v>1.742133456891386</c:v>
                </c:pt>
                <c:pt idx="12">
                  <c:v>1.4195177613521364</c:v>
                </c:pt>
                <c:pt idx="13">
                  <c:v>1.5238925611241951</c:v>
                </c:pt>
                <c:pt idx="14">
                  <c:v>1.7394641584428125</c:v>
                </c:pt>
                <c:pt idx="15">
                  <c:v>1.6586757980107527</c:v>
                </c:pt>
                <c:pt idx="16">
                  <c:v>1.9823800926231834</c:v>
                </c:pt>
                <c:pt idx="17">
                  <c:v>2.7411614564649027</c:v>
                </c:pt>
                <c:pt idx="18">
                  <c:v>2.8570323823028105</c:v>
                </c:pt>
                <c:pt idx="19">
                  <c:v>3.8040731456202108</c:v>
                </c:pt>
                <c:pt idx="20">
                  <c:v>4.8919250616295358</c:v>
                </c:pt>
                <c:pt idx="21">
                  <c:v>6.208081590630063</c:v>
                </c:pt>
                <c:pt idx="22">
                  <c:v>6.7927371946839061</c:v>
                </c:pt>
                <c:pt idx="23">
                  <c:v>7.7197866994885107</c:v>
                </c:pt>
                <c:pt idx="24">
                  <c:v>8.7965964132561076</c:v>
                </c:pt>
                <c:pt idx="25">
                  <c:v>9.5258497397373816</c:v>
                </c:pt>
                <c:pt idx="26">
                  <c:v>11.135142702989755</c:v>
                </c:pt>
                <c:pt idx="27">
                  <c:v>12.577390389061087</c:v>
                </c:pt>
                <c:pt idx="28">
                  <c:v>14.766353657601719</c:v>
                </c:pt>
                <c:pt idx="29">
                  <c:v>19.592561060334226</c:v>
                </c:pt>
                <c:pt idx="30">
                  <c:v>18.93023739383958</c:v>
                </c:pt>
                <c:pt idx="31">
                  <c:v>27.076873391931922</c:v>
                </c:pt>
                <c:pt idx="32">
                  <c:v>29.415097263352898</c:v>
                </c:pt>
                <c:pt idx="33">
                  <c:v>31.347345463217806</c:v>
                </c:pt>
                <c:pt idx="34">
                  <c:v>32.37349750086743</c:v>
                </c:pt>
                <c:pt idx="35">
                  <c:v>37.537527889820282</c:v>
                </c:pt>
                <c:pt idx="36">
                  <c:v>39.211658798029632</c:v>
                </c:pt>
                <c:pt idx="37">
                  <c:v>37.826587552987924</c:v>
                </c:pt>
                <c:pt idx="38">
                  <c:v>35.919880051593346</c:v>
                </c:pt>
                <c:pt idx="39">
                  <c:v>39.546554009642747</c:v>
                </c:pt>
                <c:pt idx="40">
                  <c:v>45.405791700505873</c:v>
                </c:pt>
                <c:pt idx="41">
                  <c:v>44.02572986807143</c:v>
                </c:pt>
                <c:pt idx="42">
                  <c:v>44.791744308340405</c:v>
                </c:pt>
                <c:pt idx="43">
                  <c:v>53.641609963877201</c:v>
                </c:pt>
                <c:pt idx="44">
                  <c:v>61.459329405921231</c:v>
                </c:pt>
                <c:pt idx="45">
                  <c:v>57.660697781480927</c:v>
                </c:pt>
                <c:pt idx="46">
                  <c:v>72.549654537267728</c:v>
                </c:pt>
                <c:pt idx="47">
                  <c:v>75.421437117346528</c:v>
                </c:pt>
                <c:pt idx="48">
                  <c:v>102.54611621226277</c:v>
                </c:pt>
                <c:pt idx="49">
                  <c:v>118.72768277521305</c:v>
                </c:pt>
                <c:pt idx="50">
                  <c:v>130.94919373304381</c:v>
                </c:pt>
                <c:pt idx="51">
                  <c:v>159.16451051745599</c:v>
                </c:pt>
                <c:pt idx="52">
                  <c:v>173.0694730045972</c:v>
                </c:pt>
                <c:pt idx="53">
                  <c:v>171.10104398613441</c:v>
                </c:pt>
                <c:pt idx="54">
                  <c:v>154.18723309309127</c:v>
                </c:pt>
                <c:pt idx="55">
                  <c:v>163.47508866651623</c:v>
                </c:pt>
                <c:pt idx="56">
                  <c:v>172.69216225587385</c:v>
                </c:pt>
                <c:pt idx="57">
                  <c:v>185.1111495572423</c:v>
                </c:pt>
                <c:pt idx="58">
                  <c:v>211.25398266613178</c:v>
                </c:pt>
                <c:pt idx="59">
                  <c:v>221.68409748742738</c:v>
                </c:pt>
                <c:pt idx="60">
                  <c:v>198.8370911767361</c:v>
                </c:pt>
                <c:pt idx="61">
                  <c:v>202.40378000063887</c:v>
                </c:pt>
                <c:pt idx="62">
                  <c:v>204.32029173694093</c:v>
                </c:pt>
                <c:pt idx="63">
                  <c:v>252.9131484498028</c:v>
                </c:pt>
                <c:pt idx="64">
                  <c:v>269.58405845236058</c:v>
                </c:pt>
                <c:pt idx="65">
                  <c:v>323.49220207144964</c:v>
                </c:pt>
                <c:pt idx="66">
                  <c:v>310.23102543000141</c:v>
                </c:pt>
                <c:pt idx="67">
                  <c:v>376.89361684213446</c:v>
                </c:pt>
                <c:pt idx="68">
                  <c:v>364.59839540559773</c:v>
                </c:pt>
                <c:pt idx="69">
                  <c:v>329.30699905389451</c:v>
                </c:pt>
                <c:pt idx="70">
                  <c:v>315.86892218344576</c:v>
                </c:pt>
                <c:pt idx="71">
                  <c:v>356.88369972698979</c:v>
                </c:pt>
                <c:pt idx="72">
                  <c:v>482.79776077159499</c:v>
                </c:pt>
                <c:pt idx="73">
                  <c:v>473.03304780181497</c:v>
                </c:pt>
                <c:pt idx="74">
                  <c:v>468.62701095581542</c:v>
                </c:pt>
                <c:pt idx="75">
                  <c:v>480.95462548536375</c:v>
                </c:pt>
                <c:pt idx="76">
                  <c:v>492.64131896427261</c:v>
                </c:pt>
                <c:pt idx="77">
                  <c:v>492.58812659407585</c:v>
                </c:pt>
                <c:pt idx="78">
                  <c:v>442.52378846196768</c:v>
                </c:pt>
                <c:pt idx="79">
                  <c:v>432.23047533936409</c:v>
                </c:pt>
                <c:pt idx="80">
                  <c:v>481.5184452442283</c:v>
                </c:pt>
                <c:pt idx="81">
                  <c:v>488.31952307427213</c:v>
                </c:pt>
                <c:pt idx="82">
                  <c:v>541.65076247175955</c:v>
                </c:pt>
                <c:pt idx="83">
                  <c:v>595.42522667856463</c:v>
                </c:pt>
                <c:pt idx="84">
                  <c:v>704.48200577494094</c:v>
                </c:pt>
                <c:pt idx="85">
                  <c:v>814.51572587774388</c:v>
                </c:pt>
                <c:pt idx="86">
                  <c:v>822.27451755704567</c:v>
                </c:pt>
                <c:pt idx="87">
                  <c:v>870.93182863151208</c:v>
                </c:pt>
                <c:pt idx="88">
                  <c:v>801.65272306687189</c:v>
                </c:pt>
                <c:pt idx="89">
                  <c:v>1094.6862380227485</c:v>
                </c:pt>
                <c:pt idx="90">
                  <c:v>1329.4578911705639</c:v>
                </c:pt>
                <c:pt idx="91">
                  <c:v>1537.8884291567349</c:v>
                </c:pt>
                <c:pt idx="92">
                  <c:v>1652.2318860812854</c:v>
                </c:pt>
                <c:pt idx="93">
                  <c:v>1896.6336914352787</c:v>
                </c:pt>
                <c:pt idx="94">
                  <c:v>1719.3454225243272</c:v>
                </c:pt>
                <c:pt idx="95">
                  <c:v>1909.5192179800367</c:v>
                </c:pt>
                <c:pt idx="96">
                  <c:v>2271.6236516601589</c:v>
                </c:pt>
                <c:pt idx="97">
                  <c:v>2333.2959278432795</c:v>
                </c:pt>
                <c:pt idx="98">
                  <c:v>2519.3269548929243</c:v>
                </c:pt>
                <c:pt idx="99">
                  <c:v>2885.1629675245836</c:v>
                </c:pt>
                <c:pt idx="100">
                  <c:v>2593.7567408136861</c:v>
                </c:pt>
                <c:pt idx="101">
                  <c:v>2627.6510980807493</c:v>
                </c:pt>
                <c:pt idx="102">
                  <c:v>2973.7492198425462</c:v>
                </c:pt>
                <c:pt idx="103">
                  <c:v>1835.9376279324599</c:v>
                </c:pt>
                <c:pt idx="104">
                  <c:v>2094.6431013650331</c:v>
                </c:pt>
                <c:pt idx="105">
                  <c:v>2219.3334669776536</c:v>
                </c:pt>
                <c:pt idx="106">
                  <c:v>2140.235310150159</c:v>
                </c:pt>
                <c:pt idx="107">
                  <c:v>2237.661427881023</c:v>
                </c:pt>
                <c:pt idx="108">
                  <c:v>1959.9032990673686</c:v>
                </c:pt>
                <c:pt idx="109">
                  <c:v>1865.6654000648762</c:v>
                </c:pt>
                <c:pt idx="110">
                  <c:v>1727.06860100271</c:v>
                </c:pt>
                <c:pt idx="111">
                  <c:v>2021.4216883377596</c:v>
                </c:pt>
                <c:pt idx="112">
                  <c:v>1979.4247702390237</c:v>
                </c:pt>
                <c:pt idx="113">
                  <c:v>1999.6916830618432</c:v>
                </c:pt>
                <c:pt idx="114">
                  <c:v>1751.9574470538389</c:v>
                </c:pt>
                <c:pt idx="115">
                  <c:v>1662.8154830138785</c:v>
                </c:pt>
                <c:pt idx="116">
                  <c:v>1745.7081924022823</c:v>
                </c:pt>
                <c:pt idx="117">
                  <c:v>1870.5265258322306</c:v>
                </c:pt>
                <c:pt idx="118">
                  <c:v>2122.4915623094644</c:v>
                </c:pt>
                <c:pt idx="119">
                  <c:v>2061.328391749099</c:v>
                </c:pt>
                <c:pt idx="120">
                  <c:v>1917.3928055969998</c:v>
                </c:pt>
                <c:pt idx="121">
                  <c:v>1900.3944508031384</c:v>
                </c:pt>
                <c:pt idx="122">
                  <c:v>2418.7988628047656</c:v>
                </c:pt>
                <c:pt idx="123">
                  <c:v>2518.1941273381594</c:v>
                </c:pt>
                <c:pt idx="124">
                  <c:v>2560.2830952249533</c:v>
                </c:pt>
                <c:pt idx="125">
                  <c:v>3099.8344531074358</c:v>
                </c:pt>
                <c:pt idx="126">
                  <c:v>3680.9365042683503</c:v>
                </c:pt>
                <c:pt idx="127">
                  <c:v>3780.4079687969925</c:v>
                </c:pt>
                <c:pt idx="128">
                  <c:v>3847.6124456706189</c:v>
                </c:pt>
                <c:pt idx="129">
                  <c:v>4656.7812445252521</c:v>
                </c:pt>
                <c:pt idx="130">
                  <c:v>4934.4975004183443</c:v>
                </c:pt>
                <c:pt idx="131">
                  <c:v>5551.7623333643814</c:v>
                </c:pt>
                <c:pt idx="132">
                  <c:v>5440.6094286166617</c:v>
                </c:pt>
                <c:pt idx="133">
                  <c:v>4300.3651071199047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9-42E6-BEFE-A8C70BEF73FA}"/>
            </c:ext>
          </c:extLst>
        </c:ser>
        <c:ser>
          <c:idx val="5"/>
          <c:order val="5"/>
          <c:tx>
            <c:strRef>
              <c:f>真實OLS再投資累積報酬!$C$28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真實OLS再投資累積報酬!$D$22:$EG$22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真實OLS再投資累積報酬!$D$28:$EG$28</c:f>
              <c:numCache>
                <c:formatCode>General</c:formatCode>
                <c:ptCount val="134"/>
                <c:pt idx="0">
                  <c:v>2.7766967310441037E-2</c:v>
                </c:pt>
                <c:pt idx="1">
                  <c:v>-5.6497980503421807E-2</c:v>
                </c:pt>
                <c:pt idx="2">
                  <c:v>-0.13375224156538734</c:v>
                </c:pt>
                <c:pt idx="3">
                  <c:v>4.0836285629268776E-2</c:v>
                </c:pt>
                <c:pt idx="4">
                  <c:v>1.7290082745691659E-2</c:v>
                </c:pt>
                <c:pt idx="5">
                  <c:v>0.37417801879386903</c:v>
                </c:pt>
                <c:pt idx="6">
                  <c:v>0.44088291099873533</c:v>
                </c:pt>
                <c:pt idx="7">
                  <c:v>0.43343279861020312</c:v>
                </c:pt>
                <c:pt idx="8">
                  <c:v>0.40513030483362988</c:v>
                </c:pt>
                <c:pt idx="9">
                  <c:v>0.13453926550544471</c:v>
                </c:pt>
                <c:pt idx="10">
                  <c:v>0.28934851520357197</c:v>
                </c:pt>
                <c:pt idx="11">
                  <c:v>0.42497729132991879</c:v>
                </c:pt>
                <c:pt idx="12">
                  <c:v>3.9524855993480656E-2</c:v>
                </c:pt>
                <c:pt idx="13">
                  <c:v>0.12033386525635881</c:v>
                </c:pt>
                <c:pt idx="14">
                  <c:v>0.21757160761858585</c:v>
                </c:pt>
                <c:pt idx="15">
                  <c:v>0.24491128386955063</c:v>
                </c:pt>
                <c:pt idx="16">
                  <c:v>0.61705753042158662</c:v>
                </c:pt>
                <c:pt idx="17">
                  <c:v>1.3514859209403833</c:v>
                </c:pt>
                <c:pt idx="18">
                  <c:v>1.6273668748445744</c:v>
                </c:pt>
                <c:pt idx="19">
                  <c:v>3.1053069408862894</c:v>
                </c:pt>
                <c:pt idx="20">
                  <c:v>5.7447464183996173</c:v>
                </c:pt>
                <c:pt idx="21">
                  <c:v>8.4047413703045137</c:v>
                </c:pt>
                <c:pt idx="22">
                  <c:v>9.8181816436079323</c:v>
                </c:pt>
                <c:pt idx="23">
                  <c:v>10.788255165836572</c:v>
                </c:pt>
                <c:pt idx="24">
                  <c:v>11.709048108598669</c:v>
                </c:pt>
                <c:pt idx="25">
                  <c:v>12.547435717779779</c:v>
                </c:pt>
                <c:pt idx="26">
                  <c:v>17.990081897860808</c:v>
                </c:pt>
                <c:pt idx="27">
                  <c:v>11.079677629265577</c:v>
                </c:pt>
                <c:pt idx="28">
                  <c:v>13.412768185723015</c:v>
                </c:pt>
                <c:pt idx="29">
                  <c:v>20.461200377761632</c:v>
                </c:pt>
                <c:pt idx="30">
                  <c:v>28.617645312629879</c:v>
                </c:pt>
                <c:pt idx="31">
                  <c:v>71.946708715902446</c:v>
                </c:pt>
                <c:pt idx="32">
                  <c:v>83.028165406871835</c:v>
                </c:pt>
                <c:pt idx="33">
                  <c:v>87.024562120617901</c:v>
                </c:pt>
                <c:pt idx="34">
                  <c:v>103.8730187009872</c:v>
                </c:pt>
                <c:pt idx="35">
                  <c:v>122.28002750947441</c:v>
                </c:pt>
                <c:pt idx="36">
                  <c:v>121.20313101178743</c:v>
                </c:pt>
                <c:pt idx="37">
                  <c:v>107.68003820108183</c:v>
                </c:pt>
                <c:pt idx="38">
                  <c:v>96.496242513818501</c:v>
                </c:pt>
                <c:pt idx="39">
                  <c:v>116.00995109003223</c:v>
                </c:pt>
                <c:pt idx="40">
                  <c:v>77.034124010661415</c:v>
                </c:pt>
                <c:pt idx="41">
                  <c:v>75.446063687787444</c:v>
                </c:pt>
                <c:pt idx="42">
                  <c:v>52.200713925078873</c:v>
                </c:pt>
                <c:pt idx="43">
                  <c:v>40.88723896396337</c:v>
                </c:pt>
                <c:pt idx="44">
                  <c:v>50.514644511447287</c:v>
                </c:pt>
                <c:pt idx="45">
                  <c:v>38.263269196627654</c:v>
                </c:pt>
                <c:pt idx="46">
                  <c:v>47.05088636523751</c:v>
                </c:pt>
                <c:pt idx="47">
                  <c:v>43.523591145623499</c:v>
                </c:pt>
                <c:pt idx="48">
                  <c:v>36.790131441618456</c:v>
                </c:pt>
                <c:pt idx="49">
                  <c:v>59.838315987186455</c:v>
                </c:pt>
                <c:pt idx="50">
                  <c:v>53.64602826873098</c:v>
                </c:pt>
                <c:pt idx="51">
                  <c:v>96.223608032705684</c:v>
                </c:pt>
                <c:pt idx="52">
                  <c:v>87.493677607286898</c:v>
                </c:pt>
                <c:pt idx="53">
                  <c:v>102.76504382723002</c:v>
                </c:pt>
                <c:pt idx="54">
                  <c:v>108.71913786608191</c:v>
                </c:pt>
                <c:pt idx="55">
                  <c:v>109.30144125052885</c:v>
                </c:pt>
                <c:pt idx="56">
                  <c:v>135.5688484299468</c:v>
                </c:pt>
                <c:pt idx="57">
                  <c:v>167.03789288516589</c:v>
                </c:pt>
                <c:pt idx="58">
                  <c:v>146.85244542207386</c:v>
                </c:pt>
                <c:pt idx="59">
                  <c:v>137.89742875799757</c:v>
                </c:pt>
                <c:pt idx="60">
                  <c:v>136.50571444791453</c:v>
                </c:pt>
                <c:pt idx="61">
                  <c:v>151.09602231116853</c:v>
                </c:pt>
                <c:pt idx="62">
                  <c:v>163.99117022052576</c:v>
                </c:pt>
                <c:pt idx="63">
                  <c:v>200.66206954587076</c:v>
                </c:pt>
                <c:pt idx="64">
                  <c:v>188.73321508954524</c:v>
                </c:pt>
                <c:pt idx="65">
                  <c:v>296.34773444420551</c:v>
                </c:pt>
                <c:pt idx="66">
                  <c:v>254.57488550937708</c:v>
                </c:pt>
                <c:pt idx="67">
                  <c:v>373.57541602976517</c:v>
                </c:pt>
                <c:pt idx="68">
                  <c:v>328.01916567371649</c:v>
                </c:pt>
                <c:pt idx="69">
                  <c:v>346.37819042947291</c:v>
                </c:pt>
                <c:pt idx="70">
                  <c:v>503.24359896974624</c:v>
                </c:pt>
                <c:pt idx="71">
                  <c:v>794.37710802912409</c:v>
                </c:pt>
                <c:pt idx="72">
                  <c:v>914.50088080223441</c:v>
                </c:pt>
                <c:pt idx="73">
                  <c:v>1004.640344084483</c:v>
                </c:pt>
                <c:pt idx="74">
                  <c:v>605.11763149893227</c:v>
                </c:pt>
                <c:pt idx="75">
                  <c:v>519.26433672051212</c:v>
                </c:pt>
                <c:pt idx="76">
                  <c:v>474.85866284669515</c:v>
                </c:pt>
                <c:pt idx="77">
                  <c:v>505.37409088958816</c:v>
                </c:pt>
                <c:pt idx="78">
                  <c:v>616.69091149603298</c:v>
                </c:pt>
                <c:pt idx="79">
                  <c:v>588.80122458073458</c:v>
                </c:pt>
                <c:pt idx="80">
                  <c:v>694.5548158771652</c:v>
                </c:pt>
                <c:pt idx="81">
                  <c:v>541.11558368999272</c:v>
                </c:pt>
                <c:pt idx="82">
                  <c:v>584.65960239873141</c:v>
                </c:pt>
                <c:pt idx="83">
                  <c:v>679.16862304337974</c:v>
                </c:pt>
                <c:pt idx="84">
                  <c:v>606.93434298739032</c:v>
                </c:pt>
                <c:pt idx="85">
                  <c:v>433.18475987522953</c:v>
                </c:pt>
                <c:pt idx="86">
                  <c:v>298.68887661861731</c:v>
                </c:pt>
                <c:pt idx="87">
                  <c:v>286.05080422898118</c:v>
                </c:pt>
                <c:pt idx="88">
                  <c:v>273.22292336327888</c:v>
                </c:pt>
                <c:pt idx="89">
                  <c:v>313.57074518191945</c:v>
                </c:pt>
                <c:pt idx="90">
                  <c:v>462.14659541081056</c:v>
                </c:pt>
                <c:pt idx="91">
                  <c:v>553.88081216300327</c:v>
                </c:pt>
                <c:pt idx="92">
                  <c:v>525.3377276525855</c:v>
                </c:pt>
                <c:pt idx="93">
                  <c:v>391.08861117402716</c:v>
                </c:pt>
                <c:pt idx="94">
                  <c:v>452.86812604193153</c:v>
                </c:pt>
                <c:pt idx="95">
                  <c:v>499.20470466012898</c:v>
                </c:pt>
                <c:pt idx="96">
                  <c:v>613.60621463368636</c:v>
                </c:pt>
                <c:pt idx="97">
                  <c:v>668.75227053538936</c:v>
                </c:pt>
                <c:pt idx="98">
                  <c:v>831.93725553944728</c:v>
                </c:pt>
                <c:pt idx="99">
                  <c:v>954.12467444764309</c:v>
                </c:pt>
                <c:pt idx="100">
                  <c:v>610.06197855074208</c:v>
                </c:pt>
                <c:pt idx="101">
                  <c:v>511.00460946384669</c:v>
                </c:pt>
                <c:pt idx="102">
                  <c:v>644.39922531611751</c:v>
                </c:pt>
                <c:pt idx="103">
                  <c:v>32.490030815503154</c:v>
                </c:pt>
                <c:pt idx="104">
                  <c:v>44.215478132768695</c:v>
                </c:pt>
                <c:pt idx="105">
                  <c:v>47.629504377045372</c:v>
                </c:pt>
                <c:pt idx="106">
                  <c:v>37.307649292924587</c:v>
                </c:pt>
                <c:pt idx="107">
                  <c:v>44.763775978340675</c:v>
                </c:pt>
                <c:pt idx="108">
                  <c:v>33.38740546185354</c:v>
                </c:pt>
                <c:pt idx="109">
                  <c:v>29.851250761065675</c:v>
                </c:pt>
                <c:pt idx="110">
                  <c:v>16.79812359394078</c:v>
                </c:pt>
                <c:pt idx="111">
                  <c:v>20.205520241473756</c:v>
                </c:pt>
                <c:pt idx="112">
                  <c:v>16.684943120333251</c:v>
                </c:pt>
                <c:pt idx="113">
                  <c:v>18.068383801555509</c:v>
                </c:pt>
                <c:pt idx="114">
                  <c:v>11.05067763032446</c:v>
                </c:pt>
                <c:pt idx="115">
                  <c:v>11.443260661576154</c:v>
                </c:pt>
                <c:pt idx="116">
                  <c:v>10.409047891505987</c:v>
                </c:pt>
                <c:pt idx="117">
                  <c:v>9.7805216088630988</c:v>
                </c:pt>
                <c:pt idx="118">
                  <c:v>10.601030765868318</c:v>
                </c:pt>
                <c:pt idx="119">
                  <c:v>9.643284159876174</c:v>
                </c:pt>
                <c:pt idx="120">
                  <c:v>8.1105770056625346</c:v>
                </c:pt>
                <c:pt idx="121">
                  <c:v>7.5478068903756039</c:v>
                </c:pt>
                <c:pt idx="122">
                  <c:v>14.134262285744796</c:v>
                </c:pt>
                <c:pt idx="123">
                  <c:v>12.596247534882618</c:v>
                </c:pt>
                <c:pt idx="124">
                  <c:v>15.752375355241682</c:v>
                </c:pt>
                <c:pt idx="125">
                  <c:v>25.253919779711456</c:v>
                </c:pt>
                <c:pt idx="126">
                  <c:v>26.095792036378853</c:v>
                </c:pt>
                <c:pt idx="127">
                  <c:v>29.634546071108002</c:v>
                </c:pt>
                <c:pt idx="128">
                  <c:v>37.995235578211464</c:v>
                </c:pt>
                <c:pt idx="129">
                  <c:v>63.958559594118753</c:v>
                </c:pt>
                <c:pt idx="130">
                  <c:v>73.27598918667303</c:v>
                </c:pt>
                <c:pt idx="131">
                  <c:v>95.026287040714593</c:v>
                </c:pt>
                <c:pt idx="132">
                  <c:v>91.601607184532199</c:v>
                </c:pt>
                <c:pt idx="133">
                  <c:v>79.659910138530606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E9-42E6-BEFE-A8C70BEF73FA}"/>
            </c:ext>
          </c:extLst>
        </c:ser>
        <c:ser>
          <c:idx val="6"/>
          <c:order val="6"/>
          <c:tx>
            <c:strRef>
              <c:f>真實OLS再投資累積報酬!$C$29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真實OLS再投資累積報酬!$D$22:$EG$22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真實OLS再投資累積報酬!$D$29:$EG$29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E9-42E6-BEFE-A8C70BEF7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451504"/>
        <c:axId val="2104460624"/>
      </c:lineChart>
      <c:catAx>
        <c:axId val="210445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60624"/>
        <c:crosses val="autoZero"/>
        <c:auto val="1"/>
        <c:lblAlgn val="ctr"/>
        <c:lblOffset val="100"/>
        <c:noMultiLvlLbl val="0"/>
      </c:catAx>
      <c:valAx>
        <c:axId val="210446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5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真實OLS再投資累積報酬!$C$23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真實OLS再投資累積報酬!$D$22:$EG$22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真實OLS再投資累積報酬!$D$23:$EG$23</c:f>
              <c:numCache>
                <c:formatCode>General</c:formatCode>
                <c:ptCount val="134"/>
                <c:pt idx="0">
                  <c:v>1.4499246984096104E-2</c:v>
                </c:pt>
                <c:pt idx="1">
                  <c:v>-3.9213245731639645E-4</c:v>
                </c:pt>
                <c:pt idx="2">
                  <c:v>1.0010455589208878E-3</c:v>
                </c:pt>
                <c:pt idx="3">
                  <c:v>-5.5014357119156254E-2</c:v>
                </c:pt>
                <c:pt idx="4">
                  <c:v>-1.536138516245622E-2</c:v>
                </c:pt>
                <c:pt idx="5">
                  <c:v>-2.4813185614166122E-2</c:v>
                </c:pt>
                <c:pt idx="6">
                  <c:v>9.0323693452580844E-3</c:v>
                </c:pt>
                <c:pt idx="7">
                  <c:v>3.2546476297351079E-2</c:v>
                </c:pt>
                <c:pt idx="8">
                  <c:v>4.2835704774678351E-2</c:v>
                </c:pt>
                <c:pt idx="9">
                  <c:v>7.5489742594432307E-2</c:v>
                </c:pt>
                <c:pt idx="10">
                  <c:v>5.6109786849479981E-2</c:v>
                </c:pt>
                <c:pt idx="11">
                  <c:v>9.2760338902505568E-2</c:v>
                </c:pt>
                <c:pt idx="12">
                  <c:v>0.12202967709692758</c:v>
                </c:pt>
                <c:pt idx="13">
                  <c:v>0.12174431341185543</c:v>
                </c:pt>
                <c:pt idx="14">
                  <c:v>0.1478582699885751</c:v>
                </c:pt>
                <c:pt idx="15">
                  <c:v>0.17813861189379732</c:v>
                </c:pt>
                <c:pt idx="16">
                  <c:v>0.26134171506414328</c:v>
                </c:pt>
                <c:pt idx="17">
                  <c:v>0.36397823295921805</c:v>
                </c:pt>
                <c:pt idx="18">
                  <c:v>0.37666431631300812</c:v>
                </c:pt>
                <c:pt idx="19">
                  <c:v>0.39334010433867883</c:v>
                </c:pt>
                <c:pt idx="20">
                  <c:v>0.43293557367053337</c:v>
                </c:pt>
                <c:pt idx="21">
                  <c:v>0.58535612511784896</c:v>
                </c:pt>
                <c:pt idx="22">
                  <c:v>0.66308010963605168</c:v>
                </c:pt>
                <c:pt idx="23">
                  <c:v>0.77178361299203746</c:v>
                </c:pt>
                <c:pt idx="24">
                  <c:v>0.78401206415056124</c:v>
                </c:pt>
                <c:pt idx="25">
                  <c:v>0.80872643092733809</c:v>
                </c:pt>
                <c:pt idx="26">
                  <c:v>0.85659289637632297</c:v>
                </c:pt>
                <c:pt idx="27">
                  <c:v>0.91065120334982819</c:v>
                </c:pt>
                <c:pt idx="28">
                  <c:v>0.99937748258041958</c:v>
                </c:pt>
                <c:pt idx="29">
                  <c:v>1.0438325611711594</c:v>
                </c:pt>
                <c:pt idx="30">
                  <c:v>1.0516296401838132</c:v>
                </c:pt>
                <c:pt idx="31">
                  <c:v>1.0902058780226143</c:v>
                </c:pt>
                <c:pt idx="32">
                  <c:v>1.071825041265178</c:v>
                </c:pt>
                <c:pt idx="33">
                  <c:v>1.1133694647888608</c:v>
                </c:pt>
                <c:pt idx="34">
                  <c:v>1.1433070669142906</c:v>
                </c:pt>
                <c:pt idx="35">
                  <c:v>1.2440707331435772</c:v>
                </c:pt>
                <c:pt idx="36">
                  <c:v>1.3081185932833592</c:v>
                </c:pt>
                <c:pt idx="37">
                  <c:v>1.2466173220147101</c:v>
                </c:pt>
                <c:pt idx="38">
                  <c:v>1.2129282374667736</c:v>
                </c:pt>
                <c:pt idx="39">
                  <c:v>1.3008348875706091</c:v>
                </c:pt>
                <c:pt idx="40">
                  <c:v>1.3231380718723176</c:v>
                </c:pt>
                <c:pt idx="41">
                  <c:v>1.3747652296163011</c:v>
                </c:pt>
                <c:pt idx="42">
                  <c:v>1.4300078758104657</c:v>
                </c:pt>
                <c:pt idx="43">
                  <c:v>1.6168360195928444</c:v>
                </c:pt>
                <c:pt idx="44">
                  <c:v>1.6071183036764651</c:v>
                </c:pt>
                <c:pt idx="45">
                  <c:v>1.7294190235482185</c:v>
                </c:pt>
                <c:pt idx="46">
                  <c:v>1.7773569659231527</c:v>
                </c:pt>
                <c:pt idx="47">
                  <c:v>1.8897890644963988</c:v>
                </c:pt>
                <c:pt idx="48">
                  <c:v>2.0289512413082291</c:v>
                </c:pt>
                <c:pt idx="49">
                  <c:v>2.1004785714312058</c:v>
                </c:pt>
                <c:pt idx="50">
                  <c:v>2.1824376447651788</c:v>
                </c:pt>
                <c:pt idx="51">
                  <c:v>2.1863646843518585</c:v>
                </c:pt>
                <c:pt idx="52">
                  <c:v>2.3051399630145442</c:v>
                </c:pt>
                <c:pt idx="53">
                  <c:v>2.3323134360992155</c:v>
                </c:pt>
                <c:pt idx="54">
                  <c:v>2.2144543579055185</c:v>
                </c:pt>
                <c:pt idx="55">
                  <c:v>2.4423750331895482</c:v>
                </c:pt>
                <c:pt idx="56">
                  <c:v>2.5413087600612281</c:v>
                </c:pt>
                <c:pt idx="57">
                  <c:v>2.8385090912484356</c:v>
                </c:pt>
                <c:pt idx="58">
                  <c:v>3.1401166854202867</c:v>
                </c:pt>
                <c:pt idx="59">
                  <c:v>3.2422249056125239</c:v>
                </c:pt>
                <c:pt idx="60">
                  <c:v>3.239436136977349</c:v>
                </c:pt>
                <c:pt idx="61">
                  <c:v>3.4540209877411634</c:v>
                </c:pt>
                <c:pt idx="62">
                  <c:v>3.5459253392314407</c:v>
                </c:pt>
                <c:pt idx="63">
                  <c:v>3.6109559807832845</c:v>
                </c:pt>
                <c:pt idx="64">
                  <c:v>3.8947201110329281</c:v>
                </c:pt>
                <c:pt idx="65">
                  <c:v>4.0562212853016639</c:v>
                </c:pt>
                <c:pt idx="66">
                  <c:v>4.2193663464204674</c:v>
                </c:pt>
                <c:pt idx="67">
                  <c:v>4.5168006799058817</c:v>
                </c:pt>
                <c:pt idx="68">
                  <c:v>4.6968848039482358</c:v>
                </c:pt>
                <c:pt idx="69">
                  <c:v>4.7901130893320918</c:v>
                </c:pt>
                <c:pt idx="70">
                  <c:v>4.8880529519686435</c:v>
                </c:pt>
                <c:pt idx="71">
                  <c:v>5.1116172702687441</c:v>
                </c:pt>
                <c:pt idx="72">
                  <c:v>5.3834436953827636</c:v>
                </c:pt>
                <c:pt idx="73">
                  <c:v>5.4789934259146182</c:v>
                </c:pt>
                <c:pt idx="74">
                  <c:v>6.0492181557677176</c:v>
                </c:pt>
                <c:pt idx="75">
                  <c:v>6.2588336491036305</c:v>
                </c:pt>
                <c:pt idx="76">
                  <c:v>6.2544515751817125</c:v>
                </c:pt>
                <c:pt idx="77">
                  <c:v>6.4515830469243918</c:v>
                </c:pt>
                <c:pt idx="78">
                  <c:v>6.3314547300711306</c:v>
                </c:pt>
                <c:pt idx="79">
                  <c:v>6.6909585315712974</c:v>
                </c:pt>
                <c:pt idx="80">
                  <c:v>7.0817864259614467</c:v>
                </c:pt>
                <c:pt idx="81">
                  <c:v>7.1760044195668584</c:v>
                </c:pt>
                <c:pt idx="82">
                  <c:v>7.3448875329194365</c:v>
                </c:pt>
                <c:pt idx="83">
                  <c:v>7.6165817436609551</c:v>
                </c:pt>
                <c:pt idx="84">
                  <c:v>8.1257683177126889</c:v>
                </c:pt>
                <c:pt idx="85">
                  <c:v>8.7103594894635386</c:v>
                </c:pt>
                <c:pt idx="86">
                  <c:v>9.3803020870502287</c:v>
                </c:pt>
                <c:pt idx="87">
                  <c:v>10.496338587180771</c:v>
                </c:pt>
                <c:pt idx="88">
                  <c:v>10.193364645235262</c:v>
                </c:pt>
                <c:pt idx="89">
                  <c:v>11.941459353386172</c:v>
                </c:pt>
                <c:pt idx="90">
                  <c:v>12.668534117791028</c:v>
                </c:pt>
                <c:pt idx="91">
                  <c:v>12.654796939807042</c:v>
                </c:pt>
                <c:pt idx="92">
                  <c:v>13.574810517402572</c:v>
                </c:pt>
                <c:pt idx="93">
                  <c:v>14.388206339682224</c:v>
                </c:pt>
                <c:pt idx="94">
                  <c:v>14.730688774042138</c:v>
                </c:pt>
                <c:pt idx="95">
                  <c:v>15.763944775268026</c:v>
                </c:pt>
                <c:pt idx="96">
                  <c:v>16.624230589120774</c:v>
                </c:pt>
                <c:pt idx="97">
                  <c:v>17.249594591419193</c:v>
                </c:pt>
                <c:pt idx="98">
                  <c:v>17.558842711100464</c:v>
                </c:pt>
                <c:pt idx="99">
                  <c:v>18.129576087657679</c:v>
                </c:pt>
                <c:pt idx="100">
                  <c:v>17.815457042330575</c:v>
                </c:pt>
                <c:pt idx="101">
                  <c:v>18.047343665697362</c:v>
                </c:pt>
                <c:pt idx="102">
                  <c:v>19.256768585630034</c:v>
                </c:pt>
                <c:pt idx="103">
                  <c:v>18.535925750058247</c:v>
                </c:pt>
                <c:pt idx="104">
                  <c:v>19.010972059338325</c:v>
                </c:pt>
                <c:pt idx="105">
                  <c:v>20.287549360431242</c:v>
                </c:pt>
                <c:pt idx="106">
                  <c:v>21.929502729352535</c:v>
                </c:pt>
                <c:pt idx="107">
                  <c:v>21.662962859342677</c:v>
                </c:pt>
                <c:pt idx="108">
                  <c:v>20.58886484220594</c:v>
                </c:pt>
                <c:pt idx="109">
                  <c:v>19.9238596881634</c:v>
                </c:pt>
                <c:pt idx="110">
                  <c:v>19.296577972246542</c:v>
                </c:pt>
                <c:pt idx="111">
                  <c:v>20.244418926966993</c:v>
                </c:pt>
                <c:pt idx="112">
                  <c:v>20.267175919386556</c:v>
                </c:pt>
                <c:pt idx="113">
                  <c:v>20.528985137514709</c:v>
                </c:pt>
                <c:pt idx="114">
                  <c:v>21.730617629587464</c:v>
                </c:pt>
                <c:pt idx="115">
                  <c:v>22.1297259669029</c:v>
                </c:pt>
                <c:pt idx="116">
                  <c:v>22.569901496689969</c:v>
                </c:pt>
                <c:pt idx="117">
                  <c:v>24.067084418443251</c:v>
                </c:pt>
                <c:pt idx="118">
                  <c:v>24.736058670657624</c:v>
                </c:pt>
                <c:pt idx="119">
                  <c:v>25.23475573648324</c:v>
                </c:pt>
                <c:pt idx="120">
                  <c:v>24.02732001883604</c:v>
                </c:pt>
                <c:pt idx="121">
                  <c:v>24.27949357157285</c:v>
                </c:pt>
                <c:pt idx="122">
                  <c:v>25.436969332777085</c:v>
                </c:pt>
                <c:pt idx="123">
                  <c:v>25.408493470471537</c:v>
                </c:pt>
                <c:pt idx="124">
                  <c:v>26.926491396586147</c:v>
                </c:pt>
                <c:pt idx="125">
                  <c:v>27.980199367898365</c:v>
                </c:pt>
                <c:pt idx="126">
                  <c:v>26.162322985598127</c:v>
                </c:pt>
                <c:pt idx="127">
                  <c:v>26.935180323001525</c:v>
                </c:pt>
                <c:pt idx="128">
                  <c:v>29.637494464462939</c:v>
                </c:pt>
                <c:pt idx="129">
                  <c:v>30.61444496601823</c:v>
                </c:pt>
                <c:pt idx="130">
                  <c:v>31.299927436983481</c:v>
                </c:pt>
                <c:pt idx="131">
                  <c:v>32.216632992124012</c:v>
                </c:pt>
                <c:pt idx="132">
                  <c:v>31.279383166065472</c:v>
                </c:pt>
                <c:pt idx="133">
                  <c:v>30.252548282990183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8A-4670-A6B5-697F3D6EDF2E}"/>
            </c:ext>
          </c:extLst>
        </c:ser>
        <c:ser>
          <c:idx val="1"/>
          <c:order val="1"/>
          <c:tx>
            <c:strRef>
              <c:f>真實OLS再投資累積報酬!$C$24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真實OLS再投資累積報酬!$D$22:$EG$22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真實OLS再投資累積報酬!$D$24:$EG$24</c:f>
              <c:numCache>
                <c:formatCode>General</c:formatCode>
                <c:ptCount val="134"/>
                <c:pt idx="0">
                  <c:v>-7.4773642018864939E-3</c:v>
                </c:pt>
                <c:pt idx="1">
                  <c:v>-2.0613071426295315E-3</c:v>
                </c:pt>
                <c:pt idx="2">
                  <c:v>3.4509336694801274E-3</c:v>
                </c:pt>
                <c:pt idx="3">
                  <c:v>-5.6742602548122578E-2</c:v>
                </c:pt>
                <c:pt idx="4">
                  <c:v>-2.7811881860548726E-2</c:v>
                </c:pt>
                <c:pt idx="5">
                  <c:v>-4.4716665122293442E-2</c:v>
                </c:pt>
                <c:pt idx="6">
                  <c:v>1.0770031231770449E-2</c:v>
                </c:pt>
                <c:pt idx="7">
                  <c:v>5.1055973038990787E-2</c:v>
                </c:pt>
                <c:pt idx="8">
                  <c:v>6.7727495995814513E-2</c:v>
                </c:pt>
                <c:pt idx="9">
                  <c:v>0.13030417350407486</c:v>
                </c:pt>
                <c:pt idx="10">
                  <c:v>0.12818909094345354</c:v>
                </c:pt>
                <c:pt idx="11">
                  <c:v>0.17714394295791691</c:v>
                </c:pt>
                <c:pt idx="12">
                  <c:v>0.20683181625194602</c:v>
                </c:pt>
                <c:pt idx="13">
                  <c:v>0.19925575132375384</c:v>
                </c:pt>
                <c:pt idx="14">
                  <c:v>0.2077219192231714</c:v>
                </c:pt>
                <c:pt idx="15">
                  <c:v>0.21699003486270141</c:v>
                </c:pt>
                <c:pt idx="16">
                  <c:v>0.32941677392414337</c:v>
                </c:pt>
                <c:pt idx="17">
                  <c:v>0.460682274826691</c:v>
                </c:pt>
                <c:pt idx="18">
                  <c:v>0.50075501209876228</c:v>
                </c:pt>
                <c:pt idx="19">
                  <c:v>0.53501837874449687</c:v>
                </c:pt>
                <c:pt idx="20">
                  <c:v>0.58255621566379845</c:v>
                </c:pt>
                <c:pt idx="21">
                  <c:v>0.82055016294012328</c:v>
                </c:pt>
                <c:pt idx="22">
                  <c:v>0.92904450628665547</c:v>
                </c:pt>
                <c:pt idx="23">
                  <c:v>1.101880309641269</c:v>
                </c:pt>
                <c:pt idx="24">
                  <c:v>1.1897324935356348</c:v>
                </c:pt>
                <c:pt idx="25">
                  <c:v>1.2106743689598298</c:v>
                </c:pt>
                <c:pt idx="26">
                  <c:v>1.3496976261533722</c:v>
                </c:pt>
                <c:pt idx="27">
                  <c:v>1.4498187898693997</c:v>
                </c:pt>
                <c:pt idx="28">
                  <c:v>1.6386297947285708</c:v>
                </c:pt>
                <c:pt idx="29">
                  <c:v>1.8123322354275091</c:v>
                </c:pt>
                <c:pt idx="30">
                  <c:v>1.7844755004380533</c:v>
                </c:pt>
                <c:pt idx="31">
                  <c:v>1.934604740786614</c:v>
                </c:pt>
                <c:pt idx="32">
                  <c:v>1.8798859646830386</c:v>
                </c:pt>
                <c:pt idx="33">
                  <c:v>1.9174275515929291</c:v>
                </c:pt>
                <c:pt idx="34">
                  <c:v>1.9533690896965581</c:v>
                </c:pt>
                <c:pt idx="35">
                  <c:v>2.191408942020959</c:v>
                </c:pt>
                <c:pt idx="36">
                  <c:v>2.3249292838193245</c:v>
                </c:pt>
                <c:pt idx="37">
                  <c:v>2.2252556824962402</c:v>
                </c:pt>
                <c:pt idx="38">
                  <c:v>2.2307671499892767</c:v>
                </c:pt>
                <c:pt idx="39">
                  <c:v>2.382319821547922</c:v>
                </c:pt>
                <c:pt idx="40">
                  <c:v>2.4915462505469588</c:v>
                </c:pt>
                <c:pt idx="41">
                  <c:v>2.5643381596896657</c:v>
                </c:pt>
                <c:pt idx="42">
                  <c:v>2.6193791356543019</c:v>
                </c:pt>
                <c:pt idx="43">
                  <c:v>2.9392003094205545</c:v>
                </c:pt>
                <c:pt idx="44">
                  <c:v>3.0010277065426001</c:v>
                </c:pt>
                <c:pt idx="45">
                  <c:v>3.3337602016138765</c:v>
                </c:pt>
                <c:pt idx="46">
                  <c:v>3.5587370014139559</c:v>
                </c:pt>
                <c:pt idx="47">
                  <c:v>3.7795358907972885</c:v>
                </c:pt>
                <c:pt idx="48">
                  <c:v>4.1059167399851351</c:v>
                </c:pt>
                <c:pt idx="49">
                  <c:v>4.2653261978576253</c:v>
                </c:pt>
                <c:pt idx="50">
                  <c:v>4.4032160032931493</c:v>
                </c:pt>
                <c:pt idx="51">
                  <c:v>4.6974882890449194</c:v>
                </c:pt>
                <c:pt idx="52">
                  <c:v>4.9669285265340246</c:v>
                </c:pt>
                <c:pt idx="53">
                  <c:v>5.0323398657427258</c:v>
                </c:pt>
                <c:pt idx="54">
                  <c:v>4.7682814909562401</c:v>
                </c:pt>
                <c:pt idx="55">
                  <c:v>5.1834913645489005</c:v>
                </c:pt>
                <c:pt idx="56">
                  <c:v>5.5410569714755775</c:v>
                </c:pt>
                <c:pt idx="57">
                  <c:v>5.9488029642231197</c:v>
                </c:pt>
                <c:pt idx="58">
                  <c:v>6.4375783555607882</c:v>
                </c:pt>
                <c:pt idx="59">
                  <c:v>6.6180592835661889</c:v>
                </c:pt>
                <c:pt idx="60">
                  <c:v>6.550423137134433</c:v>
                </c:pt>
                <c:pt idx="61">
                  <c:v>6.847234131887145</c:v>
                </c:pt>
                <c:pt idx="62">
                  <c:v>7.0419401268041177</c:v>
                </c:pt>
                <c:pt idx="63">
                  <c:v>7.1080952638835999</c:v>
                </c:pt>
                <c:pt idx="64">
                  <c:v>7.7776442272618613</c:v>
                </c:pt>
                <c:pt idx="65">
                  <c:v>8.2832192014383192</c:v>
                </c:pt>
                <c:pt idx="66">
                  <c:v>8.5076549999217939</c:v>
                </c:pt>
                <c:pt idx="67">
                  <c:v>9.2818462484857953</c:v>
                </c:pt>
                <c:pt idx="68">
                  <c:v>9.6949761193349584</c:v>
                </c:pt>
                <c:pt idx="69">
                  <c:v>9.7005489684641333</c:v>
                </c:pt>
                <c:pt idx="70">
                  <c:v>9.8666981730947558</c:v>
                </c:pt>
                <c:pt idx="71">
                  <c:v>10.625351047625315</c:v>
                </c:pt>
                <c:pt idx="72">
                  <c:v>11.505552942373598</c:v>
                </c:pt>
                <c:pt idx="73">
                  <c:v>11.983645578739278</c:v>
                </c:pt>
                <c:pt idx="74">
                  <c:v>13.13780658526658</c:v>
                </c:pt>
                <c:pt idx="75">
                  <c:v>13.839320914808035</c:v>
                </c:pt>
                <c:pt idx="76">
                  <c:v>13.675776975795776</c:v>
                </c:pt>
                <c:pt idx="77">
                  <c:v>14.057602235165483</c:v>
                </c:pt>
                <c:pt idx="78">
                  <c:v>14.181448143148071</c:v>
                </c:pt>
                <c:pt idx="79">
                  <c:v>15.745692830951391</c:v>
                </c:pt>
                <c:pt idx="80">
                  <c:v>17.075934997553002</c:v>
                </c:pt>
                <c:pt idx="81">
                  <c:v>17.274140772551839</c:v>
                </c:pt>
                <c:pt idx="82">
                  <c:v>17.402220989937188</c:v>
                </c:pt>
                <c:pt idx="83">
                  <c:v>18.690026653005042</c:v>
                </c:pt>
                <c:pt idx="84">
                  <c:v>19.721125553818691</c:v>
                </c:pt>
                <c:pt idx="85">
                  <c:v>21.398752627218219</c:v>
                </c:pt>
                <c:pt idx="86">
                  <c:v>22.176267717530244</c:v>
                </c:pt>
                <c:pt idx="87">
                  <c:v>24.398980765900362</c:v>
                </c:pt>
                <c:pt idx="88">
                  <c:v>24.043122382887887</c:v>
                </c:pt>
                <c:pt idx="89">
                  <c:v>28.844731706967639</c:v>
                </c:pt>
                <c:pt idx="90">
                  <c:v>30.65476202426483</c:v>
                </c:pt>
                <c:pt idx="91">
                  <c:v>31.30612192759294</c:v>
                </c:pt>
                <c:pt idx="92">
                  <c:v>33.674783391540011</c:v>
                </c:pt>
                <c:pt idx="93">
                  <c:v>35.883362873124192</c:v>
                </c:pt>
                <c:pt idx="94">
                  <c:v>36.637175744360853</c:v>
                </c:pt>
                <c:pt idx="95">
                  <c:v>40.207754587052669</c:v>
                </c:pt>
                <c:pt idx="96">
                  <c:v>44.017988696623682</c:v>
                </c:pt>
                <c:pt idx="97">
                  <c:v>46.474930497180878</c:v>
                </c:pt>
                <c:pt idx="98">
                  <c:v>47.517866486171798</c:v>
                </c:pt>
                <c:pt idx="99">
                  <c:v>49.001680705851143</c:v>
                </c:pt>
                <c:pt idx="100">
                  <c:v>46.941523863620837</c:v>
                </c:pt>
                <c:pt idx="101">
                  <c:v>47.176351810547779</c:v>
                </c:pt>
                <c:pt idx="102">
                  <c:v>51.597184174541766</c:v>
                </c:pt>
                <c:pt idx="103">
                  <c:v>48.3700215993697</c:v>
                </c:pt>
                <c:pt idx="104">
                  <c:v>49.727663089310177</c:v>
                </c:pt>
                <c:pt idx="105">
                  <c:v>53.978948097282711</c:v>
                </c:pt>
                <c:pt idx="106">
                  <c:v>57.205466458029463</c:v>
                </c:pt>
                <c:pt idx="107">
                  <c:v>56.200163059337669</c:v>
                </c:pt>
                <c:pt idx="108">
                  <c:v>52.119745943082457</c:v>
                </c:pt>
                <c:pt idx="109">
                  <c:v>50.058353622278418</c:v>
                </c:pt>
                <c:pt idx="110">
                  <c:v>48.548536679824615</c:v>
                </c:pt>
                <c:pt idx="111">
                  <c:v>51.623293137964282</c:v>
                </c:pt>
                <c:pt idx="112">
                  <c:v>50.391861144052818</c:v>
                </c:pt>
                <c:pt idx="113">
                  <c:v>51.174667612519286</c:v>
                </c:pt>
                <c:pt idx="114">
                  <c:v>53.811784552114105</c:v>
                </c:pt>
                <c:pt idx="115">
                  <c:v>55.700641789466012</c:v>
                </c:pt>
                <c:pt idx="116">
                  <c:v>58.213905642112472</c:v>
                </c:pt>
                <c:pt idx="117">
                  <c:v>62.440920915454612</c:v>
                </c:pt>
                <c:pt idx="118">
                  <c:v>63.669085581483785</c:v>
                </c:pt>
                <c:pt idx="119">
                  <c:v>65.249216797953864</c:v>
                </c:pt>
                <c:pt idx="120">
                  <c:v>63.267358632294503</c:v>
                </c:pt>
                <c:pt idx="121">
                  <c:v>62.009399557944519</c:v>
                </c:pt>
                <c:pt idx="122">
                  <c:v>63.502650104909549</c:v>
                </c:pt>
                <c:pt idx="123">
                  <c:v>63.382115447367369</c:v>
                </c:pt>
                <c:pt idx="124">
                  <c:v>67.773746673784785</c:v>
                </c:pt>
                <c:pt idx="125">
                  <c:v>71.115789578060472</c:v>
                </c:pt>
                <c:pt idx="126">
                  <c:v>70.430356055685635</c:v>
                </c:pt>
                <c:pt idx="127">
                  <c:v>73.47463331228667</c:v>
                </c:pt>
                <c:pt idx="128">
                  <c:v>83.629737246444037</c:v>
                </c:pt>
                <c:pt idx="129">
                  <c:v>88.543305627075853</c:v>
                </c:pt>
                <c:pt idx="130">
                  <c:v>88.675466540592808</c:v>
                </c:pt>
                <c:pt idx="131">
                  <c:v>89.777135454942211</c:v>
                </c:pt>
                <c:pt idx="132">
                  <c:v>86.521188373558047</c:v>
                </c:pt>
                <c:pt idx="133">
                  <c:v>82.330738159218143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8A-4670-A6B5-697F3D6EDF2E}"/>
            </c:ext>
          </c:extLst>
        </c:ser>
        <c:ser>
          <c:idx val="2"/>
          <c:order val="2"/>
          <c:tx>
            <c:strRef>
              <c:f>真實OLS再投資累積報酬!$C$25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真實OLS再投資累積報酬!$D$22:$EG$22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真實OLS再投資累積報酬!$D$25:$EG$25</c:f>
              <c:numCache>
                <c:formatCode>General</c:formatCode>
                <c:ptCount val="134"/>
                <c:pt idx="0">
                  <c:v>-3.3228977675766158E-2</c:v>
                </c:pt>
                <c:pt idx="1">
                  <c:v>0.10370799743454429</c:v>
                </c:pt>
                <c:pt idx="2">
                  <c:v>0.15659850805241926</c:v>
                </c:pt>
                <c:pt idx="3">
                  <c:v>8.6807150865061189E-2</c:v>
                </c:pt>
                <c:pt idx="4">
                  <c:v>8.9154553677129655E-2</c:v>
                </c:pt>
                <c:pt idx="5">
                  <c:v>0.1016888284000157</c:v>
                </c:pt>
                <c:pt idx="6">
                  <c:v>0.13379852760311284</c:v>
                </c:pt>
                <c:pt idx="7">
                  <c:v>0.2155164075169993</c:v>
                </c:pt>
                <c:pt idx="8">
                  <c:v>0.25566700143670396</c:v>
                </c:pt>
                <c:pt idx="9">
                  <c:v>0.3942391855583729</c:v>
                </c:pt>
                <c:pt idx="10">
                  <c:v>0.34889209500359097</c:v>
                </c:pt>
                <c:pt idx="11">
                  <c:v>0.42627726111613651</c:v>
                </c:pt>
                <c:pt idx="12">
                  <c:v>0.44085478637698849</c:v>
                </c:pt>
                <c:pt idx="13">
                  <c:v>0.45028002407424639</c:v>
                </c:pt>
                <c:pt idx="14">
                  <c:v>0.51864444592729675</c:v>
                </c:pt>
                <c:pt idx="15">
                  <c:v>0.55488146531145977</c:v>
                </c:pt>
                <c:pt idx="16">
                  <c:v>0.71316020022671101</c:v>
                </c:pt>
                <c:pt idx="17">
                  <c:v>0.95949010073308472</c:v>
                </c:pt>
                <c:pt idx="18">
                  <c:v>1.0284308846043189</c:v>
                </c:pt>
                <c:pt idx="19">
                  <c:v>1.1484688772960485</c:v>
                </c:pt>
                <c:pt idx="20">
                  <c:v>1.251154953159296</c:v>
                </c:pt>
                <c:pt idx="21">
                  <c:v>1.7421555646238822</c:v>
                </c:pt>
                <c:pt idx="22">
                  <c:v>1.8243007620764442</c:v>
                </c:pt>
                <c:pt idx="23">
                  <c:v>2.2359252511865408</c:v>
                </c:pt>
                <c:pt idx="24">
                  <c:v>2.5824393215559058</c:v>
                </c:pt>
                <c:pt idx="25">
                  <c:v>2.7051896937413766</c:v>
                </c:pt>
                <c:pt idx="26">
                  <c:v>2.9583331970477316</c:v>
                </c:pt>
                <c:pt idx="27">
                  <c:v>3.1096201228981428</c:v>
                </c:pt>
                <c:pt idx="28">
                  <c:v>3.5897754797682602</c:v>
                </c:pt>
                <c:pt idx="29">
                  <c:v>4.3082289775508844</c:v>
                </c:pt>
                <c:pt idx="30">
                  <c:v>4.1737752797928085</c:v>
                </c:pt>
                <c:pt idx="31">
                  <c:v>4.5838062280628611</c:v>
                </c:pt>
                <c:pt idx="32">
                  <c:v>4.7818227599275058</c:v>
                </c:pt>
                <c:pt idx="33">
                  <c:v>4.932494455460156</c:v>
                </c:pt>
                <c:pt idx="34">
                  <c:v>4.910210957926175</c:v>
                </c:pt>
                <c:pt idx="35">
                  <c:v>5.5127235165299044</c:v>
                </c:pt>
                <c:pt idx="36">
                  <c:v>5.6951724422315388</c:v>
                </c:pt>
                <c:pt idx="37">
                  <c:v>5.5670768999832445</c:v>
                </c:pt>
                <c:pt idx="38">
                  <c:v>5.8169170887370338</c:v>
                </c:pt>
                <c:pt idx="39">
                  <c:v>6.3432689273220975</c:v>
                </c:pt>
                <c:pt idx="40">
                  <c:v>6.7069042157176906</c:v>
                </c:pt>
                <c:pt idx="41">
                  <c:v>6.7653432940959624</c:v>
                </c:pt>
                <c:pt idx="42">
                  <c:v>6.9764305721745838</c:v>
                </c:pt>
                <c:pt idx="43">
                  <c:v>7.9905273327275452</c:v>
                </c:pt>
                <c:pt idx="44">
                  <c:v>8.5067779149194713</c:v>
                </c:pt>
                <c:pt idx="45">
                  <c:v>8.7223488055102241</c:v>
                </c:pt>
                <c:pt idx="46">
                  <c:v>9.9348280530705235</c:v>
                </c:pt>
                <c:pt idx="47">
                  <c:v>10.52205803313956</c:v>
                </c:pt>
                <c:pt idx="48">
                  <c:v>12.172575735508786</c:v>
                </c:pt>
                <c:pt idx="49">
                  <c:v>12.977032582109395</c:v>
                </c:pt>
                <c:pt idx="50">
                  <c:v>13.911953937275138</c:v>
                </c:pt>
                <c:pt idx="51">
                  <c:v>15.999357453310562</c:v>
                </c:pt>
                <c:pt idx="52">
                  <c:v>16.580774611239832</c:v>
                </c:pt>
                <c:pt idx="53">
                  <c:v>17.531712603917445</c:v>
                </c:pt>
                <c:pt idx="54">
                  <c:v>16.23297738073628</c:v>
                </c:pt>
                <c:pt idx="55">
                  <c:v>18.131578116746518</c:v>
                </c:pt>
                <c:pt idx="56">
                  <c:v>20.053819133845586</c:v>
                </c:pt>
                <c:pt idx="57">
                  <c:v>21.571529251341985</c:v>
                </c:pt>
                <c:pt idx="58">
                  <c:v>22.538269356335714</c:v>
                </c:pt>
                <c:pt idx="59">
                  <c:v>24.153093391397459</c:v>
                </c:pt>
                <c:pt idx="60">
                  <c:v>23.305649960899231</c:v>
                </c:pt>
                <c:pt idx="61">
                  <c:v>24.338557886678792</c:v>
                </c:pt>
                <c:pt idx="62">
                  <c:v>24.772614489240208</c:v>
                </c:pt>
                <c:pt idx="63">
                  <c:v>26.906398396420059</c:v>
                </c:pt>
                <c:pt idx="64">
                  <c:v>27.468459242165054</c:v>
                </c:pt>
                <c:pt idx="65">
                  <c:v>29.470342631351578</c:v>
                </c:pt>
                <c:pt idx="66">
                  <c:v>29.898606204558391</c:v>
                </c:pt>
                <c:pt idx="67">
                  <c:v>32.58147608784347</c:v>
                </c:pt>
                <c:pt idx="68">
                  <c:v>33.600093733084364</c:v>
                </c:pt>
                <c:pt idx="69">
                  <c:v>32.536954779045537</c:v>
                </c:pt>
                <c:pt idx="70">
                  <c:v>33.140704267997577</c:v>
                </c:pt>
                <c:pt idx="71">
                  <c:v>36.615178497675466</c:v>
                </c:pt>
                <c:pt idx="72">
                  <c:v>41.538911646954993</c:v>
                </c:pt>
                <c:pt idx="73">
                  <c:v>44.456716650910138</c:v>
                </c:pt>
                <c:pt idx="74">
                  <c:v>47.484587295348497</c:v>
                </c:pt>
                <c:pt idx="75">
                  <c:v>48.772260607338175</c:v>
                </c:pt>
                <c:pt idx="76">
                  <c:v>43.96842494741113</c:v>
                </c:pt>
                <c:pt idx="77">
                  <c:v>46.643014669313828</c:v>
                </c:pt>
                <c:pt idx="78">
                  <c:v>48.023503487422253</c:v>
                </c:pt>
                <c:pt idx="79">
                  <c:v>52.75857283205</c:v>
                </c:pt>
                <c:pt idx="80">
                  <c:v>58.906032750751002</c:v>
                </c:pt>
                <c:pt idx="81">
                  <c:v>60.148202210998306</c:v>
                </c:pt>
                <c:pt idx="82">
                  <c:v>59.912485310352089</c:v>
                </c:pt>
                <c:pt idx="83">
                  <c:v>61.446164303693038</c:v>
                </c:pt>
                <c:pt idx="84">
                  <c:v>65.481994995305385</c:v>
                </c:pt>
                <c:pt idx="85">
                  <c:v>73.813325982792662</c:v>
                </c:pt>
                <c:pt idx="86">
                  <c:v>77.573650133906895</c:v>
                </c:pt>
                <c:pt idx="87">
                  <c:v>79.15038296392035</c:v>
                </c:pt>
                <c:pt idx="88">
                  <c:v>79.558918032179818</c:v>
                </c:pt>
                <c:pt idx="89">
                  <c:v>97.110645254181719</c:v>
                </c:pt>
                <c:pt idx="90">
                  <c:v>108.7524529895247</c:v>
                </c:pt>
                <c:pt idx="91">
                  <c:v>119.03179724702747</c:v>
                </c:pt>
                <c:pt idx="92">
                  <c:v>130.12907049010076</c:v>
                </c:pt>
                <c:pt idx="93">
                  <c:v>146.59752277491074</c:v>
                </c:pt>
                <c:pt idx="94">
                  <c:v>143.37819698584519</c:v>
                </c:pt>
                <c:pt idx="95">
                  <c:v>157.76939463328367</c:v>
                </c:pt>
                <c:pt idx="96">
                  <c:v>177.13035173299511</c:v>
                </c:pt>
                <c:pt idx="97">
                  <c:v>187.58216384681467</c:v>
                </c:pt>
                <c:pt idx="98">
                  <c:v>185.94652487594772</c:v>
                </c:pt>
                <c:pt idx="99">
                  <c:v>202.8912134464569</c:v>
                </c:pt>
                <c:pt idx="100">
                  <c:v>183.24402569573306</c:v>
                </c:pt>
                <c:pt idx="101">
                  <c:v>185.14199703910162</c:v>
                </c:pt>
                <c:pt idx="102">
                  <c:v>201.9422776382454</c:v>
                </c:pt>
                <c:pt idx="103">
                  <c:v>183.62896669519967</c:v>
                </c:pt>
                <c:pt idx="104">
                  <c:v>187.24530880574176</c:v>
                </c:pt>
                <c:pt idx="105">
                  <c:v>205.13357838006092</c:v>
                </c:pt>
                <c:pt idx="106">
                  <c:v>211.19417851762819</c:v>
                </c:pt>
                <c:pt idx="107">
                  <c:v>197.57546959250342</c:v>
                </c:pt>
                <c:pt idx="108">
                  <c:v>180.23490528192858</c:v>
                </c:pt>
                <c:pt idx="109">
                  <c:v>178.71013246077973</c:v>
                </c:pt>
                <c:pt idx="110">
                  <c:v>171.40327398968049</c:v>
                </c:pt>
                <c:pt idx="111">
                  <c:v>184.49209173637058</c:v>
                </c:pt>
                <c:pt idx="112">
                  <c:v>170.13253970521089</c:v>
                </c:pt>
                <c:pt idx="113">
                  <c:v>178.498992716842</c:v>
                </c:pt>
                <c:pt idx="114">
                  <c:v>176.69657468995109</c:v>
                </c:pt>
                <c:pt idx="115">
                  <c:v>180.12680092820682</c:v>
                </c:pt>
                <c:pt idx="116">
                  <c:v>192.85794094041549</c:v>
                </c:pt>
                <c:pt idx="117">
                  <c:v>205.67759152324962</c:v>
                </c:pt>
                <c:pt idx="118">
                  <c:v>215.23127902209762</c:v>
                </c:pt>
                <c:pt idx="119">
                  <c:v>212.16807472424429</c:v>
                </c:pt>
                <c:pt idx="120">
                  <c:v>193.10280081348833</c:v>
                </c:pt>
                <c:pt idx="121">
                  <c:v>199.34286475090002</c:v>
                </c:pt>
                <c:pt idx="122">
                  <c:v>223.16715471311076</c:v>
                </c:pt>
                <c:pt idx="123">
                  <c:v>222.93059060159993</c:v>
                </c:pt>
                <c:pt idx="124">
                  <c:v>240.54647276619048</c:v>
                </c:pt>
                <c:pt idx="125">
                  <c:v>256.31730185991916</c:v>
                </c:pt>
                <c:pt idx="126">
                  <c:v>244.05330538342295</c:v>
                </c:pt>
                <c:pt idx="127">
                  <c:v>248.39809111721237</c:v>
                </c:pt>
                <c:pt idx="128">
                  <c:v>296.36985366708598</c:v>
                </c:pt>
                <c:pt idx="129">
                  <c:v>322.58561767523929</c:v>
                </c:pt>
                <c:pt idx="130">
                  <c:v>320.38080438064043</c:v>
                </c:pt>
                <c:pt idx="131">
                  <c:v>330.86485699907155</c:v>
                </c:pt>
                <c:pt idx="132">
                  <c:v>316.75869590418648</c:v>
                </c:pt>
                <c:pt idx="133">
                  <c:v>289.7646547576893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8A-4670-A6B5-697F3D6EDF2E}"/>
            </c:ext>
          </c:extLst>
        </c:ser>
        <c:ser>
          <c:idx val="3"/>
          <c:order val="3"/>
          <c:tx>
            <c:strRef>
              <c:f>真實OLS再投資累積報酬!$C$26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真實OLS再投資累積報酬!$D$22:$EG$22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真實OLS再投資累積報酬!$D$26:$EG$26</c:f>
              <c:numCache>
                <c:formatCode>General</c:formatCode>
                <c:ptCount val="134"/>
                <c:pt idx="0">
                  <c:v>-3.6350225217569587E-2</c:v>
                </c:pt>
                <c:pt idx="1">
                  <c:v>0.22675976836332001</c:v>
                </c:pt>
                <c:pt idx="2">
                  <c:v>0.34372469448557963</c:v>
                </c:pt>
                <c:pt idx="3">
                  <c:v>0.39064949115372549</c:v>
                </c:pt>
                <c:pt idx="4">
                  <c:v>0.52427699783670656</c:v>
                </c:pt>
                <c:pt idx="5">
                  <c:v>0.52617278085868624</c:v>
                </c:pt>
                <c:pt idx="6">
                  <c:v>0.56122860450817025</c:v>
                </c:pt>
                <c:pt idx="7">
                  <c:v>0.59121604682361628</c:v>
                </c:pt>
                <c:pt idx="8">
                  <c:v>0.59825673659641843</c:v>
                </c:pt>
                <c:pt idx="9">
                  <c:v>0.6377078454256413</c:v>
                </c:pt>
                <c:pt idx="10">
                  <c:v>0.74854042463016812</c:v>
                </c:pt>
                <c:pt idx="11">
                  <c:v>0.94052350905306814</c:v>
                </c:pt>
                <c:pt idx="12">
                  <c:v>0.83708535887676017</c:v>
                </c:pt>
                <c:pt idx="13">
                  <c:v>0.87731122674904372</c:v>
                </c:pt>
                <c:pt idx="14">
                  <c:v>0.9927130574775116</c:v>
                </c:pt>
                <c:pt idx="15">
                  <c:v>1.0172699988325351</c:v>
                </c:pt>
                <c:pt idx="16">
                  <c:v>1.3063867881782332</c:v>
                </c:pt>
                <c:pt idx="17">
                  <c:v>1.7641867749931914</c:v>
                </c:pt>
                <c:pt idx="18">
                  <c:v>1.8615224638459407</c:v>
                </c:pt>
                <c:pt idx="19">
                  <c:v>2.3985334892296057</c:v>
                </c:pt>
                <c:pt idx="20">
                  <c:v>2.5707420214731673</c:v>
                </c:pt>
                <c:pt idx="21">
                  <c:v>3.4700807165140777</c:v>
                </c:pt>
                <c:pt idx="22">
                  <c:v>3.5116819647100179</c:v>
                </c:pt>
                <c:pt idx="23">
                  <c:v>3.8961774485877134</c:v>
                </c:pt>
                <c:pt idx="24">
                  <c:v>4.4511357083854879</c:v>
                </c:pt>
                <c:pt idx="25">
                  <c:v>4.6322279740989831</c:v>
                </c:pt>
                <c:pt idx="26">
                  <c:v>5.5284526120987687</c:v>
                </c:pt>
                <c:pt idx="27">
                  <c:v>5.4779993454142817</c:v>
                </c:pt>
                <c:pt idx="28">
                  <c:v>6.8499919484380705</c:v>
                </c:pt>
                <c:pt idx="29">
                  <c:v>8.4468850516462304</c:v>
                </c:pt>
                <c:pt idx="30">
                  <c:v>8.0281561774797989</c:v>
                </c:pt>
                <c:pt idx="31">
                  <c:v>9.5181612826390527</c:v>
                </c:pt>
                <c:pt idx="32">
                  <c:v>9.7795297769127814</c:v>
                </c:pt>
                <c:pt idx="33">
                  <c:v>10.318151713598009</c:v>
                </c:pt>
                <c:pt idx="34">
                  <c:v>10.340342617332849</c:v>
                </c:pt>
                <c:pt idx="35">
                  <c:v>11.358522241934264</c:v>
                </c:pt>
                <c:pt idx="36">
                  <c:v>11.098391847251591</c:v>
                </c:pt>
                <c:pt idx="37">
                  <c:v>10.668893368205394</c:v>
                </c:pt>
                <c:pt idx="38">
                  <c:v>11.268493855661966</c:v>
                </c:pt>
                <c:pt idx="39">
                  <c:v>12.189540720012907</c:v>
                </c:pt>
                <c:pt idx="40">
                  <c:v>13.853827126466976</c:v>
                </c:pt>
                <c:pt idx="41">
                  <c:v>14.117242308585606</c:v>
                </c:pt>
                <c:pt idx="42">
                  <c:v>14.12933050614844</c:v>
                </c:pt>
                <c:pt idx="43">
                  <c:v>15.924610247320818</c:v>
                </c:pt>
                <c:pt idx="44">
                  <c:v>17.23075142597305</c:v>
                </c:pt>
                <c:pt idx="45">
                  <c:v>17.149382996092733</c:v>
                </c:pt>
                <c:pt idx="46">
                  <c:v>20.586164147398268</c:v>
                </c:pt>
                <c:pt idx="47">
                  <c:v>23.029207823787676</c:v>
                </c:pt>
                <c:pt idx="48">
                  <c:v>27.835200046995148</c:v>
                </c:pt>
                <c:pt idx="49">
                  <c:v>29.791562519585703</c:v>
                </c:pt>
                <c:pt idx="50">
                  <c:v>29.325016816473532</c:v>
                </c:pt>
                <c:pt idx="51">
                  <c:v>31.892478047581015</c:v>
                </c:pt>
                <c:pt idx="52">
                  <c:v>33.835529120041514</c:v>
                </c:pt>
                <c:pt idx="53">
                  <c:v>34.171604230236753</c:v>
                </c:pt>
                <c:pt idx="54">
                  <c:v>32.715571188950165</c:v>
                </c:pt>
                <c:pt idx="55">
                  <c:v>37.005955577163299</c:v>
                </c:pt>
                <c:pt idx="56">
                  <c:v>41.915180704218166</c:v>
                </c:pt>
                <c:pt idx="57">
                  <c:v>44.85213549518464</c:v>
                </c:pt>
                <c:pt idx="58">
                  <c:v>51.058404625969054</c:v>
                </c:pt>
                <c:pt idx="59">
                  <c:v>57.831736928629994</c:v>
                </c:pt>
                <c:pt idx="60">
                  <c:v>60.514754308375899</c:v>
                </c:pt>
                <c:pt idx="61">
                  <c:v>61.813494813225255</c:v>
                </c:pt>
                <c:pt idx="62">
                  <c:v>62.512391260998456</c:v>
                </c:pt>
                <c:pt idx="63">
                  <c:v>68.946512020517474</c:v>
                </c:pt>
                <c:pt idx="64">
                  <c:v>70.970630536114143</c:v>
                </c:pt>
                <c:pt idx="65">
                  <c:v>80.922414979275089</c:v>
                </c:pt>
                <c:pt idx="66">
                  <c:v>80.446634772196148</c:v>
                </c:pt>
                <c:pt idx="67">
                  <c:v>91.181327930304008</c:v>
                </c:pt>
                <c:pt idx="68">
                  <c:v>92.275143354962509</c:v>
                </c:pt>
                <c:pt idx="69">
                  <c:v>86.692538711066433</c:v>
                </c:pt>
                <c:pt idx="70">
                  <c:v>85.36486644921537</c:v>
                </c:pt>
                <c:pt idx="71">
                  <c:v>99.579992086567302</c:v>
                </c:pt>
                <c:pt idx="72">
                  <c:v>129.64123849295535</c:v>
                </c:pt>
                <c:pt idx="73">
                  <c:v>138.24594926307606</c:v>
                </c:pt>
                <c:pt idx="74">
                  <c:v>140.66311446308279</c:v>
                </c:pt>
                <c:pt idx="75">
                  <c:v>142.47254149960406</c:v>
                </c:pt>
                <c:pt idx="76">
                  <c:v>129.14099635655651</c:v>
                </c:pt>
                <c:pt idx="77">
                  <c:v>141.20299819576687</c:v>
                </c:pt>
                <c:pt idx="78">
                  <c:v>136.17490734480052</c:v>
                </c:pt>
                <c:pt idx="79">
                  <c:v>134.81800546395075</c:v>
                </c:pt>
                <c:pt idx="80">
                  <c:v>148.05900402079806</c:v>
                </c:pt>
                <c:pt idx="81">
                  <c:v>154.79806156051626</c:v>
                </c:pt>
                <c:pt idx="82">
                  <c:v>158.61697555678884</c:v>
                </c:pt>
                <c:pt idx="83">
                  <c:v>164.2502155713496</c:v>
                </c:pt>
                <c:pt idx="84">
                  <c:v>180.04611977909195</c:v>
                </c:pt>
                <c:pt idx="85">
                  <c:v>190.35987527792301</c:v>
                </c:pt>
                <c:pt idx="86">
                  <c:v>194.46592639554626</c:v>
                </c:pt>
                <c:pt idx="87">
                  <c:v>207.17639858095276</c:v>
                </c:pt>
                <c:pt idx="88">
                  <c:v>216.88294288056181</c:v>
                </c:pt>
                <c:pt idx="89">
                  <c:v>283.93827642645596</c:v>
                </c:pt>
                <c:pt idx="90">
                  <c:v>340.77098906376204</c:v>
                </c:pt>
                <c:pt idx="91">
                  <c:v>385.23496673217284</c:v>
                </c:pt>
                <c:pt idx="92">
                  <c:v>411.1470904961364</c:v>
                </c:pt>
                <c:pt idx="93">
                  <c:v>467.39614828058239</c:v>
                </c:pt>
                <c:pt idx="94">
                  <c:v>439.33334990104902</c:v>
                </c:pt>
                <c:pt idx="95">
                  <c:v>513.63346721215669</c:v>
                </c:pt>
                <c:pt idx="96">
                  <c:v>608.46503748170562</c:v>
                </c:pt>
                <c:pt idx="97">
                  <c:v>660.05128155376747</c:v>
                </c:pt>
                <c:pt idx="98">
                  <c:v>687.80403927042278</c:v>
                </c:pt>
                <c:pt idx="99">
                  <c:v>792.76935690638288</c:v>
                </c:pt>
                <c:pt idx="100">
                  <c:v>718.99015865630986</c:v>
                </c:pt>
                <c:pt idx="101">
                  <c:v>736.09952609430854</c:v>
                </c:pt>
                <c:pt idx="102">
                  <c:v>856.00427829477837</c:v>
                </c:pt>
                <c:pt idx="103">
                  <c:v>676.32184571105222</c:v>
                </c:pt>
                <c:pt idx="104">
                  <c:v>733.72279570613819</c:v>
                </c:pt>
                <c:pt idx="105">
                  <c:v>807.34110176193008</c:v>
                </c:pt>
                <c:pt idx="106">
                  <c:v>789.30415104689644</c:v>
                </c:pt>
                <c:pt idx="107">
                  <c:v>794.08906829275804</c:v>
                </c:pt>
                <c:pt idx="108">
                  <c:v>704.17120296224459</c:v>
                </c:pt>
                <c:pt idx="109">
                  <c:v>704.83294603242859</c:v>
                </c:pt>
                <c:pt idx="110">
                  <c:v>666.64151206980489</c:v>
                </c:pt>
                <c:pt idx="111">
                  <c:v>700.10237511741684</c:v>
                </c:pt>
                <c:pt idx="112">
                  <c:v>649.4907777393762</c:v>
                </c:pt>
                <c:pt idx="113">
                  <c:v>698.49069423075605</c:v>
                </c:pt>
                <c:pt idx="114">
                  <c:v>661.89487072633415</c:v>
                </c:pt>
                <c:pt idx="115">
                  <c:v>630.7622185121545</c:v>
                </c:pt>
                <c:pt idx="116">
                  <c:v>652.30809986686495</c:v>
                </c:pt>
                <c:pt idx="117">
                  <c:v>747.32649154846922</c:v>
                </c:pt>
                <c:pt idx="118">
                  <c:v>778.69373339028721</c:v>
                </c:pt>
                <c:pt idx="119">
                  <c:v>750.48837685973592</c:v>
                </c:pt>
                <c:pt idx="120">
                  <c:v>743.29547395335487</c:v>
                </c:pt>
                <c:pt idx="121">
                  <c:v>779.88471555936633</c:v>
                </c:pt>
                <c:pt idx="122">
                  <c:v>927.1913118969029</c:v>
                </c:pt>
                <c:pt idx="123">
                  <c:v>942.21886421532474</c:v>
                </c:pt>
                <c:pt idx="124">
                  <c:v>997.87223622487318</c:v>
                </c:pt>
                <c:pt idx="125">
                  <c:v>1110.1492241756769</c:v>
                </c:pt>
                <c:pt idx="126">
                  <c:v>1203.1231184482504</c:v>
                </c:pt>
                <c:pt idx="127">
                  <c:v>1184.2610768322072</c:v>
                </c:pt>
                <c:pt idx="128">
                  <c:v>1356.4235563125631</c:v>
                </c:pt>
                <c:pt idx="129">
                  <c:v>1458.6299350502122</c:v>
                </c:pt>
                <c:pt idx="130">
                  <c:v>1479.2811713814963</c:v>
                </c:pt>
                <c:pt idx="131">
                  <c:v>1566.9994919954297</c:v>
                </c:pt>
                <c:pt idx="132">
                  <c:v>1489.6278429163283</c:v>
                </c:pt>
                <c:pt idx="133">
                  <c:v>1251.599262507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8A-4670-A6B5-697F3D6EDF2E}"/>
            </c:ext>
          </c:extLst>
        </c:ser>
        <c:ser>
          <c:idx val="4"/>
          <c:order val="4"/>
          <c:tx>
            <c:strRef>
              <c:f>真實OLS再投資累積報酬!$C$27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真實OLS再投資累積報酬!$D$22:$EG$22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真實OLS再投資累積報酬!$D$27:$EG$27</c:f>
              <c:numCache>
                <c:formatCode>General</c:formatCode>
                <c:ptCount val="134"/>
                <c:pt idx="0">
                  <c:v>1.1241331728202963E-2</c:v>
                </c:pt>
                <c:pt idx="1">
                  <c:v>0.23632989290661865</c:v>
                </c:pt>
                <c:pt idx="2">
                  <c:v>0.41698848138295364</c:v>
                </c:pt>
                <c:pt idx="3">
                  <c:v>0.70822391550713659</c:v>
                </c:pt>
                <c:pt idx="4">
                  <c:v>1.2323568185130069</c:v>
                </c:pt>
                <c:pt idx="5">
                  <c:v>1.2064993712674799</c:v>
                </c:pt>
                <c:pt idx="6">
                  <c:v>1.2638799262918874</c:v>
                </c:pt>
                <c:pt idx="7">
                  <c:v>1.1668710082147919</c:v>
                </c:pt>
                <c:pt idx="8">
                  <c:v>1.1902979796060276</c:v>
                </c:pt>
                <c:pt idx="9">
                  <c:v>1.2641183189256071</c:v>
                </c:pt>
                <c:pt idx="10">
                  <c:v>1.3474284194302708</c:v>
                </c:pt>
                <c:pt idx="11">
                  <c:v>1.742133456891386</c:v>
                </c:pt>
                <c:pt idx="12">
                  <c:v>1.4195177613521364</c:v>
                </c:pt>
                <c:pt idx="13">
                  <c:v>1.5238925611241951</c:v>
                </c:pt>
                <c:pt idx="14">
                  <c:v>1.7394641584428125</c:v>
                </c:pt>
                <c:pt idx="15">
                  <c:v>1.6586757980107527</c:v>
                </c:pt>
                <c:pt idx="16">
                  <c:v>1.9823800926231834</c:v>
                </c:pt>
                <c:pt idx="17">
                  <c:v>2.7411614564649027</c:v>
                </c:pt>
                <c:pt idx="18">
                  <c:v>2.8570323823028105</c:v>
                </c:pt>
                <c:pt idx="19">
                  <c:v>3.8040731456202108</c:v>
                </c:pt>
                <c:pt idx="20">
                  <c:v>4.8919250616295358</c:v>
                </c:pt>
                <c:pt idx="21">
                  <c:v>6.208081590630063</c:v>
                </c:pt>
                <c:pt idx="22">
                  <c:v>6.7927371946839061</c:v>
                </c:pt>
                <c:pt idx="23">
                  <c:v>7.7197866994885107</c:v>
                </c:pt>
                <c:pt idx="24">
                  <c:v>8.7965964132561076</c:v>
                </c:pt>
                <c:pt idx="25">
                  <c:v>9.5258497397373816</c:v>
                </c:pt>
                <c:pt idx="26">
                  <c:v>11.135142702989755</c:v>
                </c:pt>
                <c:pt idx="27">
                  <c:v>12.577390389061087</c:v>
                </c:pt>
                <c:pt idx="28">
                  <c:v>14.766353657601719</c:v>
                </c:pt>
                <c:pt idx="29">
                  <c:v>19.592561060334226</c:v>
                </c:pt>
                <c:pt idx="30">
                  <c:v>18.93023739383958</c:v>
                </c:pt>
                <c:pt idx="31">
                  <c:v>27.076873391931922</c:v>
                </c:pt>
                <c:pt idx="32">
                  <c:v>29.415097263352898</c:v>
                </c:pt>
                <c:pt idx="33">
                  <c:v>31.347345463217806</c:v>
                </c:pt>
                <c:pt idx="34">
                  <c:v>32.37349750086743</c:v>
                </c:pt>
                <c:pt idx="35">
                  <c:v>37.537527889820282</c:v>
                </c:pt>
                <c:pt idx="36">
                  <c:v>39.211658798029632</c:v>
                </c:pt>
                <c:pt idx="37">
                  <c:v>37.826587552987924</c:v>
                </c:pt>
                <c:pt idx="38">
                  <c:v>35.919880051593346</c:v>
                </c:pt>
                <c:pt idx="39">
                  <c:v>39.546554009642747</c:v>
                </c:pt>
                <c:pt idx="40">
                  <c:v>45.405791700505873</c:v>
                </c:pt>
                <c:pt idx="41">
                  <c:v>44.02572986807143</c:v>
                </c:pt>
                <c:pt idx="42">
                  <c:v>44.791744308340405</c:v>
                </c:pt>
                <c:pt idx="43">
                  <c:v>53.641609963877201</c:v>
                </c:pt>
                <c:pt idx="44">
                  <c:v>61.459329405921231</c:v>
                </c:pt>
                <c:pt idx="45">
                  <c:v>57.660697781480927</c:v>
                </c:pt>
                <c:pt idx="46">
                  <c:v>72.549654537267728</c:v>
                </c:pt>
                <c:pt idx="47">
                  <c:v>75.421437117346528</c:v>
                </c:pt>
                <c:pt idx="48">
                  <c:v>102.54611621226277</c:v>
                </c:pt>
                <c:pt idx="49">
                  <c:v>118.72768277521305</c:v>
                </c:pt>
                <c:pt idx="50">
                  <c:v>130.94919373304381</c:v>
                </c:pt>
                <c:pt idx="51">
                  <c:v>159.16451051745599</c:v>
                </c:pt>
                <c:pt idx="52">
                  <c:v>173.0694730045972</c:v>
                </c:pt>
                <c:pt idx="53">
                  <c:v>171.10104398613441</c:v>
                </c:pt>
                <c:pt idx="54">
                  <c:v>154.18723309309127</c:v>
                </c:pt>
                <c:pt idx="55">
                  <c:v>163.47508866651623</c:v>
                </c:pt>
                <c:pt idx="56">
                  <c:v>172.69216225587385</c:v>
                </c:pt>
                <c:pt idx="57">
                  <c:v>185.1111495572423</c:v>
                </c:pt>
                <c:pt idx="58">
                  <c:v>211.25398266613178</c:v>
                </c:pt>
                <c:pt idx="59">
                  <c:v>221.68409748742738</c:v>
                </c:pt>
                <c:pt idx="60">
                  <c:v>198.8370911767361</c:v>
                </c:pt>
                <c:pt idx="61">
                  <c:v>202.40378000063887</c:v>
                </c:pt>
                <c:pt idx="62">
                  <c:v>204.32029173694093</c:v>
                </c:pt>
                <c:pt idx="63">
                  <c:v>252.9131484498028</c:v>
                </c:pt>
                <c:pt idx="64">
                  <c:v>269.58405845236058</c:v>
                </c:pt>
                <c:pt idx="65">
                  <c:v>323.49220207144964</c:v>
                </c:pt>
                <c:pt idx="66">
                  <c:v>310.23102543000141</c:v>
                </c:pt>
                <c:pt idx="67">
                  <c:v>376.89361684213446</c:v>
                </c:pt>
                <c:pt idx="68">
                  <c:v>364.59839540559773</c:v>
                </c:pt>
                <c:pt idx="69">
                  <c:v>329.30699905389451</c:v>
                </c:pt>
                <c:pt idx="70">
                  <c:v>315.86892218344576</c:v>
                </c:pt>
                <c:pt idx="71">
                  <c:v>356.88369972698979</c:v>
                </c:pt>
                <c:pt idx="72">
                  <c:v>482.79776077159499</c:v>
                </c:pt>
                <c:pt idx="73">
                  <c:v>473.03304780181497</c:v>
                </c:pt>
                <c:pt idx="74">
                  <c:v>468.62701095581542</c:v>
                </c:pt>
                <c:pt idx="75">
                  <c:v>480.95462548536375</c:v>
                </c:pt>
                <c:pt idx="76">
                  <c:v>492.64131896427261</c:v>
                </c:pt>
                <c:pt idx="77">
                  <c:v>492.58812659407585</c:v>
                </c:pt>
                <c:pt idx="78">
                  <c:v>442.52378846196768</c:v>
                </c:pt>
                <c:pt idx="79">
                  <c:v>432.23047533936409</c:v>
                </c:pt>
                <c:pt idx="80">
                  <c:v>481.5184452442283</c:v>
                </c:pt>
                <c:pt idx="81">
                  <c:v>488.31952307427213</c:v>
                </c:pt>
                <c:pt idx="82">
                  <c:v>541.65076247175955</c:v>
                </c:pt>
                <c:pt idx="83">
                  <c:v>595.42522667856463</c:v>
                </c:pt>
                <c:pt idx="84">
                  <c:v>704.48200577494094</c:v>
                </c:pt>
                <c:pt idx="85">
                  <c:v>814.51572587774388</c:v>
                </c:pt>
                <c:pt idx="86">
                  <c:v>822.27451755704567</c:v>
                </c:pt>
                <c:pt idx="87">
                  <c:v>870.93182863151208</c:v>
                </c:pt>
                <c:pt idx="88">
                  <c:v>801.65272306687189</c:v>
                </c:pt>
                <c:pt idx="89">
                  <c:v>1094.6862380227485</c:v>
                </c:pt>
                <c:pt idx="90">
                  <c:v>1329.4578911705639</c:v>
                </c:pt>
                <c:pt idx="91">
                  <c:v>1537.8884291567349</c:v>
                </c:pt>
                <c:pt idx="92">
                  <c:v>1652.2318860812854</c:v>
                </c:pt>
                <c:pt idx="93">
                  <c:v>1896.6336914352787</c:v>
                </c:pt>
                <c:pt idx="94">
                  <c:v>1719.3454225243272</c:v>
                </c:pt>
                <c:pt idx="95">
                  <c:v>1909.5192179800367</c:v>
                </c:pt>
                <c:pt idx="96">
                  <c:v>2271.6236516601589</c:v>
                </c:pt>
                <c:pt idx="97">
                  <c:v>2333.2959278432795</c:v>
                </c:pt>
                <c:pt idx="98">
                  <c:v>2519.3269548929243</c:v>
                </c:pt>
                <c:pt idx="99">
                  <c:v>2885.1629675245836</c:v>
                </c:pt>
                <c:pt idx="100">
                  <c:v>2593.7567408136861</c:v>
                </c:pt>
                <c:pt idx="101">
                  <c:v>2627.6510980807493</c:v>
                </c:pt>
                <c:pt idx="102">
                  <c:v>2973.7492198425462</c:v>
                </c:pt>
                <c:pt idx="103">
                  <c:v>1835.9376279324599</c:v>
                </c:pt>
                <c:pt idx="104">
                  <c:v>2094.6431013650331</c:v>
                </c:pt>
                <c:pt idx="105">
                  <c:v>2219.3334669776536</c:v>
                </c:pt>
                <c:pt idx="106">
                  <c:v>2140.235310150159</c:v>
                </c:pt>
                <c:pt idx="107">
                  <c:v>2237.661427881023</c:v>
                </c:pt>
                <c:pt idx="108">
                  <c:v>1959.9032990673686</c:v>
                </c:pt>
                <c:pt idx="109">
                  <c:v>1865.6654000648762</c:v>
                </c:pt>
                <c:pt idx="110">
                  <c:v>1727.06860100271</c:v>
                </c:pt>
                <c:pt idx="111">
                  <c:v>2021.4216883377596</c:v>
                </c:pt>
                <c:pt idx="112">
                  <c:v>1979.4247702390237</c:v>
                </c:pt>
                <c:pt idx="113">
                  <c:v>1999.6916830618432</c:v>
                </c:pt>
                <c:pt idx="114">
                  <c:v>1751.9574470538389</c:v>
                </c:pt>
                <c:pt idx="115">
                  <c:v>1662.8154830138785</c:v>
                </c:pt>
                <c:pt idx="116">
                  <c:v>1745.7081924022823</c:v>
                </c:pt>
                <c:pt idx="117">
                  <c:v>1870.5265258322306</c:v>
                </c:pt>
                <c:pt idx="118">
                  <c:v>2122.4915623094644</c:v>
                </c:pt>
                <c:pt idx="119">
                  <c:v>2061.328391749099</c:v>
                </c:pt>
                <c:pt idx="120">
                  <c:v>1917.3928055969998</c:v>
                </c:pt>
                <c:pt idx="121">
                  <c:v>1900.3944508031384</c:v>
                </c:pt>
                <c:pt idx="122">
                  <c:v>2418.7988628047656</c:v>
                </c:pt>
                <c:pt idx="123">
                  <c:v>2518.1941273381594</c:v>
                </c:pt>
                <c:pt idx="124">
                  <c:v>2560.2830952249533</c:v>
                </c:pt>
                <c:pt idx="125">
                  <c:v>3099.8344531074358</c:v>
                </c:pt>
                <c:pt idx="126">
                  <c:v>3680.9365042683503</c:v>
                </c:pt>
                <c:pt idx="127">
                  <c:v>3780.4079687969925</c:v>
                </c:pt>
                <c:pt idx="128">
                  <c:v>3847.6124456706189</c:v>
                </c:pt>
                <c:pt idx="129">
                  <c:v>4656.7812445252521</c:v>
                </c:pt>
                <c:pt idx="130">
                  <c:v>4934.4975004183443</c:v>
                </c:pt>
                <c:pt idx="131">
                  <c:v>5551.7623333643814</c:v>
                </c:pt>
                <c:pt idx="132">
                  <c:v>5440.6094286166617</c:v>
                </c:pt>
                <c:pt idx="133">
                  <c:v>4300.3651071199047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8A-4670-A6B5-697F3D6EDF2E}"/>
            </c:ext>
          </c:extLst>
        </c:ser>
        <c:ser>
          <c:idx val="5"/>
          <c:order val="5"/>
          <c:tx>
            <c:strRef>
              <c:f>真實OLS再投資累積報酬!$C$28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真實OLS再投資累積報酬!$D$22:$EG$22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真實OLS再投資累積報酬!$D$28:$EG$28</c:f>
              <c:numCache>
                <c:formatCode>General</c:formatCode>
                <c:ptCount val="134"/>
                <c:pt idx="0">
                  <c:v>2.7766967310441037E-2</c:v>
                </c:pt>
                <c:pt idx="1">
                  <c:v>-5.6497980503421807E-2</c:v>
                </c:pt>
                <c:pt idx="2">
                  <c:v>-0.13375224156538734</c:v>
                </c:pt>
                <c:pt idx="3">
                  <c:v>4.0836285629268776E-2</c:v>
                </c:pt>
                <c:pt idx="4">
                  <c:v>1.7290082745691659E-2</c:v>
                </c:pt>
                <c:pt idx="5">
                  <c:v>0.37417801879386903</c:v>
                </c:pt>
                <c:pt idx="6">
                  <c:v>0.44088291099873533</c:v>
                </c:pt>
                <c:pt idx="7">
                  <c:v>0.43343279861020312</c:v>
                </c:pt>
                <c:pt idx="8">
                  <c:v>0.40513030483362988</c:v>
                </c:pt>
                <c:pt idx="9">
                  <c:v>0.13453926550544471</c:v>
                </c:pt>
                <c:pt idx="10">
                  <c:v>0.28934851520357197</c:v>
                </c:pt>
                <c:pt idx="11">
                  <c:v>0.42497729132991879</c:v>
                </c:pt>
                <c:pt idx="12">
                  <c:v>3.9524855993480656E-2</c:v>
                </c:pt>
                <c:pt idx="13">
                  <c:v>0.12033386525635881</c:v>
                </c:pt>
                <c:pt idx="14">
                  <c:v>0.21757160761858585</c:v>
                </c:pt>
                <c:pt idx="15">
                  <c:v>0.24491128386955063</c:v>
                </c:pt>
                <c:pt idx="16">
                  <c:v>0.61705753042158662</c:v>
                </c:pt>
                <c:pt idx="17">
                  <c:v>1.3514859209403833</c:v>
                </c:pt>
                <c:pt idx="18">
                  <c:v>1.6273668748445744</c:v>
                </c:pt>
                <c:pt idx="19">
                  <c:v>3.1053069408862894</c:v>
                </c:pt>
                <c:pt idx="20">
                  <c:v>5.7447464183996173</c:v>
                </c:pt>
                <c:pt idx="21">
                  <c:v>8.4047413703045137</c:v>
                </c:pt>
                <c:pt idx="22">
                  <c:v>9.8181816436079323</c:v>
                </c:pt>
                <c:pt idx="23">
                  <c:v>10.788255165836572</c:v>
                </c:pt>
                <c:pt idx="24">
                  <c:v>11.709048108598669</c:v>
                </c:pt>
                <c:pt idx="25">
                  <c:v>12.547435717779779</c:v>
                </c:pt>
                <c:pt idx="26">
                  <c:v>17.990081897860808</c:v>
                </c:pt>
                <c:pt idx="27">
                  <c:v>11.079677629265577</c:v>
                </c:pt>
                <c:pt idx="28">
                  <c:v>13.412768185723015</c:v>
                </c:pt>
                <c:pt idx="29">
                  <c:v>20.461200377761632</c:v>
                </c:pt>
                <c:pt idx="30">
                  <c:v>28.617645312629879</c:v>
                </c:pt>
                <c:pt idx="31">
                  <c:v>71.946708715902446</c:v>
                </c:pt>
                <c:pt idx="32">
                  <c:v>83.028165406871835</c:v>
                </c:pt>
                <c:pt idx="33">
                  <c:v>87.024562120617901</c:v>
                </c:pt>
                <c:pt idx="34">
                  <c:v>103.8730187009872</c:v>
                </c:pt>
                <c:pt idx="35">
                  <c:v>122.28002750947441</c:v>
                </c:pt>
                <c:pt idx="36">
                  <c:v>121.20313101178743</c:v>
                </c:pt>
                <c:pt idx="37">
                  <c:v>107.68003820108183</c:v>
                </c:pt>
                <c:pt idx="38">
                  <c:v>96.496242513818501</c:v>
                </c:pt>
                <c:pt idx="39">
                  <c:v>116.00995109003223</c:v>
                </c:pt>
                <c:pt idx="40">
                  <c:v>77.034124010661415</c:v>
                </c:pt>
                <c:pt idx="41">
                  <c:v>75.446063687787444</c:v>
                </c:pt>
                <c:pt idx="42">
                  <c:v>52.200713925078873</c:v>
                </c:pt>
                <c:pt idx="43">
                  <c:v>40.88723896396337</c:v>
                </c:pt>
                <c:pt idx="44">
                  <c:v>50.514644511447287</c:v>
                </c:pt>
                <c:pt idx="45">
                  <c:v>38.263269196627654</c:v>
                </c:pt>
                <c:pt idx="46">
                  <c:v>47.05088636523751</c:v>
                </c:pt>
                <c:pt idx="47">
                  <c:v>43.523591145623499</c:v>
                </c:pt>
                <c:pt idx="48">
                  <c:v>36.790131441618456</c:v>
                </c:pt>
                <c:pt idx="49">
                  <c:v>59.838315987186455</c:v>
                </c:pt>
                <c:pt idx="50">
                  <c:v>53.64602826873098</c:v>
                </c:pt>
                <c:pt idx="51">
                  <c:v>96.223608032705684</c:v>
                </c:pt>
                <c:pt idx="52">
                  <c:v>87.493677607286898</c:v>
                </c:pt>
                <c:pt idx="53">
                  <c:v>102.76504382723002</c:v>
                </c:pt>
                <c:pt idx="54">
                  <c:v>108.71913786608191</c:v>
                </c:pt>
                <c:pt idx="55">
                  <c:v>109.30144125052885</c:v>
                </c:pt>
                <c:pt idx="56">
                  <c:v>135.5688484299468</c:v>
                </c:pt>
                <c:pt idx="57">
                  <c:v>167.03789288516589</c:v>
                </c:pt>
                <c:pt idx="58">
                  <c:v>146.85244542207386</c:v>
                </c:pt>
                <c:pt idx="59">
                  <c:v>137.89742875799757</c:v>
                </c:pt>
                <c:pt idx="60">
                  <c:v>136.50571444791453</c:v>
                </c:pt>
                <c:pt idx="61">
                  <c:v>151.09602231116853</c:v>
                </c:pt>
                <c:pt idx="62">
                  <c:v>163.99117022052576</c:v>
                </c:pt>
                <c:pt idx="63">
                  <c:v>200.66206954587076</c:v>
                </c:pt>
                <c:pt idx="64">
                  <c:v>188.73321508954524</c:v>
                </c:pt>
                <c:pt idx="65">
                  <c:v>296.34773444420551</c:v>
                </c:pt>
                <c:pt idx="66">
                  <c:v>254.57488550937708</c:v>
                </c:pt>
                <c:pt idx="67">
                  <c:v>373.57541602976517</c:v>
                </c:pt>
                <c:pt idx="68">
                  <c:v>328.01916567371649</c:v>
                </c:pt>
                <c:pt idx="69">
                  <c:v>346.37819042947291</c:v>
                </c:pt>
                <c:pt idx="70">
                  <c:v>503.24359896974624</c:v>
                </c:pt>
                <c:pt idx="71">
                  <c:v>794.37710802912409</c:v>
                </c:pt>
                <c:pt idx="72">
                  <c:v>914.50088080223441</c:v>
                </c:pt>
                <c:pt idx="73">
                  <c:v>1004.640344084483</c:v>
                </c:pt>
                <c:pt idx="74">
                  <c:v>605.11763149893227</c:v>
                </c:pt>
                <c:pt idx="75">
                  <c:v>519.26433672051212</c:v>
                </c:pt>
                <c:pt idx="76">
                  <c:v>474.85866284669515</c:v>
                </c:pt>
                <c:pt idx="77">
                  <c:v>505.37409088958816</c:v>
                </c:pt>
                <c:pt idx="78">
                  <c:v>616.69091149603298</c:v>
                </c:pt>
                <c:pt idx="79">
                  <c:v>588.80122458073458</c:v>
                </c:pt>
                <c:pt idx="80">
                  <c:v>694.5548158771652</c:v>
                </c:pt>
                <c:pt idx="81">
                  <c:v>541.11558368999272</c:v>
                </c:pt>
                <c:pt idx="82">
                  <c:v>584.65960239873141</c:v>
                </c:pt>
                <c:pt idx="83">
                  <c:v>679.16862304337974</c:v>
                </c:pt>
                <c:pt idx="84">
                  <c:v>606.93434298739032</c:v>
                </c:pt>
                <c:pt idx="85">
                  <c:v>433.18475987522953</c:v>
                </c:pt>
                <c:pt idx="86">
                  <c:v>298.68887661861731</c:v>
                </c:pt>
                <c:pt idx="87">
                  <c:v>286.05080422898118</c:v>
                </c:pt>
                <c:pt idx="88">
                  <c:v>273.22292336327888</c:v>
                </c:pt>
                <c:pt idx="89">
                  <c:v>313.57074518191945</c:v>
                </c:pt>
                <c:pt idx="90">
                  <c:v>462.14659541081056</c:v>
                </c:pt>
                <c:pt idx="91">
                  <c:v>553.88081216300327</c:v>
                </c:pt>
                <c:pt idx="92">
                  <c:v>525.3377276525855</c:v>
                </c:pt>
                <c:pt idx="93">
                  <c:v>391.08861117402716</c:v>
                </c:pt>
                <c:pt idx="94">
                  <c:v>452.86812604193153</c:v>
                </c:pt>
                <c:pt idx="95">
                  <c:v>499.20470466012898</c:v>
                </c:pt>
                <c:pt idx="96">
                  <c:v>613.60621463368636</c:v>
                </c:pt>
                <c:pt idx="97">
                  <c:v>668.75227053538936</c:v>
                </c:pt>
                <c:pt idx="98">
                  <c:v>831.93725553944728</c:v>
                </c:pt>
                <c:pt idx="99">
                  <c:v>954.12467444764309</c:v>
                </c:pt>
                <c:pt idx="100">
                  <c:v>610.06197855074208</c:v>
                </c:pt>
                <c:pt idx="101">
                  <c:v>511.00460946384669</c:v>
                </c:pt>
                <c:pt idx="102">
                  <c:v>644.39922531611751</c:v>
                </c:pt>
                <c:pt idx="103">
                  <c:v>32.490030815503154</c:v>
                </c:pt>
                <c:pt idx="104">
                  <c:v>44.215478132768695</c:v>
                </c:pt>
                <c:pt idx="105">
                  <c:v>47.629504377045372</c:v>
                </c:pt>
                <c:pt idx="106">
                  <c:v>37.307649292924587</c:v>
                </c:pt>
                <c:pt idx="107">
                  <c:v>44.763775978340675</c:v>
                </c:pt>
                <c:pt idx="108">
                  <c:v>33.38740546185354</c:v>
                </c:pt>
                <c:pt idx="109">
                  <c:v>29.851250761065675</c:v>
                </c:pt>
                <c:pt idx="110">
                  <c:v>16.79812359394078</c:v>
                </c:pt>
                <c:pt idx="111">
                  <c:v>20.205520241473756</c:v>
                </c:pt>
                <c:pt idx="112">
                  <c:v>16.684943120333251</c:v>
                </c:pt>
                <c:pt idx="113">
                  <c:v>18.068383801555509</c:v>
                </c:pt>
                <c:pt idx="114">
                  <c:v>11.05067763032446</c:v>
                </c:pt>
                <c:pt idx="115">
                  <c:v>11.443260661576154</c:v>
                </c:pt>
                <c:pt idx="116">
                  <c:v>10.409047891505987</c:v>
                </c:pt>
                <c:pt idx="117">
                  <c:v>9.7805216088630988</c:v>
                </c:pt>
                <c:pt idx="118">
                  <c:v>10.601030765868318</c:v>
                </c:pt>
                <c:pt idx="119">
                  <c:v>9.643284159876174</c:v>
                </c:pt>
                <c:pt idx="120">
                  <c:v>8.1105770056625346</c:v>
                </c:pt>
                <c:pt idx="121">
                  <c:v>7.5478068903756039</c:v>
                </c:pt>
                <c:pt idx="122">
                  <c:v>14.134262285744796</c:v>
                </c:pt>
                <c:pt idx="123">
                  <c:v>12.596247534882618</c:v>
                </c:pt>
                <c:pt idx="124">
                  <c:v>15.752375355241682</c:v>
                </c:pt>
                <c:pt idx="125">
                  <c:v>25.253919779711456</c:v>
                </c:pt>
                <c:pt idx="126">
                  <c:v>26.095792036378853</c:v>
                </c:pt>
                <c:pt idx="127">
                  <c:v>29.634546071108002</c:v>
                </c:pt>
                <c:pt idx="128">
                  <c:v>37.995235578211464</c:v>
                </c:pt>
                <c:pt idx="129">
                  <c:v>63.958559594118753</c:v>
                </c:pt>
                <c:pt idx="130">
                  <c:v>73.27598918667303</c:v>
                </c:pt>
                <c:pt idx="131">
                  <c:v>95.026287040714593</c:v>
                </c:pt>
                <c:pt idx="132">
                  <c:v>91.601607184532199</c:v>
                </c:pt>
                <c:pt idx="133">
                  <c:v>79.659910138530606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8A-4670-A6B5-697F3D6EDF2E}"/>
            </c:ext>
          </c:extLst>
        </c:ser>
        <c:ser>
          <c:idx val="6"/>
          <c:order val="6"/>
          <c:tx>
            <c:strRef>
              <c:f>真實OLS再投資累積報酬!$C$29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真實OLS再投資累積報酬!$D$22:$EG$22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真實OLS再投資累積報酬!$D$29:$EG$29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8A-4670-A6B5-697F3D6ED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403024"/>
        <c:axId val="2104419824"/>
      </c:lineChart>
      <c:catAx>
        <c:axId val="210440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19824"/>
        <c:crosses val="autoZero"/>
        <c:auto val="1"/>
        <c:lblAlgn val="ctr"/>
        <c:lblOffset val="100"/>
        <c:noMultiLvlLbl val="0"/>
      </c:catAx>
      <c:valAx>
        <c:axId val="21044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0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524933</xdr:colOff>
      <xdr:row>33</xdr:row>
      <xdr:rowOff>59268</xdr:rowOff>
    </xdr:from>
    <xdr:to>
      <xdr:col>18</xdr:col>
      <xdr:colOff>491068</xdr:colOff>
      <xdr:row>51</xdr:row>
      <xdr:rowOff>135467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D393CAA3-E6DD-6486-DDF8-AEA293AD3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7838</xdr:colOff>
      <xdr:row>29</xdr:row>
      <xdr:rowOff>180309</xdr:rowOff>
    </xdr:from>
    <xdr:to>
      <xdr:col>124</xdr:col>
      <xdr:colOff>650677</xdr:colOff>
      <xdr:row>45</xdr:row>
      <xdr:rowOff>54875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5133B80-9A33-B758-0E9B-D1F32D08C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34</xdr:row>
      <xdr:rowOff>139178</xdr:rowOff>
    </xdr:from>
    <xdr:to>
      <xdr:col>13</xdr:col>
      <xdr:colOff>252284</xdr:colOff>
      <xdr:row>50</xdr:row>
      <xdr:rowOff>96604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24B591E-76DB-D24A-9247-B5A694EC9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168188</xdr:colOff>
      <xdr:row>31</xdr:row>
      <xdr:rowOff>14244</xdr:rowOff>
    </xdr:from>
    <xdr:to>
      <xdr:col>128</xdr:col>
      <xdr:colOff>420472</xdr:colOff>
      <xdr:row>46</xdr:row>
      <xdr:rowOff>163040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632D428-6A5E-4C92-9D57-7F59DA335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442783</xdr:colOff>
      <xdr:row>31</xdr:row>
      <xdr:rowOff>74312</xdr:rowOff>
    </xdr:from>
    <xdr:to>
      <xdr:col>18</xdr:col>
      <xdr:colOff>94392</xdr:colOff>
      <xdr:row>48</xdr:row>
      <xdr:rowOff>42905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77B6BA8-BF03-5A46-C8F4-518F9D919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180310</xdr:colOff>
      <xdr:row>31</xdr:row>
      <xdr:rowOff>193609</xdr:rowOff>
    </xdr:from>
    <xdr:ext cx="964258" cy="257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A6007F37-BB97-8550-2382-0CB243710B25}"/>
                </a:ext>
              </a:extLst>
            </xdr:cNvPr>
            <xdr:cNvSpPr txBox="1"/>
          </xdr:nvSpPr>
          <xdr:spPr>
            <a:xfrm>
              <a:off x="180310" y="6124055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TW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A6007F37-BB97-8550-2382-0CB243710B25}"/>
                </a:ext>
              </a:extLst>
            </xdr:cNvPr>
            <xdr:cNvSpPr txBox="1"/>
          </xdr:nvSpPr>
          <xdr:spPr>
            <a:xfrm>
              <a:off x="180310" y="6124055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zh-TW" sz="1600" b="0" i="0">
                  <a:latin typeface="Cambria Math" panose="02040503050406030204" pitchFamily="18" charset="0"/>
                </a:rPr>
                <a:t>𝑅^2</a:t>
              </a:r>
              <a:endParaRPr lang="zh-TW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32"/>
  <sheetViews>
    <sheetView zoomScale="89" zoomScaleNormal="74" workbookViewId="0">
      <selection activeCell="C3" sqref="C3:EF7"/>
    </sheetView>
  </sheetViews>
  <sheetFormatPr baseColWidth="10" defaultColWidth="8.83203125" defaultRowHeight="15"/>
  <cols>
    <col min="1" max="1" width="8.83203125" style="48" customWidth="1"/>
    <col min="2" max="2" width="8.33203125" style="48" customWidth="1"/>
    <col min="3" max="10" width="8.83203125" style="3" bestFit="1" customWidth="1"/>
    <col min="11" max="11" width="8.1640625" style="48" customWidth="1"/>
    <col min="12" max="55" width="8.83203125" style="3" bestFit="1" customWidth="1"/>
    <col min="56" max="56" width="13.83203125" style="3" bestFit="1" customWidth="1"/>
    <col min="57" max="136" width="8.83203125" style="3" bestFit="1" customWidth="1"/>
    <col min="137" max="16384" width="8.83203125" style="3"/>
  </cols>
  <sheetData>
    <row r="1" spans="1:137" ht="16">
      <c r="A1" s="54" t="s">
        <v>143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37" ht="17">
      <c r="A2" s="5"/>
      <c r="B2" s="6" t="s">
        <v>1</v>
      </c>
      <c r="C2" s="52" t="s">
        <v>2</v>
      </c>
      <c r="D2" s="52" t="s">
        <v>3</v>
      </c>
      <c r="E2" s="52" t="s">
        <v>4</v>
      </c>
      <c r="F2" s="52" t="s">
        <v>5</v>
      </c>
      <c r="G2" s="52" t="s">
        <v>6</v>
      </c>
      <c r="H2" s="52" t="s">
        <v>7</v>
      </c>
      <c r="I2" s="52" t="s">
        <v>8</v>
      </c>
      <c r="J2" s="52" t="s">
        <v>9</v>
      </c>
      <c r="K2" s="52" t="s">
        <v>10</v>
      </c>
      <c r="L2" s="52" t="s">
        <v>11</v>
      </c>
      <c r="M2" s="52" t="s">
        <v>12</v>
      </c>
      <c r="N2" s="52" t="s">
        <v>13</v>
      </c>
      <c r="O2" s="52" t="s">
        <v>14</v>
      </c>
      <c r="P2" s="52" t="s">
        <v>15</v>
      </c>
      <c r="Q2" s="52" t="s">
        <v>16</v>
      </c>
      <c r="R2" s="52" t="s">
        <v>17</v>
      </c>
      <c r="S2" s="52" t="s">
        <v>18</v>
      </c>
      <c r="T2" s="52" t="s">
        <v>19</v>
      </c>
      <c r="U2" s="52" t="s">
        <v>20</v>
      </c>
      <c r="V2" s="52" t="s">
        <v>21</v>
      </c>
      <c r="W2" s="52" t="s">
        <v>22</v>
      </c>
      <c r="X2" s="52" t="s">
        <v>23</v>
      </c>
      <c r="Y2" s="52" t="s">
        <v>24</v>
      </c>
      <c r="Z2" s="52" t="s">
        <v>25</v>
      </c>
      <c r="AA2" s="52" t="s">
        <v>26</v>
      </c>
      <c r="AB2" s="52" t="s">
        <v>27</v>
      </c>
      <c r="AC2" s="52" t="s">
        <v>28</v>
      </c>
      <c r="AD2" s="52" t="s">
        <v>29</v>
      </c>
      <c r="AE2" s="52" t="s">
        <v>30</v>
      </c>
      <c r="AF2" s="52" t="s">
        <v>31</v>
      </c>
      <c r="AG2" s="52" t="s">
        <v>32</v>
      </c>
      <c r="AH2" s="52" t="s">
        <v>33</v>
      </c>
      <c r="AI2" s="52" t="s">
        <v>34</v>
      </c>
      <c r="AJ2" s="52" t="s">
        <v>35</v>
      </c>
      <c r="AK2" s="52" t="s">
        <v>36</v>
      </c>
      <c r="AL2" s="52" t="s">
        <v>37</v>
      </c>
      <c r="AM2" s="52" t="s">
        <v>38</v>
      </c>
      <c r="AN2" s="52" t="s">
        <v>39</v>
      </c>
      <c r="AO2" s="52" t="s">
        <v>40</v>
      </c>
      <c r="AP2" s="52" t="s">
        <v>41</v>
      </c>
      <c r="AQ2" s="52" t="s">
        <v>42</v>
      </c>
      <c r="AR2" s="52" t="s">
        <v>43</v>
      </c>
      <c r="AS2" s="52" t="s">
        <v>44</v>
      </c>
      <c r="AT2" s="52" t="s">
        <v>45</v>
      </c>
      <c r="AU2" s="52" t="s">
        <v>46</v>
      </c>
      <c r="AV2" s="52" t="s">
        <v>47</v>
      </c>
      <c r="AW2" s="52" t="s">
        <v>48</v>
      </c>
      <c r="AX2" s="52" t="s">
        <v>49</v>
      </c>
      <c r="AY2" s="52" t="s">
        <v>50</v>
      </c>
      <c r="AZ2" s="52" t="s">
        <v>51</v>
      </c>
      <c r="BA2" s="52" t="s">
        <v>52</v>
      </c>
      <c r="BB2" s="52" t="s">
        <v>53</v>
      </c>
      <c r="BC2" s="52" t="s">
        <v>54</v>
      </c>
      <c r="BD2" s="52" t="s">
        <v>55</v>
      </c>
      <c r="BE2" s="52" t="s">
        <v>56</v>
      </c>
      <c r="BF2" s="52" t="s">
        <v>57</v>
      </c>
      <c r="BG2" s="52" t="s">
        <v>58</v>
      </c>
      <c r="BH2" s="52" t="s">
        <v>59</v>
      </c>
      <c r="BI2" s="52" t="s">
        <v>60</v>
      </c>
      <c r="BJ2" s="52" t="s">
        <v>61</v>
      </c>
      <c r="BK2" s="52" t="s">
        <v>62</v>
      </c>
      <c r="BL2" s="52" t="s">
        <v>63</v>
      </c>
      <c r="BM2" s="52" t="s">
        <v>64</v>
      </c>
      <c r="BN2" s="52" t="s">
        <v>65</v>
      </c>
      <c r="BO2" s="52" t="s">
        <v>66</v>
      </c>
      <c r="BP2" s="52" t="s">
        <v>67</v>
      </c>
      <c r="BQ2" s="52" t="s">
        <v>68</v>
      </c>
      <c r="BR2" s="52" t="s">
        <v>69</v>
      </c>
      <c r="BS2" s="52" t="s">
        <v>70</v>
      </c>
      <c r="BT2" s="52" t="s">
        <v>71</v>
      </c>
      <c r="BU2" s="52" t="s">
        <v>72</v>
      </c>
      <c r="BV2" s="52" t="s">
        <v>73</v>
      </c>
      <c r="BW2" s="52" t="s">
        <v>74</v>
      </c>
      <c r="BX2" s="52" t="s">
        <v>75</v>
      </c>
      <c r="BY2" s="52" t="s">
        <v>76</v>
      </c>
      <c r="BZ2" s="52" t="s">
        <v>77</v>
      </c>
      <c r="CA2" s="52" t="s">
        <v>78</v>
      </c>
      <c r="CB2" s="52" t="s">
        <v>79</v>
      </c>
      <c r="CC2" s="52" t="s">
        <v>80</v>
      </c>
      <c r="CD2" s="52" t="s">
        <v>81</v>
      </c>
      <c r="CE2" s="52" t="s">
        <v>82</v>
      </c>
      <c r="CF2" s="52" t="s">
        <v>83</v>
      </c>
      <c r="CG2" s="52" t="s">
        <v>84</v>
      </c>
      <c r="CH2" s="52" t="s">
        <v>85</v>
      </c>
      <c r="CI2" s="52" t="s">
        <v>86</v>
      </c>
      <c r="CJ2" s="52" t="s">
        <v>87</v>
      </c>
      <c r="CK2" s="52" t="s">
        <v>88</v>
      </c>
      <c r="CL2" s="52" t="s">
        <v>89</v>
      </c>
      <c r="CM2" s="52" t="s">
        <v>90</v>
      </c>
      <c r="CN2" s="52" t="s">
        <v>91</v>
      </c>
      <c r="CO2" s="52" t="s">
        <v>92</v>
      </c>
      <c r="CP2" s="52" t="s">
        <v>93</v>
      </c>
      <c r="CQ2" s="52" t="s">
        <v>94</v>
      </c>
      <c r="CR2" s="52" t="s">
        <v>95</v>
      </c>
      <c r="CS2" s="52" t="s">
        <v>96</v>
      </c>
      <c r="CT2" s="52" t="s">
        <v>97</v>
      </c>
      <c r="CU2" s="52" t="s">
        <v>98</v>
      </c>
      <c r="CV2" s="52" t="s">
        <v>99</v>
      </c>
      <c r="CW2" s="52" t="s">
        <v>100</v>
      </c>
      <c r="CX2" s="52" t="s">
        <v>101</v>
      </c>
      <c r="CY2" s="52" t="s">
        <v>102</v>
      </c>
      <c r="CZ2" s="52" t="s">
        <v>103</v>
      </c>
      <c r="DA2" s="52" t="s">
        <v>104</v>
      </c>
      <c r="DB2" s="52" t="s">
        <v>105</v>
      </c>
      <c r="DC2" s="52" t="s">
        <v>106</v>
      </c>
      <c r="DD2" s="52" t="s">
        <v>107</v>
      </c>
      <c r="DE2" s="52" t="s">
        <v>108</v>
      </c>
      <c r="DF2" s="52" t="s">
        <v>109</v>
      </c>
      <c r="DG2" s="52" t="s">
        <v>110</v>
      </c>
      <c r="DH2" s="52" t="s">
        <v>111</v>
      </c>
      <c r="DI2" s="52" t="s">
        <v>112</v>
      </c>
      <c r="DJ2" s="52" t="s">
        <v>113</v>
      </c>
      <c r="DK2" s="52" t="s">
        <v>114</v>
      </c>
      <c r="DL2" s="52" t="s">
        <v>115</v>
      </c>
      <c r="DM2" s="52" t="s">
        <v>116</v>
      </c>
      <c r="DN2" s="52" t="s">
        <v>117</v>
      </c>
      <c r="DO2" s="52" t="s">
        <v>118</v>
      </c>
      <c r="DP2" s="52" t="s">
        <v>119</v>
      </c>
      <c r="DQ2" s="52" t="s">
        <v>120</v>
      </c>
      <c r="DR2" s="52" t="s">
        <v>121</v>
      </c>
      <c r="DS2" s="52" t="s">
        <v>122</v>
      </c>
      <c r="DT2" s="52" t="s">
        <v>123</v>
      </c>
      <c r="DU2" s="52" t="s">
        <v>124</v>
      </c>
      <c r="DV2" s="52" t="s">
        <v>125</v>
      </c>
      <c r="DW2" s="52" t="s">
        <v>126</v>
      </c>
      <c r="DX2" s="52" t="s">
        <v>127</v>
      </c>
      <c r="DY2" s="52" t="s">
        <v>128</v>
      </c>
      <c r="DZ2" s="52" t="s">
        <v>129</v>
      </c>
      <c r="EA2" s="52" t="s">
        <v>130</v>
      </c>
      <c r="EB2" s="52" t="s">
        <v>131</v>
      </c>
      <c r="EC2" s="52" t="s">
        <v>132</v>
      </c>
      <c r="ED2" s="53" t="s">
        <v>133</v>
      </c>
      <c r="EE2" s="52" t="s">
        <v>134</v>
      </c>
      <c r="EF2" s="52" t="s">
        <v>140</v>
      </c>
    </row>
    <row r="3" spans="1:137" ht="16">
      <c r="A3" s="5"/>
      <c r="B3" s="30" t="s">
        <v>253</v>
      </c>
      <c r="C3" s="20">
        <v>0.12061070248141641</v>
      </c>
      <c r="D3" s="20">
        <v>4.5588621500437902E-2</v>
      </c>
      <c r="E3" s="20">
        <v>0.16704505126777161</v>
      </c>
      <c r="F3" s="20">
        <v>-7.3748988286869252E-2</v>
      </c>
      <c r="G3" s="20">
        <v>-3.2506586973684262E-2</v>
      </c>
      <c r="H3" s="20">
        <v>-3.2847118626080897E-2</v>
      </c>
      <c r="I3" s="20">
        <v>-0.12110157860918851</v>
      </c>
      <c r="J3" s="20">
        <v>2.5822337019559341E-3</v>
      </c>
      <c r="K3" s="20">
        <v>7.1968625004836057E-2</v>
      </c>
      <c r="L3" s="20">
        <v>3.4342712304991078E-2</v>
      </c>
      <c r="M3" s="20">
        <v>4.0084602667129349E-2</v>
      </c>
      <c r="N3" s="20">
        <v>4.1563466655895852E-2</v>
      </c>
      <c r="O3" s="20">
        <v>-6.9002801033464468E-3</v>
      </c>
      <c r="P3" s="20">
        <v>3.5779379096689788E-2</v>
      </c>
      <c r="Q3" s="20">
        <v>6.8350636349776644E-2</v>
      </c>
      <c r="R3" s="20">
        <v>-4.5413080669201647E-2</v>
      </c>
      <c r="S3" s="20">
        <v>1.9673980374611249E-2</v>
      </c>
      <c r="T3" s="20">
        <v>-0.10645091888905089</v>
      </c>
      <c r="U3" s="20">
        <v>-3.2053188608652222E-2</v>
      </c>
      <c r="V3" s="20">
        <v>-1.486561554125564E-2</v>
      </c>
      <c r="W3" s="20">
        <v>-9.3405071083985589E-2</v>
      </c>
      <c r="X3" s="20">
        <v>-3.7053875715306342E-2</v>
      </c>
      <c r="Y3" s="20">
        <v>-4.7379645481055749E-2</v>
      </c>
      <c r="Z3" s="20">
        <v>-3.5732975972085197E-2</v>
      </c>
      <c r="AA3" s="20">
        <v>7.4709415434143334E-2</v>
      </c>
      <c r="AB3" s="20">
        <v>-0.1014916742073749</v>
      </c>
      <c r="AC3" s="20">
        <v>-2.958901675079971E-4</v>
      </c>
      <c r="AD3" s="20">
        <v>-6.884879748071672E-2</v>
      </c>
      <c r="AE3" s="20">
        <v>-2.226603217992465E-2</v>
      </c>
      <c r="AF3" s="20">
        <v>4.1625471515908258E-2</v>
      </c>
      <c r="AG3" s="20">
        <v>-8.0508267102041703E-3</v>
      </c>
      <c r="AH3" s="20">
        <v>-3.8264652471021107E-2</v>
      </c>
      <c r="AI3" s="20">
        <v>4.5184246070277309E-2</v>
      </c>
      <c r="AJ3" s="20">
        <v>3.4215625055713628E-2</v>
      </c>
      <c r="AK3" s="20">
        <v>4.4138222564125883E-2</v>
      </c>
      <c r="AL3" s="20">
        <v>-3.5587566867339653E-2</v>
      </c>
      <c r="AM3" s="20">
        <v>-1.307752910282832E-2</v>
      </c>
      <c r="AN3" s="20">
        <v>4.1485640311627048E-3</v>
      </c>
      <c r="AO3" s="20">
        <v>-7.7685069747940566E-2</v>
      </c>
      <c r="AP3" s="20">
        <v>-6.9983938877633423E-3</v>
      </c>
      <c r="AQ3" s="20">
        <v>0.13094783928293391</v>
      </c>
      <c r="AR3" s="20">
        <v>-8.6792708504303165E-2</v>
      </c>
      <c r="AS3" s="20">
        <v>-5.2702983493883533E-2</v>
      </c>
      <c r="AT3" s="20">
        <v>6.5228470856534659E-2</v>
      </c>
      <c r="AU3" s="20">
        <v>-6.5193823066972231E-2</v>
      </c>
      <c r="AV3" s="20">
        <v>8.5695091691641318E-3</v>
      </c>
      <c r="AW3" s="20">
        <v>-4.0024302856775031E-2</v>
      </c>
      <c r="AX3" s="20">
        <v>-3.1442522098695247E-2</v>
      </c>
      <c r="AY3" s="20">
        <v>-4.0051979337830963E-3</v>
      </c>
      <c r="AZ3" s="20">
        <v>-7.87988595399116E-3</v>
      </c>
      <c r="BA3" s="20">
        <v>-6.0724257043419964E-3</v>
      </c>
      <c r="BB3" s="20">
        <v>-1.1000774597969601E-2</v>
      </c>
      <c r="BC3" s="20">
        <v>-2.6379571628000791E-2</v>
      </c>
      <c r="BD3" s="20">
        <v>3.9479545280064407E-2</v>
      </c>
      <c r="BE3" s="20">
        <v>3.1278311810121473E-2</v>
      </c>
      <c r="BF3" s="20">
        <v>-6.0707144594610513E-3</v>
      </c>
      <c r="BG3" s="20">
        <v>-6.0537314950835433E-2</v>
      </c>
      <c r="BH3" s="20">
        <v>-8.5381433803068715E-2</v>
      </c>
      <c r="BI3" s="20">
        <v>6.449315459347095E-2</v>
      </c>
      <c r="BJ3" s="20">
        <v>-6.227610105192051E-3</v>
      </c>
      <c r="BK3" s="20">
        <v>4.6391114420235899E-2</v>
      </c>
      <c r="BL3" s="20">
        <v>-1.156082161362396E-2</v>
      </c>
      <c r="BM3" s="20">
        <v>-4.455844209947097E-2</v>
      </c>
      <c r="BN3" s="20">
        <v>2.7621487445270072E-3</v>
      </c>
      <c r="BO3" s="20">
        <v>8.312142553037161E-3</v>
      </c>
      <c r="BP3" s="20">
        <v>-5.5860348790947041E-2</v>
      </c>
      <c r="BQ3" s="20">
        <v>3.5706629851489133E-2</v>
      </c>
      <c r="BR3" s="20">
        <v>-2.2012848784035179E-2</v>
      </c>
      <c r="BS3" s="20">
        <v>3.9643524500143849E-2</v>
      </c>
      <c r="BT3" s="20">
        <v>-3.5802523819053762E-3</v>
      </c>
      <c r="BU3" s="20">
        <v>8.9809503674597949E-3</v>
      </c>
      <c r="BV3" s="20">
        <v>-8.9428832558806175E-3</v>
      </c>
      <c r="BW3" s="20">
        <v>-7.606401830661523E-2</v>
      </c>
      <c r="BX3" s="20">
        <v>-4.0663010962644373E-2</v>
      </c>
      <c r="BY3" s="20">
        <v>-5.908333642589482E-2</v>
      </c>
      <c r="BZ3" s="20">
        <v>-2.6982576363534839E-2</v>
      </c>
      <c r="CA3" s="20">
        <v>-0.12652495379074219</v>
      </c>
      <c r="CB3" s="20">
        <v>1.2022261026242089E-2</v>
      </c>
      <c r="CC3" s="20">
        <v>-5.0881431189465171E-2</v>
      </c>
      <c r="CD3" s="20">
        <v>2.5276040610712269E-2</v>
      </c>
      <c r="CE3" s="20">
        <v>8.7027483919829188E-2</v>
      </c>
      <c r="CF3" s="20">
        <v>-2.4625967354591039E-2</v>
      </c>
      <c r="CG3" s="20">
        <v>1.874726219553563E-2</v>
      </c>
      <c r="CH3" s="20">
        <v>4.1512479804806227E-2</v>
      </c>
      <c r="CI3" s="20">
        <v>-2.982027623949892E-2</v>
      </c>
      <c r="CJ3" s="20">
        <v>-1.2665490672423049E-2</v>
      </c>
      <c r="CK3" s="20">
        <v>4.7987523977313533E-2</v>
      </c>
      <c r="CL3" s="20">
        <v>-6.6815212175235783E-3</v>
      </c>
      <c r="CM3" s="20">
        <v>2.3373144063608738E-2</v>
      </c>
      <c r="CN3" s="20">
        <v>1.089017138913061E-2</v>
      </c>
      <c r="CO3" s="20">
        <v>0.14646343744112991</v>
      </c>
      <c r="CP3" s="20">
        <v>1.9768544897054329E-2</v>
      </c>
      <c r="CQ3" s="20">
        <v>1.7749235500301951E-2</v>
      </c>
      <c r="CR3" s="20">
        <v>-2.8991521269468159E-2</v>
      </c>
      <c r="CS3" s="20">
        <v>-9.2105433549335754E-3</v>
      </c>
      <c r="CT3" s="20">
        <v>3.684814317680405E-2</v>
      </c>
      <c r="CU3" s="20">
        <v>3.050411561754297E-2</v>
      </c>
      <c r="CV3" s="20">
        <v>4.0383350938434252E-2</v>
      </c>
      <c r="CW3" s="20">
        <v>-9.3859596047043536E-3</v>
      </c>
      <c r="CX3" s="20">
        <v>-7.7248887176943296E-2</v>
      </c>
      <c r="CY3" s="20">
        <v>2.548220655716743E-3</v>
      </c>
      <c r="CZ3" s="20">
        <v>-2.335678888027266E-2</v>
      </c>
      <c r="DA3" s="20">
        <v>-3.5608656768651929E-2</v>
      </c>
      <c r="DB3" s="20">
        <v>4.4999952963004786E-3</v>
      </c>
      <c r="DC3" s="20">
        <v>-4.3417921151317942E-2</v>
      </c>
      <c r="DD3" s="20">
        <v>7.7585487350289431E-2</v>
      </c>
      <c r="DE3" s="20">
        <v>4.5548817954567847E-2</v>
      </c>
      <c r="DF3" s="20">
        <v>-7.3761037440207289E-2</v>
      </c>
      <c r="DG3" s="20">
        <v>-1.383602919096409E-2</v>
      </c>
      <c r="DH3" s="20">
        <v>-1.314658790875837E-2</v>
      </c>
      <c r="DI3" s="20">
        <v>-0.1184441451090506</v>
      </c>
      <c r="DJ3" s="20">
        <v>4.9715760335060859E-2</v>
      </c>
      <c r="DK3" s="20">
        <v>2.8876918213256629E-2</v>
      </c>
      <c r="DL3" s="20">
        <v>-1.318152540995088E-2</v>
      </c>
      <c r="DM3" s="20">
        <v>4.3520520821273612E-2</v>
      </c>
      <c r="DN3" s="20">
        <v>-6.0662478946377781E-2</v>
      </c>
      <c r="DO3" s="20">
        <v>8.2564150197316444E-2</v>
      </c>
      <c r="DP3" s="20">
        <v>-9.6015988315113029E-2</v>
      </c>
      <c r="DQ3" s="20">
        <v>-1.9845471562179029E-2</v>
      </c>
      <c r="DR3" s="20">
        <v>-1.8579633997215111E-2</v>
      </c>
      <c r="DS3" s="20">
        <v>-2.578465931080003E-2</v>
      </c>
      <c r="DT3" s="20">
        <v>-3.759158589343687E-2</v>
      </c>
      <c r="DU3" s="20">
        <v>-4.5291919372196177E-2</v>
      </c>
      <c r="DV3" s="20">
        <v>-2.2458423361422019E-2</v>
      </c>
      <c r="DW3" s="20">
        <v>2.7164709117450531E-4</v>
      </c>
      <c r="DX3" s="20">
        <v>-6.4503989329820932E-2</v>
      </c>
      <c r="DY3" s="20">
        <v>6.0125260418043287E-2</v>
      </c>
      <c r="DZ3" s="20">
        <v>5.824521899381126E-3</v>
      </c>
      <c r="EA3" s="20">
        <v>1.550389496878647E-2</v>
      </c>
      <c r="EB3" s="20">
        <v>3.0904912560126702E-2</v>
      </c>
      <c r="EC3" s="20">
        <v>3.9813074668317322E-2</v>
      </c>
      <c r="ED3" s="20">
        <v>6.0186469707419407E-3</v>
      </c>
      <c r="EE3" s="20">
        <v>-3.9888767217459868E-2</v>
      </c>
      <c r="EF3" s="20">
        <v>-9.608135149364426E-2</v>
      </c>
    </row>
    <row r="4" spans="1:137" ht="16">
      <c r="A4" s="5"/>
      <c r="B4" s="30" t="s">
        <v>254</v>
      </c>
      <c r="C4" s="20">
        <v>-0.20935792122733601</v>
      </c>
      <c r="D4" s="20">
        <v>-0.24145620521490571</v>
      </c>
      <c r="E4" s="20">
        <v>0.26636596474473501</v>
      </c>
      <c r="F4" s="20">
        <v>0.33022979398488089</v>
      </c>
      <c r="G4" s="20">
        <v>0.2035863770520018</v>
      </c>
      <c r="H4" s="20">
        <v>0.5537341742626456</v>
      </c>
      <c r="I4" s="20">
        <v>0.66979451114429034</v>
      </c>
      <c r="J4" s="20">
        <v>0.61032590854849456</v>
      </c>
      <c r="K4" s="20">
        <v>0.86207445584452447</v>
      </c>
      <c r="L4" s="20">
        <v>0.37355796404420633</v>
      </c>
      <c r="M4" s="20">
        <v>0.62222012198115262</v>
      </c>
      <c r="N4" s="20">
        <v>0.29351051715390319</v>
      </c>
      <c r="O4" s="20">
        <v>0.35628689631689647</v>
      </c>
      <c r="P4" s="20">
        <v>0.17806893054971379</v>
      </c>
      <c r="Q4" s="20">
        <v>0.1563575197337759</v>
      </c>
      <c r="R4" s="20">
        <v>0.22483040458636899</v>
      </c>
      <c r="S4" s="20">
        <v>0.18264461949126659</v>
      </c>
      <c r="T4" s="20">
        <v>0.15307368282964859</v>
      </c>
      <c r="U4" s="20">
        <v>0.22557713697371559</v>
      </c>
      <c r="V4" s="20">
        <v>-9.1580290119962757E-2</v>
      </c>
      <c r="W4" s="20">
        <v>-4.9495832352311628E-2</v>
      </c>
      <c r="X4" s="20">
        <v>-0.2678950640091351</v>
      </c>
      <c r="Y4" s="20">
        <v>-0.36478829273583491</v>
      </c>
      <c r="Z4" s="20">
        <v>-0.3779060136015861</v>
      </c>
      <c r="AA4" s="20">
        <v>-0.43955484978357701</v>
      </c>
      <c r="AB4" s="20">
        <v>-0.41859416874526367</v>
      </c>
      <c r="AC4" s="20">
        <v>-0.31816515320418409</v>
      </c>
      <c r="AD4" s="20">
        <v>-0.20856536883441179</v>
      </c>
      <c r="AE4" s="20">
        <v>-0.1023649845008438</v>
      </c>
      <c r="AF4" s="20">
        <v>-0.14886860509428651</v>
      </c>
      <c r="AG4" s="20">
        <v>-0.1866902267256208</v>
      </c>
      <c r="AH4" s="20">
        <v>-0.25393275403871191</v>
      </c>
      <c r="AI4" s="20">
        <v>-0.14773922610345119</v>
      </c>
      <c r="AJ4" s="20">
        <v>4.4513506223647151E-2</v>
      </c>
      <c r="AK4" s="20">
        <v>-5.8155621464165322E-2</v>
      </c>
      <c r="AL4" s="20">
        <v>-9.1865237642505163E-2</v>
      </c>
      <c r="AM4" s="20">
        <v>-0.16826269698552301</v>
      </c>
      <c r="AN4" s="20">
        <v>-0.33743700555198552</v>
      </c>
      <c r="AO4" s="20">
        <v>-0.36868152859592562</v>
      </c>
      <c r="AP4" s="20">
        <v>-0.28691959224511548</v>
      </c>
      <c r="AQ4" s="20">
        <v>-0.30523872624318382</v>
      </c>
      <c r="AR4" s="20">
        <v>-0.29331379911690642</v>
      </c>
      <c r="AS4" s="20">
        <v>-0.30267029688624508</v>
      </c>
      <c r="AT4" s="20">
        <v>-0.28045675156766531</v>
      </c>
      <c r="AU4" s="20">
        <v>-0.18262992182905941</v>
      </c>
      <c r="AV4" s="20">
        <v>-0.12130978761687</v>
      </c>
      <c r="AW4" s="20">
        <v>-0.15372123350245639</v>
      </c>
      <c r="AX4" s="20">
        <v>-2.163155956071092E-2</v>
      </c>
      <c r="AY4" s="20">
        <v>0.10122185588554949</v>
      </c>
      <c r="AZ4" s="20">
        <v>0.18954150820982221</v>
      </c>
      <c r="BA4" s="20">
        <v>9.5279708371273503E-2</v>
      </c>
      <c r="BB4" s="20">
        <v>1.1130473143875179E-2</v>
      </c>
      <c r="BC4" s="20">
        <v>0.19620313414919849</v>
      </c>
      <c r="BD4" s="20">
        <v>0.1522471346455414</v>
      </c>
      <c r="BE4" s="20">
        <v>0.20934399551839861</v>
      </c>
      <c r="BF4" s="20">
        <v>0.16752252916389659</v>
      </c>
      <c r="BG4" s="20">
        <v>0.16855713353359719</v>
      </c>
      <c r="BH4" s="20">
        <v>0.23475757737273911</v>
      </c>
      <c r="BI4" s="20">
        <v>0.27598376688340442</v>
      </c>
      <c r="BJ4" s="20">
        <v>0.26154895504900538</v>
      </c>
      <c r="BK4" s="20">
        <v>0.19300560487419521</v>
      </c>
      <c r="BL4" s="20">
        <v>3.2255305302616187E-2</v>
      </c>
      <c r="BM4" s="20">
        <v>8.4649698660638095E-2</v>
      </c>
      <c r="BN4" s="20">
        <v>-1.5702242386539032E-2</v>
      </c>
      <c r="BO4" s="20">
        <v>2.9608765252482721E-2</v>
      </c>
      <c r="BP4" s="20">
        <v>-8.2625544071202886E-2</v>
      </c>
      <c r="BQ4" s="20">
        <v>-7.9330451385874676E-2</v>
      </c>
      <c r="BR4" s="20">
        <v>-0.11353413407979809</v>
      </c>
      <c r="BS4" s="20">
        <v>-0.16045061256945001</v>
      </c>
      <c r="BT4" s="20">
        <v>-2.8989653450827001E-2</v>
      </c>
      <c r="BU4" s="20">
        <v>-3.8417136037107451E-3</v>
      </c>
      <c r="BV4" s="20">
        <v>-0.17414888256791389</v>
      </c>
      <c r="BW4" s="20">
        <v>-5.0655462653666453E-2</v>
      </c>
      <c r="BX4" s="20">
        <v>-9.7462301529207679E-3</v>
      </c>
      <c r="BY4" s="20">
        <v>4.311871752812544E-2</v>
      </c>
      <c r="BZ4" s="20">
        <v>8.3594709945727624E-2</v>
      </c>
      <c r="CA4" s="20">
        <v>5.9758542127211607E-2</v>
      </c>
      <c r="CB4" s="20">
        <v>0.22654684744137221</v>
      </c>
      <c r="CC4" s="20">
        <v>0.16059562442098191</v>
      </c>
      <c r="CD4" s="20">
        <v>0.1247822180786789</v>
      </c>
      <c r="CE4" s="20">
        <v>7.0316847032607876E-2</v>
      </c>
      <c r="CF4" s="20">
        <v>3.7786686365643571E-2</v>
      </c>
      <c r="CG4" s="20">
        <v>0.14783134630066269</v>
      </c>
      <c r="CH4" s="20">
        <v>0.16146329015111541</v>
      </c>
      <c r="CI4" s="20">
        <v>0.19050379057570099</v>
      </c>
      <c r="CJ4" s="20">
        <v>5.7810008272749062E-2</v>
      </c>
      <c r="CK4" s="20">
        <v>0.1815957554070709</v>
      </c>
      <c r="CL4" s="20">
        <v>0.15995890504762161</v>
      </c>
      <c r="CM4" s="20">
        <v>-0.19344889033092799</v>
      </c>
      <c r="CN4" s="20">
        <v>9.2661650400173462E-2</v>
      </c>
      <c r="CO4" s="20">
        <v>0.18420345965444129</v>
      </c>
      <c r="CP4" s="20">
        <v>0.21509937997508449</v>
      </c>
      <c r="CQ4" s="20">
        <v>7.8222160125948112E-2</v>
      </c>
      <c r="CR4" s="20">
        <v>0.23262305351410531</v>
      </c>
      <c r="CS4" s="20">
        <v>0.1246176152094155</v>
      </c>
      <c r="CT4" s="20">
        <v>0.2146340953754568</v>
      </c>
      <c r="CU4" s="20">
        <v>0.29380322799279129</v>
      </c>
      <c r="CV4" s="20">
        <v>0.16458639143631021</v>
      </c>
      <c r="CW4" s="20">
        <v>0.22758953291297229</v>
      </c>
      <c r="CX4" s="20">
        <v>0.30967914222586451</v>
      </c>
      <c r="CY4" s="20">
        <v>0.1008269451540873</v>
      </c>
      <c r="CZ4" s="20">
        <v>0.27399190305797039</v>
      </c>
      <c r="DA4" s="20">
        <v>0.29613632136496731</v>
      </c>
      <c r="DB4" s="20">
        <v>0.44409378278633932</v>
      </c>
      <c r="DC4" s="20">
        <v>0.27739949663700231</v>
      </c>
      <c r="DD4" s="20">
        <v>0.2084619437252104</v>
      </c>
      <c r="DE4" s="20">
        <v>5.006562543628422E-2</v>
      </c>
      <c r="DF4" s="20">
        <v>7.9342540750067247E-2</v>
      </c>
      <c r="DG4" s="20">
        <v>4.1263423131758292E-2</v>
      </c>
      <c r="DH4" s="20">
        <v>-7.4014041769745603E-3</v>
      </c>
      <c r="DI4" s="20">
        <v>9.1903678777207287E-2</v>
      </c>
      <c r="DJ4" s="20">
        <v>0.18881040894549631</v>
      </c>
      <c r="DK4" s="20">
        <v>5.0346204508612824E-3</v>
      </c>
      <c r="DL4" s="20">
        <v>-6.5302735759753747E-2</v>
      </c>
      <c r="DM4" s="20">
        <v>-0.16991943054339001</v>
      </c>
      <c r="DN4" s="20">
        <v>-4.8355536158137598E-2</v>
      </c>
      <c r="DO4" s="20">
        <v>0.3023913444349744</v>
      </c>
      <c r="DP4" s="20">
        <v>0.40249617507699309</v>
      </c>
      <c r="DQ4" s="20">
        <v>0.42337951153233438</v>
      </c>
      <c r="DR4" s="20">
        <v>0.31958732161063053</v>
      </c>
      <c r="DS4" s="20">
        <v>0.27007262221994582</v>
      </c>
      <c r="DT4" s="20">
        <v>0.24555914580250721</v>
      </c>
      <c r="DU4" s="20">
        <v>0.18374521718344591</v>
      </c>
      <c r="DV4" s="20">
        <v>0.16882438454898829</v>
      </c>
      <c r="DW4" s="20">
        <v>0.21735692510693649</v>
      </c>
      <c r="DX4" s="20">
        <v>0.18716202375844659</v>
      </c>
      <c r="DY4" s="20">
        <v>0.12863278460069319</v>
      </c>
      <c r="DZ4" s="20">
        <v>0.1138956216351769</v>
      </c>
      <c r="EA4" s="20">
        <v>6.9887093780084175E-2</v>
      </c>
      <c r="EB4" s="20">
        <v>0.12681710950217981</v>
      </c>
      <c r="EC4" s="20">
        <v>0.1562815300942598</v>
      </c>
      <c r="ED4" s="20">
        <v>0.36668826933924509</v>
      </c>
      <c r="EE4" s="20">
        <v>0.47250079911659248</v>
      </c>
      <c r="EF4" s="20">
        <v>0.72972326297934098</v>
      </c>
      <c r="EG4" s="17"/>
    </row>
    <row r="5" spans="1:137" ht="16">
      <c r="A5" s="5"/>
      <c r="B5" s="30" t="s">
        <v>255</v>
      </c>
      <c r="C5" s="20">
        <v>0.1415892121840287</v>
      </c>
      <c r="D5" s="20">
        <v>9.2586945061469042E-2</v>
      </c>
      <c r="E5" s="20">
        <v>0.11349879155944111</v>
      </c>
      <c r="F5" s="20">
        <v>-7.3769776575699809E-3</v>
      </c>
      <c r="G5" s="20">
        <v>-0.3186396678242116</v>
      </c>
      <c r="H5" s="20">
        <v>-0.42059898952232572</v>
      </c>
      <c r="I5" s="20">
        <v>-0.61741574929518839</v>
      </c>
      <c r="J5" s="20">
        <v>-0.43362008529973561</v>
      </c>
      <c r="K5" s="20">
        <v>-0.25626772334753112</v>
      </c>
      <c r="L5" s="20">
        <v>-0.2113105027109515</v>
      </c>
      <c r="M5" s="20">
        <v>-0.20647602014875061</v>
      </c>
      <c r="N5" s="20">
        <v>-0.32791237477111829</v>
      </c>
      <c r="O5" s="20">
        <v>1.5729811103918339E-2</v>
      </c>
      <c r="P5" s="20">
        <v>6.8442694647505714E-2</v>
      </c>
      <c r="Q5" s="20">
        <v>5.2648855857004642E-2</v>
      </c>
      <c r="R5" s="20">
        <v>-2.0694613114836578E-2</v>
      </c>
      <c r="S5" s="20">
        <v>2.495928979766664E-2</v>
      </c>
      <c r="T5" s="20">
        <v>-8.6843647181224407E-2</v>
      </c>
      <c r="U5" s="20">
        <v>-0.52458473451682519</v>
      </c>
      <c r="V5" s="20">
        <v>-0.4792143423997316</v>
      </c>
      <c r="W5" s="20">
        <v>-0.36348833368794342</v>
      </c>
      <c r="X5" s="20">
        <v>-0.39764648466092672</v>
      </c>
      <c r="Y5" s="20">
        <v>-0.47562109760818377</v>
      </c>
      <c r="Z5" s="20">
        <v>-0.29400139222215738</v>
      </c>
      <c r="AA5" s="20">
        <v>-0.21990454798605369</v>
      </c>
      <c r="AB5" s="20">
        <v>1.8176812449253021E-2</v>
      </c>
      <c r="AC5" s="20">
        <v>-7.9990063758137941E-2</v>
      </c>
      <c r="AD5" s="20">
        <v>-0.1028929785055152</v>
      </c>
      <c r="AE5" s="20">
        <v>0.14449675324010591</v>
      </c>
      <c r="AF5" s="20">
        <v>9.4619546486641323E-2</v>
      </c>
      <c r="AG5" s="20">
        <v>0.15888808539996641</v>
      </c>
      <c r="AH5" s="20">
        <v>0.1196181721172441</v>
      </c>
      <c r="AI5" s="20">
        <v>0.26749723606904691</v>
      </c>
      <c r="AJ5" s="20">
        <v>0.28042018158602128</v>
      </c>
      <c r="AK5" s="20">
        <v>-3.0700048481476939E-2</v>
      </c>
      <c r="AL5" s="20">
        <v>4.5908625392411313E-2</v>
      </c>
      <c r="AM5" s="20">
        <v>0.17498289674326181</v>
      </c>
      <c r="AN5" s="20">
        <v>0.12715124049161411</v>
      </c>
      <c r="AO5" s="20">
        <v>0.1846750202735136</v>
      </c>
      <c r="AP5" s="20">
        <v>8.4214377141994659E-2</v>
      </c>
      <c r="AQ5" s="20">
        <v>0.195944269725251</v>
      </c>
      <c r="AR5" s="20">
        <v>0.1332335332468598</v>
      </c>
      <c r="AS5" s="20">
        <v>0.16593561585303601</v>
      </c>
      <c r="AT5" s="20">
        <v>2.0797244614353168E-2</v>
      </c>
      <c r="AU5" s="20">
        <v>1.2255111472991581E-2</v>
      </c>
      <c r="AV5" s="20">
        <v>-1.3354263340341489E-2</v>
      </c>
      <c r="AW5" s="20">
        <v>-0.1629162908390954</v>
      </c>
      <c r="AX5" s="20">
        <v>2.1398073174880568E-2</v>
      </c>
      <c r="AY5" s="20">
        <v>-0.31841892204614608</v>
      </c>
      <c r="AZ5" s="20">
        <v>-0.2389402856524428</v>
      </c>
      <c r="BA5" s="20">
        <v>-0.22999540969309759</v>
      </c>
      <c r="BB5" s="20">
        <v>-7.1523535861795301E-2</v>
      </c>
      <c r="BC5" s="20">
        <v>0.19523407189221659</v>
      </c>
      <c r="BD5" s="20">
        <v>0.1343817013556074</v>
      </c>
      <c r="BE5" s="20">
        <v>0.36448653223917399</v>
      </c>
      <c r="BF5" s="20">
        <v>0.44848254478272898</v>
      </c>
      <c r="BG5" s="20">
        <v>0.43221300941381358</v>
      </c>
      <c r="BH5" s="20">
        <v>0.27475197161243958</v>
      </c>
      <c r="BI5" s="20">
        <v>0.27625006164983618</v>
      </c>
      <c r="BJ5" s="20">
        <v>1.55846946017396E-2</v>
      </c>
      <c r="BK5" s="20">
        <v>0.1058051363286677</v>
      </c>
      <c r="BL5" s="20">
        <v>0.12655100249236981</v>
      </c>
      <c r="BM5" s="20">
        <v>0.22848090332571749</v>
      </c>
      <c r="BN5" s="20">
        <v>0.28499472414789501</v>
      </c>
      <c r="BO5" s="20">
        <v>0.10343621031436109</v>
      </c>
      <c r="BP5" s="20">
        <v>0.37735475502544108</v>
      </c>
      <c r="BQ5" s="20">
        <v>0.20037255890381511</v>
      </c>
      <c r="BR5" s="20">
        <v>0.22737663442672029</v>
      </c>
      <c r="BS5" s="20">
        <v>0.28000569960508931</v>
      </c>
      <c r="BT5" s="20">
        <v>0.25048842105416552</v>
      </c>
      <c r="BU5" s="20">
        <v>0.40950603598106478</v>
      </c>
      <c r="BV5" s="20">
        <v>0.27914339825966772</v>
      </c>
      <c r="BW5" s="20">
        <v>0.42338681782856119</v>
      </c>
      <c r="BX5" s="20">
        <v>0.20681397354492859</v>
      </c>
      <c r="BY5" s="20">
        <v>0.16995656458325559</v>
      </c>
      <c r="BZ5" s="20">
        <v>0.25229150973658637</v>
      </c>
      <c r="CA5" s="20">
        <v>0.32026292962452041</v>
      </c>
      <c r="CB5" s="20">
        <v>0.51463583067154539</v>
      </c>
      <c r="CC5" s="20">
        <v>0.18153007409469241</v>
      </c>
      <c r="CD5" s="20">
        <v>0.12003370467929959</v>
      </c>
      <c r="CE5" s="20">
        <v>-2.5943292883541139E-2</v>
      </c>
      <c r="CF5" s="20">
        <v>4.5043615925369367E-2</v>
      </c>
      <c r="CG5" s="20">
        <v>-0.35445425141928649</v>
      </c>
      <c r="CH5" s="20">
        <v>-0.25260244407894528</v>
      </c>
      <c r="CI5" s="20">
        <v>0.14395187079646721</v>
      </c>
      <c r="CJ5" s="20">
        <v>0.27306771173615763</v>
      </c>
      <c r="CK5" s="20">
        <v>1.7040845792885052E-2</v>
      </c>
      <c r="CL5" s="20">
        <v>-0.2428342099250631</v>
      </c>
      <c r="CM5" s="20">
        <v>-6.2585841640853714E-3</v>
      </c>
      <c r="CN5" s="20">
        <v>-0.310075109187538</v>
      </c>
      <c r="CO5" s="20">
        <v>-0.48661942430606081</v>
      </c>
      <c r="CP5" s="20">
        <v>-0.58562675232019856</v>
      </c>
      <c r="CQ5" s="20">
        <v>-0.21352733862147991</v>
      </c>
      <c r="CR5" s="20">
        <v>-0.1651861224943722</v>
      </c>
      <c r="CS5" s="20">
        <v>-0.15856953077819341</v>
      </c>
      <c r="CT5" s="20">
        <v>-0.2953032979629534</v>
      </c>
      <c r="CU5" s="20">
        <v>-0.1254818780087637</v>
      </c>
      <c r="CV5" s="20">
        <v>-4.7694294242323958E-2</v>
      </c>
      <c r="CW5" s="20">
        <v>-6.9955238824078614E-2</v>
      </c>
      <c r="CX5" s="20">
        <v>-9.2457955566808206E-3</v>
      </c>
      <c r="CY5" s="20">
        <v>-2.2135304831282489E-2</v>
      </c>
      <c r="CZ5" s="20">
        <v>5.5799951070273343E-2</v>
      </c>
      <c r="DA5" s="20">
        <v>4.6904914532679559E-3</v>
      </c>
      <c r="DB5" s="20">
        <v>-0.19841703137983821</v>
      </c>
      <c r="DC5" s="20">
        <v>-0.1481577816394834</v>
      </c>
      <c r="DD5" s="20">
        <v>-7.8448866350443819E-2</v>
      </c>
      <c r="DE5" s="20">
        <v>-3.4735830531551833E-2</v>
      </c>
      <c r="DF5" s="20">
        <v>0.23309856186511069</v>
      </c>
      <c r="DG5" s="20">
        <v>0.10547592327494661</v>
      </c>
      <c r="DH5" s="20">
        <v>0.26024560403747621</v>
      </c>
      <c r="DI5" s="20">
        <v>0.24342212166939201</v>
      </c>
      <c r="DJ5" s="20">
        <v>6.1619870633241258E-2</v>
      </c>
      <c r="DK5" s="20">
        <v>8.9139844165813373E-2</v>
      </c>
      <c r="DL5" s="20">
        <v>2.9253193961501531E-2</v>
      </c>
      <c r="DM5" s="20">
        <v>0.14236144307942539</v>
      </c>
      <c r="DN5" s="20">
        <v>0.14615257349174909</v>
      </c>
      <c r="DO5" s="20">
        <v>4.9079225670203321E-2</v>
      </c>
      <c r="DP5" s="20">
        <v>0.40322960152089549</v>
      </c>
      <c r="DQ5" s="20">
        <v>0.46524421937942317</v>
      </c>
      <c r="DR5" s="20">
        <v>0.25491522170831532</v>
      </c>
      <c r="DS5" s="20">
        <v>0.1449016436002509</v>
      </c>
      <c r="DT5" s="20">
        <v>0.1096478687616492</v>
      </c>
      <c r="DU5" s="20">
        <v>0.14664794338699069</v>
      </c>
      <c r="DV5" s="20">
        <v>-0.37515330256173463</v>
      </c>
      <c r="DW5" s="20">
        <v>-0.29741986054930047</v>
      </c>
      <c r="DX5" s="20">
        <v>-0.19544277976532101</v>
      </c>
      <c r="DY5" s="20">
        <v>-8.2428265894752814E-2</v>
      </c>
      <c r="DZ5" s="20">
        <v>5.866183339010559E-2</v>
      </c>
      <c r="EA5" s="20">
        <v>-4.6779077930829367E-2</v>
      </c>
      <c r="EB5" s="20">
        <v>0.1641432425225606</v>
      </c>
      <c r="EC5" s="20">
        <v>-3.8064247233434587E-2</v>
      </c>
      <c r="ED5" s="20">
        <v>5.5317446797800797E-2</v>
      </c>
      <c r="EE5" s="20">
        <v>4.5666052310806213E-2</v>
      </c>
      <c r="EF5" s="20">
        <v>-1.513055182908553E-2</v>
      </c>
      <c r="EG5" s="17"/>
    </row>
    <row r="6" spans="1:137" ht="16">
      <c r="A6" s="5"/>
      <c r="B6" s="30" t="s">
        <v>256</v>
      </c>
      <c r="C6" s="20">
        <v>-5.5287602367965212E-2</v>
      </c>
      <c r="D6" s="20">
        <v>-0.14445298729163969</v>
      </c>
      <c r="E6" s="20">
        <v>-9.1431301014034599E-2</v>
      </c>
      <c r="F6" s="20">
        <v>0.35495179720125758</v>
      </c>
      <c r="G6" s="20">
        <v>0.21923638181908089</v>
      </c>
      <c r="H6" s="20">
        <v>0.283134197622957</v>
      </c>
      <c r="I6" s="20">
        <v>0.37143266638530409</v>
      </c>
      <c r="J6" s="20">
        <v>0.41062409023091229</v>
      </c>
      <c r="K6" s="20">
        <v>0.40769934121960488</v>
      </c>
      <c r="L6" s="20">
        <v>-7.159674146892725E-3</v>
      </c>
      <c r="M6" s="20">
        <v>-7.3648091051968512E-3</v>
      </c>
      <c r="N6" s="20">
        <v>-5.1515820152121562E-2</v>
      </c>
      <c r="O6" s="20">
        <v>0.2542620970860141</v>
      </c>
      <c r="P6" s="20">
        <v>0.25179107603585099</v>
      </c>
      <c r="Q6" s="20">
        <v>0.2218350215305622</v>
      </c>
      <c r="R6" s="20">
        <v>0.24564422754657189</v>
      </c>
      <c r="S6" s="20">
        <v>0.21802587035960269</v>
      </c>
      <c r="T6" s="20">
        <v>0.22885928116164689</v>
      </c>
      <c r="U6" s="20">
        <v>-3.8365895591860683E-2</v>
      </c>
      <c r="V6" s="20">
        <v>-2.4933565518348022E-4</v>
      </c>
      <c r="W6" s="20">
        <v>-6.9911431364622995E-2</v>
      </c>
      <c r="X6" s="20">
        <v>-6.456449127916436E-2</v>
      </c>
      <c r="Y6" s="20">
        <v>4.1605297186146813E-2</v>
      </c>
      <c r="Z6" s="20">
        <v>-1.9800016442501619E-2</v>
      </c>
      <c r="AA6" s="20">
        <v>-7.2143290991637576E-2</v>
      </c>
      <c r="AB6" s="20">
        <v>-6.8452120608651329E-2</v>
      </c>
      <c r="AC6" s="20">
        <v>3.2607263241921841E-2</v>
      </c>
      <c r="AD6" s="20">
        <v>1.7594645532416991E-2</v>
      </c>
      <c r="AE6" s="20">
        <v>-2.901928616329708E-3</v>
      </c>
      <c r="AF6" s="20">
        <v>-2.248356577507465E-3</v>
      </c>
      <c r="AG6" s="20">
        <v>-5.5811273092355174E-3</v>
      </c>
      <c r="AH6" s="20">
        <v>-6.6841359079102816E-3</v>
      </c>
      <c r="AI6" s="20">
        <v>-1.385499411618335E-3</v>
      </c>
      <c r="AJ6" s="20">
        <v>-8.6481173432073621E-4</v>
      </c>
      <c r="AK6" s="20">
        <v>5.6462115284851337E-2</v>
      </c>
      <c r="AL6" s="20">
        <v>7.8493009558184917E-2</v>
      </c>
      <c r="AM6" s="20">
        <v>-0.11226928615946841</v>
      </c>
      <c r="AN6" s="20">
        <v>-0.22946841655236611</v>
      </c>
      <c r="AO6" s="20">
        <v>-0.13981328564836121</v>
      </c>
      <c r="AP6" s="20">
        <v>-0.1103039313350698</v>
      </c>
      <c r="AQ6" s="20">
        <v>-0.16861413881368431</v>
      </c>
      <c r="AR6" s="20">
        <v>-0.1371830444209835</v>
      </c>
      <c r="AS6" s="20">
        <v>5.211904011802404E-2</v>
      </c>
      <c r="AT6" s="20">
        <v>0.14234804792068309</v>
      </c>
      <c r="AU6" s="20">
        <v>0.15576266032816749</v>
      </c>
      <c r="AV6" s="20">
        <v>0.1449166373776215</v>
      </c>
      <c r="AW6" s="20">
        <v>0.18538208810641141</v>
      </c>
      <c r="AX6" s="20">
        <v>0.1366523480003056</v>
      </c>
      <c r="AY6" s="20">
        <v>0.14596250886375589</v>
      </c>
      <c r="AZ6" s="20">
        <v>0.26503780407394811</v>
      </c>
      <c r="BA6" s="20">
        <v>0.14676561542020911</v>
      </c>
      <c r="BB6" s="20">
        <v>3.3428218400161358E-3</v>
      </c>
      <c r="BC6" s="20">
        <v>-7.0510317488028634E-2</v>
      </c>
      <c r="BD6" s="20">
        <v>-3.5291447065675441E-2</v>
      </c>
      <c r="BE6" s="20">
        <v>3.5257594922360899E-2</v>
      </c>
      <c r="BF6" s="20">
        <v>3.8800415177149161E-2</v>
      </c>
      <c r="BG6" s="20">
        <v>5.35267227270948E-2</v>
      </c>
      <c r="BH6" s="20">
        <v>0.17967627527126151</v>
      </c>
      <c r="BI6" s="20">
        <v>0.15487119135892979</v>
      </c>
      <c r="BJ6" s="20">
        <v>0.1190558145321248</v>
      </c>
      <c r="BK6" s="20">
        <v>0.13032726460855551</v>
      </c>
      <c r="BL6" s="20">
        <v>9.3330537871948963E-2</v>
      </c>
      <c r="BM6" s="20">
        <v>8.0284022008766234E-2</v>
      </c>
      <c r="BN6" s="20">
        <v>0.20761045318620699</v>
      </c>
      <c r="BO6" s="20">
        <v>0.18768666424061561</v>
      </c>
      <c r="BP6" s="20">
        <v>0.1299212136716856</v>
      </c>
      <c r="BQ6" s="20">
        <v>9.8717055186148456E-2</v>
      </c>
      <c r="BR6" s="20">
        <v>4.5233846544491793E-2</v>
      </c>
      <c r="BS6" s="20">
        <v>0.13778382026817171</v>
      </c>
      <c r="BT6" s="20">
        <v>4.6964995030642789E-2</v>
      </c>
      <c r="BU6" s="20">
        <v>7.8535809146009994E-2</v>
      </c>
      <c r="BV6" s="20">
        <v>0.12030054403500839</v>
      </c>
      <c r="BW6" s="20">
        <v>5.9755525305673893E-2</v>
      </c>
      <c r="BX6" s="20">
        <v>6.3549054774741306E-2</v>
      </c>
      <c r="BY6" s="20">
        <v>-6.5045110879808632E-3</v>
      </c>
      <c r="BZ6" s="20">
        <v>-5.1668341542727647E-2</v>
      </c>
      <c r="CA6" s="20">
        <v>-7.9185433944847061E-2</v>
      </c>
      <c r="CB6" s="20">
        <v>-0.1127810804912311</v>
      </c>
      <c r="CC6" s="20">
        <v>-6.7050409232242481E-2</v>
      </c>
      <c r="CD6" s="20">
        <v>-6.6787378150592241E-2</v>
      </c>
      <c r="CE6" s="20">
        <v>-4.6564912298377087E-2</v>
      </c>
      <c r="CF6" s="20">
        <v>-0.11929573414549299</v>
      </c>
      <c r="CG6" s="20">
        <v>-5.3152980450178272E-2</v>
      </c>
      <c r="CH6" s="20">
        <v>-9.2611607894625192E-2</v>
      </c>
      <c r="CI6" s="20">
        <v>-0.1090312706633422</v>
      </c>
      <c r="CJ6" s="20">
        <v>-6.5592489381071956E-2</v>
      </c>
      <c r="CK6" s="20">
        <v>-8.8696832578178758E-2</v>
      </c>
      <c r="CL6" s="20">
        <v>8.9572676996418077E-2</v>
      </c>
      <c r="CM6" s="20">
        <v>6.5466674673977043E-2</v>
      </c>
      <c r="CN6" s="20">
        <v>2.9778259770337628E-2</v>
      </c>
      <c r="CO6" s="20">
        <v>7.2508099539442067E-2</v>
      </c>
      <c r="CP6" s="20">
        <v>-1.303358147527731E-2</v>
      </c>
      <c r="CQ6" s="20">
        <v>9.569522182040463E-3</v>
      </c>
      <c r="CR6" s="20">
        <v>2.47953533363264E-2</v>
      </c>
      <c r="CS6" s="20">
        <v>4.8612117320788267E-2</v>
      </c>
      <c r="CT6" s="20">
        <v>6.0893021537142523E-2</v>
      </c>
      <c r="CU6" s="20">
        <v>3.4381618283240711E-2</v>
      </c>
      <c r="CV6" s="20">
        <v>0.16980040126902121</v>
      </c>
      <c r="CW6" s="20">
        <v>0.20445758339957451</v>
      </c>
      <c r="CX6" s="20">
        <v>0.1166793182346092</v>
      </c>
      <c r="CY6" s="20">
        <v>2.005814356519928E-2</v>
      </c>
      <c r="CZ6" s="20">
        <v>-1.4802745472687891E-3</v>
      </c>
      <c r="DA6" s="20">
        <v>-2.3150114921623641E-2</v>
      </c>
      <c r="DB6" s="20">
        <v>-0.19162965872882659</v>
      </c>
      <c r="DC6" s="20">
        <v>-0.27185177019325968</v>
      </c>
      <c r="DD6" s="20">
        <v>-0.21309613111010051</v>
      </c>
      <c r="DE6" s="20">
        <v>-0.16221912242286801</v>
      </c>
      <c r="DF6" s="20">
        <v>-0.2020125592365708</v>
      </c>
      <c r="DG6" s="20">
        <v>-0.17344116046680241</v>
      </c>
      <c r="DH6" s="20">
        <v>1.012974642923409E-3</v>
      </c>
      <c r="DI6" s="20">
        <v>7.6205462994728718E-2</v>
      </c>
      <c r="DJ6" s="20">
        <v>6.8038263628197981E-2</v>
      </c>
      <c r="DK6" s="20">
        <v>5.8032611963437293E-2</v>
      </c>
      <c r="DL6" s="20">
        <v>9.6719985419295995E-3</v>
      </c>
      <c r="DM6" s="20">
        <v>-0.13040706175590769</v>
      </c>
      <c r="DN6" s="20">
        <v>-0.29058270893517102</v>
      </c>
      <c r="DO6" s="20">
        <v>-0.37804696398510318</v>
      </c>
      <c r="DP6" s="20">
        <v>-0.38659982436733192</v>
      </c>
      <c r="DQ6" s="20">
        <v>-0.38856601893403331</v>
      </c>
      <c r="DR6" s="20">
        <v>-0.2225135809416024</v>
      </c>
      <c r="DS6" s="20">
        <v>-0.1787917296931768</v>
      </c>
      <c r="DT6" s="20">
        <v>-0.15458476004354091</v>
      </c>
      <c r="DU6" s="20">
        <v>-6.1360687164233867E-2</v>
      </c>
      <c r="DV6" s="20">
        <v>2.79779304551812E-2</v>
      </c>
      <c r="DW6" s="20">
        <v>-3.1911652435136412E-2</v>
      </c>
      <c r="DX6" s="20">
        <v>-9.9874593181686566E-2</v>
      </c>
      <c r="DY6" s="20">
        <v>3.4834303206100481E-3</v>
      </c>
      <c r="DZ6" s="20">
        <v>2.8079826854705309E-2</v>
      </c>
      <c r="EA6" s="20">
        <v>-1.7876846775940201E-3</v>
      </c>
      <c r="EB6" s="20">
        <v>-9.0286462263588552E-2</v>
      </c>
      <c r="EC6" s="20">
        <v>-5.335702626953312E-2</v>
      </c>
      <c r="ED6" s="20">
        <v>-6.5240630345267336E-2</v>
      </c>
      <c r="EE6" s="20">
        <v>-4.1521107351409209E-2</v>
      </c>
      <c r="EF6" s="20">
        <v>-3.5067920268846753E-2</v>
      </c>
      <c r="EG6" s="17"/>
    </row>
    <row r="7" spans="1:137" ht="16">
      <c r="A7" s="5"/>
      <c r="B7" s="30" t="s">
        <v>257</v>
      </c>
      <c r="C7" s="20">
        <v>3.1791852321887817E-2</v>
      </c>
      <c r="D7" s="20">
        <v>-0.124113534659973</v>
      </c>
      <c r="E7" s="20">
        <v>-0.1855275041338216</v>
      </c>
      <c r="F7" s="20">
        <v>-0.51750513151026711</v>
      </c>
      <c r="G7" s="20">
        <v>-0.47668017407719437</v>
      </c>
      <c r="H7" s="20">
        <v>-0.45722757099455158</v>
      </c>
      <c r="I7" s="20">
        <v>-0.52844879570355097</v>
      </c>
      <c r="J7" s="20">
        <v>-0.42896715641499811</v>
      </c>
      <c r="K7" s="20">
        <v>-0.41261833988945718</v>
      </c>
      <c r="L7" s="20">
        <v>-4.1638076480459141E-3</v>
      </c>
      <c r="M7" s="20">
        <v>-2.6791835565263569E-2</v>
      </c>
      <c r="N7" s="20">
        <v>-0.1044832975710908</v>
      </c>
      <c r="O7" s="20">
        <v>4.4211548082371273E-2</v>
      </c>
      <c r="P7" s="20">
        <v>5.8306595935677913E-2</v>
      </c>
      <c r="Q7" s="20">
        <v>-6.8633318730227794E-2</v>
      </c>
      <c r="R7" s="20">
        <v>3.9118300564990882E-2</v>
      </c>
      <c r="S7" s="20">
        <v>1.430917631974769E-2</v>
      </c>
      <c r="T7" s="20">
        <v>4.7434316151017543E-2</v>
      </c>
      <c r="U7" s="20">
        <v>-5.8521476915807114E-3</v>
      </c>
      <c r="V7" s="20">
        <v>-8.4536822785316129E-2</v>
      </c>
      <c r="W7" s="20">
        <v>-0.21030818610927479</v>
      </c>
      <c r="X7" s="20">
        <v>-0.29890892520185208</v>
      </c>
      <c r="Y7" s="20">
        <v>-0.28699682154041978</v>
      </c>
      <c r="Z7" s="20">
        <v>-0.24392935892183371</v>
      </c>
      <c r="AA7" s="20">
        <v>-0.26669381309450008</v>
      </c>
      <c r="AB7" s="20">
        <v>-0.26649480062011849</v>
      </c>
      <c r="AC7" s="20">
        <v>-9.2233352434640453E-2</v>
      </c>
      <c r="AD7" s="20">
        <v>-0.1147951387733117</v>
      </c>
      <c r="AE7" s="20">
        <v>-0.1224079017715</v>
      </c>
      <c r="AF7" s="20">
        <v>-9.5242339474186588E-2</v>
      </c>
      <c r="AG7" s="20">
        <v>-7.8768448683095765E-2</v>
      </c>
      <c r="AH7" s="20">
        <v>-0.10231021540807481</v>
      </c>
      <c r="AI7" s="20">
        <v>-5.7262343839864033E-2</v>
      </c>
      <c r="AJ7" s="20">
        <v>1.375630556441051E-2</v>
      </c>
      <c r="AK7" s="20">
        <v>7.4954773180899756E-2</v>
      </c>
      <c r="AL7" s="20">
        <v>5.8691382352518973E-2</v>
      </c>
      <c r="AM7" s="20">
        <v>5.3574222808861066E-3</v>
      </c>
      <c r="AN7" s="20">
        <v>1.151120887247797E-2</v>
      </c>
      <c r="AO7" s="20">
        <v>4.3992852184543921E-2</v>
      </c>
      <c r="AP7" s="20">
        <v>1.386578512691944E-2</v>
      </c>
      <c r="AQ7" s="20">
        <v>-3.7826594379919122E-2</v>
      </c>
      <c r="AR7" s="20">
        <v>2.0397996471123452E-3</v>
      </c>
      <c r="AS7" s="20">
        <v>0.1357503039005247</v>
      </c>
      <c r="AT7" s="20">
        <v>9.6260025474145652E-2</v>
      </c>
      <c r="AU7" s="20">
        <v>0.1098524283726847</v>
      </c>
      <c r="AV7" s="20">
        <v>5.4049591826809518E-2</v>
      </c>
      <c r="AW7" s="20">
        <v>9.1063555575025282E-2</v>
      </c>
      <c r="AX7" s="20">
        <v>-3.3959984777302832E-3</v>
      </c>
      <c r="AY7" s="20">
        <v>-7.119897332728195E-2</v>
      </c>
      <c r="AZ7" s="20">
        <v>-7.4040978527148166E-2</v>
      </c>
      <c r="BA7" s="20">
        <v>-0.1347483501299408</v>
      </c>
      <c r="BB7" s="20">
        <v>-0.18483968000529249</v>
      </c>
      <c r="BC7" s="20">
        <v>-0.17191627264560791</v>
      </c>
      <c r="BD7" s="20">
        <v>-0.19026124746966269</v>
      </c>
      <c r="BE7" s="20">
        <v>-0.18314878620084191</v>
      </c>
      <c r="BF7" s="20">
        <v>-0.1169061503080033</v>
      </c>
      <c r="BG7" s="20">
        <v>0.12330030316125749</v>
      </c>
      <c r="BH7" s="20">
        <v>0.15359621989951699</v>
      </c>
      <c r="BI7" s="20">
        <v>0.14035134075417011</v>
      </c>
      <c r="BJ7" s="20">
        <v>0.23465690016734941</v>
      </c>
      <c r="BK7" s="20">
        <v>0.2729537543891194</v>
      </c>
      <c r="BL7" s="20">
        <v>0.28953704776009159</v>
      </c>
      <c r="BM7" s="20">
        <v>5.9430813207467729E-2</v>
      </c>
      <c r="BN7" s="20">
        <v>0.12537867289131549</v>
      </c>
      <c r="BO7" s="20">
        <v>9.4402297988768397E-2</v>
      </c>
      <c r="BP7" s="20">
        <v>2.2123087244387041E-2</v>
      </c>
      <c r="BQ7" s="20">
        <v>3.8988347669411047E-2</v>
      </c>
      <c r="BR7" s="20">
        <v>3.9930685000121452E-2</v>
      </c>
      <c r="BS7" s="20">
        <v>4.2655091353802167E-2</v>
      </c>
      <c r="BT7" s="20">
        <v>3.6797176926708558E-2</v>
      </c>
      <c r="BU7" s="20">
        <v>7.6853980936937072E-2</v>
      </c>
      <c r="BV7" s="20">
        <v>8.6874653055629289E-2</v>
      </c>
      <c r="BW7" s="20">
        <v>4.5363248455846543E-2</v>
      </c>
      <c r="BX7" s="20">
        <v>3.359059787487173E-2</v>
      </c>
      <c r="BY7" s="20">
        <v>5.0840617964594763E-2</v>
      </c>
      <c r="BZ7" s="20">
        <v>9.0275438321156073E-2</v>
      </c>
      <c r="CA7" s="20">
        <v>9.5704210681912413E-2</v>
      </c>
      <c r="CB7" s="20">
        <v>0.1004237191891803</v>
      </c>
      <c r="CC7" s="20">
        <v>0.1341684898244323</v>
      </c>
      <c r="CD7" s="20">
        <v>6.9815281522896414E-2</v>
      </c>
      <c r="CE7" s="20">
        <v>5.3519808238351417E-2</v>
      </c>
      <c r="CF7" s="20">
        <v>-0.13786759520854391</v>
      </c>
      <c r="CG7" s="20">
        <v>-0.19353121275137081</v>
      </c>
      <c r="CH7" s="20">
        <v>-0.26226848017204002</v>
      </c>
      <c r="CI7" s="20">
        <v>-0.3621599917846654</v>
      </c>
      <c r="CJ7" s="20">
        <v>-0.17238616741213869</v>
      </c>
      <c r="CK7" s="20">
        <v>-0.24049517149258881</v>
      </c>
      <c r="CL7" s="20">
        <v>-2.9835663042383141E-2</v>
      </c>
      <c r="CM7" s="20">
        <v>4.8473891845623951E-2</v>
      </c>
      <c r="CN7" s="20">
        <v>3.9346739118729157E-2</v>
      </c>
      <c r="CO7" s="20">
        <v>0.1164079590468295</v>
      </c>
      <c r="CP7" s="20">
        <v>2.7954671930253121E-2</v>
      </c>
      <c r="CQ7" s="20">
        <v>0.11747759455583209</v>
      </c>
      <c r="CR7" s="20">
        <v>2.9545899327482559E-2</v>
      </c>
      <c r="CS7" s="20">
        <v>1.0751643579328309E-2</v>
      </c>
      <c r="CT7" s="20">
        <v>5.1099373345264383E-2</v>
      </c>
      <c r="CU7" s="20">
        <v>0.1082341816412679</v>
      </c>
      <c r="CV7" s="20">
        <v>0.10010509493954881</v>
      </c>
      <c r="CW7" s="20">
        <v>8.243585879334471E-2</v>
      </c>
      <c r="CX7" s="20">
        <v>0.14446651107932301</v>
      </c>
      <c r="CY7" s="20">
        <v>1.543497282917974E-2</v>
      </c>
      <c r="CZ7" s="20">
        <v>-6.8435941888257273E-2</v>
      </c>
      <c r="DA7" s="20">
        <v>-4.0885147588147007E-2</v>
      </c>
      <c r="DB7" s="20">
        <v>-9.0240152606780755E-2</v>
      </c>
      <c r="DC7" s="20">
        <v>-7.2910137230503241E-2</v>
      </c>
      <c r="DD7" s="20">
        <v>-7.4101523922137175E-2</v>
      </c>
      <c r="DE7" s="20">
        <v>-3.8176172495442889E-2</v>
      </c>
      <c r="DF7" s="20">
        <v>-8.0366391316806784E-2</v>
      </c>
      <c r="DG7" s="20">
        <v>-8.476282179701658E-2</v>
      </c>
      <c r="DH7" s="20">
        <v>4.5561825761215147E-2</v>
      </c>
      <c r="DI7" s="20">
        <v>1.528392919064096E-2</v>
      </c>
      <c r="DJ7" s="20">
        <v>-8.6368002330220212E-2</v>
      </c>
      <c r="DK7" s="20">
        <v>-8.3284992535386043E-2</v>
      </c>
      <c r="DL7" s="20">
        <v>-0.31070789680062177</v>
      </c>
      <c r="DM7" s="20">
        <v>-0.48915583017430442</v>
      </c>
      <c r="DN7" s="20">
        <v>-0.61713752149518741</v>
      </c>
      <c r="DO7" s="20">
        <v>-0.64241868762619436</v>
      </c>
      <c r="DP7" s="20">
        <v>-0.51612725116185121</v>
      </c>
      <c r="DQ7" s="20">
        <v>-0.53531007584853307</v>
      </c>
      <c r="DR7" s="20">
        <v>-0.2064125755835888</v>
      </c>
      <c r="DS7" s="20">
        <v>-3.676563839448474E-2</v>
      </c>
      <c r="DT7" s="20">
        <v>-2.1176359815958671E-2</v>
      </c>
      <c r="DU7" s="20">
        <v>-0.10998908800017081</v>
      </c>
      <c r="DV7" s="20">
        <v>-8.386624293692993E-2</v>
      </c>
      <c r="DW7" s="20">
        <v>-0.1762242698023504</v>
      </c>
      <c r="DX7" s="20">
        <v>-0.2504373293811597</v>
      </c>
      <c r="DY7" s="20">
        <v>-0.1513928108760241</v>
      </c>
      <c r="DZ7" s="20">
        <v>-0.1158377971666855</v>
      </c>
      <c r="EA7" s="20">
        <v>-5.6648240929698529E-2</v>
      </c>
      <c r="EB7" s="20">
        <v>3.4255181880149747E-2</v>
      </c>
      <c r="EC7" s="20">
        <v>-1.7395651008662891E-2</v>
      </c>
      <c r="ED7" s="20">
        <v>4.0598599233819838E-2</v>
      </c>
      <c r="EE7" s="20">
        <v>4.9896273549653668E-2</v>
      </c>
      <c r="EF7" s="20">
        <v>4.1656706453052278E-2</v>
      </c>
    </row>
    <row r="8" spans="1:137" ht="16">
      <c r="A8" s="63" t="s">
        <v>135</v>
      </c>
      <c r="B8" s="64"/>
      <c r="C8" s="21" cm="1">
        <f t="array" ref="C8">MATCH(MAX(ABS(C3:C7)), ABS(C3:C7), 0)</f>
        <v>2</v>
      </c>
      <c r="D8" s="21">
        <f t="array" ref="D8">MATCH(MAX(ABS(D3:D7)), ABS(D3:D7), 0)</f>
        <v>2</v>
      </c>
      <c r="E8" s="21">
        <f t="array" ref="E8">MATCH(MAX(ABS(E3:E7)), ABS(E3:E7), 0)</f>
        <v>2</v>
      </c>
      <c r="F8" s="21">
        <f t="array" ref="F8">MATCH(MAX(ABS(F3:F7)), ABS(F3:F7), 0)</f>
        <v>5</v>
      </c>
      <c r="G8" s="21">
        <f t="array" ref="G8">MATCH(MAX(ABS(G3:G7)), ABS(G3:G7), 0)</f>
        <v>5</v>
      </c>
      <c r="H8" s="21">
        <f t="array" ref="H8">MATCH(MAX(ABS(H3:H7)), ABS(H3:H7), 0)</f>
        <v>2</v>
      </c>
      <c r="I8" s="21">
        <f t="array" ref="I8">MATCH(MAX(ABS(I3:I7)), ABS(I3:I7), 0)</f>
        <v>2</v>
      </c>
      <c r="J8" s="21">
        <f t="array" ref="J8">MATCH(MAX(ABS(J3:J7)), ABS(J3:J7), 0)</f>
        <v>2</v>
      </c>
      <c r="K8" s="21">
        <f t="array" ref="K8">MATCH(MAX(ABS(K3:K7)), ABS(K3:K7), 0)</f>
        <v>2</v>
      </c>
      <c r="L8" s="21">
        <f t="array" ref="L8">MATCH(MAX(ABS(L3:L7)), ABS(L3:L7), 0)</f>
        <v>2</v>
      </c>
      <c r="M8" s="21">
        <f t="array" ref="M8">MATCH(MAX(ABS(M3:M7)), ABS(M3:M7), 0)</f>
        <v>2</v>
      </c>
      <c r="N8" s="21">
        <f t="array" ref="N8">MATCH(MAX(ABS(N3:N7)), ABS(N3:N7), 0)</f>
        <v>3</v>
      </c>
      <c r="O8" s="21">
        <f t="array" ref="O8">MATCH(MAX(ABS(O3:O7)), ABS(O3:O7), 0)</f>
        <v>2</v>
      </c>
      <c r="P8" s="21">
        <f t="array" ref="P8">MATCH(MAX(ABS(P3:P7)), ABS(P3:P7), 0)</f>
        <v>4</v>
      </c>
      <c r="Q8" s="21">
        <f t="array" ref="Q8">MATCH(MAX(ABS(Q3:Q7)), ABS(Q3:Q7), 0)</f>
        <v>4</v>
      </c>
      <c r="R8" s="21">
        <f t="array" ref="R8">MATCH(MAX(ABS(R3:R7)), ABS(R3:R7), 0)</f>
        <v>4</v>
      </c>
      <c r="S8" s="21">
        <f t="array" ref="S8">MATCH(MAX(ABS(S3:S7)), ABS(S3:S7), 0)</f>
        <v>4</v>
      </c>
      <c r="T8" s="21">
        <f t="array" ref="T8">MATCH(MAX(ABS(T3:T7)), ABS(T3:T7), 0)</f>
        <v>4</v>
      </c>
      <c r="U8" s="21">
        <f t="array" ref="U8">MATCH(MAX(ABS(U3:U7)), ABS(U3:U7), 0)</f>
        <v>3</v>
      </c>
      <c r="V8" s="21">
        <f t="array" ref="V8">MATCH(MAX(ABS(V3:V7)), ABS(V3:V7), 0)</f>
        <v>3</v>
      </c>
      <c r="W8" s="21">
        <f t="array" ref="W8">MATCH(MAX(ABS(W3:W7)), ABS(W3:W7), 0)</f>
        <v>3</v>
      </c>
      <c r="X8" s="21">
        <f t="array" ref="X8">MATCH(MAX(ABS(X3:X7)), ABS(X3:X7), 0)</f>
        <v>3</v>
      </c>
      <c r="Y8" s="21">
        <f t="array" ref="Y8">MATCH(MAX(ABS(Y3:Y7)), ABS(Y3:Y7), 0)</f>
        <v>3</v>
      </c>
      <c r="Z8" s="21">
        <f t="array" ref="Z8">MATCH(MAX(ABS(Z3:Z7)), ABS(Z3:Z7), 0)</f>
        <v>2</v>
      </c>
      <c r="AA8" s="21">
        <f t="array" ref="AA8">MATCH(MAX(ABS(AA3:AA7)), ABS(AA3:AA7), 0)</f>
        <v>2</v>
      </c>
      <c r="AB8" s="21">
        <f t="array" ref="AB8">MATCH(MAX(ABS(AB3:AB7)), ABS(AB3:AB7), 0)</f>
        <v>2</v>
      </c>
      <c r="AC8" s="21">
        <f t="array" ref="AC8">MATCH(MAX(ABS(AC3:AC7)), ABS(AC3:AC7), 0)</f>
        <v>2</v>
      </c>
      <c r="AD8" s="21">
        <f t="array" ref="AD8">MATCH(MAX(ABS(AD3:AD7)), ABS(AD3:AD7), 0)</f>
        <v>2</v>
      </c>
      <c r="AE8" s="21">
        <f t="array" ref="AE8">MATCH(MAX(ABS(AE3:AE7)), ABS(AE3:AE7), 0)</f>
        <v>3</v>
      </c>
      <c r="AF8" s="21">
        <f t="array" ref="AF8">MATCH(MAX(ABS(AF3:AF7)), ABS(AF3:AF7), 0)</f>
        <v>2</v>
      </c>
      <c r="AG8" s="21">
        <f t="array" ref="AG8">MATCH(MAX(ABS(AG3:AG7)), ABS(AG3:AG7), 0)</f>
        <v>2</v>
      </c>
      <c r="AH8" s="21">
        <f t="array" ref="AH8">MATCH(MAX(ABS(AH3:AH7)), ABS(AH3:AH7), 0)</f>
        <v>2</v>
      </c>
      <c r="AI8" s="21">
        <f t="array" ref="AI8">MATCH(MAX(ABS(AI3:AI7)), ABS(AI3:AI7), 0)</f>
        <v>3</v>
      </c>
      <c r="AJ8" s="21">
        <f t="array" ref="AJ8">MATCH(MAX(ABS(AJ3:AJ7)), ABS(AJ3:AJ7), 0)</f>
        <v>3</v>
      </c>
      <c r="AK8" s="21">
        <f t="array" ref="AK8">MATCH(MAX(ABS(AK3:AK7)), ABS(AK3:AK7), 0)</f>
        <v>5</v>
      </c>
      <c r="AL8" s="21">
        <f t="array" ref="AL8">MATCH(MAX(ABS(AL3:AL7)), ABS(AL3:AL7), 0)</f>
        <v>2</v>
      </c>
      <c r="AM8" s="21">
        <f t="array" ref="AM8">MATCH(MAX(ABS(AM3:AM7)), ABS(AM3:AM7), 0)</f>
        <v>3</v>
      </c>
      <c r="AN8" s="21">
        <f t="array" ref="AN8">MATCH(MAX(ABS(AN3:AN7)), ABS(AN3:AN7), 0)</f>
        <v>2</v>
      </c>
      <c r="AO8" s="21">
        <f t="array" ref="AO8">MATCH(MAX(ABS(AO3:AO7)), ABS(AO3:AO7), 0)</f>
        <v>2</v>
      </c>
      <c r="AP8" s="21">
        <f t="array" ref="AP8">MATCH(MAX(ABS(AP3:AP7)), ABS(AP3:AP7), 0)</f>
        <v>2</v>
      </c>
      <c r="AQ8" s="21">
        <f t="array" ref="AQ8">MATCH(MAX(ABS(AQ3:AQ7)), ABS(AQ3:AQ7), 0)</f>
        <v>2</v>
      </c>
      <c r="AR8" s="21">
        <f t="array" ref="AR8">MATCH(MAX(ABS(AR3:AR7)), ABS(AR3:AR7), 0)</f>
        <v>2</v>
      </c>
      <c r="AS8" s="21">
        <f t="array" ref="AS8">MATCH(MAX(ABS(AS3:AS7)), ABS(AS3:AS7), 0)</f>
        <v>2</v>
      </c>
      <c r="AT8" s="21">
        <f t="array" ref="AT8">MATCH(MAX(ABS(AT3:AT7)), ABS(AT3:AT7), 0)</f>
        <v>2</v>
      </c>
      <c r="AU8" s="21">
        <f t="array" ref="AU8">MATCH(MAX(ABS(AU3:AU7)), ABS(AU3:AU7), 0)</f>
        <v>2</v>
      </c>
      <c r="AV8" s="21">
        <f t="array" ref="AV8">MATCH(MAX(ABS(AV3:AV7)), ABS(AV3:AV7), 0)</f>
        <v>4</v>
      </c>
      <c r="AW8" s="21">
        <f t="array" ref="AW8">MATCH(MAX(ABS(AW3:AW7)), ABS(AW3:AW7), 0)</f>
        <v>4</v>
      </c>
      <c r="AX8" s="21">
        <f t="array" ref="AX8">MATCH(MAX(ABS(AX3:AX7)), ABS(AX3:AX7), 0)</f>
        <v>4</v>
      </c>
      <c r="AY8" s="21">
        <f t="array" ref="AY8">MATCH(MAX(ABS(AY3:AY7)), ABS(AY3:AY7), 0)</f>
        <v>3</v>
      </c>
      <c r="AZ8" s="21">
        <f t="array" ref="AZ8">MATCH(MAX(ABS(AZ3:AZ7)), ABS(AZ3:AZ7), 0)</f>
        <v>4</v>
      </c>
      <c r="BA8" s="21">
        <f t="array" ref="BA8">MATCH(MAX(ABS(BA3:BA7)), ABS(BA3:BA7), 0)</f>
        <v>3</v>
      </c>
      <c r="BB8" s="21">
        <f t="array" ref="BB8">MATCH(MAX(ABS(BB3:BB7)), ABS(BB3:BB7), 0)</f>
        <v>5</v>
      </c>
      <c r="BC8" s="21">
        <f t="array" ref="BC8">MATCH(MAX(ABS(BC3:BC7)), ABS(BC3:BC7), 0)</f>
        <v>2</v>
      </c>
      <c r="BD8" s="21">
        <f t="array" ref="BD8">MATCH(MAX(ABS(BD3:BD7)), ABS(BD3:BD7), 0)</f>
        <v>5</v>
      </c>
      <c r="BE8" s="21">
        <f t="array" ref="BE8">MATCH(MAX(ABS(BE3:BE7)), ABS(BE3:BE7), 0)</f>
        <v>3</v>
      </c>
      <c r="BF8" s="21">
        <f t="array" ref="BF8">MATCH(MAX(ABS(BF3:BF7)), ABS(BF3:BF7), 0)</f>
        <v>3</v>
      </c>
      <c r="BG8" s="21">
        <f t="array" ref="BG8">MATCH(MAX(ABS(BG3:BG7)), ABS(BG3:BG7), 0)</f>
        <v>3</v>
      </c>
      <c r="BH8" s="21">
        <f t="array" ref="BH8">MATCH(MAX(ABS(BH3:BH7)), ABS(BH3:BH7), 0)</f>
        <v>3</v>
      </c>
      <c r="BI8" s="21">
        <f t="array" ref="BI8">MATCH(MAX(ABS(BI3:BI7)), ABS(BI3:BI7), 0)</f>
        <v>3</v>
      </c>
      <c r="BJ8" s="21">
        <f t="array" ref="BJ8">MATCH(MAX(ABS(BJ3:BJ7)), ABS(BJ3:BJ7), 0)</f>
        <v>2</v>
      </c>
      <c r="BK8" s="21">
        <f t="array" ref="BK8">MATCH(MAX(ABS(BK3:BK7)), ABS(BK3:BK7), 0)</f>
        <v>5</v>
      </c>
      <c r="BL8" s="21">
        <f t="array" ref="BL8">MATCH(MAX(ABS(BL3:BL7)), ABS(BL3:BL7), 0)</f>
        <v>5</v>
      </c>
      <c r="BM8" s="21">
        <f t="array" ref="BM8">MATCH(MAX(ABS(BM3:BM7)), ABS(BM3:BM7), 0)</f>
        <v>3</v>
      </c>
      <c r="BN8" s="21">
        <f t="array" ref="BN8">MATCH(MAX(ABS(BN3:BN7)), ABS(BN3:BN7), 0)</f>
        <v>3</v>
      </c>
      <c r="BO8" s="21">
        <f t="array" ref="BO8">MATCH(MAX(ABS(BO3:BO7)), ABS(BO3:BO7), 0)</f>
        <v>4</v>
      </c>
      <c r="BP8" s="21">
        <f t="array" ref="BP8">MATCH(MAX(ABS(BP3:BP7)), ABS(BP3:BP7), 0)</f>
        <v>3</v>
      </c>
      <c r="BQ8" s="21">
        <f t="array" ref="BQ8">MATCH(MAX(ABS(BQ3:BQ7)), ABS(BQ3:BQ7), 0)</f>
        <v>3</v>
      </c>
      <c r="BR8" s="21">
        <f t="array" ref="BR8">MATCH(MAX(ABS(BR3:BR7)), ABS(BR3:BR7), 0)</f>
        <v>3</v>
      </c>
      <c r="BS8" s="21">
        <f t="array" ref="BS8">MATCH(MAX(ABS(BS3:BS7)), ABS(BS3:BS7), 0)</f>
        <v>3</v>
      </c>
      <c r="BT8" s="21">
        <f t="array" ref="BT8">MATCH(MAX(ABS(BT3:BT7)), ABS(BT3:BT7), 0)</f>
        <v>3</v>
      </c>
      <c r="BU8" s="21">
        <f t="array" ref="BU8">MATCH(MAX(ABS(BU3:BU7)), ABS(BU3:BU7), 0)</f>
        <v>3</v>
      </c>
      <c r="BV8" s="21">
        <f t="array" ref="BV8">MATCH(MAX(ABS(BV3:BV7)), ABS(BV3:BV7), 0)</f>
        <v>3</v>
      </c>
      <c r="BW8" s="21">
        <f t="array" ref="BW8">MATCH(MAX(ABS(BW3:BW7)), ABS(BW3:BW7), 0)</f>
        <v>3</v>
      </c>
      <c r="BX8" s="21">
        <f t="array" ref="BX8">MATCH(MAX(ABS(BX3:BX7)), ABS(BX3:BX7), 0)</f>
        <v>3</v>
      </c>
      <c r="BY8" s="21">
        <f t="array" ref="BY8">MATCH(MAX(ABS(BY3:BY7)), ABS(BY3:BY7), 0)</f>
        <v>3</v>
      </c>
      <c r="BZ8" s="21">
        <f t="array" ref="BZ8">MATCH(MAX(ABS(BZ3:BZ7)), ABS(BZ3:BZ7), 0)</f>
        <v>3</v>
      </c>
      <c r="CA8" s="21">
        <f t="array" ref="CA8">MATCH(MAX(ABS(CA3:CA7)), ABS(CA3:CA7), 0)</f>
        <v>3</v>
      </c>
      <c r="CB8" s="21">
        <f t="array" ref="CB8">MATCH(MAX(ABS(CB3:CB7)), ABS(CB3:CB7), 0)</f>
        <v>3</v>
      </c>
      <c r="CC8" s="21">
        <f t="array" ref="CC8">MATCH(MAX(ABS(CC3:CC7)), ABS(CC3:CC7), 0)</f>
        <v>3</v>
      </c>
      <c r="CD8" s="21">
        <f t="array" ref="CD8">MATCH(MAX(ABS(CD3:CD7)), ABS(CD3:CD7), 0)</f>
        <v>2</v>
      </c>
      <c r="CE8" s="21">
        <f t="array" ref="CE8">MATCH(MAX(ABS(CE3:CE7)), ABS(CE3:CE7), 0)</f>
        <v>1</v>
      </c>
      <c r="CF8" s="21">
        <f t="array" ref="CF8">MATCH(MAX(ABS(CF3:CF7)), ABS(CF3:CF7), 0)</f>
        <v>5</v>
      </c>
      <c r="CG8" s="21">
        <f t="array" ref="CG8">MATCH(MAX(ABS(CG3:CG7)), ABS(CG3:CG7), 0)</f>
        <v>3</v>
      </c>
      <c r="CH8" s="21">
        <f t="array" ref="CH8">MATCH(MAX(ABS(CH3:CH7)), ABS(CH3:CH7), 0)</f>
        <v>5</v>
      </c>
      <c r="CI8" s="21">
        <f t="array" ref="CI8">MATCH(MAX(ABS(CI3:CI7)), ABS(CI3:CI7), 0)</f>
        <v>5</v>
      </c>
      <c r="CJ8" s="21">
        <f t="array" ref="CJ8">MATCH(MAX(ABS(CJ3:CJ7)), ABS(CJ3:CJ7), 0)</f>
        <v>3</v>
      </c>
      <c r="CK8" s="21">
        <f t="array" ref="CK8">MATCH(MAX(ABS(CK3:CK7)), ABS(CK3:CK7), 0)</f>
        <v>5</v>
      </c>
      <c r="CL8" s="21">
        <f t="array" ref="CL8">MATCH(MAX(ABS(CL3:CL7)), ABS(CL3:CL7), 0)</f>
        <v>3</v>
      </c>
      <c r="CM8" s="21">
        <f t="array" ref="CM8">MATCH(MAX(ABS(CM3:CM7)), ABS(CM3:CM7), 0)</f>
        <v>2</v>
      </c>
      <c r="CN8" s="21">
        <f t="array" ref="CN8">MATCH(MAX(ABS(CN3:CN7)), ABS(CN3:CN7), 0)</f>
        <v>3</v>
      </c>
      <c r="CO8" s="21">
        <f t="array" ref="CO8">MATCH(MAX(ABS(CO3:CO7)), ABS(CO3:CO7), 0)</f>
        <v>3</v>
      </c>
      <c r="CP8" s="21">
        <f t="array" ref="CP8">MATCH(MAX(ABS(CP3:CP7)), ABS(CP3:CP7), 0)</f>
        <v>3</v>
      </c>
      <c r="CQ8" s="21">
        <f t="array" ref="CQ8">MATCH(MAX(ABS(CQ3:CQ7)), ABS(CQ3:CQ7), 0)</f>
        <v>3</v>
      </c>
      <c r="CR8" s="21">
        <f t="array" ref="CR8">MATCH(MAX(ABS(CR3:CR7)), ABS(CR3:CR7), 0)</f>
        <v>2</v>
      </c>
      <c r="CS8" s="21">
        <f t="array" ref="CS8">MATCH(MAX(ABS(CS3:CS7)), ABS(CS3:CS7), 0)</f>
        <v>3</v>
      </c>
      <c r="CT8" s="21">
        <f t="array" ref="CT8">MATCH(MAX(ABS(CT3:CT7)), ABS(CT3:CT7), 0)</f>
        <v>3</v>
      </c>
      <c r="CU8" s="21">
        <f t="array" ref="CU8">MATCH(MAX(ABS(CU3:CU7)), ABS(CU3:CU7), 0)</f>
        <v>2</v>
      </c>
      <c r="CV8" s="21">
        <f t="array" ref="CV8">MATCH(MAX(ABS(CV3:CV7)), ABS(CV3:CV7), 0)</f>
        <v>4</v>
      </c>
      <c r="CW8" s="21">
        <f t="array" ref="CW8">MATCH(MAX(ABS(CW3:CW7)), ABS(CW3:CW7), 0)</f>
        <v>2</v>
      </c>
      <c r="CX8" s="21">
        <f t="array" ref="CX8">MATCH(MAX(ABS(CX3:CX7)), ABS(CX3:CX7), 0)</f>
        <v>2</v>
      </c>
      <c r="CY8" s="21">
        <f t="array" ref="CY8">MATCH(MAX(ABS(CY3:CY7)), ABS(CY3:CY7), 0)</f>
        <v>2</v>
      </c>
      <c r="CZ8" s="21">
        <f t="array" ref="CZ8">MATCH(MAX(ABS(CZ3:CZ7)), ABS(CZ3:CZ7), 0)</f>
        <v>2</v>
      </c>
      <c r="DA8" s="21">
        <f t="array" ref="DA8">MATCH(MAX(ABS(DA3:DA7)), ABS(DA3:DA7), 0)</f>
        <v>2</v>
      </c>
      <c r="DB8" s="21">
        <f t="array" ref="DB8">MATCH(MAX(ABS(DB3:DB7)), ABS(DB3:DB7), 0)</f>
        <v>2</v>
      </c>
      <c r="DC8" s="21">
        <f t="array" ref="DC8">MATCH(MAX(ABS(DC3:DC7)), ABS(DC3:DC7), 0)</f>
        <v>2</v>
      </c>
      <c r="DD8" s="21">
        <f t="array" ref="DD8">MATCH(MAX(ABS(DD3:DD7)), ABS(DD3:DD7), 0)</f>
        <v>4</v>
      </c>
      <c r="DE8" s="21">
        <f t="array" ref="DE8">MATCH(MAX(ABS(DE3:DE7)), ABS(DE3:DE7), 0)</f>
        <v>4</v>
      </c>
      <c r="DF8" s="21">
        <f t="array" ref="DF8">MATCH(MAX(ABS(DF3:DF7)), ABS(DF3:DF7), 0)</f>
        <v>3</v>
      </c>
      <c r="DG8" s="21">
        <f t="array" ref="DG8">MATCH(MAX(ABS(DG3:DG7)), ABS(DG3:DG7), 0)</f>
        <v>4</v>
      </c>
      <c r="DH8" s="21">
        <f t="array" ref="DH8">MATCH(MAX(ABS(DH3:DH7)), ABS(DH3:DH7), 0)</f>
        <v>3</v>
      </c>
      <c r="DI8" s="21">
        <f t="array" ref="DI8">MATCH(MAX(ABS(DI3:DI7)), ABS(DI3:DI7), 0)</f>
        <v>3</v>
      </c>
      <c r="DJ8" s="21">
        <f t="array" ref="DJ8">MATCH(MAX(ABS(DJ3:DJ7)), ABS(DJ3:DJ7), 0)</f>
        <v>2</v>
      </c>
      <c r="DK8" s="21">
        <f t="array" ref="DK8">MATCH(MAX(ABS(DK3:DK7)), ABS(DK3:DK7), 0)</f>
        <v>3</v>
      </c>
      <c r="DL8" s="21">
        <f t="array" ref="DL8">MATCH(MAX(ABS(DL3:DL7)), ABS(DL3:DL7), 0)</f>
        <v>5</v>
      </c>
      <c r="DM8" s="21">
        <f t="array" ref="DM8">MATCH(MAX(ABS(DM3:DM7)), ABS(DM3:DM7), 0)</f>
        <v>5</v>
      </c>
      <c r="DN8" s="21">
        <f t="array" ref="DN8">MATCH(MAX(ABS(DN3:DN7)), ABS(DN3:DN7), 0)</f>
        <v>5</v>
      </c>
      <c r="DO8" s="21">
        <f t="array" ref="DO8">MATCH(MAX(ABS(DO3:DO7)), ABS(DO3:DO7), 0)</f>
        <v>5</v>
      </c>
      <c r="DP8" s="21">
        <f t="array" ref="DP8">MATCH(MAX(ABS(DP3:DP7)), ABS(DP3:DP7), 0)</f>
        <v>5</v>
      </c>
      <c r="DQ8" s="21">
        <f t="array" ref="DQ8">MATCH(MAX(ABS(DQ3:DQ7)), ABS(DQ3:DQ7), 0)</f>
        <v>5</v>
      </c>
      <c r="DR8" s="21">
        <f t="array" ref="DR8">MATCH(MAX(ABS(DR3:DR7)), ABS(DR3:DR7), 0)</f>
        <v>2</v>
      </c>
      <c r="DS8" s="21">
        <f t="array" ref="DS8">MATCH(MAX(ABS(DS3:DS7)), ABS(DS3:DS7), 0)</f>
        <v>2</v>
      </c>
      <c r="DT8" s="21">
        <f t="array" ref="DT8">MATCH(MAX(ABS(DT3:DT7)), ABS(DT3:DT7), 0)</f>
        <v>2</v>
      </c>
      <c r="DU8" s="21">
        <f t="array" ref="DU8">MATCH(MAX(ABS(DU3:DU7)), ABS(DU3:DU7), 0)</f>
        <v>2</v>
      </c>
      <c r="DV8" s="21">
        <f t="array" ref="DV8">MATCH(MAX(ABS(DV3:DV7)), ABS(DV3:DV7), 0)</f>
        <v>3</v>
      </c>
      <c r="DW8" s="21">
        <f t="array" ref="DW8">MATCH(MAX(ABS(DW3:DW7)), ABS(DW3:DW7), 0)</f>
        <v>3</v>
      </c>
      <c r="DX8" s="21">
        <f t="array" ref="DX8">MATCH(MAX(ABS(DX3:DX7)), ABS(DX3:DX7), 0)</f>
        <v>5</v>
      </c>
      <c r="DY8" s="21">
        <f t="array" ref="DY8">MATCH(MAX(ABS(DY3:DY7)), ABS(DY3:DY7), 0)</f>
        <v>5</v>
      </c>
      <c r="DZ8" s="21">
        <f t="array" ref="DZ8">MATCH(MAX(ABS(DZ3:DZ7)), ABS(DZ3:DZ7), 0)</f>
        <v>5</v>
      </c>
      <c r="EA8" s="21">
        <f t="array" ref="EA8">MATCH(MAX(ABS(EA3:EA7)), ABS(EA3:EA7), 0)</f>
        <v>2</v>
      </c>
      <c r="EB8" s="21">
        <f t="array" ref="EB8">MATCH(MAX(ABS(EB3:EB7)), ABS(EB3:EB7), 0)</f>
        <v>3</v>
      </c>
      <c r="EC8" s="21">
        <f t="array" ref="EC8">MATCH(MAX(ABS(EC3:EC7)), ABS(EC3:EC7), 0)</f>
        <v>2</v>
      </c>
      <c r="ED8" s="21">
        <f t="array" ref="ED8">MATCH(MAX(ABS(ED3:ED7)), ABS(ED3:ED7), 0)</f>
        <v>2</v>
      </c>
      <c r="EE8" s="21">
        <f t="array" ref="EE8">MATCH(MAX(ABS(EE3:EE7)), ABS(EE3:EE7), 0)</f>
        <v>2</v>
      </c>
      <c r="EF8" s="25">
        <v>2</v>
      </c>
    </row>
    <row r="9" spans="1:137" ht="16">
      <c r="A9" s="5"/>
      <c r="B9" s="18"/>
      <c r="C9" s="21" t="str">
        <f>IF(C8=1,"mom1",
IF(C8=2,"mom12",
IF(C8=3,"chmom",
IF(C8=4,"retvol",
IF(C8=5,"maxret","")))))</f>
        <v>mom12</v>
      </c>
      <c r="D9" s="21" t="str">
        <f t="shared" ref="D9:BO9" si="0">IF(D8=1,"mom1",
IF(D8=2,"mom12",
IF(D8=3,"chmom",
IF(D8=4,"retvol",
IF(D8=5,"maxret","")))))</f>
        <v>mom12</v>
      </c>
      <c r="E9" s="21" t="str">
        <f t="shared" si="0"/>
        <v>mom12</v>
      </c>
      <c r="F9" s="21" t="str">
        <f t="shared" si="0"/>
        <v>maxret</v>
      </c>
      <c r="G9" s="21" t="str">
        <f t="shared" si="0"/>
        <v>maxret</v>
      </c>
      <c r="H9" s="21" t="str">
        <f t="shared" si="0"/>
        <v>mom12</v>
      </c>
      <c r="I9" s="21" t="str">
        <f t="shared" si="0"/>
        <v>mom12</v>
      </c>
      <c r="J9" s="21" t="str">
        <f t="shared" si="0"/>
        <v>mom12</v>
      </c>
      <c r="K9" s="21" t="str">
        <f t="shared" si="0"/>
        <v>mom12</v>
      </c>
      <c r="L9" s="21" t="str">
        <f t="shared" si="0"/>
        <v>mom12</v>
      </c>
      <c r="M9" s="21" t="str">
        <f t="shared" si="0"/>
        <v>mom12</v>
      </c>
      <c r="N9" s="21" t="str">
        <f t="shared" si="0"/>
        <v>chmom</v>
      </c>
      <c r="O9" s="21" t="str">
        <f t="shared" si="0"/>
        <v>mom12</v>
      </c>
      <c r="P9" s="21" t="str">
        <f t="shared" si="0"/>
        <v>retvol</v>
      </c>
      <c r="Q9" s="21" t="str">
        <f t="shared" si="0"/>
        <v>retvol</v>
      </c>
      <c r="R9" s="21" t="str">
        <f t="shared" si="0"/>
        <v>retvol</v>
      </c>
      <c r="S9" s="21" t="str">
        <f t="shared" si="0"/>
        <v>retvol</v>
      </c>
      <c r="T9" s="21" t="str">
        <f t="shared" si="0"/>
        <v>retvol</v>
      </c>
      <c r="U9" s="21" t="str">
        <f t="shared" si="0"/>
        <v>chmom</v>
      </c>
      <c r="V9" s="21" t="str">
        <f t="shared" si="0"/>
        <v>chmom</v>
      </c>
      <c r="W9" s="21" t="str">
        <f t="shared" si="0"/>
        <v>chmom</v>
      </c>
      <c r="X9" s="21" t="str">
        <f t="shared" si="0"/>
        <v>chmom</v>
      </c>
      <c r="Y9" s="21" t="str">
        <f t="shared" si="0"/>
        <v>chmom</v>
      </c>
      <c r="Z9" s="21" t="str">
        <f t="shared" si="0"/>
        <v>mom12</v>
      </c>
      <c r="AA9" s="21" t="str">
        <f t="shared" si="0"/>
        <v>mom12</v>
      </c>
      <c r="AB9" s="21" t="str">
        <f t="shared" si="0"/>
        <v>mom12</v>
      </c>
      <c r="AC9" s="21" t="str">
        <f t="shared" si="0"/>
        <v>mom12</v>
      </c>
      <c r="AD9" s="21" t="str">
        <f t="shared" si="0"/>
        <v>mom12</v>
      </c>
      <c r="AE9" s="21" t="str">
        <f t="shared" si="0"/>
        <v>chmom</v>
      </c>
      <c r="AF9" s="21" t="str">
        <f t="shared" si="0"/>
        <v>mom12</v>
      </c>
      <c r="AG9" s="21" t="str">
        <f t="shared" si="0"/>
        <v>mom12</v>
      </c>
      <c r="AH9" s="21" t="str">
        <f t="shared" si="0"/>
        <v>mom12</v>
      </c>
      <c r="AI9" s="21" t="str">
        <f t="shared" si="0"/>
        <v>chmom</v>
      </c>
      <c r="AJ9" s="21" t="str">
        <f t="shared" si="0"/>
        <v>chmom</v>
      </c>
      <c r="AK9" s="21" t="str">
        <f t="shared" si="0"/>
        <v>maxret</v>
      </c>
      <c r="AL9" s="21" t="str">
        <f t="shared" si="0"/>
        <v>mom12</v>
      </c>
      <c r="AM9" s="21" t="str">
        <f t="shared" si="0"/>
        <v>chmom</v>
      </c>
      <c r="AN9" s="21" t="str">
        <f t="shared" si="0"/>
        <v>mom12</v>
      </c>
      <c r="AO9" s="21" t="str">
        <f t="shared" si="0"/>
        <v>mom12</v>
      </c>
      <c r="AP9" s="21" t="str">
        <f t="shared" si="0"/>
        <v>mom12</v>
      </c>
      <c r="AQ9" s="21" t="str">
        <f t="shared" si="0"/>
        <v>mom12</v>
      </c>
      <c r="AR9" s="21" t="str">
        <f t="shared" si="0"/>
        <v>mom12</v>
      </c>
      <c r="AS9" s="21" t="str">
        <f t="shared" si="0"/>
        <v>mom12</v>
      </c>
      <c r="AT9" s="21" t="str">
        <f t="shared" si="0"/>
        <v>mom12</v>
      </c>
      <c r="AU9" s="21" t="str">
        <f t="shared" si="0"/>
        <v>mom12</v>
      </c>
      <c r="AV9" s="21" t="str">
        <f t="shared" si="0"/>
        <v>retvol</v>
      </c>
      <c r="AW9" s="21" t="str">
        <f t="shared" si="0"/>
        <v>retvol</v>
      </c>
      <c r="AX9" s="21" t="str">
        <f t="shared" si="0"/>
        <v>retvol</v>
      </c>
      <c r="AY9" s="21" t="str">
        <f t="shared" si="0"/>
        <v>chmom</v>
      </c>
      <c r="AZ9" s="21" t="str">
        <f t="shared" si="0"/>
        <v>retvol</v>
      </c>
      <c r="BA9" s="21" t="str">
        <f t="shared" si="0"/>
        <v>chmom</v>
      </c>
      <c r="BB9" s="21" t="str">
        <f t="shared" si="0"/>
        <v>maxret</v>
      </c>
      <c r="BC9" s="21" t="str">
        <f t="shared" si="0"/>
        <v>mom12</v>
      </c>
      <c r="BD9" s="21" t="str">
        <f t="shared" si="0"/>
        <v>maxret</v>
      </c>
      <c r="BE9" s="21" t="str">
        <f t="shared" si="0"/>
        <v>chmom</v>
      </c>
      <c r="BF9" s="21" t="str">
        <f t="shared" si="0"/>
        <v>chmom</v>
      </c>
      <c r="BG9" s="21" t="str">
        <f t="shared" si="0"/>
        <v>chmom</v>
      </c>
      <c r="BH9" s="21" t="str">
        <f t="shared" si="0"/>
        <v>chmom</v>
      </c>
      <c r="BI9" s="21" t="str">
        <f t="shared" si="0"/>
        <v>chmom</v>
      </c>
      <c r="BJ9" s="21" t="str">
        <f t="shared" si="0"/>
        <v>mom12</v>
      </c>
      <c r="BK9" s="21" t="str">
        <f t="shared" si="0"/>
        <v>maxret</v>
      </c>
      <c r="BL9" s="21" t="str">
        <f t="shared" si="0"/>
        <v>maxret</v>
      </c>
      <c r="BM9" s="21" t="str">
        <f t="shared" si="0"/>
        <v>chmom</v>
      </c>
      <c r="BN9" s="21" t="str">
        <f t="shared" si="0"/>
        <v>chmom</v>
      </c>
      <c r="BO9" s="21" t="str">
        <f t="shared" si="0"/>
        <v>retvol</v>
      </c>
      <c r="BP9" s="21" t="str">
        <f t="shared" ref="BP9:EA9" si="1">IF(BP8=1,"mom1",
IF(BP8=2,"mom12",
IF(BP8=3,"chmom",
IF(BP8=4,"retvol",
IF(BP8=5,"maxret","")))))</f>
        <v>chmom</v>
      </c>
      <c r="BQ9" s="21" t="str">
        <f t="shared" si="1"/>
        <v>chmom</v>
      </c>
      <c r="BR9" s="21" t="str">
        <f t="shared" si="1"/>
        <v>chmom</v>
      </c>
      <c r="BS9" s="21" t="str">
        <f t="shared" si="1"/>
        <v>chmom</v>
      </c>
      <c r="BT9" s="21" t="str">
        <f t="shared" si="1"/>
        <v>chmom</v>
      </c>
      <c r="BU9" s="21" t="str">
        <f t="shared" si="1"/>
        <v>chmom</v>
      </c>
      <c r="BV9" s="21" t="str">
        <f t="shared" si="1"/>
        <v>chmom</v>
      </c>
      <c r="BW9" s="21" t="str">
        <f t="shared" si="1"/>
        <v>chmom</v>
      </c>
      <c r="BX9" s="21" t="str">
        <f t="shared" si="1"/>
        <v>chmom</v>
      </c>
      <c r="BY9" s="21" t="str">
        <f t="shared" si="1"/>
        <v>chmom</v>
      </c>
      <c r="BZ9" s="21" t="str">
        <f t="shared" si="1"/>
        <v>chmom</v>
      </c>
      <c r="CA9" s="21" t="str">
        <f t="shared" si="1"/>
        <v>chmom</v>
      </c>
      <c r="CB9" s="21" t="str">
        <f t="shared" si="1"/>
        <v>chmom</v>
      </c>
      <c r="CC9" s="21" t="str">
        <f t="shared" si="1"/>
        <v>chmom</v>
      </c>
      <c r="CD9" s="21" t="str">
        <f t="shared" si="1"/>
        <v>mom12</v>
      </c>
      <c r="CE9" s="21" t="str">
        <f t="shared" si="1"/>
        <v>mom1</v>
      </c>
      <c r="CF9" s="21" t="str">
        <f t="shared" si="1"/>
        <v>maxret</v>
      </c>
      <c r="CG9" s="21" t="str">
        <f t="shared" si="1"/>
        <v>chmom</v>
      </c>
      <c r="CH9" s="21" t="str">
        <f t="shared" si="1"/>
        <v>maxret</v>
      </c>
      <c r="CI9" s="21" t="str">
        <f t="shared" si="1"/>
        <v>maxret</v>
      </c>
      <c r="CJ9" s="21" t="str">
        <f t="shared" si="1"/>
        <v>chmom</v>
      </c>
      <c r="CK9" s="21" t="str">
        <f t="shared" si="1"/>
        <v>maxret</v>
      </c>
      <c r="CL9" s="21" t="str">
        <f t="shared" si="1"/>
        <v>chmom</v>
      </c>
      <c r="CM9" s="21" t="str">
        <f t="shared" si="1"/>
        <v>mom12</v>
      </c>
      <c r="CN9" s="21" t="str">
        <f t="shared" si="1"/>
        <v>chmom</v>
      </c>
      <c r="CO9" s="21" t="str">
        <f t="shared" si="1"/>
        <v>chmom</v>
      </c>
      <c r="CP9" s="21" t="str">
        <f t="shared" si="1"/>
        <v>chmom</v>
      </c>
      <c r="CQ9" s="21" t="str">
        <f t="shared" si="1"/>
        <v>chmom</v>
      </c>
      <c r="CR9" s="21" t="str">
        <f t="shared" si="1"/>
        <v>mom12</v>
      </c>
      <c r="CS9" s="21" t="str">
        <f t="shared" si="1"/>
        <v>chmom</v>
      </c>
      <c r="CT9" s="21" t="str">
        <f t="shared" si="1"/>
        <v>chmom</v>
      </c>
      <c r="CU9" s="21" t="str">
        <f t="shared" si="1"/>
        <v>mom12</v>
      </c>
      <c r="CV9" s="21" t="str">
        <f t="shared" si="1"/>
        <v>retvol</v>
      </c>
      <c r="CW9" s="21" t="str">
        <f t="shared" si="1"/>
        <v>mom12</v>
      </c>
      <c r="CX9" s="21" t="str">
        <f t="shared" si="1"/>
        <v>mom12</v>
      </c>
      <c r="CY9" s="21" t="str">
        <f t="shared" si="1"/>
        <v>mom12</v>
      </c>
      <c r="CZ9" s="21" t="str">
        <f t="shared" si="1"/>
        <v>mom12</v>
      </c>
      <c r="DA9" s="21" t="str">
        <f t="shared" si="1"/>
        <v>mom12</v>
      </c>
      <c r="DB9" s="21" t="str">
        <f t="shared" si="1"/>
        <v>mom12</v>
      </c>
      <c r="DC9" s="21" t="str">
        <f t="shared" si="1"/>
        <v>mom12</v>
      </c>
      <c r="DD9" s="21" t="str">
        <f t="shared" si="1"/>
        <v>retvol</v>
      </c>
      <c r="DE9" s="21" t="str">
        <f t="shared" si="1"/>
        <v>retvol</v>
      </c>
      <c r="DF9" s="21" t="str">
        <f t="shared" si="1"/>
        <v>chmom</v>
      </c>
      <c r="DG9" s="21" t="str">
        <f t="shared" si="1"/>
        <v>retvol</v>
      </c>
      <c r="DH9" s="21" t="str">
        <f t="shared" si="1"/>
        <v>chmom</v>
      </c>
      <c r="DI9" s="21" t="str">
        <f t="shared" si="1"/>
        <v>chmom</v>
      </c>
      <c r="DJ9" s="21" t="str">
        <f t="shared" si="1"/>
        <v>mom12</v>
      </c>
      <c r="DK9" s="21" t="str">
        <f t="shared" si="1"/>
        <v>chmom</v>
      </c>
      <c r="DL9" s="21" t="str">
        <f t="shared" si="1"/>
        <v>maxret</v>
      </c>
      <c r="DM9" s="21" t="str">
        <f t="shared" si="1"/>
        <v>maxret</v>
      </c>
      <c r="DN9" s="21" t="str">
        <f t="shared" si="1"/>
        <v>maxret</v>
      </c>
      <c r="DO9" s="21" t="str">
        <f t="shared" si="1"/>
        <v>maxret</v>
      </c>
      <c r="DP9" s="21" t="str">
        <f t="shared" si="1"/>
        <v>maxret</v>
      </c>
      <c r="DQ9" s="21" t="str">
        <f t="shared" si="1"/>
        <v>maxret</v>
      </c>
      <c r="DR9" s="21" t="str">
        <f t="shared" si="1"/>
        <v>mom12</v>
      </c>
      <c r="DS9" s="21" t="str">
        <f t="shared" si="1"/>
        <v>mom12</v>
      </c>
      <c r="DT9" s="21" t="str">
        <f t="shared" si="1"/>
        <v>mom12</v>
      </c>
      <c r="DU9" s="21" t="str">
        <f t="shared" si="1"/>
        <v>mom12</v>
      </c>
      <c r="DV9" s="21" t="str">
        <f t="shared" si="1"/>
        <v>chmom</v>
      </c>
      <c r="DW9" s="21" t="str">
        <f t="shared" si="1"/>
        <v>chmom</v>
      </c>
      <c r="DX9" s="21" t="str">
        <f t="shared" si="1"/>
        <v>maxret</v>
      </c>
      <c r="DY9" s="21" t="str">
        <f t="shared" si="1"/>
        <v>maxret</v>
      </c>
      <c r="DZ9" s="21" t="str">
        <f t="shared" si="1"/>
        <v>maxret</v>
      </c>
      <c r="EA9" s="21" t="str">
        <f t="shared" si="1"/>
        <v>mom12</v>
      </c>
      <c r="EB9" s="21" t="str">
        <f t="shared" ref="EB9:EF9" si="2">IF(EB8=1,"mom1",
IF(EB8=2,"mom12",
IF(EB8=3,"chmom",
IF(EB8=4,"retvol",
IF(EB8=5,"maxret","")))))</f>
        <v>chmom</v>
      </c>
      <c r="EC9" s="21" t="str">
        <f t="shared" si="2"/>
        <v>mom12</v>
      </c>
      <c r="ED9" s="21" t="str">
        <f t="shared" si="2"/>
        <v>mom12</v>
      </c>
      <c r="EE9" s="21" t="str">
        <f t="shared" si="2"/>
        <v>mom12</v>
      </c>
      <c r="EF9" s="21" t="str">
        <f t="shared" si="2"/>
        <v>mom12</v>
      </c>
    </row>
    <row r="10" spans="1:137" ht="16">
      <c r="A10" s="5"/>
      <c r="B10" s="18"/>
      <c r="C10" s="21">
        <f>IF(C8=1,C3,IF(C8=2,C4,IF(C8=3,C5,IF(C8=4,C6,IF(C8=5,C7)))))</f>
        <v>-0.20935792122733601</v>
      </c>
      <c r="D10" s="21">
        <f t="shared" ref="D10:H10" si="3">IF(D8=1,D3,IF(D8=2,D4,IF(D8=3,D5,IF(D8=4,D6,IF(D8=5,D7)))))</f>
        <v>-0.24145620521490571</v>
      </c>
      <c r="E10" s="21">
        <f t="shared" si="3"/>
        <v>0.26636596474473501</v>
      </c>
      <c r="F10" s="21">
        <f t="shared" si="3"/>
        <v>-0.51750513151026711</v>
      </c>
      <c r="G10" s="21">
        <f t="shared" si="3"/>
        <v>-0.47668017407719437</v>
      </c>
      <c r="H10" s="21">
        <f t="shared" si="3"/>
        <v>0.5537341742626456</v>
      </c>
      <c r="I10" s="21">
        <f>IF(I8=1,I3,IF(I8=2,I4,IF(I8=3,I5,IF(I8=4,I6,IF(I8=5,I7)))))</f>
        <v>0.66979451114429034</v>
      </c>
      <c r="J10" s="21">
        <f t="shared" ref="J10:BU10" si="4">IF(J8=1,J3,IF(J8=2,J4,IF(J8=3,J5,IF(J8=4,J6,IF(J8=5,J7)))))</f>
        <v>0.61032590854849456</v>
      </c>
      <c r="K10" s="21">
        <f t="shared" si="4"/>
        <v>0.86207445584452447</v>
      </c>
      <c r="L10" s="21">
        <f t="shared" si="4"/>
        <v>0.37355796404420633</v>
      </c>
      <c r="M10" s="21">
        <f t="shared" si="4"/>
        <v>0.62222012198115262</v>
      </c>
      <c r="N10" s="21">
        <f t="shared" si="4"/>
        <v>-0.32791237477111829</v>
      </c>
      <c r="O10" s="21">
        <f t="shared" si="4"/>
        <v>0.35628689631689647</v>
      </c>
      <c r="P10" s="21">
        <f t="shared" si="4"/>
        <v>0.25179107603585099</v>
      </c>
      <c r="Q10" s="21">
        <f t="shared" si="4"/>
        <v>0.2218350215305622</v>
      </c>
      <c r="R10" s="21">
        <f t="shared" si="4"/>
        <v>0.24564422754657189</v>
      </c>
      <c r="S10" s="21">
        <f t="shared" si="4"/>
        <v>0.21802587035960269</v>
      </c>
      <c r="T10" s="21">
        <f t="shared" si="4"/>
        <v>0.22885928116164689</v>
      </c>
      <c r="U10" s="21">
        <f t="shared" si="4"/>
        <v>-0.52458473451682519</v>
      </c>
      <c r="V10" s="21">
        <f t="shared" si="4"/>
        <v>-0.4792143423997316</v>
      </c>
      <c r="W10" s="21">
        <f t="shared" si="4"/>
        <v>-0.36348833368794342</v>
      </c>
      <c r="X10" s="21">
        <f t="shared" si="4"/>
        <v>-0.39764648466092672</v>
      </c>
      <c r="Y10" s="21">
        <f t="shared" si="4"/>
        <v>-0.47562109760818377</v>
      </c>
      <c r="Z10" s="21">
        <f t="shared" si="4"/>
        <v>-0.3779060136015861</v>
      </c>
      <c r="AA10" s="21">
        <f t="shared" si="4"/>
        <v>-0.43955484978357701</v>
      </c>
      <c r="AB10" s="21">
        <f t="shared" si="4"/>
        <v>-0.41859416874526367</v>
      </c>
      <c r="AC10" s="21">
        <f t="shared" si="4"/>
        <v>-0.31816515320418409</v>
      </c>
      <c r="AD10" s="21">
        <f t="shared" si="4"/>
        <v>-0.20856536883441179</v>
      </c>
      <c r="AE10" s="21">
        <f t="shared" si="4"/>
        <v>0.14449675324010591</v>
      </c>
      <c r="AF10" s="21">
        <f t="shared" si="4"/>
        <v>-0.14886860509428651</v>
      </c>
      <c r="AG10" s="21">
        <f t="shared" si="4"/>
        <v>-0.1866902267256208</v>
      </c>
      <c r="AH10" s="21">
        <f t="shared" si="4"/>
        <v>-0.25393275403871191</v>
      </c>
      <c r="AI10" s="21">
        <f t="shared" si="4"/>
        <v>0.26749723606904691</v>
      </c>
      <c r="AJ10" s="21">
        <f t="shared" si="4"/>
        <v>0.28042018158602128</v>
      </c>
      <c r="AK10" s="21">
        <f t="shared" si="4"/>
        <v>7.4954773180899756E-2</v>
      </c>
      <c r="AL10" s="21">
        <f t="shared" si="4"/>
        <v>-9.1865237642505163E-2</v>
      </c>
      <c r="AM10" s="21">
        <f t="shared" si="4"/>
        <v>0.17498289674326181</v>
      </c>
      <c r="AN10" s="21">
        <f t="shared" si="4"/>
        <v>-0.33743700555198552</v>
      </c>
      <c r="AO10" s="21">
        <f t="shared" si="4"/>
        <v>-0.36868152859592562</v>
      </c>
      <c r="AP10" s="21">
        <f t="shared" si="4"/>
        <v>-0.28691959224511548</v>
      </c>
      <c r="AQ10" s="21">
        <f t="shared" si="4"/>
        <v>-0.30523872624318382</v>
      </c>
      <c r="AR10" s="21">
        <f t="shared" si="4"/>
        <v>-0.29331379911690642</v>
      </c>
      <c r="AS10" s="21">
        <f t="shared" si="4"/>
        <v>-0.30267029688624508</v>
      </c>
      <c r="AT10" s="21">
        <f t="shared" si="4"/>
        <v>-0.28045675156766531</v>
      </c>
      <c r="AU10" s="21">
        <f t="shared" si="4"/>
        <v>-0.18262992182905941</v>
      </c>
      <c r="AV10" s="21">
        <f t="shared" si="4"/>
        <v>0.1449166373776215</v>
      </c>
      <c r="AW10" s="21">
        <f t="shared" si="4"/>
        <v>0.18538208810641141</v>
      </c>
      <c r="AX10" s="21">
        <f t="shared" si="4"/>
        <v>0.1366523480003056</v>
      </c>
      <c r="AY10" s="21">
        <f t="shared" si="4"/>
        <v>-0.31841892204614608</v>
      </c>
      <c r="AZ10" s="21">
        <f t="shared" si="4"/>
        <v>0.26503780407394811</v>
      </c>
      <c r="BA10" s="21">
        <f t="shared" si="4"/>
        <v>-0.22999540969309759</v>
      </c>
      <c r="BB10" s="21">
        <f t="shared" si="4"/>
        <v>-0.18483968000529249</v>
      </c>
      <c r="BC10" s="21">
        <f t="shared" si="4"/>
        <v>0.19620313414919849</v>
      </c>
      <c r="BD10" s="21">
        <f t="shared" si="4"/>
        <v>-0.19026124746966269</v>
      </c>
      <c r="BE10" s="21">
        <f t="shared" si="4"/>
        <v>0.36448653223917399</v>
      </c>
      <c r="BF10" s="21">
        <f t="shared" si="4"/>
        <v>0.44848254478272898</v>
      </c>
      <c r="BG10" s="21">
        <f t="shared" si="4"/>
        <v>0.43221300941381358</v>
      </c>
      <c r="BH10" s="21">
        <f t="shared" si="4"/>
        <v>0.27475197161243958</v>
      </c>
      <c r="BI10" s="21">
        <f t="shared" si="4"/>
        <v>0.27625006164983618</v>
      </c>
      <c r="BJ10" s="21">
        <f t="shared" si="4"/>
        <v>0.26154895504900538</v>
      </c>
      <c r="BK10" s="21">
        <f t="shared" si="4"/>
        <v>0.2729537543891194</v>
      </c>
      <c r="BL10" s="21">
        <f t="shared" si="4"/>
        <v>0.28953704776009159</v>
      </c>
      <c r="BM10" s="21">
        <f t="shared" si="4"/>
        <v>0.22848090332571749</v>
      </c>
      <c r="BN10" s="21">
        <f t="shared" si="4"/>
        <v>0.28499472414789501</v>
      </c>
      <c r="BO10" s="21">
        <f t="shared" si="4"/>
        <v>0.18768666424061561</v>
      </c>
      <c r="BP10" s="21">
        <f t="shared" si="4"/>
        <v>0.37735475502544108</v>
      </c>
      <c r="BQ10" s="21">
        <f t="shared" si="4"/>
        <v>0.20037255890381511</v>
      </c>
      <c r="BR10" s="21">
        <f t="shared" si="4"/>
        <v>0.22737663442672029</v>
      </c>
      <c r="BS10" s="21">
        <f t="shared" si="4"/>
        <v>0.28000569960508931</v>
      </c>
      <c r="BT10" s="21">
        <f t="shared" si="4"/>
        <v>0.25048842105416552</v>
      </c>
      <c r="BU10" s="21">
        <f t="shared" si="4"/>
        <v>0.40950603598106478</v>
      </c>
      <c r="BV10" s="21">
        <f t="shared" ref="BV10:EF10" si="5">IF(BV8=1,BV3,IF(BV8=2,BV4,IF(BV8=3,BV5,IF(BV8=4,BV6,IF(BV8=5,BV7)))))</f>
        <v>0.27914339825966772</v>
      </c>
      <c r="BW10" s="21">
        <f t="shared" si="5"/>
        <v>0.42338681782856119</v>
      </c>
      <c r="BX10" s="21">
        <f t="shared" si="5"/>
        <v>0.20681397354492859</v>
      </c>
      <c r="BY10" s="21">
        <f t="shared" si="5"/>
        <v>0.16995656458325559</v>
      </c>
      <c r="BZ10" s="21">
        <f t="shared" si="5"/>
        <v>0.25229150973658637</v>
      </c>
      <c r="CA10" s="21">
        <f t="shared" si="5"/>
        <v>0.32026292962452041</v>
      </c>
      <c r="CB10" s="21">
        <f t="shared" si="5"/>
        <v>0.51463583067154539</v>
      </c>
      <c r="CC10" s="21">
        <f t="shared" si="5"/>
        <v>0.18153007409469241</v>
      </c>
      <c r="CD10" s="21">
        <f t="shared" si="5"/>
        <v>0.1247822180786789</v>
      </c>
      <c r="CE10" s="21">
        <f t="shared" si="5"/>
        <v>8.7027483919829188E-2</v>
      </c>
      <c r="CF10" s="21">
        <f t="shared" si="5"/>
        <v>-0.13786759520854391</v>
      </c>
      <c r="CG10" s="21">
        <f t="shared" si="5"/>
        <v>-0.35445425141928649</v>
      </c>
      <c r="CH10" s="21">
        <f t="shared" si="5"/>
        <v>-0.26226848017204002</v>
      </c>
      <c r="CI10" s="21">
        <f t="shared" si="5"/>
        <v>-0.3621599917846654</v>
      </c>
      <c r="CJ10" s="21">
        <f t="shared" si="5"/>
        <v>0.27306771173615763</v>
      </c>
      <c r="CK10" s="21">
        <f t="shared" si="5"/>
        <v>-0.24049517149258881</v>
      </c>
      <c r="CL10" s="21">
        <f t="shared" si="5"/>
        <v>-0.2428342099250631</v>
      </c>
      <c r="CM10" s="21">
        <f t="shared" si="5"/>
        <v>-0.19344889033092799</v>
      </c>
      <c r="CN10" s="21">
        <f t="shared" si="5"/>
        <v>-0.310075109187538</v>
      </c>
      <c r="CO10" s="21">
        <f t="shared" si="5"/>
        <v>-0.48661942430606081</v>
      </c>
      <c r="CP10" s="21">
        <f t="shared" si="5"/>
        <v>-0.58562675232019856</v>
      </c>
      <c r="CQ10" s="21">
        <f t="shared" si="5"/>
        <v>-0.21352733862147991</v>
      </c>
      <c r="CR10" s="21">
        <f t="shared" si="5"/>
        <v>0.23262305351410531</v>
      </c>
      <c r="CS10" s="21">
        <f t="shared" si="5"/>
        <v>-0.15856953077819341</v>
      </c>
      <c r="CT10" s="21">
        <f t="shared" si="5"/>
        <v>-0.2953032979629534</v>
      </c>
      <c r="CU10" s="21">
        <f t="shared" si="5"/>
        <v>0.29380322799279129</v>
      </c>
      <c r="CV10" s="21">
        <f t="shared" si="5"/>
        <v>0.16980040126902121</v>
      </c>
      <c r="CW10" s="21">
        <f t="shared" si="5"/>
        <v>0.22758953291297229</v>
      </c>
      <c r="CX10" s="21">
        <f t="shared" si="5"/>
        <v>0.30967914222586451</v>
      </c>
      <c r="CY10" s="21">
        <f t="shared" si="5"/>
        <v>0.1008269451540873</v>
      </c>
      <c r="CZ10" s="21">
        <f t="shared" si="5"/>
        <v>0.27399190305797039</v>
      </c>
      <c r="DA10" s="21">
        <f t="shared" si="5"/>
        <v>0.29613632136496731</v>
      </c>
      <c r="DB10" s="21">
        <f t="shared" si="5"/>
        <v>0.44409378278633932</v>
      </c>
      <c r="DC10" s="21">
        <f t="shared" si="5"/>
        <v>0.27739949663700231</v>
      </c>
      <c r="DD10" s="21">
        <f t="shared" si="5"/>
        <v>-0.21309613111010051</v>
      </c>
      <c r="DE10" s="21">
        <f t="shared" si="5"/>
        <v>-0.16221912242286801</v>
      </c>
      <c r="DF10" s="21">
        <f t="shared" si="5"/>
        <v>0.23309856186511069</v>
      </c>
      <c r="DG10" s="21">
        <f t="shared" si="5"/>
        <v>-0.17344116046680241</v>
      </c>
      <c r="DH10" s="21">
        <f t="shared" si="5"/>
        <v>0.26024560403747621</v>
      </c>
      <c r="DI10" s="21">
        <f t="shared" si="5"/>
        <v>0.24342212166939201</v>
      </c>
      <c r="DJ10" s="21">
        <f t="shared" si="5"/>
        <v>0.18881040894549631</v>
      </c>
      <c r="DK10" s="21">
        <f t="shared" si="5"/>
        <v>8.9139844165813373E-2</v>
      </c>
      <c r="DL10" s="21">
        <f t="shared" si="5"/>
        <v>-0.31070789680062177</v>
      </c>
      <c r="DM10" s="21">
        <f t="shared" si="5"/>
        <v>-0.48915583017430442</v>
      </c>
      <c r="DN10" s="21">
        <f t="shared" si="5"/>
        <v>-0.61713752149518741</v>
      </c>
      <c r="DO10" s="21">
        <f t="shared" si="5"/>
        <v>-0.64241868762619436</v>
      </c>
      <c r="DP10" s="21">
        <f t="shared" si="5"/>
        <v>-0.51612725116185121</v>
      </c>
      <c r="DQ10" s="21">
        <f t="shared" si="5"/>
        <v>-0.53531007584853307</v>
      </c>
      <c r="DR10" s="21">
        <f t="shared" si="5"/>
        <v>0.31958732161063053</v>
      </c>
      <c r="DS10" s="21">
        <f t="shared" si="5"/>
        <v>0.27007262221994582</v>
      </c>
      <c r="DT10" s="21">
        <f t="shared" si="5"/>
        <v>0.24555914580250721</v>
      </c>
      <c r="DU10" s="21">
        <f t="shared" si="5"/>
        <v>0.18374521718344591</v>
      </c>
      <c r="DV10" s="21">
        <f t="shared" si="5"/>
        <v>-0.37515330256173463</v>
      </c>
      <c r="DW10" s="21">
        <f t="shared" si="5"/>
        <v>-0.29741986054930047</v>
      </c>
      <c r="DX10" s="21">
        <f t="shared" si="5"/>
        <v>-0.2504373293811597</v>
      </c>
      <c r="DY10" s="21">
        <f t="shared" si="5"/>
        <v>-0.1513928108760241</v>
      </c>
      <c r="DZ10" s="21">
        <f t="shared" si="5"/>
        <v>-0.1158377971666855</v>
      </c>
      <c r="EA10" s="21">
        <f t="shared" si="5"/>
        <v>6.9887093780084175E-2</v>
      </c>
      <c r="EB10" s="21">
        <f t="shared" si="5"/>
        <v>0.1641432425225606</v>
      </c>
      <c r="EC10" s="21">
        <f t="shared" si="5"/>
        <v>0.1562815300942598</v>
      </c>
      <c r="ED10" s="21">
        <f t="shared" si="5"/>
        <v>0.36668826933924509</v>
      </c>
      <c r="EE10" s="21">
        <f t="shared" si="5"/>
        <v>0.47250079911659248</v>
      </c>
      <c r="EF10" s="21">
        <f t="shared" si="5"/>
        <v>0.72972326297934098</v>
      </c>
    </row>
    <row r="12" spans="1:137" ht="16">
      <c r="A12" s="63" t="s">
        <v>136</v>
      </c>
      <c r="B12" s="64"/>
      <c r="C12" s="10" t="s">
        <v>137</v>
      </c>
      <c r="D12" s="10">
        <v>964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37" ht="18">
      <c r="A13" s="7" t="s">
        <v>138</v>
      </c>
      <c r="B13" s="8" t="s">
        <v>139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9</v>
      </c>
      <c r="J13" s="14" t="s">
        <v>10</v>
      </c>
      <c r="K13" s="14" t="s">
        <v>11</v>
      </c>
      <c r="L13" s="14" t="s">
        <v>12</v>
      </c>
      <c r="M13" s="14" t="s">
        <v>13</v>
      </c>
      <c r="N13" s="14" t="s">
        <v>14</v>
      </c>
      <c r="O13" s="14" t="s">
        <v>15</v>
      </c>
      <c r="P13" s="14" t="s">
        <v>16</v>
      </c>
      <c r="Q13" s="14" t="s">
        <v>17</v>
      </c>
      <c r="R13" s="14" t="s">
        <v>18</v>
      </c>
      <c r="S13" s="14" t="s">
        <v>19</v>
      </c>
      <c r="T13" s="14" t="s">
        <v>20</v>
      </c>
      <c r="U13" s="14" t="s">
        <v>21</v>
      </c>
      <c r="V13" s="14" t="s">
        <v>22</v>
      </c>
      <c r="W13" s="14" t="s">
        <v>23</v>
      </c>
      <c r="X13" s="14" t="s">
        <v>24</v>
      </c>
      <c r="Y13" s="14" t="s">
        <v>25</v>
      </c>
      <c r="Z13" s="14" t="s">
        <v>26</v>
      </c>
      <c r="AA13" s="14" t="s">
        <v>27</v>
      </c>
      <c r="AB13" s="14" t="s">
        <v>28</v>
      </c>
      <c r="AC13" s="14" t="s">
        <v>29</v>
      </c>
      <c r="AD13" s="14" t="s">
        <v>30</v>
      </c>
      <c r="AE13" s="14" t="s">
        <v>31</v>
      </c>
      <c r="AF13" s="14" t="s">
        <v>32</v>
      </c>
      <c r="AG13" s="14" t="s">
        <v>33</v>
      </c>
      <c r="AH13" s="14" t="s">
        <v>34</v>
      </c>
      <c r="AI13" s="14" t="s">
        <v>35</v>
      </c>
      <c r="AJ13" s="14" t="s">
        <v>36</v>
      </c>
      <c r="AK13" s="14" t="s">
        <v>37</v>
      </c>
      <c r="AL13" s="14" t="s">
        <v>38</v>
      </c>
      <c r="AM13" s="14" t="s">
        <v>39</v>
      </c>
      <c r="AN13" s="14" t="s">
        <v>40</v>
      </c>
      <c r="AO13" s="14" t="s">
        <v>41</v>
      </c>
      <c r="AP13" s="14" t="s">
        <v>42</v>
      </c>
      <c r="AQ13" s="14" t="s">
        <v>43</v>
      </c>
      <c r="AR13" s="14" t="s">
        <v>44</v>
      </c>
      <c r="AS13" s="14" t="s">
        <v>45</v>
      </c>
      <c r="AT13" s="14" t="s">
        <v>46</v>
      </c>
      <c r="AU13" s="14" t="s">
        <v>47</v>
      </c>
      <c r="AV13" s="14" t="s">
        <v>48</v>
      </c>
      <c r="AW13" s="14" t="s">
        <v>49</v>
      </c>
      <c r="AX13" s="14" t="s">
        <v>50</v>
      </c>
      <c r="AY13" s="14" t="s">
        <v>51</v>
      </c>
      <c r="AZ13" s="14" t="s">
        <v>52</v>
      </c>
      <c r="BA13" s="14" t="s">
        <v>53</v>
      </c>
      <c r="BB13" s="14" t="s">
        <v>54</v>
      </c>
      <c r="BC13" s="14" t="s">
        <v>55</v>
      </c>
      <c r="BD13" s="14" t="s">
        <v>56</v>
      </c>
      <c r="BE13" s="14" t="s">
        <v>57</v>
      </c>
      <c r="BF13" s="14" t="s">
        <v>58</v>
      </c>
      <c r="BG13" s="14" t="s">
        <v>59</v>
      </c>
      <c r="BH13" s="14" t="s">
        <v>60</v>
      </c>
      <c r="BI13" s="14" t="s">
        <v>61</v>
      </c>
      <c r="BJ13" s="14" t="s">
        <v>62</v>
      </c>
      <c r="BK13" s="14" t="s">
        <v>63</v>
      </c>
      <c r="BL13" s="14" t="s">
        <v>64</v>
      </c>
      <c r="BM13" s="14" t="s">
        <v>65</v>
      </c>
      <c r="BN13" s="14" t="s">
        <v>66</v>
      </c>
      <c r="BO13" s="14" t="s">
        <v>67</v>
      </c>
      <c r="BP13" s="14" t="s">
        <v>68</v>
      </c>
      <c r="BQ13" s="14" t="s">
        <v>69</v>
      </c>
      <c r="BR13" s="14" t="s">
        <v>70</v>
      </c>
      <c r="BS13" s="14" t="s">
        <v>71</v>
      </c>
      <c r="BT13" s="14" t="s">
        <v>72</v>
      </c>
      <c r="BU13" s="14" t="s">
        <v>73</v>
      </c>
      <c r="BV13" s="14" t="s">
        <v>74</v>
      </c>
      <c r="BW13" s="14" t="s">
        <v>75</v>
      </c>
      <c r="BX13" s="14" t="s">
        <v>76</v>
      </c>
      <c r="BY13" s="14" t="s">
        <v>77</v>
      </c>
      <c r="BZ13" s="14" t="s">
        <v>78</v>
      </c>
      <c r="CA13" s="14" t="s">
        <v>79</v>
      </c>
      <c r="CB13" s="14" t="s">
        <v>80</v>
      </c>
      <c r="CC13" s="14" t="s">
        <v>81</v>
      </c>
      <c r="CD13" s="14" t="s">
        <v>82</v>
      </c>
      <c r="CE13" s="14" t="s">
        <v>83</v>
      </c>
      <c r="CF13" s="14" t="s">
        <v>84</v>
      </c>
      <c r="CG13" s="14" t="s">
        <v>85</v>
      </c>
      <c r="CH13" s="14" t="s">
        <v>86</v>
      </c>
      <c r="CI13" s="14" t="s">
        <v>87</v>
      </c>
      <c r="CJ13" s="14" t="s">
        <v>88</v>
      </c>
      <c r="CK13" s="14" t="s">
        <v>89</v>
      </c>
      <c r="CL13" s="14" t="s">
        <v>90</v>
      </c>
      <c r="CM13" s="14" t="s">
        <v>91</v>
      </c>
      <c r="CN13" s="14" t="s">
        <v>92</v>
      </c>
      <c r="CO13" s="14" t="s">
        <v>93</v>
      </c>
      <c r="CP13" s="14" t="s">
        <v>94</v>
      </c>
      <c r="CQ13" s="14" t="s">
        <v>95</v>
      </c>
      <c r="CR13" s="14" t="s">
        <v>96</v>
      </c>
      <c r="CS13" s="14" t="s">
        <v>97</v>
      </c>
      <c r="CT13" s="14" t="s">
        <v>98</v>
      </c>
      <c r="CU13" s="14" t="s">
        <v>99</v>
      </c>
      <c r="CV13" s="14" t="s">
        <v>100</v>
      </c>
      <c r="CW13" s="14" t="s">
        <v>101</v>
      </c>
      <c r="CX13" s="14" t="s">
        <v>102</v>
      </c>
      <c r="CY13" s="14" t="s">
        <v>103</v>
      </c>
      <c r="CZ13" s="14" t="s">
        <v>104</v>
      </c>
      <c r="DA13" s="14" t="s">
        <v>105</v>
      </c>
      <c r="DB13" s="14" t="s">
        <v>106</v>
      </c>
      <c r="DC13" s="14" t="s">
        <v>107</v>
      </c>
      <c r="DD13" s="14" t="s">
        <v>108</v>
      </c>
      <c r="DE13" s="14" t="s">
        <v>109</v>
      </c>
      <c r="DF13" s="14" t="s">
        <v>110</v>
      </c>
      <c r="DG13" s="14" t="s">
        <v>111</v>
      </c>
      <c r="DH13" s="14" t="s">
        <v>112</v>
      </c>
      <c r="DI13" s="14" t="s">
        <v>113</v>
      </c>
      <c r="DJ13" s="14" t="s">
        <v>114</v>
      </c>
      <c r="DK13" s="14" t="s">
        <v>115</v>
      </c>
      <c r="DL13" s="14" t="s">
        <v>116</v>
      </c>
      <c r="DM13" s="14" t="s">
        <v>117</v>
      </c>
      <c r="DN13" s="14" t="s">
        <v>118</v>
      </c>
      <c r="DO13" s="14" t="s">
        <v>119</v>
      </c>
      <c r="DP13" s="14" t="s">
        <v>120</v>
      </c>
      <c r="DQ13" s="14" t="s">
        <v>121</v>
      </c>
      <c r="DR13" s="14" t="s">
        <v>122</v>
      </c>
      <c r="DS13" s="14" t="s">
        <v>123</v>
      </c>
      <c r="DT13" s="14" t="s">
        <v>124</v>
      </c>
      <c r="DU13" s="14" t="s">
        <v>125</v>
      </c>
      <c r="DV13" s="14" t="s">
        <v>126</v>
      </c>
      <c r="DW13" s="14" t="s">
        <v>127</v>
      </c>
      <c r="DX13" s="14" t="s">
        <v>128</v>
      </c>
      <c r="DY13" s="14" t="s">
        <v>129</v>
      </c>
      <c r="DZ13" s="14" t="s">
        <v>130</v>
      </c>
      <c r="EA13" s="14" t="s">
        <v>131</v>
      </c>
      <c r="EB13" s="14" t="s">
        <v>132</v>
      </c>
      <c r="EC13" s="14" t="s">
        <v>133</v>
      </c>
      <c r="ED13" s="14" t="s">
        <v>134</v>
      </c>
      <c r="EE13" s="14" t="s">
        <v>140</v>
      </c>
      <c r="EF13" s="14" t="s">
        <v>144</v>
      </c>
    </row>
    <row r="14" spans="1:137" ht="16">
      <c r="A14" s="6">
        <v>10</v>
      </c>
      <c r="B14" s="6">
        <v>96</v>
      </c>
      <c r="C14" s="9">
        <v>1.4499246984096079E-2</v>
      </c>
      <c r="D14" s="9">
        <v>-1.467855149787599E-2</v>
      </c>
      <c r="E14" s="9">
        <v>-1.393724540866443E-3</v>
      </c>
      <c r="F14" s="9">
        <v>-7.6284164055630266E-3</v>
      </c>
      <c r="G14" s="9">
        <v>-5.5955578828314886E-3</v>
      </c>
      <c r="H14" s="9">
        <v>9.5992583565995878E-3</v>
      </c>
      <c r="I14" s="9">
        <v>-8.6581522633445047E-3</v>
      </c>
      <c r="J14" s="9">
        <v>7.389793655928803E-3</v>
      </c>
      <c r="K14" s="9">
        <v>2.9187998133699201E-2</v>
      </c>
      <c r="L14" s="2">
        <v>8.7585559641661856E-3</v>
      </c>
      <c r="M14" s="2">
        <v>2.688917383320695E-2</v>
      </c>
      <c r="N14" s="2">
        <v>-6.4808653600972432E-2</v>
      </c>
      <c r="O14" s="1">
        <v>2.7914759067240381E-2</v>
      </c>
      <c r="P14" s="1">
        <v>1.6005016734210169E-3</v>
      </c>
      <c r="Q14" s="1">
        <v>2.175560938135012E-2</v>
      </c>
      <c r="R14" s="1">
        <v>-3.4229864372777627E-2</v>
      </c>
      <c r="S14" s="1">
        <v>1.163920040315862E-2</v>
      </c>
      <c r="T14" s="1">
        <v>-2.231357628245079E-2</v>
      </c>
      <c r="U14" s="1">
        <v>-1.6909794819388691E-2</v>
      </c>
      <c r="V14" s="1">
        <v>7.1207344521834331E-3</v>
      </c>
      <c r="W14" s="1">
        <v>-2.2328287507107709E-2</v>
      </c>
      <c r="X14" s="1">
        <v>-0.10636943785049791</v>
      </c>
      <c r="Y14" s="1">
        <v>3.6416289570129767E-2</v>
      </c>
      <c r="Z14" s="1">
        <v>5.3152086976860857E-2</v>
      </c>
      <c r="AA14" s="1">
        <v>-2.6918479420811641E-2</v>
      </c>
      <c r="AB14" s="1">
        <v>-1.073332960413878E-2</v>
      </c>
      <c r="AC14" s="1">
        <v>4.6772945626311221E-2</v>
      </c>
      <c r="AD14" s="1">
        <v>2.5304298312235252E-3</v>
      </c>
      <c r="AE14" s="1">
        <v>-3.7855000842755247E-2</v>
      </c>
      <c r="AF14" s="1">
        <v>5.2012102776767682E-2</v>
      </c>
      <c r="AG14" s="1">
        <v>3.814930420809846E-3</v>
      </c>
      <c r="AH14" s="1">
        <v>1.5713033769280849E-2</v>
      </c>
      <c r="AI14" s="1">
        <v>7.5237894768026446E-3</v>
      </c>
      <c r="AJ14" s="1">
        <v>-9.1496765863918576E-3</v>
      </c>
      <c r="AK14" s="1">
        <v>-2.2643045332892079E-2</v>
      </c>
      <c r="AL14" s="1">
        <v>4.780048995207728E-2</v>
      </c>
      <c r="AM14" s="1">
        <v>-2.8540927517940219E-2</v>
      </c>
      <c r="AN14" s="1">
        <v>-2.6645628802444581E-2</v>
      </c>
      <c r="AO14" s="1">
        <v>-1.499547084312733E-2</v>
      </c>
      <c r="AP14" s="1">
        <v>-6.3803694968983769E-3</v>
      </c>
      <c r="AQ14" s="1">
        <v>1.6969305775294389E-3</v>
      </c>
      <c r="AR14" s="1">
        <v>-2.2223025987592172E-2</v>
      </c>
      <c r="AS14" s="1">
        <v>-1.9976272910371209E-2</v>
      </c>
      <c r="AT14" s="1">
        <v>-7.2195382352435111E-2</v>
      </c>
      <c r="AU14" s="1">
        <v>-3.713536440044597E-3</v>
      </c>
      <c r="AV14" s="1">
        <v>2.297122293717091E-3</v>
      </c>
      <c r="AW14" s="1">
        <v>-1.36377761828339E-2</v>
      </c>
      <c r="AX14" s="1">
        <v>-5.8446616829614557E-3</v>
      </c>
      <c r="AY14" s="1">
        <v>4.8156517207972087E-2</v>
      </c>
      <c r="AZ14" s="1">
        <v>-2.6495419691680629E-2</v>
      </c>
      <c r="BA14" s="1">
        <v>5.5924597476021097E-3</v>
      </c>
      <c r="BB14" s="1">
        <v>1.214348051679935E-2</v>
      </c>
      <c r="BC14" s="1">
        <v>2.6690966292337529E-2</v>
      </c>
      <c r="BD14" s="1">
        <v>-2.0333813472579319E-2</v>
      </c>
      <c r="BE14" s="1">
        <v>2.9972825892566161E-2</v>
      </c>
      <c r="BF14" s="1">
        <v>7.0904934370428871E-2</v>
      </c>
      <c r="BG14" s="1">
        <v>2.8739961775754559E-2</v>
      </c>
      <c r="BH14" s="1">
        <v>-3.2311812529403901E-3</v>
      </c>
      <c r="BI14" s="1">
        <v>4.8193838129789168E-2</v>
      </c>
      <c r="BJ14" s="1">
        <v>-2.4663126175119381E-2</v>
      </c>
      <c r="BK14" s="1">
        <v>8.2059498621307458E-3</v>
      </c>
      <c r="BL14" s="1">
        <v>-2.0533626057241541E-2</v>
      </c>
      <c r="BM14" s="1">
        <v>-2.063401850669919E-2</v>
      </c>
      <c r="BN14" s="1">
        <v>-1.4908356942459179E-2</v>
      </c>
      <c r="BO14" s="1">
        <v>-6.1541279385937467E-2</v>
      </c>
      <c r="BP14" s="1">
        <v>-3.2994976342917738E-2</v>
      </c>
      <c r="BQ14" s="1">
        <v>-1.011771750707282E-2</v>
      </c>
      <c r="BR14" s="1">
        <v>-5.6986674960917361E-2</v>
      </c>
      <c r="BS14" s="1">
        <v>1.5936659873020641E-3</v>
      </c>
      <c r="BT14" s="1">
        <v>-4.6247972697377043E-3</v>
      </c>
      <c r="BU14" s="1">
        <v>-2.3168960577083651E-2</v>
      </c>
      <c r="BV14" s="1">
        <v>3.7969141942813707E-2</v>
      </c>
      <c r="BW14" s="1">
        <v>4.3745729452053461E-2</v>
      </c>
      <c r="BX14" s="1">
        <v>-9.0180569287486093E-3</v>
      </c>
      <c r="BY14" s="1">
        <v>-1.7771556253644849E-2</v>
      </c>
      <c r="BZ14" s="1">
        <v>-1.165274668056307E-2</v>
      </c>
      <c r="CA14" s="1">
        <v>-1.849615570742404E-2</v>
      </c>
      <c r="CB14" s="1">
        <v>1.95102087230794E-2</v>
      </c>
      <c r="CC14" s="1">
        <v>-4.3661782652908793E-2</v>
      </c>
      <c r="CD14" s="1">
        <v>-4.4355263356684577E-2</v>
      </c>
      <c r="CE14" s="1">
        <v>9.3696372252921965E-3</v>
      </c>
      <c r="CF14" s="1">
        <v>1.165806526422826E-2</v>
      </c>
      <c r="CG14" s="1">
        <v>-4.6434550182106807E-3</v>
      </c>
      <c r="CH14" s="1">
        <v>1.180487623142378E-2</v>
      </c>
      <c r="CI14" s="1">
        <v>1.5237996485427949E-3</v>
      </c>
      <c r="CJ14" s="1">
        <v>-6.4059392195633946E-2</v>
      </c>
      <c r="CK14" s="1">
        <v>1.4501196928619949E-2</v>
      </c>
      <c r="CL14" s="1">
        <v>7.612102386984701E-2</v>
      </c>
      <c r="CM14" s="1">
        <v>2.6353950838169271E-2</v>
      </c>
      <c r="CN14" s="1">
        <v>0.13972789912649569</v>
      </c>
      <c r="CO14" s="1">
        <v>-5.6181821891254792E-2</v>
      </c>
      <c r="CP14" s="1">
        <v>4.2518660054214341E-3</v>
      </c>
      <c r="CQ14" s="1">
        <v>-6.7376584335243211E-2</v>
      </c>
      <c r="CR14" s="1">
        <v>-5.7159986521513537E-2</v>
      </c>
      <c r="CS14" s="1">
        <v>-2.4098816744790068E-2</v>
      </c>
      <c r="CT14" s="1">
        <v>-6.5684091527569044E-2</v>
      </c>
      <c r="CU14" s="1">
        <v>-7.4779529281356755E-2</v>
      </c>
      <c r="CV14" s="1">
        <v>3.5483194522230442E-2</v>
      </c>
      <c r="CW14" s="1">
        <v>1.303666937857764E-2</v>
      </c>
      <c r="CX14" s="1">
        <v>-3.0752638267462998E-2</v>
      </c>
      <c r="CY14" s="1">
        <v>1.6420596247805591E-2</v>
      </c>
      <c r="CZ14" s="1">
        <v>-1.232426205991659E-2</v>
      </c>
      <c r="DA14" s="1">
        <v>1.6824332825243801E-2</v>
      </c>
      <c r="DB14" s="1">
        <v>3.5585282643903413E-2</v>
      </c>
      <c r="DC14" s="1">
        <v>-4.5013637925414018E-3</v>
      </c>
      <c r="DD14" s="1">
        <v>5.1114670977526547E-3</v>
      </c>
      <c r="DE14" s="1">
        <v>-8.7968308988577021E-3</v>
      </c>
      <c r="DF14" s="1">
        <v>1.9394735884875759E-2</v>
      </c>
      <c r="DG14" s="1">
        <v>-1.431426848367518E-2</v>
      </c>
      <c r="DH14" s="1">
        <v>1.428761690405386E-3</v>
      </c>
      <c r="DI14" s="1">
        <v>-3.9089938704830567E-2</v>
      </c>
      <c r="DJ14" s="1">
        <v>4.1378042935671537E-2</v>
      </c>
      <c r="DK14" s="1">
        <v>-2.6213060067923691E-2</v>
      </c>
      <c r="DL14" s="1">
        <v>-1.597940676728276E-2</v>
      </c>
      <c r="DM14" s="1">
        <v>-2.794183674606094E-2</v>
      </c>
      <c r="DN14" s="1">
        <v>1.2574616176988891E-2</v>
      </c>
      <c r="DO14" s="1">
        <v>9.5209619009014868E-3</v>
      </c>
      <c r="DP14" s="1">
        <v>1.106437414258276E-2</v>
      </c>
      <c r="DQ14" s="1">
        <v>1.140395657160184E-2</v>
      </c>
      <c r="DR14" s="1">
        <v>-1.085204642770435E-2</v>
      </c>
      <c r="DS14" s="1">
        <v>4.6024279005124763E-2</v>
      </c>
      <c r="DT14" s="1">
        <v>2.481384156258673E-2</v>
      </c>
      <c r="DU14" s="1">
        <v>4.5787141974467017E-2</v>
      </c>
      <c r="DV14" s="1">
        <v>-9.7841607085983641E-3</v>
      </c>
      <c r="DW14" s="1">
        <v>4.442170679450054E-3</v>
      </c>
      <c r="DX14" s="1">
        <v>-8.5283820249978954E-3</v>
      </c>
      <c r="DY14" s="1">
        <v>1.535213037610899E-2</v>
      </c>
      <c r="DZ14" s="1">
        <v>7.0565352357012529E-3</v>
      </c>
      <c r="EA14" s="1">
        <v>-0.113127041749137</v>
      </c>
      <c r="EB14" s="1">
        <v>3.1887415032860217E-2</v>
      </c>
      <c r="EC14" s="1">
        <v>1.488391812951918E-2</v>
      </c>
      <c r="ED14" s="1">
        <v>2.3444575242941159E-2</v>
      </c>
      <c r="EE14" s="1">
        <v>-2.821628026780338E-2</v>
      </c>
      <c r="EF14" s="1">
        <v>-3.1810858274230483E-2</v>
      </c>
    </row>
    <row r="15" spans="1:137" ht="16">
      <c r="A15" s="6">
        <v>20</v>
      </c>
      <c r="B15" s="6">
        <v>48</v>
      </c>
      <c r="C15" s="9">
        <v>-7.4773642018864817E-3</v>
      </c>
      <c r="D15" s="9">
        <v>5.4568599887918484E-3</v>
      </c>
      <c r="E15" s="9">
        <v>-5.5236267032863426E-3</v>
      </c>
      <c r="F15" s="9">
        <v>-1.03933441668788E-2</v>
      </c>
      <c r="G15" s="9">
        <v>1.8994019774590191E-2</v>
      </c>
      <c r="H15" s="9">
        <v>1.7388387027499001E-2</v>
      </c>
      <c r="I15" s="9">
        <v>3.2285991683865867E-2</v>
      </c>
      <c r="J15" s="9">
        <v>2.300040865257166E-2</v>
      </c>
      <c r="K15" s="9">
        <v>6.0326139227570137E-2</v>
      </c>
      <c r="L15" s="2">
        <v>2.198047037872277E-2</v>
      </c>
      <c r="M15" s="2">
        <v>3.279758226004716E-3</v>
      </c>
      <c r="N15" s="2">
        <v>-7.5519168454302954E-2</v>
      </c>
      <c r="O15" s="1">
        <v>1.7422698810949929E-2</v>
      </c>
      <c r="P15" s="1">
        <v>-5.9731166919697034E-3</v>
      </c>
      <c r="Q15" s="1">
        <v>2.4058964774520498E-2</v>
      </c>
      <c r="R15" s="1">
        <v>-4.7242509721014403E-2</v>
      </c>
      <c r="S15" s="1">
        <v>2.6179031889656749E-2</v>
      </c>
      <c r="T15" s="1">
        <v>-2.6298132758153441E-2</v>
      </c>
      <c r="U15" s="1">
        <v>-2.2778289813471519E-3</v>
      </c>
      <c r="V15" s="1">
        <v>-1.1085659637122989E-2</v>
      </c>
      <c r="W15" s="1">
        <v>-3.4590636479715289E-2</v>
      </c>
      <c r="X15" s="1">
        <v>-0.15038577771880221</v>
      </c>
      <c r="Y15" s="1">
        <v>2.162316520733203E-2</v>
      </c>
      <c r="Z15" s="1">
        <v>8.125140212123555E-2</v>
      </c>
      <c r="AA15" s="1">
        <v>-4.7712648450258202E-2</v>
      </c>
      <c r="AB15" s="1">
        <v>-1.50015733289785E-2</v>
      </c>
      <c r="AC15" s="1">
        <v>6.6771700381929838E-2</v>
      </c>
      <c r="AD15" s="1">
        <v>2.0440228373792418E-2</v>
      </c>
      <c r="AE15" s="1">
        <v>-4.0845746888511281E-2</v>
      </c>
      <c r="AF15" s="1">
        <v>7.3281160828311195E-2</v>
      </c>
      <c r="AG15" s="1">
        <v>-9.9052077270740911E-3</v>
      </c>
      <c r="AH15" s="1">
        <v>2.4955206549866861E-2</v>
      </c>
      <c r="AI15" s="1">
        <v>-3.035242108746475E-3</v>
      </c>
      <c r="AJ15" s="1">
        <v>-1.0699039624373909E-3</v>
      </c>
      <c r="AK15" s="1">
        <v>-2.3618699571947319E-2</v>
      </c>
      <c r="AL15" s="1">
        <v>4.9258884794550067E-2</v>
      </c>
      <c r="AM15" s="1">
        <v>-4.1837427989975327E-2</v>
      </c>
      <c r="AN15" s="1">
        <v>-2.9977660519922341E-2</v>
      </c>
      <c r="AO15" s="1">
        <v>1.708846688635377E-3</v>
      </c>
      <c r="AP15" s="1">
        <v>2.1107071267262652E-3</v>
      </c>
      <c r="AQ15" s="1">
        <v>2.3400741595164731E-3</v>
      </c>
      <c r="AR15" s="1">
        <v>-2.0848043794723822E-2</v>
      </c>
      <c r="AS15" s="1">
        <v>-2.340496354159733E-2</v>
      </c>
      <c r="AT15" s="1">
        <v>-8.6422914727599456E-2</v>
      </c>
      <c r="AU15" s="1">
        <v>1.569541842647252E-2</v>
      </c>
      <c r="AV15" s="1">
        <v>-4.9079394477885008E-3</v>
      </c>
      <c r="AW15" s="1">
        <v>-1.1292435731320929E-2</v>
      </c>
      <c r="AX15" s="1">
        <v>2.0015025308446879E-4</v>
      </c>
      <c r="AY15" s="1">
        <v>6.8287142652547719E-2</v>
      </c>
      <c r="AZ15" s="1">
        <v>-1.685700729404345E-2</v>
      </c>
      <c r="BA15" s="1">
        <v>1.7704769733902261E-2</v>
      </c>
      <c r="BB15" s="1">
        <v>2.1019544819399771E-3</v>
      </c>
      <c r="BC15" s="1">
        <v>1.9110867274842121E-2</v>
      </c>
      <c r="BD15" s="1">
        <v>1.552987424470754E-2</v>
      </c>
      <c r="BE15" s="1">
        <v>4.896391123153207E-2</v>
      </c>
      <c r="BF15" s="1">
        <v>7.1981555380687207E-2</v>
      </c>
      <c r="BG15" s="1">
        <v>5.7825843984624377E-2</v>
      </c>
      <c r="BH15" s="1">
        <v>1.063073706659007E-3</v>
      </c>
      <c r="BI15" s="1">
        <v>3.7499401391764962E-2</v>
      </c>
      <c r="BJ15" s="1">
        <v>-2.4266087613108878E-2</v>
      </c>
      <c r="BK15" s="1">
        <v>-1.583453274687716E-3</v>
      </c>
      <c r="BL15" s="1">
        <v>-1.6413795604717601E-2</v>
      </c>
      <c r="BM15" s="1">
        <v>-2.4812053730599009E-2</v>
      </c>
      <c r="BN15" s="1">
        <v>-2.1773575163349389E-2</v>
      </c>
      <c r="BO15" s="1">
        <v>-8.2577836296605422E-2</v>
      </c>
      <c r="BP15" s="1">
        <v>-5.7598025288633573E-2</v>
      </c>
      <c r="BQ15" s="1">
        <v>-1.6153311726295781E-2</v>
      </c>
      <c r="BR15" s="1">
        <v>-8.1428201651234683E-2</v>
      </c>
      <c r="BS15" s="1">
        <v>2.734092686109912E-3</v>
      </c>
      <c r="BT15" s="1">
        <v>2.265118109946947E-2</v>
      </c>
      <c r="BU15" s="1">
        <v>-2.5178690791022709E-2</v>
      </c>
      <c r="BV15" s="1">
        <v>6.9814479287640147E-2</v>
      </c>
      <c r="BW15" s="1">
        <v>8.027141957100338E-2</v>
      </c>
      <c r="BX15" s="1">
        <v>-1.523950964890692E-2</v>
      </c>
      <c r="BY15" s="1">
        <v>7.846560147997228E-3</v>
      </c>
      <c r="BZ15" s="1">
        <v>-6.2915716379284087E-2</v>
      </c>
      <c r="CA15" s="1">
        <v>-4.2622978262858359E-2</v>
      </c>
      <c r="CB15" s="1">
        <v>2.2749760291355729E-2</v>
      </c>
      <c r="CC15" s="1">
        <v>-2.5665769124313489E-3</v>
      </c>
      <c r="CD15" s="1">
        <v>-2.1204143880606541E-2</v>
      </c>
      <c r="CE15" s="1">
        <v>2.2670431202129169E-2</v>
      </c>
      <c r="CF15" s="1">
        <v>1.0965174140406349E-2</v>
      </c>
      <c r="CG15" s="1">
        <v>-2.2196703624105939E-2</v>
      </c>
      <c r="CH15" s="1">
        <v>2.9497084976061631E-2</v>
      </c>
      <c r="CI15" s="1">
        <v>6.6072390812367274E-3</v>
      </c>
      <c r="CJ15" s="1">
        <v>-8.0962159562338792E-2</v>
      </c>
      <c r="CK15" s="1">
        <v>1.0734913160314909E-2</v>
      </c>
      <c r="CL15" s="1">
        <v>7.0690452619681876E-2</v>
      </c>
      <c r="CM15" s="1">
        <v>1.401073477287859E-2</v>
      </c>
      <c r="CN15" s="1">
        <v>0.14134676754253669</v>
      </c>
      <c r="CO15" s="1">
        <v>-6.0648235510008419E-2</v>
      </c>
      <c r="CP15" s="1">
        <v>2.7089074477325378E-2</v>
      </c>
      <c r="CQ15" s="1">
        <v>-7.3319275809578907E-2</v>
      </c>
      <c r="CR15" s="1">
        <v>-0.11164488638047471</v>
      </c>
      <c r="CS15" s="1">
        <v>-1.841937762292116E-2</v>
      </c>
      <c r="CT15" s="1">
        <v>-9.4868405295442326E-2</v>
      </c>
      <c r="CU15" s="1">
        <v>-0.1070909617136374</v>
      </c>
      <c r="CV15" s="1">
        <v>5.457688963215418E-2</v>
      </c>
      <c r="CW15" s="1">
        <v>3.6309119756433333E-2</v>
      </c>
      <c r="CX15" s="1">
        <v>-3.0582841479689839E-2</v>
      </c>
      <c r="CY15" s="1">
        <v>4.1201751884096742E-2</v>
      </c>
      <c r="CZ15" s="1">
        <v>-4.8982161600652913E-3</v>
      </c>
      <c r="DA15" s="1">
        <v>1.69366264750716E-2</v>
      </c>
      <c r="DB15" s="1">
        <v>6.1356185237271411E-2</v>
      </c>
      <c r="DC15" s="1">
        <v>-1.414986682729436E-2</v>
      </c>
      <c r="DD15" s="1">
        <v>-5.9036844771361008E-4</v>
      </c>
      <c r="DE15" s="1">
        <v>-1.217608142121133E-2</v>
      </c>
      <c r="DF15" s="1">
        <v>1.9893650148552371E-2</v>
      </c>
      <c r="DG15" s="1">
        <v>-1.169606910435785E-2</v>
      </c>
      <c r="DH15" s="1">
        <v>-3.4498128587795822E-2</v>
      </c>
      <c r="DI15" s="1">
        <v>-4.4175588336147598E-2</v>
      </c>
      <c r="DJ15" s="1">
        <v>7.0211236155579976E-3</v>
      </c>
      <c r="DK15" s="1">
        <v>-3.9577188490352438E-3</v>
      </c>
      <c r="DL15" s="1">
        <v>-2.364136436570885E-2</v>
      </c>
      <c r="DM15" s="1">
        <v>-3.4463082837018398E-2</v>
      </c>
      <c r="DN15" s="1">
        <v>1.0715066690362981E-2</v>
      </c>
      <c r="DO15" s="1">
        <v>1.2299319450475341E-2</v>
      </c>
      <c r="DP15" s="1">
        <v>1.314461373671766E-2</v>
      </c>
      <c r="DQ15" s="1">
        <v>1.355348108824077E-2</v>
      </c>
      <c r="DR15" s="1">
        <v>-1.4466961470859749E-2</v>
      </c>
      <c r="DS15" s="1">
        <v>2.991519389132713E-2</v>
      </c>
      <c r="DT15" s="1">
        <v>2.984580916100325E-2</v>
      </c>
      <c r="DU15" s="1">
        <v>2.369885378120147E-2</v>
      </c>
      <c r="DV15" s="1">
        <v>-3.068747167732274E-2</v>
      </c>
      <c r="DW15" s="1">
        <v>1.7478142918529071E-2</v>
      </c>
      <c r="DX15" s="1">
        <v>1.573276538124866E-2</v>
      </c>
      <c r="DY15" s="1">
        <v>9.7591275661417197E-3</v>
      </c>
      <c r="DZ15" s="1">
        <v>-6.9097961117845176E-3</v>
      </c>
      <c r="EA15" s="1">
        <v>-0.1244689581490709</v>
      </c>
      <c r="EB15" s="1">
        <v>5.8059596313331067E-2</v>
      </c>
      <c r="EC15" s="1">
        <v>2.198485253152439E-2</v>
      </c>
      <c r="ED15" s="1">
        <v>5.3978019629255351E-2</v>
      </c>
      <c r="EE15" s="1">
        <v>-3.58674799008201E-2</v>
      </c>
      <c r="EF15" s="1">
        <v>-4.7879265492308178E-2</v>
      </c>
    </row>
    <row r="16" spans="1:137" ht="16">
      <c r="A16" s="6">
        <v>50</v>
      </c>
      <c r="B16" s="6">
        <v>19</v>
      </c>
      <c r="C16" s="9">
        <v>-3.3228977675766193E-2</v>
      </c>
      <c r="D16" s="9">
        <v>0.14164364875262569</v>
      </c>
      <c r="E16" s="9">
        <v>-4.7920746013269233E-2</v>
      </c>
      <c r="F16" s="9">
        <v>1.7957806566485459E-2</v>
      </c>
      <c r="G16" s="9">
        <v>1.8155702629178639E-2</v>
      </c>
      <c r="H16" s="9">
        <v>-1.150826086212358E-2</v>
      </c>
      <c r="I16" s="9">
        <v>3.010013528693542E-2</v>
      </c>
      <c r="J16" s="9">
        <v>4.5231574032403389E-2</v>
      </c>
      <c r="K16" s="9">
        <v>5.082746626084797E-2</v>
      </c>
      <c r="L16" s="2">
        <v>5.6271084976235543E-2</v>
      </c>
      <c r="M16" s="2">
        <v>-1.902171446498398E-2</v>
      </c>
      <c r="N16" s="2">
        <v>-0.1240515691928627</v>
      </c>
      <c r="O16" s="1">
        <v>1.494407938548527E-3</v>
      </c>
      <c r="P16" s="1">
        <v>1.196951957924923E-2</v>
      </c>
      <c r="Q16" s="1">
        <v>4.950099234015462E-2</v>
      </c>
      <c r="R16" s="1">
        <v>1.145317290513128E-2</v>
      </c>
      <c r="S16" s="1">
        <v>4.1715657795007022E-2</v>
      </c>
      <c r="T16" s="1">
        <v>2.2210254844474142E-3</v>
      </c>
      <c r="U16" s="1">
        <v>-1.4789417403013341E-2</v>
      </c>
      <c r="V16" s="1">
        <v>-1.344096964190716E-2</v>
      </c>
      <c r="W16" s="1">
        <v>-2.1702238885079651E-2</v>
      </c>
      <c r="X16" s="1">
        <v>-0.21811053511687881</v>
      </c>
      <c r="Y16" s="1">
        <v>-3.1992262325710688E-2</v>
      </c>
      <c r="Z16" s="1">
        <v>0.1167040316714288</v>
      </c>
      <c r="AA16" s="1">
        <v>-9.9905879497324768E-2</v>
      </c>
      <c r="AB16" s="1">
        <v>-2.7335978605554138E-2</v>
      </c>
      <c r="AC16" s="1">
        <v>-3.0865623387892789E-3</v>
      </c>
      <c r="AD16" s="1">
        <v>6.9874591735142128E-2</v>
      </c>
      <c r="AE16" s="1">
        <v>-5.682503133925064E-3</v>
      </c>
      <c r="AF16" s="1">
        <v>9.6080095456633638E-2</v>
      </c>
      <c r="AG16" s="1">
        <v>-2.532929501095306E-2</v>
      </c>
      <c r="AH16" s="1">
        <v>8.0952184423801643E-2</v>
      </c>
      <c r="AI16" s="1">
        <v>6.3253265690709756E-2</v>
      </c>
      <c r="AJ16" s="1">
        <v>-1.6189757376705981E-2</v>
      </c>
      <c r="AK16" s="1">
        <v>-8.6778642070208158E-3</v>
      </c>
      <c r="AL16" s="1">
        <v>5.1230182968129492E-2</v>
      </c>
      <c r="AM16" s="1">
        <v>-2.8014228646212651E-2</v>
      </c>
      <c r="AN16" s="1">
        <v>-1.9132523225286639E-2</v>
      </c>
      <c r="AO16" s="1">
        <v>3.8044352542061337E-2</v>
      </c>
      <c r="AP16" s="1">
        <v>-8.3517816301222174E-3</v>
      </c>
      <c r="AQ16" s="1">
        <v>-2.9733380497277639E-2</v>
      </c>
      <c r="AR16" s="1">
        <v>-7.5826916674388654E-3</v>
      </c>
      <c r="AS16" s="1">
        <v>6.6693383896894304E-3</v>
      </c>
      <c r="AT16" s="1">
        <v>-7.9403479710638034E-2</v>
      </c>
      <c r="AU16" s="1">
        <v>5.7421613114133872E-2</v>
      </c>
      <c r="AV16" s="1">
        <v>-1.2313350232945511E-2</v>
      </c>
      <c r="AW16" s="1">
        <v>3.827640746076574E-3</v>
      </c>
      <c r="AX16" s="1">
        <v>-1.061514213437365E-2</v>
      </c>
      <c r="AY16" s="1">
        <v>0.1432485149460308</v>
      </c>
      <c r="AZ16" s="1">
        <v>-3.13019729234899E-2</v>
      </c>
      <c r="BA16" s="1">
        <v>6.4770817793613308E-2</v>
      </c>
      <c r="BB16" s="1">
        <v>3.2127794445561443E-2</v>
      </c>
      <c r="BC16" s="1">
        <v>-2.8505683499306132E-2</v>
      </c>
      <c r="BD16" s="1">
        <v>5.2229071952837852E-2</v>
      </c>
      <c r="BE16" s="1">
        <v>7.6027043355869031E-2</v>
      </c>
      <c r="BF16" s="1">
        <v>0.1101725310759458</v>
      </c>
      <c r="BG16" s="1">
        <v>0.1004747755448602</v>
      </c>
      <c r="BH16" s="1">
        <v>9.1153633890117436E-2</v>
      </c>
      <c r="BI16" s="1">
        <v>7.0811286001980556E-2</v>
      </c>
      <c r="BJ16" s="1">
        <v>-6.8604195602302701E-2</v>
      </c>
      <c r="BK16" s="1">
        <v>-5.9792701964583809E-3</v>
      </c>
      <c r="BL16" s="1">
        <v>-1.162705224588483E-2</v>
      </c>
      <c r="BM16" s="1">
        <v>-1.7130280440688161E-2</v>
      </c>
      <c r="BN16" s="1">
        <v>-4.7838156402567056E-3</v>
      </c>
      <c r="BO16" s="1">
        <v>-2.0140931042434401E-2</v>
      </c>
      <c r="BP16" s="1">
        <v>-7.0319344371876077E-2</v>
      </c>
      <c r="BQ16" s="1">
        <v>1.767178312192132E-2</v>
      </c>
      <c r="BR16" s="1">
        <v>-8.6828184595889091E-2</v>
      </c>
      <c r="BS16" s="1">
        <v>5.0663050228660972E-3</v>
      </c>
      <c r="BT16" s="1">
        <v>2.6437794517138909E-2</v>
      </c>
      <c r="BU16" s="1">
        <v>-7.6735090768895786E-2</v>
      </c>
      <c r="BV16" s="1">
        <v>0.10176926059884341</v>
      </c>
      <c r="BW16" s="1">
        <v>1.5980247662539509E-2</v>
      </c>
      <c r="BX16" s="1">
        <v>-9.2177724655424231E-2</v>
      </c>
      <c r="BY16" s="1">
        <v>4.2570991737188091E-2</v>
      </c>
      <c r="BZ16" s="1">
        <v>-0.1681265577694962</v>
      </c>
      <c r="CA16" s="1">
        <v>-5.1170226510906032E-2</v>
      </c>
      <c r="CB16" s="1">
        <v>0.1163670576032399</v>
      </c>
      <c r="CC16" s="1">
        <v>-3.5993752605821903E-2</v>
      </c>
      <c r="CD16" s="1">
        <v>3.292638735278363E-2</v>
      </c>
      <c r="CE16" s="1">
        <v>4.3060425677338837E-2</v>
      </c>
      <c r="CF16" s="1">
        <v>2.073529831987958E-2</v>
      </c>
      <c r="CG16" s="1">
        <v>-4.0400431445910191E-2</v>
      </c>
      <c r="CH16" s="1">
        <v>2.1026353382294009E-3</v>
      </c>
      <c r="CI16" s="1">
        <v>-4.7976499166614818E-2</v>
      </c>
      <c r="CJ16" s="1">
        <v>-0.12531710259410231</v>
      </c>
      <c r="CK16" s="1">
        <v>7.4599978572734149E-2</v>
      </c>
      <c r="CL16" s="1">
        <v>9.1851718531239343E-2</v>
      </c>
      <c r="CM16" s="1">
        <v>-5.0971068777472964E-3</v>
      </c>
      <c r="CN16" s="1">
        <v>0.20849654423305669</v>
      </c>
      <c r="CO16" s="1">
        <v>-0.1186599854193373</v>
      </c>
      <c r="CP16" s="1">
        <v>2.5792774688275649E-2</v>
      </c>
      <c r="CQ16" s="1">
        <v>-9.2452779160133169E-2</v>
      </c>
      <c r="CR16" s="1">
        <v>-0.207719712590648</v>
      </c>
      <c r="CS16" s="1">
        <v>1.044310335184577E-2</v>
      </c>
      <c r="CT16" s="1">
        <v>-9.9677083852552695E-2</v>
      </c>
      <c r="CU16" s="1">
        <v>-0.1015449999567145</v>
      </c>
      <c r="CV16" s="1">
        <v>5.8675077055290813E-2</v>
      </c>
      <c r="CW16" s="1">
        <v>4.476388444326003E-2</v>
      </c>
      <c r="CX16" s="1">
        <v>-9.0639227349923676E-2</v>
      </c>
      <c r="CY16" s="1">
        <v>9.6361130127283895E-2</v>
      </c>
      <c r="CZ16" s="1">
        <v>-1.030139965842336E-2</v>
      </c>
      <c r="DA16" s="1">
        <v>-5.6351880605135567E-2</v>
      </c>
      <c r="DB16" s="1">
        <v>9.0239013556801195E-2</v>
      </c>
      <c r="DC16" s="1">
        <v>-4.2998541980200061E-2</v>
      </c>
      <c r="DD16" s="1">
        <v>-5.650459402872017E-3</v>
      </c>
      <c r="DE16" s="1">
        <v>1.4117832690351689E-2</v>
      </c>
      <c r="DF16" s="1">
        <v>2.2607973579946879E-2</v>
      </c>
      <c r="DG16" s="1">
        <v>-2.696175413665863E-2</v>
      </c>
      <c r="DH16" s="1">
        <v>1.26623637895646E-3</v>
      </c>
      <c r="DI16" s="1">
        <v>-0.12514038264418861</v>
      </c>
      <c r="DJ16" s="1">
        <v>8.794029387320771E-3</v>
      </c>
      <c r="DK16" s="1">
        <v>6.8591515890339655E-2</v>
      </c>
      <c r="DL16" s="1">
        <v>-6.3558097727640664E-2</v>
      </c>
      <c r="DM16" s="1">
        <v>-2.084304329386847E-2</v>
      </c>
      <c r="DN16" s="1">
        <v>1.6686040213792011E-3</v>
      </c>
      <c r="DO16" s="1">
        <v>1.2384092480829821E-3</v>
      </c>
      <c r="DP16" s="1">
        <v>-1.7980561215043381E-2</v>
      </c>
      <c r="DQ16" s="1">
        <v>3.238474528423578E-2</v>
      </c>
      <c r="DR16" s="1">
        <v>-5.4840962455492406E-3</v>
      </c>
      <c r="DS16" s="1">
        <v>8.9437754388967172E-2</v>
      </c>
      <c r="DT16" s="1">
        <v>7.7542903390828534E-3</v>
      </c>
      <c r="DU16" s="1">
        <v>0.11891758656757311</v>
      </c>
      <c r="DV16" s="1">
        <v>-4.9656627088564283E-2</v>
      </c>
      <c r="DW16" s="1">
        <v>5.4188708332781402E-2</v>
      </c>
      <c r="DX16" s="1">
        <v>3.2842421816717628E-2</v>
      </c>
      <c r="DY16" s="1">
        <v>3.6869823393200898E-2</v>
      </c>
      <c r="DZ16" s="1">
        <v>-2.2551537789961149E-2</v>
      </c>
      <c r="EA16" s="1">
        <v>-6.2912684572741615E-2</v>
      </c>
      <c r="EB16" s="1">
        <v>8.8158781681692097E-2</v>
      </c>
      <c r="EC16" s="1">
        <v>4.3260017529307651E-2</v>
      </c>
      <c r="ED16" s="1">
        <v>7.8399264145063471E-2</v>
      </c>
      <c r="EE16" s="1">
        <v>-4.2505739301358238E-2</v>
      </c>
      <c r="EF16" s="1">
        <v>-8.4951384476466579E-2</v>
      </c>
    </row>
    <row r="17" spans="1:136" ht="16">
      <c r="A17" s="6">
        <v>100</v>
      </c>
      <c r="B17" s="6">
        <v>10</v>
      </c>
      <c r="C17" s="9">
        <v>-3.6350225217569643E-2</v>
      </c>
      <c r="D17" s="9">
        <v>0.27303487269562599</v>
      </c>
      <c r="E17" s="9">
        <v>-9.5344605470970442E-2</v>
      </c>
      <c r="F17" s="9">
        <v>1.334416215949184E-2</v>
      </c>
      <c r="G17" s="9">
        <v>-5.0918187212751001E-5</v>
      </c>
      <c r="H17" s="9">
        <v>-1.2437260581050979E-3</v>
      </c>
      <c r="I17" s="9">
        <v>7.929309065310064E-2</v>
      </c>
      <c r="J17" s="9">
        <v>6.2121209749972053E-2</v>
      </c>
      <c r="K17" s="9">
        <v>9.4514797591930863E-2</v>
      </c>
      <c r="L17" s="2">
        <v>8.1171060568646272E-2</v>
      </c>
      <c r="M17" s="2">
        <v>-2.1330164362876949E-3</v>
      </c>
      <c r="N17" s="2">
        <v>-0.13481826461602039</v>
      </c>
      <c r="O17" s="1">
        <v>-1.227079575915271E-2</v>
      </c>
      <c r="P17" s="1">
        <v>4.5502268535783201E-3</v>
      </c>
      <c r="Q17" s="1">
        <v>5.2757303623434858E-2</v>
      </c>
      <c r="R17" s="1">
        <v>-3.371116763271817E-2</v>
      </c>
      <c r="S17" s="1">
        <v>8.8560885448235455E-2</v>
      </c>
      <c r="T17" s="1">
        <v>-6.5780206988192494E-3</v>
      </c>
      <c r="U17" s="1">
        <v>8.0881446152575032E-3</v>
      </c>
      <c r="V17" s="1">
        <v>-5.5125570568391458E-4</v>
      </c>
      <c r="W17" s="1">
        <v>-6.0794047136491502E-3</v>
      </c>
      <c r="X17" s="1">
        <v>-0.25186325128855802</v>
      </c>
      <c r="Y17" s="1">
        <v>-4.6039335274668337E-2</v>
      </c>
      <c r="Z17" s="1">
        <v>6.2704119328443955E-2</v>
      </c>
      <c r="AA17" s="1">
        <v>-0.16085038421306441</v>
      </c>
      <c r="AB17" s="1">
        <v>-2.2166400740933071E-2</v>
      </c>
      <c r="AC17" s="1">
        <v>4.3176688480551229E-3</v>
      </c>
      <c r="AD17" s="1">
        <v>8.171337488818238E-2</v>
      </c>
      <c r="AE17" s="1">
        <v>1.572749031861501E-2</v>
      </c>
      <c r="AF17" s="1">
        <v>0.13772628717765439</v>
      </c>
      <c r="AG17" s="1">
        <v>-4.4324544215075819E-2</v>
      </c>
      <c r="AH17" s="1">
        <v>0.13296736500972281</v>
      </c>
      <c r="AI17" s="1">
        <v>7.8876381721363187E-2</v>
      </c>
      <c r="AJ17" s="1">
        <v>2.2201118450781741E-2</v>
      </c>
      <c r="AK17" s="1">
        <v>6.0211988583962997E-2</v>
      </c>
      <c r="AL17" s="1">
        <v>3.2360173796661409E-2</v>
      </c>
      <c r="AM17" s="1">
        <v>2.1048665009479162E-2</v>
      </c>
      <c r="AN17" s="1">
        <v>-3.550046026520183E-2</v>
      </c>
      <c r="AO17" s="1">
        <v>5.1384520239967417E-2</v>
      </c>
      <c r="AP17" s="1">
        <v>-9.0555375037428221E-2</v>
      </c>
      <c r="AQ17" s="1">
        <v>-3.6453319420235192E-2</v>
      </c>
      <c r="AR17" s="1">
        <v>-1.773382575923934E-2</v>
      </c>
      <c r="AS17" s="1">
        <v>4.8733221354101797E-2</v>
      </c>
      <c r="AT17" s="1">
        <v>-7.098981260370496E-2</v>
      </c>
      <c r="AU17" s="1">
        <v>7.7174077249961781E-2</v>
      </c>
      <c r="AV17" s="1">
        <v>-9.4716061070451968E-2</v>
      </c>
      <c r="AW17" s="1">
        <v>-2.282804723125768E-2</v>
      </c>
      <c r="AX17" s="1">
        <v>-5.4416044915560013E-2</v>
      </c>
      <c r="AY17" s="1">
        <v>0.20000626980510719</v>
      </c>
      <c r="AZ17" s="1">
        <v>-5.6675795162776307E-3</v>
      </c>
      <c r="BA17" s="1">
        <v>0.1433528242328177</v>
      </c>
      <c r="BB17" s="1">
        <v>3.0366027580357509E-2</v>
      </c>
      <c r="BC17" s="1">
        <v>-3.0936691622350049E-2</v>
      </c>
      <c r="BD17" s="1">
        <v>5.9932732968507832E-2</v>
      </c>
      <c r="BE17" s="1">
        <v>7.4808226337840983E-2</v>
      </c>
      <c r="BF17" s="1">
        <v>0.1272523121191925</v>
      </c>
      <c r="BG17" s="1">
        <v>0.12916989067904619</v>
      </c>
      <c r="BH17" s="1">
        <v>5.10442654504209E-2</v>
      </c>
      <c r="BI17" s="1">
        <v>0.1059371936883633</v>
      </c>
      <c r="BJ17" s="1">
        <v>-0.13011025503616941</v>
      </c>
      <c r="BK17" s="1">
        <v>3.792372621079184E-2</v>
      </c>
      <c r="BL17" s="1">
        <v>-4.7008904414970049E-3</v>
      </c>
      <c r="BM17" s="1">
        <v>-1.1126533396229011E-2</v>
      </c>
      <c r="BN17" s="1">
        <v>-5.9531747694532178E-2</v>
      </c>
      <c r="BO17" s="1">
        <v>-2.8938090794333439E-2</v>
      </c>
      <c r="BP17" s="1">
        <v>-0.1382756322826329</v>
      </c>
      <c r="BQ17" s="1">
        <v>2.821416873297386E-2</v>
      </c>
      <c r="BR17" s="1">
        <v>-0.13180032776225159</v>
      </c>
      <c r="BS17" s="1">
        <v>5.5831707129415115E-4</v>
      </c>
      <c r="BT17" s="1">
        <v>9.5399787018968507E-2</v>
      </c>
      <c r="BU17" s="1">
        <v>-4.0466167265627073E-2</v>
      </c>
      <c r="BV17" s="1">
        <v>0.16459384726439391</v>
      </c>
      <c r="BW17" s="1">
        <v>-1.4167148792181851E-2</v>
      </c>
      <c r="BX17" s="1">
        <v>-5.6261887219897586E-3</v>
      </c>
      <c r="BY17" s="1">
        <v>2.4922433376834419E-3</v>
      </c>
      <c r="BZ17" s="1">
        <v>-0.14914636066314349</v>
      </c>
      <c r="CA17" s="1">
        <v>-0.1299334375041431</v>
      </c>
      <c r="CB17" s="1">
        <v>0.16188291180450601</v>
      </c>
      <c r="CC17" s="1">
        <v>-6.121717654996698E-2</v>
      </c>
      <c r="CD17" s="1">
        <v>-4.7114468128673648E-2</v>
      </c>
      <c r="CE17" s="1">
        <v>0.10253543837065331</v>
      </c>
      <c r="CF17" s="1">
        <v>4.5210670660176318E-2</v>
      </c>
      <c r="CG17" s="1">
        <v>-0.12524703262158129</v>
      </c>
      <c r="CH17" s="1">
        <v>1.183485479237587E-2</v>
      </c>
      <c r="CI17" s="1">
        <v>-3.110078078430965E-2</v>
      </c>
      <c r="CJ17" s="1">
        <v>-5.6967558937002713E-2</v>
      </c>
      <c r="CK17" s="1">
        <v>8.5724330800911852E-2</v>
      </c>
      <c r="CL17" s="1">
        <v>0.13737052112206491</v>
      </c>
      <c r="CM17" s="1">
        <v>-4.662653579259865E-2</v>
      </c>
      <c r="CN17" s="1">
        <v>0.27697219902042403</v>
      </c>
      <c r="CO17" s="1">
        <v>-0.19945622381826589</v>
      </c>
      <c r="CP17" s="1">
        <v>9.2551971619557721E-2</v>
      </c>
      <c r="CQ17" s="1">
        <v>-6.7089015743962532E-2</v>
      </c>
      <c r="CR17" s="1">
        <v>-0.1814889322357352</v>
      </c>
      <c r="CS17" s="1">
        <v>6.543591723518967E-2</v>
      </c>
      <c r="CT17" s="1">
        <v>-0.16873606627298221</v>
      </c>
      <c r="CU17" s="1">
        <v>-0.12404993141386809</v>
      </c>
      <c r="CV17" s="1">
        <v>8.464184309113934E-2</v>
      </c>
      <c r="CW17" s="1">
        <v>2.6072090903126711E-2</v>
      </c>
      <c r="CX17" s="1">
        <v>-0.15238777889156799</v>
      </c>
      <c r="CY17" s="1">
        <v>9.2947904335357948E-2</v>
      </c>
      <c r="CZ17" s="1">
        <v>-2.3763335140482119E-2</v>
      </c>
      <c r="DA17" s="1">
        <v>5.7882147308606448E-2</v>
      </c>
      <c r="DB17" s="1">
        <v>0.20966340207921569</v>
      </c>
      <c r="DC17" s="1">
        <v>-6.7692431945125919E-2</v>
      </c>
      <c r="DD17" s="1">
        <v>-1.369137129403235E-2</v>
      </c>
      <c r="DE17" s="1">
        <v>-1.601975703560132E-4</v>
      </c>
      <c r="DF17" s="1">
        <v>4.4700312619795859E-2</v>
      </c>
      <c r="DG17" s="1">
        <v>-3.745732971770268E-2</v>
      </c>
      <c r="DH17" s="1">
        <v>-3.2902476125433532E-2</v>
      </c>
      <c r="DI17" s="1">
        <v>-0.11060973831262549</v>
      </c>
      <c r="DJ17" s="1">
        <v>6.0023776691057303E-2</v>
      </c>
      <c r="DK17" s="1">
        <v>0.15651373608371771</v>
      </c>
      <c r="DL17" s="1">
        <v>-6.2537168438709295E-2</v>
      </c>
      <c r="DM17" s="1">
        <v>4.4523917305828546E-3</v>
      </c>
      <c r="DN17" s="1">
        <v>1.7128288265009371E-2</v>
      </c>
      <c r="DO17" s="1">
        <v>-1.477900372771585E-2</v>
      </c>
      <c r="DP17" s="1">
        <v>-4.5072435350233843E-2</v>
      </c>
      <c r="DQ17" s="1">
        <v>4.3002664724010348E-2</v>
      </c>
      <c r="DR17" s="1">
        <v>3.047264049508135E-2</v>
      </c>
      <c r="DS17" s="1">
        <v>9.5715424587646189E-3</v>
      </c>
      <c r="DT17" s="1">
        <v>5.2718789989069627E-2</v>
      </c>
      <c r="DU17" s="1">
        <v>0.18864064490238791</v>
      </c>
      <c r="DV17" s="1">
        <v>-9.6902150508570872E-2</v>
      </c>
      <c r="DW17" s="1">
        <v>9.6290500838946448E-3</v>
      </c>
      <c r="DX17" s="1">
        <v>5.0285287654266292E-2</v>
      </c>
      <c r="DY17" s="1">
        <v>1.039275863743022E-2</v>
      </c>
      <c r="DZ17" s="1">
        <v>-2.7874507264138579E-2</v>
      </c>
      <c r="EA17" s="1">
        <v>-4.3451220280325283E-2</v>
      </c>
      <c r="EB17" s="1">
        <v>7.5294390068854106E-2</v>
      </c>
      <c r="EC17" s="1">
        <v>7.6157076796619858E-2</v>
      </c>
      <c r="ED17" s="1">
        <v>0.1106600344882203</v>
      </c>
      <c r="EE17" s="1">
        <v>-4.9344179940159598E-2</v>
      </c>
      <c r="EF17" s="1">
        <v>-0.15968343912296651</v>
      </c>
    </row>
    <row r="18" spans="1:136" ht="16">
      <c r="A18" s="6">
        <v>107</v>
      </c>
      <c r="B18" s="6">
        <v>9</v>
      </c>
      <c r="C18" s="9">
        <v>-3.9435389831589437E-2</v>
      </c>
      <c r="D18" s="9">
        <v>0.23433797695998909</v>
      </c>
      <c r="E18" s="9">
        <v>-8.6704171428553314E-2</v>
      </c>
      <c r="F18" s="9">
        <v>2.4642133327602761E-2</v>
      </c>
      <c r="G18" s="9">
        <v>-1.817877089844338E-3</v>
      </c>
      <c r="H18" s="9">
        <v>-6.4934945682304252E-4</v>
      </c>
      <c r="I18" s="9">
        <v>0.10921796333624501</v>
      </c>
      <c r="J18" s="9">
        <v>7.3104639142384409E-2</v>
      </c>
      <c r="K18" s="9">
        <v>8.642089158239058E-2</v>
      </c>
      <c r="L18" s="2">
        <v>8.5161604114211434E-2</v>
      </c>
      <c r="M18" s="2">
        <v>-1.398743586191707E-2</v>
      </c>
      <c r="N18" s="2">
        <v>-0.1646478374281036</v>
      </c>
      <c r="O18" s="1">
        <v>-2.8587076878979191E-2</v>
      </c>
      <c r="P18" s="1">
        <v>2.23884739740344E-3</v>
      </c>
      <c r="Q18" s="1">
        <v>5.2802703604648851E-2</v>
      </c>
      <c r="R18" s="1">
        <v>-3.4488337062433989E-2</v>
      </c>
      <c r="S18" s="1">
        <v>9.6643246440584057E-2</v>
      </c>
      <c r="T18" s="1">
        <v>-3.0934915875890041E-2</v>
      </c>
      <c r="U18" s="1">
        <v>5.2915685038079377E-2</v>
      </c>
      <c r="V18" s="1">
        <v>-3.6407149067371268E-2</v>
      </c>
      <c r="W18" s="1">
        <v>2.6788890022637471E-2</v>
      </c>
      <c r="X18" s="1">
        <v>-0.27113095815733512</v>
      </c>
      <c r="Y18" s="1">
        <v>-4.7902108896718941E-2</v>
      </c>
      <c r="Z18" s="1">
        <v>4.3010058183760941E-2</v>
      </c>
      <c r="AA18" s="1">
        <v>-0.16615889129731709</v>
      </c>
      <c r="AB18" s="1">
        <v>-3.2295414434067762E-2</v>
      </c>
      <c r="AC18" s="1">
        <v>-1.27654480354167E-2</v>
      </c>
      <c r="AD18" s="1">
        <v>5.3136055547856782E-2</v>
      </c>
      <c r="AE18" s="1">
        <v>4.8227124041216547E-2</v>
      </c>
      <c r="AF18" s="1">
        <v>0.14791561026442651</v>
      </c>
      <c r="AG18" s="1">
        <v>-4.377615973577241E-2</v>
      </c>
      <c r="AH18" s="1">
        <v>0.1484016251671525</v>
      </c>
      <c r="AI18" s="1">
        <v>0.1002027062388208</v>
      </c>
      <c r="AJ18" s="1">
        <v>3.5776243723856467E-2</v>
      </c>
      <c r="AK18" s="1">
        <v>5.3699966504327963E-2</v>
      </c>
      <c r="AL18" s="1">
        <v>5.4397026306529711E-3</v>
      </c>
      <c r="AM18" s="1">
        <v>2.8978861064543681E-2</v>
      </c>
      <c r="AN18" s="1">
        <v>-2.2032517942514099E-2</v>
      </c>
      <c r="AO18" s="1">
        <v>4.1090153361741238E-2</v>
      </c>
      <c r="AP18" s="1">
        <v>-9.4724682567194685E-2</v>
      </c>
      <c r="AQ18" s="1">
        <v>-5.4497752943883322E-2</v>
      </c>
      <c r="AR18" s="1">
        <v>-3.4371979060270917E-2</v>
      </c>
      <c r="AS18" s="1">
        <v>5.2642718238233757E-2</v>
      </c>
      <c r="AT18" s="1">
        <v>-0.1225640433502848</v>
      </c>
      <c r="AU18" s="1">
        <v>8.2090271843001911E-2</v>
      </c>
      <c r="AV18" s="1">
        <v>-9.5921542145909811E-2</v>
      </c>
      <c r="AW18" s="1">
        <v>-1.394761652563674E-2</v>
      </c>
      <c r="AX18" s="1">
        <v>-5.0559496187120502E-2</v>
      </c>
      <c r="AY18" s="1">
        <v>0.22593248855830589</v>
      </c>
      <c r="AZ18" s="1">
        <v>-3.9824120288815996E-3</v>
      </c>
      <c r="BA18" s="1">
        <v>0.15260111735316551</v>
      </c>
      <c r="BB18" s="1">
        <v>7.3011428527231012E-2</v>
      </c>
      <c r="BC18" s="1">
        <v>-3.8999391922231702E-2</v>
      </c>
      <c r="BD18" s="1">
        <v>3.5639773912938301E-2</v>
      </c>
      <c r="BE18" s="1">
        <v>7.5589960921854174E-2</v>
      </c>
      <c r="BF18" s="1">
        <v>0.1586923508972026</v>
      </c>
      <c r="BG18" s="1">
        <v>0.1207788909262187</v>
      </c>
      <c r="BH18" s="1">
        <v>4.3805073555939961E-2</v>
      </c>
      <c r="BI18" s="1">
        <v>0.13815009366654851</v>
      </c>
      <c r="BJ18" s="1">
        <v>-9.6566803525538036E-2</v>
      </c>
      <c r="BK18" s="1">
        <v>2.069126238755966E-2</v>
      </c>
      <c r="BL18" s="1">
        <v>-7.3027176928686099E-4</v>
      </c>
      <c r="BM18" s="1">
        <v>1.4382606788316331E-3</v>
      </c>
      <c r="BN18" s="1">
        <v>-5.7828559337442201E-2</v>
      </c>
      <c r="BO18" s="1">
        <v>-2.9487266931902061E-2</v>
      </c>
      <c r="BP18" s="1">
        <v>-0.12596295439639271</v>
      </c>
      <c r="BQ18" s="1">
        <v>2.854154006694307E-2</v>
      </c>
      <c r="BR18" s="1">
        <v>-0.14752202810068329</v>
      </c>
      <c r="BS18" s="1">
        <v>1.437932668623318E-3</v>
      </c>
      <c r="BT18" s="1">
        <v>0.10248039771168679</v>
      </c>
      <c r="BU18" s="1">
        <v>-4.2432186843451583E-2</v>
      </c>
      <c r="BV18" s="1">
        <v>0.17428475975596619</v>
      </c>
      <c r="BW18" s="1">
        <v>-3.5276083630540661E-2</v>
      </c>
      <c r="BX18" s="1">
        <v>-1.6073282255603651E-2</v>
      </c>
      <c r="BY18" s="1">
        <v>1.9693375019631702E-2</v>
      </c>
      <c r="BZ18" s="1">
        <v>-0.140025720860977</v>
      </c>
      <c r="CA18" s="1">
        <v>-0.1381477435993077</v>
      </c>
      <c r="CB18" s="1">
        <v>0.16089687103333561</v>
      </c>
      <c r="CC18" s="1">
        <v>-5.5432229378442187E-2</v>
      </c>
      <c r="CD18" s="1">
        <v>-6.0988525873729958E-2</v>
      </c>
      <c r="CE18" s="1">
        <v>0.12192791296133269</v>
      </c>
      <c r="CF18" s="1">
        <v>-1.19936404476988E-2</v>
      </c>
      <c r="CG18" s="1">
        <v>-9.1116257288383434E-2</v>
      </c>
      <c r="CH18" s="1">
        <v>1.6724789253562512E-2</v>
      </c>
      <c r="CI18" s="1">
        <v>-3.7593168058340218E-2</v>
      </c>
      <c r="CJ18" s="1">
        <v>-5.4788462478742223E-2</v>
      </c>
      <c r="CK18" s="1">
        <v>0.111745109877581</v>
      </c>
      <c r="CL18" s="1">
        <v>8.9066417021936697E-2</v>
      </c>
      <c r="CM18" s="1">
        <v>-6.9997267456522183E-3</v>
      </c>
      <c r="CN18" s="1">
        <v>0.32067947817766163</v>
      </c>
      <c r="CO18" s="1">
        <v>-0.2041018267437201</v>
      </c>
      <c r="CP18" s="1">
        <v>8.2195843492129522E-2</v>
      </c>
      <c r="CQ18" s="1">
        <v>-9.1639389935504953E-2</v>
      </c>
      <c r="CR18" s="1">
        <v>-0.1892865334673984</v>
      </c>
      <c r="CS18" s="1">
        <v>7.5198615063321844E-2</v>
      </c>
      <c r="CT18" s="1">
        <v>-0.1569789966764131</v>
      </c>
      <c r="CU18" s="1">
        <v>-0.1354717008642061</v>
      </c>
      <c r="CV18" s="1">
        <v>9.0097054832442486E-2</v>
      </c>
      <c r="CW18" s="1">
        <v>4.7341659174279828E-2</v>
      </c>
      <c r="CX18" s="1">
        <v>-0.16226597530261619</v>
      </c>
      <c r="CY18" s="1">
        <v>8.1280637874214245E-2</v>
      </c>
      <c r="CZ18" s="1">
        <v>-3.2724822242144208E-2</v>
      </c>
      <c r="DA18" s="1">
        <v>7.8106298474462613E-2</v>
      </c>
      <c r="DB18" s="1">
        <v>0.23166534590164389</v>
      </c>
      <c r="DC18" s="1">
        <v>-8.3264051622984697E-2</v>
      </c>
      <c r="DD18" s="1">
        <v>7.7053804555327074E-3</v>
      </c>
      <c r="DE18" s="1">
        <v>9.4053142045391613E-4</v>
      </c>
      <c r="DF18" s="1">
        <v>4.6156787307074433E-2</v>
      </c>
      <c r="DG18" s="1">
        <v>-3.6227531554071893E-2</v>
      </c>
      <c r="DH18" s="1">
        <v>-3.5919638851526117E-2</v>
      </c>
      <c r="DI18" s="1">
        <v>-0.12794228701505159</v>
      </c>
      <c r="DJ18" s="1">
        <v>7.0955052436885532E-2</v>
      </c>
      <c r="DK18" s="1">
        <v>0.15889821907095589</v>
      </c>
      <c r="DL18" s="1">
        <v>-7.6014086491775684E-2</v>
      </c>
      <c r="DM18" s="1">
        <v>-1.871909395160526E-3</v>
      </c>
      <c r="DN18" s="1">
        <v>1.15035404431609E-2</v>
      </c>
      <c r="DO18" s="1">
        <v>-6.2760955729495088E-3</v>
      </c>
      <c r="DP18" s="1">
        <v>-4.7675807481721712E-2</v>
      </c>
      <c r="DQ18" s="1">
        <v>4.4220142115861887E-2</v>
      </c>
      <c r="DR18" s="1">
        <v>6.8305381562055262E-2</v>
      </c>
      <c r="DS18" s="1">
        <v>-1.042302437651494E-2</v>
      </c>
      <c r="DT18" s="1">
        <v>5.9112975078185963E-2</v>
      </c>
      <c r="DU18" s="1">
        <v>0.1901082424459184</v>
      </c>
      <c r="DV18" s="1">
        <v>-5.8480746443613799E-2</v>
      </c>
      <c r="DW18" s="1">
        <v>4.0523459649493623E-2</v>
      </c>
      <c r="DX18" s="1">
        <v>5.1507216826844088E-2</v>
      </c>
      <c r="DY18" s="1">
        <v>1.1151604852243129E-2</v>
      </c>
      <c r="DZ18" s="1">
        <v>-4.9161819444935292E-2</v>
      </c>
      <c r="EA18" s="1">
        <v>-4.205152402439738E-4</v>
      </c>
      <c r="EB18" s="1">
        <v>8.8908953959292436E-2</v>
      </c>
      <c r="EC18" s="1">
        <v>6.8501480567839043E-2</v>
      </c>
      <c r="ED18" s="1">
        <v>0.11469922764091681</v>
      </c>
      <c r="EE18" s="1">
        <v>-5.9240996655185868E-2</v>
      </c>
      <c r="EF18" s="1">
        <v>-0.15799174927001061</v>
      </c>
    </row>
    <row r="19" spans="1:136" ht="16">
      <c r="A19" s="6">
        <v>120</v>
      </c>
      <c r="B19" s="6">
        <v>8</v>
      </c>
      <c r="C19" s="9">
        <v>-3.8913468982799758E-2</v>
      </c>
      <c r="D19" s="9">
        <v>0.16854736185977429</v>
      </c>
      <c r="E19" s="9">
        <v>-9.6671109192610821E-2</v>
      </c>
      <c r="F19" s="9">
        <v>2.753138397277868E-2</v>
      </c>
      <c r="G19" s="9">
        <v>-2.381442224739019E-2</v>
      </c>
      <c r="H19" s="9">
        <v>7.9428568480016844E-3</v>
      </c>
      <c r="I19" s="9">
        <v>0.11307752437344649</v>
      </c>
      <c r="J19" s="9">
        <v>4.82869479607657E-2</v>
      </c>
      <c r="K19" s="9">
        <v>0.1015600797223099</v>
      </c>
      <c r="L19" s="2">
        <v>4.2234791145342121E-2</v>
      </c>
      <c r="M19" s="2">
        <v>1.46591420902884E-2</v>
      </c>
      <c r="N19" s="2">
        <v>-0.22574703536472129</v>
      </c>
      <c r="O19" s="1">
        <v>-1.1306676064132231E-2</v>
      </c>
      <c r="P19" s="1">
        <v>6.945997563978807E-4</v>
      </c>
      <c r="Q19" s="1">
        <v>5.8333134880771208E-2</v>
      </c>
      <c r="R19" s="1">
        <v>-3.02037894591747E-2</v>
      </c>
      <c r="S19" s="1">
        <v>0.12484658448229741</v>
      </c>
      <c r="T19" s="1">
        <v>-3.7524880382418739E-2</v>
      </c>
      <c r="U19" s="1">
        <v>3.1355564383199419E-2</v>
      </c>
      <c r="V19" s="1">
        <v>-0.11295911981115</v>
      </c>
      <c r="W19" s="1">
        <v>5.8245238650390448E-2</v>
      </c>
      <c r="X19" s="1">
        <v>-0.27133594829567148</v>
      </c>
      <c r="Y19" s="1">
        <v>-9.5475864625055487E-2</v>
      </c>
      <c r="Z19" s="1">
        <v>4.832567357165625E-2</v>
      </c>
      <c r="AA19" s="1">
        <v>-0.19128343691540931</v>
      </c>
      <c r="AB19" s="1">
        <v>-4.4538303269439639E-2</v>
      </c>
      <c r="AC19" s="1">
        <v>-2.008625473802152E-2</v>
      </c>
      <c r="AD19" s="1">
        <v>4.9777375460754107E-2</v>
      </c>
      <c r="AE19" s="1">
        <v>7.7879020081683015E-2</v>
      </c>
      <c r="AF19" s="1">
        <v>0.1202863246558465</v>
      </c>
      <c r="AG19" s="1">
        <v>-6.2640141571138716E-2</v>
      </c>
      <c r="AH19" s="1">
        <v>0.14702488925580459</v>
      </c>
      <c r="AI19" s="1">
        <v>9.195659058058217E-2</v>
      </c>
      <c r="AJ19" s="1">
        <v>2.353689640383198E-2</v>
      </c>
      <c r="AK19" s="1">
        <v>3.8664330169826733E-2</v>
      </c>
      <c r="AL19" s="1">
        <v>2.701818216868861E-2</v>
      </c>
      <c r="AM19" s="1">
        <v>2.952114289090722E-2</v>
      </c>
      <c r="AN19" s="1">
        <v>6.4561353732883464E-3</v>
      </c>
      <c r="AO19" s="1">
        <v>7.6694527622622966E-2</v>
      </c>
      <c r="AP19" s="1">
        <v>-9.3417580080561433E-2</v>
      </c>
      <c r="AQ19" s="1">
        <v>-6.1277252118221957E-2</v>
      </c>
      <c r="AR19" s="1">
        <v>-4.5802625557302828E-2</v>
      </c>
      <c r="AS19" s="1">
        <v>5.8802956944234347E-2</v>
      </c>
      <c r="AT19" s="1">
        <v>-0.1270717931072517</v>
      </c>
      <c r="AU19" s="1">
        <v>0.11569960953410489</v>
      </c>
      <c r="AV19" s="1">
        <v>-0.1011585772801168</v>
      </c>
      <c r="AW19" s="1">
        <v>-8.7282505149655389E-3</v>
      </c>
      <c r="AX19" s="1">
        <v>-3.4695778473591787E-2</v>
      </c>
      <c r="AY19" s="1">
        <v>0.23807944308841519</v>
      </c>
      <c r="AZ19" s="1">
        <v>-7.2219643651604201E-3</v>
      </c>
      <c r="BA19" s="1">
        <v>0.1515430970862689</v>
      </c>
      <c r="BB19" s="1">
        <v>8.5202878711963401E-2</v>
      </c>
      <c r="BC19" s="1">
        <v>-2.729282438048997E-2</v>
      </c>
      <c r="BD19" s="1">
        <v>4.0997019006596983E-2</v>
      </c>
      <c r="BE19" s="1">
        <v>6.8529222314715255E-2</v>
      </c>
      <c r="BF19" s="1">
        <v>5.5060756886814111E-2</v>
      </c>
      <c r="BG19" s="1">
        <v>0.11262104663195339</v>
      </c>
      <c r="BH19" s="1">
        <v>2.9758527561469211E-2</v>
      </c>
      <c r="BI19" s="1">
        <v>0.13096212813903629</v>
      </c>
      <c r="BJ19" s="1">
        <v>-9.7868244368423979E-2</v>
      </c>
      <c r="BK19" s="1">
        <v>1.653744310547613E-2</v>
      </c>
      <c r="BL19" s="1">
        <v>-1.291773646832298E-2</v>
      </c>
      <c r="BM19" s="1">
        <v>8.5086093268850575E-3</v>
      </c>
      <c r="BN19" s="1">
        <v>-3.3552831210023309E-2</v>
      </c>
      <c r="BO19" s="1">
        <v>-3.219728570126746E-2</v>
      </c>
      <c r="BP19" s="1">
        <v>-0.14972725019603911</v>
      </c>
      <c r="BQ19" s="1">
        <v>5.3490465959581159E-2</v>
      </c>
      <c r="BR19" s="1">
        <v>-0.17828809709458751</v>
      </c>
      <c r="BS19" s="1">
        <v>3.3757817336046179E-2</v>
      </c>
      <c r="BT19" s="1">
        <v>9.3199875056749634E-2</v>
      </c>
      <c r="BU19" s="1">
        <v>-6.7306502246977568E-2</v>
      </c>
      <c r="BV19" s="1">
        <v>0.18846883730086739</v>
      </c>
      <c r="BW19" s="1">
        <v>-6.8357545375623524E-2</v>
      </c>
      <c r="BX19" s="1">
        <v>-1.8025829011831861E-3</v>
      </c>
      <c r="BY19" s="1">
        <v>-3.0092827840811739E-2</v>
      </c>
      <c r="BZ19" s="1">
        <v>-0.13820223783107649</v>
      </c>
      <c r="CA19" s="1">
        <v>-0.1222592719028146</v>
      </c>
      <c r="CB19" s="1">
        <v>0.18304529552951429</v>
      </c>
      <c r="CC19" s="1">
        <v>-3.7574481838654097E-2</v>
      </c>
      <c r="CD19" s="1">
        <v>-7.63851152794741E-2</v>
      </c>
      <c r="CE19" s="1">
        <v>0.1659036094737959</v>
      </c>
      <c r="CF19" s="1">
        <v>5.5948196573457707E-4</v>
      </c>
      <c r="CG19" s="1">
        <v>-8.9267427946258207E-2</v>
      </c>
      <c r="CH19" s="1">
        <v>2.0669135595014241E-2</v>
      </c>
      <c r="CI19" s="1">
        <v>-5.5096419955476317E-2</v>
      </c>
      <c r="CJ19" s="1">
        <v>-8.1164386899999691E-2</v>
      </c>
      <c r="CK19" s="1">
        <v>0.11686600270137849</v>
      </c>
      <c r="CL19" s="1">
        <v>9.3869894170291818E-2</v>
      </c>
      <c r="CM19" s="1">
        <v>1.6699728933534249E-3</v>
      </c>
      <c r="CN19" s="1">
        <v>0.32643740266759402</v>
      </c>
      <c r="CO19" s="1">
        <v>-0.18269784574884071</v>
      </c>
      <c r="CP19" s="1">
        <v>8.5732278581438254E-2</v>
      </c>
      <c r="CQ19" s="1">
        <v>-9.1887761713894067E-2</v>
      </c>
      <c r="CR19" s="1">
        <v>-0.19640263176228939</v>
      </c>
      <c r="CS19" s="1">
        <v>5.4006151435645931E-2</v>
      </c>
      <c r="CT19" s="1">
        <v>-0.1145065715734727</v>
      </c>
      <c r="CU19" s="1">
        <v>-0.15535189279975939</v>
      </c>
      <c r="CV19" s="1">
        <v>6.6457647905950434E-2</v>
      </c>
      <c r="CW19" s="1">
        <v>6.3393218804487964E-2</v>
      </c>
      <c r="CX19" s="1">
        <v>-0.1250098553997174</v>
      </c>
      <c r="CY19" s="1">
        <v>7.5608913409805661E-2</v>
      </c>
      <c r="CZ19" s="1">
        <v>-3.1592684380340658E-2</v>
      </c>
      <c r="DA19" s="1">
        <v>4.8109804762033657E-2</v>
      </c>
      <c r="DB19" s="1">
        <v>0.22431697129508241</v>
      </c>
      <c r="DC19" s="1">
        <v>-9.8849392549809512E-2</v>
      </c>
      <c r="DD19" s="1">
        <v>-6.9842221098422169E-3</v>
      </c>
      <c r="DE19" s="1">
        <v>7.7277578532947144E-4</v>
      </c>
      <c r="DF19" s="1">
        <v>4.0777928668930569E-2</v>
      </c>
      <c r="DG19" s="1">
        <v>-3.8939055937077492E-2</v>
      </c>
      <c r="DH19" s="1">
        <v>-2.874568186807791E-2</v>
      </c>
      <c r="DI19" s="1">
        <v>-0.1497968797398572</v>
      </c>
      <c r="DJ19" s="1">
        <v>0.12892505978600949</v>
      </c>
      <c r="DK19" s="1">
        <v>0.1716470516075044</v>
      </c>
      <c r="DL19" s="1">
        <v>-8.7764625127108323E-2</v>
      </c>
      <c r="DM19" s="1">
        <v>-2.5817581405548941E-3</v>
      </c>
      <c r="DN19" s="1">
        <v>1.08585024703224E-2</v>
      </c>
      <c r="DO19" s="1">
        <v>-1.8782093647144609E-3</v>
      </c>
      <c r="DP19" s="1">
        <v>-5.6639793619053663E-2</v>
      </c>
      <c r="DQ19" s="1">
        <v>3.6728692462907213E-2</v>
      </c>
      <c r="DR19" s="1">
        <v>4.5431263690616688E-2</v>
      </c>
      <c r="DS19" s="1">
        <v>-6.5055362314722356E-3</v>
      </c>
      <c r="DT19" s="1">
        <v>5.9811935234976257E-2</v>
      </c>
      <c r="DU19" s="1">
        <v>0.15955509947844379</v>
      </c>
      <c r="DV19" s="1">
        <v>-5.5500328017659403E-2</v>
      </c>
      <c r="DW19" s="1">
        <v>4.5629334774241463E-2</v>
      </c>
      <c r="DX19" s="1">
        <v>3.6950345915460467E-2</v>
      </c>
      <c r="DY19" s="1">
        <v>-2.0024210284233679E-2</v>
      </c>
      <c r="DZ19" s="1">
        <v>-4.7637765285313188E-2</v>
      </c>
      <c r="EA19" s="1">
        <v>4.6325242167246112E-3</v>
      </c>
      <c r="EB19" s="1">
        <v>8.6858713774628823E-2</v>
      </c>
      <c r="EC19" s="1">
        <v>0.1215120172680231</v>
      </c>
      <c r="ED19" s="1">
        <v>0.10329067393702911</v>
      </c>
      <c r="EE19" s="1">
        <v>-6.4278699968889033E-2</v>
      </c>
      <c r="EF19" s="1">
        <v>-0.13981484782620349</v>
      </c>
    </row>
    <row r="20" spans="1:136" ht="16">
      <c r="A20" s="6">
        <v>137</v>
      </c>
      <c r="B20" s="6">
        <v>7</v>
      </c>
      <c r="C20" s="9">
        <v>-5.9146797802220617E-2</v>
      </c>
      <c r="D20" s="9">
        <v>0.18401888940316621</v>
      </c>
      <c r="E20" s="9">
        <v>-0.10047562300309219</v>
      </c>
      <c r="F20" s="9">
        <v>2.1575273237626091E-2</v>
      </c>
      <c r="G20" s="9">
        <v>-9.0534051046413863E-3</v>
      </c>
      <c r="H20" s="9">
        <v>8.6222277544443261E-3</v>
      </c>
      <c r="I20" s="9">
        <v>0.1286265558355405</v>
      </c>
      <c r="J20" s="9">
        <v>9.1173231687568024E-2</v>
      </c>
      <c r="K20" s="9">
        <v>0.13564788877763229</v>
      </c>
      <c r="L20" s="2">
        <v>5.0758207106719029E-2</v>
      </c>
      <c r="M20" s="2">
        <v>2.9051464376457319E-2</v>
      </c>
      <c r="N20" s="2">
        <v>-0.2390374467298351</v>
      </c>
      <c r="O20" s="1">
        <v>3.1737941097498189E-2</v>
      </c>
      <c r="P20" s="1">
        <v>-1.5852985242018551E-3</v>
      </c>
      <c r="Q20" s="1">
        <v>5.9093354649148347E-2</v>
      </c>
      <c r="R20" s="1">
        <v>-3.5055205105650952E-2</v>
      </c>
      <c r="S20" s="1">
        <v>0.12739823248539331</v>
      </c>
      <c r="T20" s="1">
        <v>-4.7527598628529212E-2</v>
      </c>
      <c r="U20" s="1">
        <v>3.1634303267824328E-2</v>
      </c>
      <c r="V20" s="1">
        <v>-0.13883427346614699</v>
      </c>
      <c r="W20" s="1">
        <v>6.5962439873975515E-2</v>
      </c>
      <c r="X20" s="1">
        <v>-0.28203658893631423</v>
      </c>
      <c r="Y20" s="1">
        <v>-0.1165697234874906</v>
      </c>
      <c r="Z20" s="1">
        <v>5.1469725750839503E-2</v>
      </c>
      <c r="AA20" s="1">
        <v>-0.17257065753452869</v>
      </c>
      <c r="AB20" s="1">
        <v>-6.2644805262660919E-2</v>
      </c>
      <c r="AC20" s="1">
        <v>1.3654204768322529E-3</v>
      </c>
      <c r="AD20" s="1">
        <v>7.2443789088531399E-2</v>
      </c>
      <c r="AE20" s="1">
        <v>8.4086671401095422E-2</v>
      </c>
      <c r="AF20" s="1">
        <v>0.1505436398240734</v>
      </c>
      <c r="AG20" s="1">
        <v>-8.1719979892753619E-2</v>
      </c>
      <c r="AH20" s="1">
        <v>0.16306850482484961</v>
      </c>
      <c r="AI20" s="1">
        <v>5.2553497495183572E-2</v>
      </c>
      <c r="AJ20" s="1">
        <v>4.6670516841130043E-2</v>
      </c>
      <c r="AK20" s="1">
        <v>1.438061269682849E-2</v>
      </c>
      <c r="AL20" s="1">
        <v>3.2812811779609451E-2</v>
      </c>
      <c r="AM20" s="1">
        <v>3.980331590333433E-2</v>
      </c>
      <c r="AN20" s="1">
        <v>-2.7944177599378839E-3</v>
      </c>
      <c r="AO20" s="1">
        <v>-2.4584280444806969E-2</v>
      </c>
      <c r="AP20" s="1">
        <v>-9.5545792915504746E-2</v>
      </c>
      <c r="AQ20" s="1">
        <v>-6.4154973663518397E-2</v>
      </c>
      <c r="AR20" s="1">
        <v>-3.9002474062764268E-2</v>
      </c>
      <c r="AS20" s="1">
        <v>8.3253127889185943E-2</v>
      </c>
      <c r="AT20" s="1">
        <v>-0.16638580942405889</v>
      </c>
      <c r="AU20" s="1">
        <v>0.13889821464621971</v>
      </c>
      <c r="AV20" s="1">
        <v>-0.11622238304470441</v>
      </c>
      <c r="AW20" s="1">
        <v>-2.0326563586109049E-2</v>
      </c>
      <c r="AX20" s="1">
        <v>-3.3770889596891819E-2</v>
      </c>
      <c r="AY20" s="1">
        <v>0.25333878430622631</v>
      </c>
      <c r="AZ20" s="1">
        <v>-2.6067637517123859E-2</v>
      </c>
      <c r="BA20" s="1">
        <v>0.1287594702219558</v>
      </c>
      <c r="BB20" s="1">
        <v>9.8925815299518646E-2</v>
      </c>
      <c r="BC20" s="1">
        <v>2.7942050701969749E-2</v>
      </c>
      <c r="BD20" s="1">
        <v>1.140497770931452E-2</v>
      </c>
      <c r="BE20" s="1">
        <v>6.7547172633632399E-2</v>
      </c>
      <c r="BF20" s="1">
        <v>3.9489137561973087E-2</v>
      </c>
      <c r="BG20" s="1">
        <v>3.968538179457877E-2</v>
      </c>
      <c r="BH20" s="1">
        <v>7.7457082406089978E-2</v>
      </c>
      <c r="BI20" s="1">
        <v>0.12468720668655051</v>
      </c>
      <c r="BJ20" s="1">
        <v>-9.8533856685421792E-2</v>
      </c>
      <c r="BK20" s="1">
        <v>1.9536270741884201E-2</v>
      </c>
      <c r="BL20" s="1">
        <v>-1.947413292727216E-2</v>
      </c>
      <c r="BM20" s="1">
        <v>1.573621607511148E-2</v>
      </c>
      <c r="BN20" s="1">
        <v>-4.829849108082114E-2</v>
      </c>
      <c r="BO20" s="1">
        <v>-2.997158814435465E-2</v>
      </c>
      <c r="BP20" s="1">
        <v>-0.1648733667619405</v>
      </c>
      <c r="BQ20" s="1">
        <v>8.8664658057230769E-2</v>
      </c>
      <c r="BR20" s="1">
        <v>-0.1741873736507232</v>
      </c>
      <c r="BS20" s="1">
        <v>3.2879368454688619E-2</v>
      </c>
      <c r="BT20" s="1">
        <v>0.1128072126493659</v>
      </c>
      <c r="BU20" s="1">
        <v>-8.1337969431380511E-2</v>
      </c>
      <c r="BV20" s="1">
        <v>0.18988256705005441</v>
      </c>
      <c r="BW20" s="1">
        <v>-6.848966675346628E-2</v>
      </c>
      <c r="BX20" s="1">
        <v>-7.7412972909288742E-3</v>
      </c>
      <c r="BY20" s="1">
        <v>-2.8376457851913339E-2</v>
      </c>
      <c r="BZ20" s="1">
        <v>-2.7370166608127511E-2</v>
      </c>
      <c r="CA20" s="1">
        <v>-0.1400084515072488</v>
      </c>
      <c r="CB20" s="1">
        <v>0.1436551139405946</v>
      </c>
      <c r="CC20" s="1">
        <v>-3.6515325552399058E-2</v>
      </c>
      <c r="CD20" s="1">
        <v>-0.1215952231687642</v>
      </c>
      <c r="CE20" s="1">
        <v>0.18645851964949289</v>
      </c>
      <c r="CF20" s="1">
        <v>1.25635822602341E-2</v>
      </c>
      <c r="CG20" s="1">
        <v>-7.043785445834376E-2</v>
      </c>
      <c r="CH20" s="1">
        <v>1.112864667467162E-2</v>
      </c>
      <c r="CI20" s="1">
        <v>-4.2128275239934329E-2</v>
      </c>
      <c r="CJ20" s="1">
        <v>-7.4164048463141258E-2</v>
      </c>
      <c r="CK20" s="1">
        <v>5.0004767618032221E-2</v>
      </c>
      <c r="CL20" s="1">
        <v>0.12756844920487781</v>
      </c>
      <c r="CM20" s="1">
        <v>1.554875034200344E-2</v>
      </c>
      <c r="CN20" s="1">
        <v>0.2945550185633804</v>
      </c>
      <c r="CO20" s="1">
        <v>-0.21677740286378891</v>
      </c>
      <c r="CP20" s="1">
        <v>0.1013804593737898</v>
      </c>
      <c r="CQ20" s="1">
        <v>-9.1780217008749748E-2</v>
      </c>
      <c r="CR20" s="1">
        <v>-0.19372240765220919</v>
      </c>
      <c r="CS20" s="1">
        <v>2.3923938595208812E-2</v>
      </c>
      <c r="CT20" s="1">
        <v>-0.1008978510430367</v>
      </c>
      <c r="CU20" s="1">
        <v>-0.14456482117613489</v>
      </c>
      <c r="CV20" s="1">
        <v>4.9648573949631937E-2</v>
      </c>
      <c r="CW20" s="1">
        <v>6.6558574498316259E-2</v>
      </c>
      <c r="CX20" s="1">
        <v>-0.1530756896091533</v>
      </c>
      <c r="CY20" s="1">
        <v>9.3178383907907517E-2</v>
      </c>
      <c r="CZ20" s="1">
        <v>-9.1459213412702536E-2</v>
      </c>
      <c r="DA20" s="1">
        <v>7.689054633229396E-2</v>
      </c>
      <c r="DB20" s="1">
        <v>0.2223821125233825</v>
      </c>
      <c r="DC20" s="1">
        <v>-8.2819707211162524E-2</v>
      </c>
      <c r="DD20" s="1">
        <v>-1.269465829439094E-2</v>
      </c>
      <c r="DE20" s="1">
        <v>-5.960513935495737E-3</v>
      </c>
      <c r="DF20" s="1">
        <v>3.2824493705857057E-2</v>
      </c>
      <c r="DG20" s="1">
        <v>-3.3314283628676521E-2</v>
      </c>
      <c r="DH20" s="1">
        <v>-4.5324297182730761E-2</v>
      </c>
      <c r="DI20" s="1">
        <v>-0.11909331916922861</v>
      </c>
      <c r="DJ20" s="1">
        <v>0.14619607609941229</v>
      </c>
      <c r="DK20" s="1">
        <v>0.1745112998172958</v>
      </c>
      <c r="DL20" s="1">
        <v>-9.1548177346948575E-2</v>
      </c>
      <c r="DM20" s="1">
        <v>-4.0596524253966558E-3</v>
      </c>
      <c r="DN20" s="1">
        <v>1.8961984630680679E-2</v>
      </c>
      <c r="DO20" s="1">
        <v>9.3113999258040599E-5</v>
      </c>
      <c r="DP20" s="1">
        <v>-4.0347675196703521E-2</v>
      </c>
      <c r="DQ20" s="1">
        <v>4.688926497946596E-2</v>
      </c>
      <c r="DR20" s="1">
        <v>5.2461064031548613E-2</v>
      </c>
      <c r="DS20" s="1">
        <v>-2.5385651257138282E-2</v>
      </c>
      <c r="DT20" s="1">
        <v>2.2601034841107401E-2</v>
      </c>
      <c r="DU20" s="1">
        <v>0.16258878442425009</v>
      </c>
      <c r="DV20" s="1">
        <v>-5.264724435907471E-2</v>
      </c>
      <c r="DW20" s="1">
        <v>3.3724892456461722E-2</v>
      </c>
      <c r="DX20" s="1">
        <v>4.7265610796745898E-2</v>
      </c>
      <c r="DY20" s="1">
        <v>-4.2035875202249703E-2</v>
      </c>
      <c r="DZ20" s="1">
        <v>-7.0710334719582657E-2</v>
      </c>
      <c r="EA20" s="1">
        <v>4.7382972382447363E-3</v>
      </c>
      <c r="EB20" s="1">
        <v>0.1019784775173027</v>
      </c>
      <c r="EC20" s="1">
        <v>0.14304023059278551</v>
      </c>
      <c r="ED20" s="1">
        <v>8.2759101388566583E-2</v>
      </c>
      <c r="EE20" s="1">
        <v>-5.3015040315364213E-2</v>
      </c>
      <c r="EF20" s="1">
        <v>-0.15493610268974681</v>
      </c>
    </row>
    <row r="21" spans="1:136" ht="16">
      <c r="A21" s="6">
        <v>160</v>
      </c>
      <c r="B21" s="6">
        <v>6</v>
      </c>
      <c r="C21" s="9">
        <v>-7.386192988077088E-2</v>
      </c>
      <c r="D21" s="9">
        <v>0.21954286838228931</v>
      </c>
      <c r="E21" s="9">
        <v>-0.1405836765913312</v>
      </c>
      <c r="F21" s="9">
        <v>2.725338201983642E-2</v>
      </c>
      <c r="G21" s="9">
        <v>-1.387162553615558E-2</v>
      </c>
      <c r="H21" s="9">
        <v>-1.2068788462484921E-2</v>
      </c>
      <c r="I21" s="9">
        <v>0.13411217848757939</v>
      </c>
      <c r="J21" s="9">
        <v>0.11143724417215239</v>
      </c>
      <c r="K21" s="9">
        <v>0.23878941472391671</v>
      </c>
      <c r="L21" s="2">
        <v>2.032664964034506E-2</v>
      </c>
      <c r="M21" s="2">
        <v>-4.3690236156307287E-2</v>
      </c>
      <c r="N21" s="2">
        <v>-0.31670198877243932</v>
      </c>
      <c r="O21" s="1">
        <v>3.1561874488915911E-2</v>
      </c>
      <c r="P21" s="1">
        <v>4.3138922857752999E-3</v>
      </c>
      <c r="Q21" s="1">
        <v>6.8942247090673064E-2</v>
      </c>
      <c r="R21" s="1">
        <v>-5.1540139995526257E-2</v>
      </c>
      <c r="S21" s="1">
        <v>0.1365757993190162</v>
      </c>
      <c r="T21" s="1">
        <v>-4.3836093033725418E-2</v>
      </c>
      <c r="U21" s="1">
        <v>0.1047942220593843</v>
      </c>
      <c r="V21" s="1">
        <v>-0.16816101375529929</v>
      </c>
      <c r="W21" s="1">
        <v>3.1863713109821112E-2</v>
      </c>
      <c r="X21" s="1">
        <v>-0.27968945142967339</v>
      </c>
      <c r="Y21" s="1">
        <v>-9.115534145940124E-2</v>
      </c>
      <c r="Z21" s="1">
        <v>5.7888725378699338E-2</v>
      </c>
      <c r="AA21" s="1">
        <v>-0.131832899481091</v>
      </c>
      <c r="AB21" s="1">
        <v>-5.1718752810757287E-2</v>
      </c>
      <c r="AC21" s="1">
        <v>1.4141542708609799E-2</v>
      </c>
      <c r="AD21" s="1">
        <v>2.399745726106059E-2</v>
      </c>
      <c r="AE21" s="1">
        <v>9.7714155887256585E-2</v>
      </c>
      <c r="AF21" s="1">
        <v>0.1688305807080431</v>
      </c>
      <c r="AG21" s="1">
        <v>-4.1487103444311647E-2</v>
      </c>
      <c r="AH21" s="1">
        <v>0.20415628716520959</v>
      </c>
      <c r="AI21" s="1">
        <v>7.5071918184422409E-2</v>
      </c>
      <c r="AJ21" s="1">
        <v>2.7981424813256221E-2</v>
      </c>
      <c r="AK21" s="1">
        <v>1.760024604462887E-2</v>
      </c>
      <c r="AL21" s="1">
        <v>1.491460752979841E-2</v>
      </c>
      <c r="AM21" s="1">
        <v>4.437098544030698E-2</v>
      </c>
      <c r="AN21" s="1">
        <v>1.023954826971317E-2</v>
      </c>
      <c r="AO21" s="1">
        <v>-5.5890126129114689E-2</v>
      </c>
      <c r="AP21" s="1">
        <v>-0.1248282508070169</v>
      </c>
      <c r="AQ21" s="1">
        <v>-4.2375665159203019E-2</v>
      </c>
      <c r="AR21" s="1">
        <v>4.1144514895575801E-2</v>
      </c>
      <c r="AS21" s="1">
        <v>0.1091988760530663</v>
      </c>
      <c r="AT21" s="1">
        <v>-0.18459366381005801</v>
      </c>
      <c r="AU21" s="1">
        <v>0.1530146264742607</v>
      </c>
      <c r="AV21" s="1">
        <v>-0.15016235502789341</v>
      </c>
      <c r="AW21" s="1">
        <v>-6.5603456352671119E-2</v>
      </c>
      <c r="AX21" s="1">
        <v>-4.3882228313485538E-2</v>
      </c>
      <c r="AY21" s="1">
        <v>0.28470839191036551</v>
      </c>
      <c r="AZ21" s="1">
        <v>-2.398544579938915E-2</v>
      </c>
      <c r="BA21" s="1">
        <v>5.7635881691590007E-2</v>
      </c>
      <c r="BB21" s="1">
        <v>0.106655874813386</v>
      </c>
      <c r="BC21" s="1">
        <v>0.18457178940642721</v>
      </c>
      <c r="BD21" s="1">
        <v>1.666297169670863E-2</v>
      </c>
      <c r="BE21" s="1">
        <v>2.3058343393611309E-2</v>
      </c>
      <c r="BF21" s="1">
        <v>4.7638579302290401E-2</v>
      </c>
      <c r="BG21" s="1">
        <v>6.9151689409027037E-2</v>
      </c>
      <c r="BH21" s="1">
        <v>8.7994481588965112E-2</v>
      </c>
      <c r="BI21" s="1">
        <v>4.9004762268632512E-2</v>
      </c>
      <c r="BJ21" s="1">
        <v>-5.8912217172455733E-2</v>
      </c>
      <c r="BK21" s="1">
        <v>1.8708692452627629E-2</v>
      </c>
      <c r="BL21" s="1">
        <v>-2.909614108750699E-2</v>
      </c>
      <c r="BM21" s="1">
        <v>2.8667915331404541E-3</v>
      </c>
      <c r="BN21" s="1">
        <v>-8.3155327113763083E-2</v>
      </c>
      <c r="BO21" s="1">
        <v>-3.8154863469178228E-2</v>
      </c>
      <c r="BP21" s="1">
        <v>-0.15328773448595909</v>
      </c>
      <c r="BQ21" s="1">
        <v>0.10349589815773221</v>
      </c>
      <c r="BR21" s="1">
        <v>-0.19272348691259331</v>
      </c>
      <c r="BS21" s="1">
        <v>2.518453398284418E-2</v>
      </c>
      <c r="BT21" s="1">
        <v>0.1473495200331047</v>
      </c>
      <c r="BU21" s="1">
        <v>-5.051019739004161E-2</v>
      </c>
      <c r="BV21" s="1">
        <v>0.17061194404922689</v>
      </c>
      <c r="BW21" s="1">
        <v>-5.7164410538890979E-2</v>
      </c>
      <c r="BX21" s="1">
        <v>-1.531894850290828E-2</v>
      </c>
      <c r="BY21" s="1">
        <v>-2.833916562109071E-2</v>
      </c>
      <c r="BZ21" s="1">
        <v>4.2433815357207333E-2</v>
      </c>
      <c r="CA21" s="1">
        <v>-0.1183543537572212</v>
      </c>
      <c r="CB21" s="1">
        <v>0.18311773677773771</v>
      </c>
      <c r="CC21" s="1">
        <v>-5.6829694295325868E-2</v>
      </c>
      <c r="CD21" s="1">
        <v>-0.14873191328840721</v>
      </c>
      <c r="CE21" s="1">
        <v>0.25475115010855931</v>
      </c>
      <c r="CF21" s="1">
        <v>1.126340638261419E-2</v>
      </c>
      <c r="CG21" s="1">
        <v>-0.1135231014063498</v>
      </c>
      <c r="CH21" s="1">
        <v>-1.6324922866539669E-2</v>
      </c>
      <c r="CI21" s="1">
        <v>-5.4197537255778763E-2</v>
      </c>
      <c r="CJ21" s="1">
        <v>-0.1217761899427115</v>
      </c>
      <c r="CK21" s="1">
        <v>6.9580908737017638E-2</v>
      </c>
      <c r="CL21" s="1">
        <v>0.13637707879462199</v>
      </c>
      <c r="CM21" s="1">
        <v>7.558187099799421E-2</v>
      </c>
      <c r="CN21" s="1">
        <v>0.2278477720187094</v>
      </c>
      <c r="CO21" s="1">
        <v>-0.233706699240423</v>
      </c>
      <c r="CP21" s="1">
        <v>0.1130007901272474</v>
      </c>
      <c r="CQ21" s="1">
        <v>-8.5571876552919535E-2</v>
      </c>
      <c r="CR21" s="1">
        <v>-0.17630672424619201</v>
      </c>
      <c r="CS21" s="1">
        <v>2.1899638013277881E-2</v>
      </c>
      <c r="CT21" s="1">
        <v>-0.13687456606784951</v>
      </c>
      <c r="CU21" s="1">
        <v>-0.146607543260939</v>
      </c>
      <c r="CV21" s="1">
        <v>1.6310169514581481E-2</v>
      </c>
      <c r="CW21" s="1">
        <v>6.0515878573037342E-2</v>
      </c>
      <c r="CX21" s="1">
        <v>-0.1481502908045049</v>
      </c>
      <c r="CY21" s="1">
        <v>0.107892119457191</v>
      </c>
      <c r="CZ21" s="1">
        <v>-5.7499263088511957E-2</v>
      </c>
      <c r="DA21" s="1">
        <v>0.1196963982118486</v>
      </c>
      <c r="DB21" s="1">
        <v>0.28613845390130638</v>
      </c>
      <c r="DC21" s="1">
        <v>-6.5587584737896831E-2</v>
      </c>
      <c r="DD21" s="1">
        <v>-2.21992136125541E-2</v>
      </c>
      <c r="DE21" s="1">
        <v>-2.8601638492426019E-2</v>
      </c>
      <c r="DF21" s="1">
        <v>2.7823184029326101E-2</v>
      </c>
      <c r="DG21" s="1">
        <v>-4.067195255455882E-2</v>
      </c>
      <c r="DH21" s="1">
        <v>-5.946318721395695E-2</v>
      </c>
      <c r="DI21" s="1">
        <v>-0.135613895819264</v>
      </c>
      <c r="DJ21" s="1">
        <v>0.16525046895907189</v>
      </c>
      <c r="DK21" s="1">
        <v>0.1724732653794388</v>
      </c>
      <c r="DL21" s="1">
        <v>-5.4935239038759152E-2</v>
      </c>
      <c r="DM21" s="1">
        <v>-1.1867091905873799E-2</v>
      </c>
      <c r="DN21" s="1">
        <v>2.730407991413264E-2</v>
      </c>
      <c r="DO21" s="1">
        <v>-1.637975232159703E-3</v>
      </c>
      <c r="DP21" s="1">
        <v>-1.736995897751243E-2</v>
      </c>
      <c r="DQ21" s="1">
        <v>7.3200504723060389E-2</v>
      </c>
      <c r="DR21" s="1">
        <v>3.3181055245206169E-2</v>
      </c>
      <c r="DS21" s="1">
        <v>-4.4918963151879987E-2</v>
      </c>
      <c r="DT21" s="1">
        <v>5.0332465201051654E-3</v>
      </c>
      <c r="DU21" s="1">
        <v>0.1945194394629792</v>
      </c>
      <c r="DV21" s="1">
        <v>-6.7700156288299312E-2</v>
      </c>
      <c r="DW21" s="1">
        <v>6.8228373147474472E-2</v>
      </c>
      <c r="DX21" s="1">
        <v>6.2255643674313722E-2</v>
      </c>
      <c r="DY21" s="1">
        <v>-3.7938573179058667E-2</v>
      </c>
      <c r="DZ21" s="1">
        <v>-6.7585946439446737E-2</v>
      </c>
      <c r="EA21" s="1">
        <v>-3.2919727195015271E-2</v>
      </c>
      <c r="EB21" s="1">
        <v>0.12567599815114269</v>
      </c>
      <c r="EC21" s="1">
        <v>0.14377420282500911</v>
      </c>
      <c r="ED21" s="1">
        <v>8.0285258276375129E-2</v>
      </c>
      <c r="EE21" s="1">
        <v>-2.2815885843912861E-2</v>
      </c>
      <c r="EF21" s="1">
        <v>-0.16823693539735851</v>
      </c>
    </row>
    <row r="22" spans="1:136" ht="16">
      <c r="A22" s="6">
        <v>192</v>
      </c>
      <c r="B22" s="6">
        <v>5</v>
      </c>
      <c r="C22" s="9">
        <v>1.1241331728202891E-2</v>
      </c>
      <c r="D22" s="9">
        <v>0.22258639368877581</v>
      </c>
      <c r="E22" s="9">
        <v>-0.1461249052642459</v>
      </c>
      <c r="F22" s="9">
        <v>2.3820703324492151E-2</v>
      </c>
      <c r="G22" s="9">
        <v>-2.0083253571397341E-2</v>
      </c>
      <c r="H22" s="9">
        <v>1.158302607857771E-2</v>
      </c>
      <c r="I22" s="9">
        <v>0.1858631754766964</v>
      </c>
      <c r="J22" s="9">
        <v>0.1472881321566023</v>
      </c>
      <c r="K22" s="9">
        <v>0.21472450376108179</v>
      </c>
      <c r="L22" s="2">
        <v>8.9997713411883729E-3</v>
      </c>
      <c r="M22" s="2">
        <v>-7.7718228291273506E-2</v>
      </c>
      <c r="N22" s="2">
        <v>-0.35652158348229429</v>
      </c>
      <c r="O22" s="1">
        <v>4.9864886069274132E-2</v>
      </c>
      <c r="P22" s="1">
        <v>-2.3378558019796769E-3</v>
      </c>
      <c r="Q22" s="1">
        <v>8.8288773514349467E-2</v>
      </c>
      <c r="R22" s="1">
        <v>-6.85888786547241E-2</v>
      </c>
      <c r="S22" s="1">
        <v>0.16333491701854949</v>
      </c>
      <c r="T22" s="1">
        <v>-5.9783536552560329E-2</v>
      </c>
      <c r="U22" s="1">
        <v>0.16139447297499779</v>
      </c>
      <c r="V22" s="1">
        <v>-0.1578163123216729</v>
      </c>
      <c r="W22" s="1">
        <v>3.768744844372135E-2</v>
      </c>
      <c r="X22" s="1">
        <v>-0.22338310742813761</v>
      </c>
      <c r="Y22" s="1">
        <v>-8.553142096053476E-2</v>
      </c>
      <c r="Z22" s="1">
        <v>7.4027168257954579E-2</v>
      </c>
      <c r="AA22" s="1">
        <v>-0.13048336848064571</v>
      </c>
      <c r="AB22" s="1">
        <v>-3.2898545320226208E-2</v>
      </c>
      <c r="AC22" s="1">
        <v>4.7248262727967477E-2</v>
      </c>
      <c r="AD22" s="1">
        <v>2.698730357067794E-2</v>
      </c>
      <c r="AE22" s="1">
        <v>0.1875977733080503</v>
      </c>
      <c r="AF22" s="1">
        <v>0.22349781963637269</v>
      </c>
      <c r="AG22" s="1">
        <v>-3.216324888167648E-2</v>
      </c>
      <c r="AH22" s="1">
        <v>0.21664245264836079</v>
      </c>
      <c r="AI22" s="1">
        <v>0.1103737245476725</v>
      </c>
      <c r="AJ22" s="1">
        <v>4.1672454955525622E-2</v>
      </c>
      <c r="AK22" s="1">
        <v>2.5137514461770011E-2</v>
      </c>
      <c r="AL22" s="1">
        <v>2.0780265108594719E-2</v>
      </c>
      <c r="AM22" s="1">
        <v>-4.3441575001793763E-2</v>
      </c>
      <c r="AN22" s="1">
        <v>-3.4444518988845471E-2</v>
      </c>
      <c r="AO22" s="1">
        <v>-4.9108294639399641E-2</v>
      </c>
      <c r="AP22" s="1">
        <v>-0.13972025823966011</v>
      </c>
      <c r="AQ22" s="1">
        <v>-3.3308231095544441E-2</v>
      </c>
      <c r="AR22" s="1">
        <v>2.9738999850300981E-2</v>
      </c>
      <c r="AS22" s="1">
        <v>4.2291716448975919E-2</v>
      </c>
      <c r="AT22" s="1">
        <v>-0.23912374744507051</v>
      </c>
      <c r="AU22" s="1">
        <v>0.14307264092716551</v>
      </c>
      <c r="AV22" s="1">
        <v>-0.23551036637698139</v>
      </c>
      <c r="AW22" s="1">
        <v>-2.396829936060715E-2</v>
      </c>
      <c r="AX22" s="1">
        <v>-2.7057054958935178E-2</v>
      </c>
      <c r="AY22" s="1">
        <v>0.35493547515032742</v>
      </c>
      <c r="AZ22" s="1">
        <v>-2.8192862402722889E-2</v>
      </c>
      <c r="BA22" s="1">
        <v>1.012362712190825E-2</v>
      </c>
      <c r="BB22" s="1">
        <v>6.2082765030506651E-2</v>
      </c>
      <c r="BC22" s="1">
        <v>0.24014067499041369</v>
      </c>
      <c r="BD22" s="1">
        <v>2.9538660643983691E-2</v>
      </c>
      <c r="BE22" s="1">
        <v>-2.0269758653551819E-2</v>
      </c>
      <c r="BF22" s="1">
        <v>5.9849353508696912E-2</v>
      </c>
      <c r="BG22" s="1">
        <v>5.6039328898285813E-2</v>
      </c>
      <c r="BH22" s="1">
        <v>3.7117061868222938E-2</v>
      </c>
      <c r="BI22" s="1">
        <v>8.1599622779079492E-2</v>
      </c>
      <c r="BJ22" s="1">
        <v>-4.9139783811273992E-2</v>
      </c>
      <c r="BK22" s="1">
        <v>1.796361637069855E-2</v>
      </c>
      <c r="BL22" s="1">
        <v>8.4992523132183806E-4</v>
      </c>
      <c r="BM22" s="1">
        <v>-9.4222031483192966E-3</v>
      </c>
      <c r="BN22" s="1">
        <v>-5.8380233607606857E-2</v>
      </c>
      <c r="BO22" s="1">
        <v>-6.5655954031279828E-2</v>
      </c>
      <c r="BP22" s="1">
        <v>-0.1992288234843673</v>
      </c>
      <c r="BQ22" s="1">
        <v>4.5535403919621582E-2</v>
      </c>
      <c r="BR22" s="1">
        <v>-0.21419005807673269</v>
      </c>
      <c r="BS22" s="1">
        <v>-3.1186945848714338E-3</v>
      </c>
      <c r="BT22" s="1">
        <v>4.9007781851760759E-2</v>
      </c>
      <c r="BU22" s="1">
        <v>-7.135140798445111E-2</v>
      </c>
      <c r="BV22" s="1">
        <v>0.1294376780812832</v>
      </c>
      <c r="BW22" s="1">
        <v>-6.9784214290077667E-2</v>
      </c>
      <c r="BX22" s="1">
        <v>1.1684770681760621E-2</v>
      </c>
      <c r="BY22" s="1">
        <v>-8.4256850415366652E-2</v>
      </c>
      <c r="BZ22" s="1">
        <v>3.7624223593384673E-2</v>
      </c>
      <c r="CA22" s="1">
        <v>-0.12777299864132979</v>
      </c>
      <c r="CB22" s="1">
        <v>0.17266283513343941</v>
      </c>
      <c r="CC22" s="1">
        <v>-3.9277115942587183E-2</v>
      </c>
      <c r="CD22" s="1">
        <v>-0.1888595125433957</v>
      </c>
      <c r="CE22" s="1">
        <v>0.30509172943537533</v>
      </c>
      <c r="CF22" s="1">
        <v>1.4094959264409941E-2</v>
      </c>
      <c r="CG22" s="1">
        <v>-8.4185319677732656E-2</v>
      </c>
      <c r="CH22" s="1">
        <v>-2.257866918286833E-4</v>
      </c>
      <c r="CI22" s="1">
        <v>-9.1926463094222491E-2</v>
      </c>
      <c r="CJ22" s="1">
        <v>-0.15596956294007211</v>
      </c>
      <c r="CK22" s="1">
        <v>7.1530757072940016E-2</v>
      </c>
      <c r="CL22" s="1">
        <v>0.18841701025305879</v>
      </c>
      <c r="CM22" s="1">
        <v>7.9454727181336005E-2</v>
      </c>
      <c r="CN22" s="1">
        <v>0.12992727139971361</v>
      </c>
      <c r="CO22" s="1">
        <v>-0.2142690534942551</v>
      </c>
      <c r="CP22" s="1">
        <v>0.1314516649084535</v>
      </c>
      <c r="CQ22" s="1">
        <v>-7.4302629585178678E-2</v>
      </c>
      <c r="CR22" s="1">
        <v>-0.1954861104849421</v>
      </c>
      <c r="CS22" s="1">
        <v>2.3038502234723202E-2</v>
      </c>
      <c r="CT22" s="1">
        <v>-0.1105439599314075</v>
      </c>
      <c r="CU22" s="1">
        <v>-0.14672800907162681</v>
      </c>
      <c r="CV22" s="1">
        <v>2.7137038786896849E-2</v>
      </c>
      <c r="CW22" s="1">
        <v>6.7903708174845409E-2</v>
      </c>
      <c r="CX22" s="1">
        <v>-0.14515418799986671</v>
      </c>
      <c r="CY22" s="1">
        <v>0.1009666571118235</v>
      </c>
      <c r="CZ22" s="1">
        <v>-1.306263386233056E-2</v>
      </c>
      <c r="DA22" s="1">
        <v>0.22461946091303281</v>
      </c>
      <c r="DB22" s="1">
        <v>0.38248992026639161</v>
      </c>
      <c r="DC22" s="1">
        <v>-3.7332311138400742E-2</v>
      </c>
      <c r="DD22" s="1">
        <v>-2.692890459066941E-3</v>
      </c>
      <c r="DE22" s="1">
        <v>-3.7422803498104278E-2</v>
      </c>
      <c r="DF22" s="1">
        <v>9.2325886151141859E-2</v>
      </c>
      <c r="DG22" s="1">
        <v>-4.6312236745836829E-2</v>
      </c>
      <c r="DH22" s="1">
        <v>-3.4819126753021519E-2</v>
      </c>
      <c r="DI22" s="1">
        <v>-0.12984971556387639</v>
      </c>
      <c r="DJ22" s="1">
        <v>0.1365580924326974</v>
      </c>
      <c r="DK22" s="1">
        <v>0.11290373071858791</v>
      </c>
      <c r="DL22" s="1">
        <v>-6.4166848817225036E-2</v>
      </c>
      <c r="DM22" s="1">
        <v>-5.3147808270238234E-3</v>
      </c>
      <c r="DN22" s="1">
        <v>5.3230521579120442E-2</v>
      </c>
      <c r="DO22" s="1">
        <v>-4.888763262084421E-3</v>
      </c>
      <c r="DP22" s="1">
        <v>-2.9220506841892781E-2</v>
      </c>
      <c r="DQ22" s="1">
        <v>6.9989438145803287E-2</v>
      </c>
      <c r="DR22" s="1">
        <v>8.8208883828872625E-2</v>
      </c>
      <c r="DS22" s="1">
        <v>6.9792757898282515E-2</v>
      </c>
      <c r="DT22" s="1">
        <v>-2.968533879884255E-2</v>
      </c>
      <c r="DU22" s="1">
        <v>0.27264432784194559</v>
      </c>
      <c r="DV22" s="1">
        <v>-0.14143996382517651</v>
      </c>
      <c r="DW22" s="1">
        <v>6.329914444681134E-2</v>
      </c>
      <c r="DX22" s="1">
        <v>4.2217604505395141E-2</v>
      </c>
      <c r="DY22" s="1">
        <v>8.5083890699159531E-3</v>
      </c>
      <c r="DZ22" s="1">
        <v>-6.1285558837770752E-2</v>
      </c>
      <c r="EA22" s="1">
        <v>5.9255992733342772E-3</v>
      </c>
      <c r="EB22" s="1">
        <v>0.21024948868647039</v>
      </c>
      <c r="EC22" s="1">
        <v>0.13100614576206751</v>
      </c>
      <c r="ED22" s="1">
        <v>5.7827564200198737E-2</v>
      </c>
      <c r="EE22" s="1">
        <v>-2.0017587297018819E-2</v>
      </c>
      <c r="EF22" s="1">
        <v>-0.2095417424669202</v>
      </c>
    </row>
    <row r="23" spans="1:136" ht="16">
      <c r="A23" s="6">
        <v>241</v>
      </c>
      <c r="B23" s="6">
        <v>4</v>
      </c>
      <c r="C23" s="9">
        <v>1.038483447742689E-2</v>
      </c>
      <c r="D23" s="9">
        <v>0.32500828164220219</v>
      </c>
      <c r="E23" s="9">
        <v>-4.3717554879721017E-2</v>
      </c>
      <c r="F23" s="9">
        <v>-2.7590447229935348E-3</v>
      </c>
      <c r="G23" s="9">
        <v>-2.510406696424667E-2</v>
      </c>
      <c r="H23" s="9">
        <v>-3.7844077028292407E-2</v>
      </c>
      <c r="I23" s="9">
        <v>0.23932306217775401</v>
      </c>
      <c r="J23" s="9">
        <v>9.0566639244446828E-2</v>
      </c>
      <c r="K23" s="9">
        <v>0.2068800260033955</v>
      </c>
      <c r="L23" s="2">
        <v>5.7226166864944403E-2</v>
      </c>
      <c r="M23" s="2">
        <v>-9.9684593408211258E-2</v>
      </c>
      <c r="N23" s="2">
        <v>-0.25375270647537918</v>
      </c>
      <c r="O23" s="1">
        <v>3.4351989460690638E-2</v>
      </c>
      <c r="P23" s="1">
        <v>-2.2004018381754161E-3</v>
      </c>
      <c r="Q23" s="1">
        <v>0.1042948113930291</v>
      </c>
      <c r="R23" s="1">
        <v>-0.1111209614134854</v>
      </c>
      <c r="S23" s="1">
        <v>0.21207201423705371</v>
      </c>
      <c r="T23" s="1">
        <v>-5.1427685754087557E-2</v>
      </c>
      <c r="U23" s="1">
        <v>0.1719677769844222</v>
      </c>
      <c r="V23" s="1">
        <v>-0.1831423378362555</v>
      </c>
      <c r="W23" s="1">
        <v>-0.1104633758466881</v>
      </c>
      <c r="X23" s="1">
        <v>-0.26892829504619692</v>
      </c>
      <c r="Y23" s="1">
        <v>-0.1092693004436965</v>
      </c>
      <c r="Z23" s="1">
        <v>0.1093802011477636</v>
      </c>
      <c r="AA23" s="1">
        <v>-0.1106359070024788</v>
      </c>
      <c r="AB23" s="1">
        <v>-2.1955943889134161E-2</v>
      </c>
      <c r="AC23" s="1">
        <v>1.882773670680014E-2</v>
      </c>
      <c r="AD23" s="1">
        <v>-2.593327599743489E-2</v>
      </c>
      <c r="AE23" s="1">
        <v>0.12370200161576921</v>
      </c>
      <c r="AF23" s="1">
        <v>0.29514425808336342</v>
      </c>
      <c r="AG23" s="1">
        <v>-1.10465721064439E-2</v>
      </c>
      <c r="AH23" s="1">
        <v>0.2403512556587668</v>
      </c>
      <c r="AI23" s="1">
        <v>0.1406994233176381</v>
      </c>
      <c r="AJ23" s="1">
        <v>2.856474311927162E-2</v>
      </c>
      <c r="AK23" s="1">
        <v>3.8160669490167859E-2</v>
      </c>
      <c r="AL23" s="1">
        <v>3.7391486134754182E-2</v>
      </c>
      <c r="AM23" s="1">
        <v>-9.1598169549742189E-2</v>
      </c>
      <c r="AN23" s="1">
        <v>-2.1789029545820651E-2</v>
      </c>
      <c r="AO23" s="1">
        <v>-8.5567774913887312E-2</v>
      </c>
      <c r="AP23" s="1">
        <v>-0.188101205770319</v>
      </c>
      <c r="AQ23" s="1">
        <v>-3.7036188450574832E-2</v>
      </c>
      <c r="AR23" s="1">
        <v>3.4197900630824132E-2</v>
      </c>
      <c r="AS23" s="1">
        <v>4.5406682060008141E-2</v>
      </c>
      <c r="AT23" s="1">
        <v>-0.26483825754799722</v>
      </c>
      <c r="AU23" s="1">
        <v>6.3455329613280029E-2</v>
      </c>
      <c r="AV23" s="1">
        <v>-0.27117384055118737</v>
      </c>
      <c r="AW23" s="1">
        <v>-6.890130850589378E-3</v>
      </c>
      <c r="AX23" s="1">
        <v>-2.5460073643685951E-2</v>
      </c>
      <c r="AY23" s="1">
        <v>0.31298445589067447</v>
      </c>
      <c r="AZ23" s="1">
        <v>-2.083898176233865E-2</v>
      </c>
      <c r="BA23" s="1">
        <v>4.2907776662099967E-2</v>
      </c>
      <c r="BB23" s="1">
        <v>6.8628373851909369E-2</v>
      </c>
      <c r="BC23" s="1">
        <v>0.1644605319288267</v>
      </c>
      <c r="BD23" s="1">
        <v>5.4069377757845732E-2</v>
      </c>
      <c r="BE23" s="1">
        <v>-1.2449889734846009E-2</v>
      </c>
      <c r="BF23" s="1">
        <v>-1.4405499054857549E-3</v>
      </c>
      <c r="BG23" s="1">
        <v>8.8386261553480838E-3</v>
      </c>
      <c r="BH23" s="1">
        <v>4.3132469482256193E-2</v>
      </c>
      <c r="BI23" s="1">
        <v>5.6209634505314333E-2</v>
      </c>
      <c r="BJ23" s="1">
        <v>-3.1982514410992063E-2</v>
      </c>
      <c r="BK23" s="1">
        <v>2.260576251741922E-2</v>
      </c>
      <c r="BL23" s="1">
        <v>-1.478122896862181E-2</v>
      </c>
      <c r="BM23" s="1">
        <v>-2.8428272159928252E-3</v>
      </c>
      <c r="BN23" s="1">
        <v>-1.392918480183852E-2</v>
      </c>
      <c r="BO23" s="1">
        <v>-7.4350173583755619E-2</v>
      </c>
      <c r="BP23" s="1">
        <v>-0.20473421562728139</v>
      </c>
      <c r="BQ23" s="1">
        <v>4.876556001960692E-2</v>
      </c>
      <c r="BR23" s="1">
        <v>-0.28727554131239991</v>
      </c>
      <c r="BS23" s="1">
        <v>-2.3146913656549511E-2</v>
      </c>
      <c r="BT23" s="1">
        <v>7.8416551342702645E-3</v>
      </c>
      <c r="BU23" s="1">
        <v>-8.7704925665228597E-2</v>
      </c>
      <c r="BV23" s="1">
        <v>0.18815701204098079</v>
      </c>
      <c r="BW23" s="1">
        <v>-1.1068493623803259E-2</v>
      </c>
      <c r="BX23" s="1">
        <v>-3.210606984186011E-2</v>
      </c>
      <c r="BY23" s="1">
        <v>-3.9989540788559867E-2</v>
      </c>
      <c r="BZ23" s="1">
        <v>8.2791085442369031E-2</v>
      </c>
      <c r="CA23" s="1">
        <v>3.1340141332817303E-2</v>
      </c>
      <c r="CB23" s="1">
        <v>9.2096680900539976E-2</v>
      </c>
      <c r="CC23" s="1">
        <v>-9.8470653868922481E-2</v>
      </c>
      <c r="CD23" s="1">
        <v>-0.15078839020228069</v>
      </c>
      <c r="CE23" s="1">
        <v>0.36420753519694499</v>
      </c>
      <c r="CF23" s="1">
        <v>1.7618699080512421E-2</v>
      </c>
      <c r="CG23" s="1">
        <v>-8.694577829384971E-2</v>
      </c>
      <c r="CH23" s="1">
        <v>-7.3515592357006054E-3</v>
      </c>
      <c r="CI23" s="1">
        <v>-0.11491526298226611</v>
      </c>
      <c r="CJ23" s="1">
        <v>-7.5528008718936751E-2</v>
      </c>
      <c r="CK23" s="1">
        <v>6.9914657199242003E-2</v>
      </c>
      <c r="CL23" s="1">
        <v>0.25947077088817672</v>
      </c>
      <c r="CM23" s="1">
        <v>6.2994332860424385E-2</v>
      </c>
      <c r="CN23" s="1">
        <v>0.12031661684137281</v>
      </c>
      <c r="CO23" s="1">
        <v>-0.22242558921040251</v>
      </c>
      <c r="CP23" s="1">
        <v>0.1598908914680989</v>
      </c>
      <c r="CQ23" s="1">
        <v>-0.1210733800567444</v>
      </c>
      <c r="CR23" s="1">
        <v>-0.23905996636126789</v>
      </c>
      <c r="CS23" s="1">
        <v>-1.242212558157435E-2</v>
      </c>
      <c r="CT23" s="1">
        <v>-6.7240263303585054E-2</v>
      </c>
      <c r="CU23" s="1">
        <v>-0.1589166223174501</v>
      </c>
      <c r="CV23" s="1">
        <v>5.6706712346363708E-2</v>
      </c>
      <c r="CW23" s="1">
        <v>3.8345516871682743E-2</v>
      </c>
      <c r="CX23" s="1">
        <v>-0.15696884691161159</v>
      </c>
      <c r="CY23" s="1">
        <v>0.15245230624531919</v>
      </c>
      <c r="CZ23" s="1">
        <v>-1.3847206411700621E-2</v>
      </c>
      <c r="DA23" s="1">
        <v>0.27617086600272128</v>
      </c>
      <c r="DB23" s="1">
        <v>0.47235073547067691</v>
      </c>
      <c r="DC23" s="1">
        <v>-0.1539047953697186</v>
      </c>
      <c r="DD23" s="1">
        <v>4.0045209104258121E-3</v>
      </c>
      <c r="DE23" s="1">
        <v>-3.7537974436596282E-2</v>
      </c>
      <c r="DF23" s="1">
        <v>5.674367536183296E-2</v>
      </c>
      <c r="DG23" s="1">
        <v>-4.0285672533672552E-2</v>
      </c>
      <c r="DH23" s="1">
        <v>-3.163490176587707E-2</v>
      </c>
      <c r="DI23" s="1">
        <v>-0.1168755642819416</v>
      </c>
      <c r="DJ23" s="1">
        <v>0.1566057184636416</v>
      </c>
      <c r="DK23" s="1">
        <v>2.478078177445402E-2</v>
      </c>
      <c r="DL23" s="1">
        <v>-8.2190176122610467E-2</v>
      </c>
      <c r="DM23" s="1">
        <v>2.3869820180617691E-2</v>
      </c>
      <c r="DN23" s="1">
        <v>7.2086999056216142E-2</v>
      </c>
      <c r="DO23" s="1">
        <v>-1.1234840968156339E-2</v>
      </c>
      <c r="DP23" s="1">
        <v>-2.287669354320809E-2</v>
      </c>
      <c r="DQ23" s="1">
        <v>1.9049720175629E-2</v>
      </c>
      <c r="DR23" s="1">
        <v>0.1163975142928509</v>
      </c>
      <c r="DS23" s="1">
        <v>8.4605433605535907E-2</v>
      </c>
      <c r="DT23" s="1">
        <v>-5.2151903466792276E-3</v>
      </c>
      <c r="DU23" s="1">
        <v>0.3398066388575679</v>
      </c>
      <c r="DV23" s="1">
        <v>-0.1600807515125994</v>
      </c>
      <c r="DW23" s="1">
        <v>8.2401531350132964E-2</v>
      </c>
      <c r="DX23" s="1">
        <v>3.470854875814737E-2</v>
      </c>
      <c r="DY23" s="1">
        <v>-4.9335771873285916E-3</v>
      </c>
      <c r="DZ23" s="1">
        <v>-6.0338949361284741E-2</v>
      </c>
      <c r="EA23" s="1">
        <v>3.5066457185236648E-2</v>
      </c>
      <c r="EB23" s="1">
        <v>0.23519828350796679</v>
      </c>
      <c r="EC23" s="1">
        <v>0.14009401795222581</v>
      </c>
      <c r="ED23" s="1">
        <v>-0.12915520333718639</v>
      </c>
      <c r="EE23" s="1">
        <v>1.095594540687448E-2</v>
      </c>
      <c r="EF23" s="1">
        <v>-0.17865427963298861</v>
      </c>
    </row>
    <row r="24" spans="1:136" ht="16">
      <c r="A24" s="6">
        <v>321</v>
      </c>
      <c r="B24" s="6">
        <v>3</v>
      </c>
      <c r="C24" s="9">
        <v>2.5922326608526759E-2</v>
      </c>
      <c r="D24" s="9">
        <v>0.41742192464002892</v>
      </c>
      <c r="E24" s="9">
        <v>-2.2230412259238129E-2</v>
      </c>
      <c r="F24" s="9">
        <v>-4.2698865321121049E-5</v>
      </c>
      <c r="G24" s="9">
        <v>-2.4265746379684511E-2</v>
      </c>
      <c r="H24" s="9">
        <v>-0.22980554449140059</v>
      </c>
      <c r="I24" s="9">
        <v>0.25443290291045001</v>
      </c>
      <c r="J24" s="9">
        <v>0.1183782811822881</v>
      </c>
      <c r="K24" s="9">
        <v>0.2453659126827557</v>
      </c>
      <c r="L24" s="2">
        <v>0.1074871686512418</v>
      </c>
      <c r="M24" s="2">
        <v>-7.4100058770572547E-2</v>
      </c>
      <c r="N24" s="2">
        <v>-0.26414338509225871</v>
      </c>
      <c r="O24" s="1">
        <v>-6.7158783113674958E-3</v>
      </c>
      <c r="P24" s="1">
        <v>-1.0249158444517931E-2</v>
      </c>
      <c r="Q24" s="1">
        <v>0.1246563577629662</v>
      </c>
      <c r="R24" s="1">
        <v>-0.15188792716284299</v>
      </c>
      <c r="S24" s="1">
        <v>0.11046182605798301</v>
      </c>
      <c r="T24" s="1">
        <v>-4.8773717962929522E-2</v>
      </c>
      <c r="U24" s="1">
        <v>0.1740456296041355</v>
      </c>
      <c r="V24" s="1">
        <v>-0.18487563565347559</v>
      </c>
      <c r="W24" s="1">
        <v>-8.4051091960748808E-2</v>
      </c>
      <c r="X24" s="1">
        <v>-0.37472541819480099</v>
      </c>
      <c r="Y24" s="1">
        <v>-0.13590678722459831</v>
      </c>
      <c r="Z24" s="1">
        <v>0.1501501099195742</v>
      </c>
      <c r="AA24" s="1">
        <v>-8.2524425578113014E-2</v>
      </c>
      <c r="AB24" s="1">
        <v>3.8652301253394171E-3</v>
      </c>
      <c r="AC24" s="1">
        <v>8.5776460715432462E-2</v>
      </c>
      <c r="AD24" s="1">
        <v>-1.859374921466125E-2</v>
      </c>
      <c r="AE24" s="1">
        <v>0.16374739712240971</v>
      </c>
      <c r="AF24" s="1">
        <v>0.42991676804861201</v>
      </c>
      <c r="AG24" s="1">
        <v>-1.0812100566842311E-2</v>
      </c>
      <c r="AH24" s="1">
        <v>0.24762224616340131</v>
      </c>
      <c r="AI24" s="1">
        <v>0.1968169658174666</v>
      </c>
      <c r="AJ24" s="1">
        <v>1.067461991862822E-2</v>
      </c>
      <c r="AK24" s="1">
        <v>4.5065254785650218E-2</v>
      </c>
      <c r="AL24" s="1">
        <v>1.1447262237467839E-3</v>
      </c>
      <c r="AM24" s="1">
        <v>-0.1129979013369514</v>
      </c>
      <c r="AN24" s="1">
        <v>-2.7860566885395861E-2</v>
      </c>
      <c r="AO24" s="1">
        <v>-0.1581528752937269</v>
      </c>
      <c r="AP24" s="1">
        <v>-0.25139505764836689</v>
      </c>
      <c r="AQ24" s="1">
        <v>5.5126720724342937E-2</v>
      </c>
      <c r="AR24" s="1">
        <v>0.10818370054823639</v>
      </c>
      <c r="AS24" s="1">
        <v>-7.3843702685833568E-2</v>
      </c>
      <c r="AT24" s="1">
        <v>-1.7728370994436651E-2</v>
      </c>
      <c r="AU24" s="1">
        <v>0.1099145973181844</v>
      </c>
      <c r="AV24" s="1">
        <v>-0.3290946485271618</v>
      </c>
      <c r="AW24" s="1">
        <v>-4.5525394111219893E-3</v>
      </c>
      <c r="AX24" s="1">
        <v>-1.165170033829426E-2</v>
      </c>
      <c r="AY24" s="1">
        <v>0.30688012293046418</v>
      </c>
      <c r="AZ24" s="1">
        <v>-6.3401942491512681E-2</v>
      </c>
      <c r="BA24" s="1">
        <v>9.5016085900050534E-2</v>
      </c>
      <c r="BB24" s="1">
        <v>7.607385747133083E-2</v>
      </c>
      <c r="BC24" s="1">
        <v>0.19562603535051759</v>
      </c>
      <c r="BD24" s="1">
        <v>-4.7258791257232813E-3</v>
      </c>
      <c r="BE24" s="1">
        <v>-1.5007659551530659E-2</v>
      </c>
      <c r="BF24" s="1">
        <v>-0.10506563388419229</v>
      </c>
      <c r="BG24" s="1">
        <v>6.8467457805373472E-2</v>
      </c>
      <c r="BH24" s="1">
        <v>7.8524242682668166E-2</v>
      </c>
      <c r="BI24" s="1">
        <v>0.1162166684486597</v>
      </c>
      <c r="BJ24" s="1">
        <v>1.023397544910358E-2</v>
      </c>
      <c r="BK24" s="1">
        <v>4.5489373042376893E-2</v>
      </c>
      <c r="BL24" s="1">
        <v>-3.4329494185271273E-2</v>
      </c>
      <c r="BM24" s="1">
        <v>5.5446908264472988E-2</v>
      </c>
      <c r="BN24" s="1">
        <v>-8.5932690699908595E-2</v>
      </c>
      <c r="BO24" s="1">
        <v>-9.6567134905796839E-2</v>
      </c>
      <c r="BP24" s="1">
        <v>-0.23915209849178731</v>
      </c>
      <c r="BQ24" s="1">
        <v>3.2072135147265042E-2</v>
      </c>
      <c r="BR24" s="1">
        <v>-0.37344456905648932</v>
      </c>
      <c r="BS24" s="1">
        <v>-8.0346929787524349E-2</v>
      </c>
      <c r="BT24" s="1">
        <v>-3.9909923584527003E-2</v>
      </c>
      <c r="BU24" s="1">
        <v>-0.14432676150750451</v>
      </c>
      <c r="BV24" s="1">
        <v>0.2191206056967574</v>
      </c>
      <c r="BW24" s="1">
        <v>-2.909693200371222E-2</v>
      </c>
      <c r="BX24" s="1">
        <v>-1.437578237130922E-2</v>
      </c>
      <c r="BY24" s="1">
        <v>-3.7237851752288782E-2</v>
      </c>
      <c r="BZ24" s="1">
        <v>0.2005384767621253</v>
      </c>
      <c r="CA24" s="1">
        <v>-2.637568654943051E-3</v>
      </c>
      <c r="CB24" s="1">
        <v>0.15401169444382501</v>
      </c>
      <c r="CC24" s="1">
        <v>-0.2628571356580911</v>
      </c>
      <c r="CD24" s="1">
        <v>-0.31577166020284902</v>
      </c>
      <c r="CE24" s="1">
        <v>0.34443800034468253</v>
      </c>
      <c r="CF24" s="1">
        <v>1.1724243004556561E-2</v>
      </c>
      <c r="CG24" s="1">
        <v>-0.20956592305980451</v>
      </c>
      <c r="CH24" s="1">
        <v>4.5441138933697743E-2</v>
      </c>
      <c r="CI24" s="1">
        <v>-4.0508170785460568E-2</v>
      </c>
      <c r="CJ24" s="1">
        <v>-5.6504407948129547E-2</v>
      </c>
      <c r="CK24" s="1">
        <v>0.1225980491060527</v>
      </c>
      <c r="CL24" s="1">
        <v>0.14235436261868531</v>
      </c>
      <c r="CM24" s="1">
        <v>4.64412789746977E-2</v>
      </c>
      <c r="CN24" s="1">
        <v>0.12155883532659929</v>
      </c>
      <c r="CO24" s="1">
        <v>-0.24974639966885989</v>
      </c>
      <c r="CP24" s="1">
        <v>8.1770051105905239E-2</v>
      </c>
      <c r="CQ24" s="1">
        <v>-0.16015078529955001</v>
      </c>
      <c r="CR24" s="1">
        <v>-0.24677276999188669</v>
      </c>
      <c r="CS24" s="1">
        <v>-1.5126838580183989E-2</v>
      </c>
      <c r="CT24" s="1">
        <v>-0.1177315208897074</v>
      </c>
      <c r="CU24" s="1">
        <v>-0.16735391118636819</v>
      </c>
      <c r="CV24" s="1">
        <v>4.6660081039862578E-2</v>
      </c>
      <c r="CW24" s="1">
        <v>2.2884042331984721E-2</v>
      </c>
      <c r="CX24" s="1">
        <v>-5.4293295473803682E-2</v>
      </c>
      <c r="CY24" s="1">
        <v>0.16243986871344671</v>
      </c>
      <c r="CZ24" s="1">
        <v>-7.58724644113902E-3</v>
      </c>
      <c r="DA24" s="1">
        <v>0.3054516634548512</v>
      </c>
      <c r="DB24" s="1">
        <v>0.59337517172623166</v>
      </c>
      <c r="DC24" s="1">
        <v>-0.14116723571930959</v>
      </c>
      <c r="DD24" s="1">
        <v>4.387307984061381E-4</v>
      </c>
      <c r="DE24" s="1">
        <v>-4.6276179262086707E-2</v>
      </c>
      <c r="DF24" s="1">
        <v>7.5739459886794189E-2</v>
      </c>
      <c r="DG24" s="1">
        <v>-5.4384439471695363E-2</v>
      </c>
      <c r="DH24" s="1">
        <v>-3.5224492462052531E-2</v>
      </c>
      <c r="DI24" s="1">
        <v>-0.1842467190309782</v>
      </c>
      <c r="DJ24" s="1">
        <v>0.15369976283032971</v>
      </c>
      <c r="DK24" s="1">
        <v>4.1065356042565573E-2</v>
      </c>
      <c r="DL24" s="1">
        <v>-0.10181692282848349</v>
      </c>
      <c r="DM24" s="1">
        <v>4.401662223094404E-2</v>
      </c>
      <c r="DN24" s="1">
        <v>7.8357181519452104E-2</v>
      </c>
      <c r="DO24" s="1">
        <v>-1.160511697852837E-2</v>
      </c>
      <c r="DP24" s="1">
        <v>8.7286276951900124E-3</v>
      </c>
      <c r="DQ24" s="1">
        <v>-2.1456635445679429E-2</v>
      </c>
      <c r="DR24" s="1">
        <v>0.129630713103349</v>
      </c>
      <c r="DS24" s="1">
        <v>0.12952383936920511</v>
      </c>
      <c r="DT24" s="1">
        <v>2.712875397817005E-2</v>
      </c>
      <c r="DU24" s="1">
        <v>0.37526887234197209</v>
      </c>
      <c r="DV24" s="1">
        <v>-0.24032453079278709</v>
      </c>
      <c r="DW24" s="1">
        <v>-0.1429135777819541</v>
      </c>
      <c r="DX24" s="1">
        <v>2.911549765686779E-2</v>
      </c>
      <c r="DY24" s="1">
        <v>-9.2631561597579549E-3</v>
      </c>
      <c r="DZ24" s="1">
        <v>-5.1518807857998741E-2</v>
      </c>
      <c r="EA24" s="1">
        <v>3.4191242409873077E-2</v>
      </c>
      <c r="EB24" s="1">
        <v>0.21821707141831539</v>
      </c>
      <c r="EC24" s="1">
        <v>-2.8428811778050931E-2</v>
      </c>
      <c r="ED24" s="1">
        <v>-0.18368198650415579</v>
      </c>
      <c r="EE24" s="1">
        <v>3.5899357196068807E-2</v>
      </c>
      <c r="EF24" s="1">
        <v>-0.1611462010182779</v>
      </c>
    </row>
    <row r="25" spans="1:136" ht="16">
      <c r="A25" s="6">
        <v>482</v>
      </c>
      <c r="B25" s="6">
        <v>2</v>
      </c>
      <c r="C25" s="9">
        <v>3.1325684581971477E-2</v>
      </c>
      <c r="D25" s="9">
        <v>-8.8966622734356765E-2</v>
      </c>
      <c r="E25" s="9">
        <v>-1.5061587686965401E-2</v>
      </c>
      <c r="F25" s="9">
        <v>-4.4985281759763317E-2</v>
      </c>
      <c r="G25" s="9">
        <v>-4.5824355037360098E-2</v>
      </c>
      <c r="H25" s="9">
        <v>-0.2628102412014528</v>
      </c>
      <c r="I25" s="9">
        <v>0.25570287206557712</v>
      </c>
      <c r="J25" s="9">
        <v>0.15529381690298319</v>
      </c>
      <c r="K25" s="9">
        <v>0.14260757512465491</v>
      </c>
      <c r="L25" s="2">
        <v>0.23244436104246219</v>
      </c>
      <c r="M25" s="2">
        <v>-0.2584499163586424</v>
      </c>
      <c r="N25" s="2">
        <v>-0.16380596554193741</v>
      </c>
      <c r="O25" s="1">
        <v>-1.9407711266769139E-2</v>
      </c>
      <c r="P25" s="1">
        <v>-5.8479234829259687E-2</v>
      </c>
      <c r="Q25" s="1">
        <v>0.1372071039279503</v>
      </c>
      <c r="R25" s="1">
        <v>-8.3127638943400986E-2</v>
      </c>
      <c r="S25" s="1">
        <v>0.12530130288998939</v>
      </c>
      <c r="T25" s="1">
        <v>-1.50696997996894E-2</v>
      </c>
      <c r="U25" s="1">
        <v>0.1539952507483984</v>
      </c>
      <c r="V25" s="1">
        <v>-5.5931004166118133E-2</v>
      </c>
      <c r="W25" s="1">
        <v>-0.21896378180457299</v>
      </c>
      <c r="X25" s="1">
        <v>-0.25870299994157397</v>
      </c>
      <c r="Y25" s="1">
        <v>-7.906503587551425E-2</v>
      </c>
      <c r="Z25" s="1">
        <v>0.14764040944327361</v>
      </c>
      <c r="AA25" s="1">
        <v>5.6748445960110291E-2</v>
      </c>
      <c r="AB25" s="1">
        <v>3.09913850559921E-2</v>
      </c>
      <c r="AC25" s="1">
        <v>0.1687547996369127</v>
      </c>
      <c r="AD25" s="1">
        <v>-2.9952915704841848E-3</v>
      </c>
      <c r="AE25" s="1">
        <v>0.28317169123336372</v>
      </c>
      <c r="AF25" s="1">
        <v>0.32465932564021122</v>
      </c>
      <c r="AG25" s="1">
        <v>0.145893892939672</v>
      </c>
      <c r="AH25" s="1">
        <v>-0.1356489203506672</v>
      </c>
      <c r="AI25" s="1">
        <v>0.23406805728812929</v>
      </c>
      <c r="AJ25" s="1">
        <v>4.74107342145174E-2</v>
      </c>
      <c r="AK25" s="1">
        <v>9.3103066646734858E-2</v>
      </c>
      <c r="AL25" s="1">
        <v>5.1310311182486829E-2</v>
      </c>
      <c r="AM25" s="1">
        <v>3.298576452782942E-2</v>
      </c>
      <c r="AN25" s="1">
        <v>-0.16052014076233129</v>
      </c>
      <c r="AO25" s="1">
        <v>-9.078247952961746E-2</v>
      </c>
      <c r="AP25" s="1">
        <v>1.044782144754966E-2</v>
      </c>
      <c r="AQ25" s="1">
        <v>-0.17571220858300701</v>
      </c>
      <c r="AR25" s="1">
        <v>0.25346079578034408</v>
      </c>
      <c r="AS25" s="1">
        <v>-8.1663620780570226E-2</v>
      </c>
      <c r="AT25" s="1">
        <v>-0.1095059029649002</v>
      </c>
      <c r="AU25" s="1">
        <v>0.20359589118158589</v>
      </c>
      <c r="AV25" s="1">
        <v>-0.49926904484158879</v>
      </c>
      <c r="AW25" s="1">
        <v>3.191399359119533E-2</v>
      </c>
      <c r="AX25" s="1">
        <v>-9.1618244002732024E-3</v>
      </c>
      <c r="AY25" s="1">
        <v>0.42235449128487301</v>
      </c>
      <c r="AZ25" s="1">
        <v>-6.5450516719006924E-2</v>
      </c>
      <c r="BA25" s="1">
        <v>0.20896699268372201</v>
      </c>
      <c r="BB25" s="1">
        <v>7.6715561420422032E-2</v>
      </c>
      <c r="BC25" s="1">
        <v>0.25286918189993951</v>
      </c>
      <c r="BD25" s="1">
        <v>-8.8533634158475677E-3</v>
      </c>
      <c r="BE25" s="1">
        <v>4.3416826115985588E-2</v>
      </c>
      <c r="BF25" s="1">
        <v>-4.0543090691840922E-2</v>
      </c>
      <c r="BG25" s="1">
        <v>6.0876158354245168E-2</v>
      </c>
      <c r="BH25" s="1">
        <v>-2.1231064933227239E-2</v>
      </c>
      <c r="BI25" s="1">
        <v>-1.308138521171336E-2</v>
      </c>
      <c r="BJ25" s="1">
        <v>-5.8020213544642429E-2</v>
      </c>
      <c r="BK25" s="1">
        <v>9.6518566858117813E-2</v>
      </c>
      <c r="BL25" s="1">
        <v>-5.4331554697514821E-2</v>
      </c>
      <c r="BM25" s="1">
        <v>1.1227371159245061E-3</v>
      </c>
      <c r="BN25" s="1">
        <v>-0.22146322289413981</v>
      </c>
      <c r="BO25" s="1">
        <v>2.1041233342738899E-2</v>
      </c>
      <c r="BP25" s="1">
        <v>-0.24739862621825409</v>
      </c>
      <c r="BQ25" s="1">
        <v>6.0880571625996083E-3</v>
      </c>
      <c r="BR25" s="1">
        <v>-0.36684672853674211</v>
      </c>
      <c r="BS25" s="1">
        <v>-0.128464286420096</v>
      </c>
      <c r="BT25" s="1">
        <v>2.7321574798212751E-2</v>
      </c>
      <c r="BU25" s="1">
        <v>-0.1748804386255598</v>
      </c>
      <c r="BV25" s="1">
        <v>0.31036373576714488</v>
      </c>
      <c r="BW25" s="1">
        <v>-5.0701832525359238E-2</v>
      </c>
      <c r="BX25" s="1">
        <v>-0.12417427077902</v>
      </c>
      <c r="BY25" s="1">
        <v>2.0834549032632928E-2</v>
      </c>
      <c r="BZ25" s="1">
        <v>0.33659832781626758</v>
      </c>
      <c r="CA25" s="1">
        <v>-3.4283619845346558E-2</v>
      </c>
      <c r="CB25" s="1">
        <v>0.1535244418557776</v>
      </c>
      <c r="CC25" s="1">
        <v>-0.14108249115972851</v>
      </c>
      <c r="CD25" s="1">
        <v>-0.64074657751655262</v>
      </c>
      <c r="CE25" s="1">
        <v>0.20376719054292131</v>
      </c>
      <c r="CF25" s="1">
        <v>4.3442465030490179E-2</v>
      </c>
      <c r="CG25" s="1">
        <v>-7.510946970240015E-2</v>
      </c>
      <c r="CH25" s="1">
        <v>5.3255922215097631E-2</v>
      </c>
      <c r="CI25" s="1">
        <v>-1.79920391256909E-2</v>
      </c>
      <c r="CJ25" s="1">
        <v>3.5304074314340628E-2</v>
      </c>
      <c r="CK25" s="1">
        <v>9.3711931405561166E-2</v>
      </c>
      <c r="CL25" s="1">
        <v>0.1237706371954594</v>
      </c>
      <c r="CM25" s="1">
        <v>6.9750090132210951E-3</v>
      </c>
      <c r="CN25" s="1">
        <v>0.30821328460275771</v>
      </c>
      <c r="CO25" s="1">
        <v>-0.21630903111465311</v>
      </c>
      <c r="CP25" s="1">
        <v>7.5994055161552457E-2</v>
      </c>
      <c r="CQ25" s="1">
        <v>-0.1192281798197458</v>
      </c>
      <c r="CR25" s="1">
        <v>-0.15099817047394759</v>
      </c>
      <c r="CS25" s="1">
        <v>-1.8055426482391002E-2</v>
      </c>
      <c r="CT25" s="1">
        <v>-9.9939178711183657E-2</v>
      </c>
      <c r="CU25" s="1">
        <v>-0.20210388498715681</v>
      </c>
      <c r="CV25" s="1">
        <v>7.9103172966228555E-2</v>
      </c>
      <c r="CW25" s="1">
        <v>-2.418628778900123E-2</v>
      </c>
      <c r="CX25" s="1">
        <v>-6.1859993147280662E-2</v>
      </c>
      <c r="CY25" s="1">
        <v>0.28171082747401988</v>
      </c>
      <c r="CZ25" s="1">
        <v>6.1281100514640897E-2</v>
      </c>
      <c r="DA25" s="1">
        <v>0.51777096161996239</v>
      </c>
      <c r="DB25" s="1">
        <v>0.86457557459721113</v>
      </c>
      <c r="DC25" s="1">
        <v>-0.15794889931825309</v>
      </c>
      <c r="DD25" s="1">
        <v>3.5921302613636713E-2</v>
      </c>
      <c r="DE25" s="1">
        <v>-4.5120356403429457E-2</v>
      </c>
      <c r="DF25" s="1">
        <v>0.1073938856632862</v>
      </c>
      <c r="DG25" s="1">
        <v>-8.4700304875491628E-2</v>
      </c>
      <c r="DH25" s="1">
        <v>-5.5816077076261357E-2</v>
      </c>
      <c r="DI25" s="1">
        <v>-0.21772998887123121</v>
      </c>
      <c r="DJ25" s="1">
        <v>0.1200325818239187</v>
      </c>
      <c r="DK25" s="1">
        <v>5.7377790325144257E-2</v>
      </c>
      <c r="DL25" s="1">
        <v>-6.5805387949933805E-2</v>
      </c>
      <c r="DM25" s="1">
        <v>2.481073449346138E-2</v>
      </c>
      <c r="DN25" s="1">
        <v>6.7384283255782482E-2</v>
      </c>
      <c r="DO25" s="1">
        <v>4.6262406771275771E-2</v>
      </c>
      <c r="DP25" s="1">
        <v>2.039401542309871E-2</v>
      </c>
      <c r="DQ25" s="1">
        <v>4.8382875283180672E-2</v>
      </c>
      <c r="DR25" s="1">
        <v>0.1239173545292539</v>
      </c>
      <c r="DS25" s="1">
        <v>0.24719455144246849</v>
      </c>
      <c r="DT25" s="1">
        <v>-2.2296457069757209E-2</v>
      </c>
      <c r="DU25" s="1">
        <v>0.52524170665309988</v>
      </c>
      <c r="DV25" s="1">
        <v>-0.30144335842533099</v>
      </c>
      <c r="DW25" s="1">
        <v>-0.22828223662244609</v>
      </c>
      <c r="DX25" s="1">
        <v>1.7152663519122539E-2</v>
      </c>
      <c r="DY25" s="1">
        <v>-1.9524714557968281E-4</v>
      </c>
      <c r="DZ25" s="1">
        <v>-7.5564412707265216E-2</v>
      </c>
      <c r="EA25" s="1">
        <v>9.3362079468968795E-2</v>
      </c>
      <c r="EB25" s="1">
        <v>0.31038588333370842</v>
      </c>
      <c r="EC25" s="1">
        <v>-0.1232049429556647</v>
      </c>
      <c r="ED25" s="1">
        <v>-0.194323278521919</v>
      </c>
      <c r="EE25" s="1">
        <v>6.9545558094986554E-2</v>
      </c>
      <c r="EF25" s="1">
        <v>-8.3271776749482732E-2</v>
      </c>
    </row>
    <row r="26" spans="1:136" ht="16">
      <c r="A26" s="6">
        <v>964</v>
      </c>
      <c r="B26" s="6">
        <v>1</v>
      </c>
      <c r="C26" s="9">
        <v>2.776696731044102E-2</v>
      </c>
      <c r="D26" s="9">
        <v>-8.1988379169623898E-2</v>
      </c>
      <c r="E26" s="9">
        <v>8.1880334610397495E-2</v>
      </c>
      <c r="F26" s="9">
        <v>-0.2103977356699305</v>
      </c>
      <c r="G26" s="9">
        <v>-5.6221512422469602E-2</v>
      </c>
      <c r="H26" s="9">
        <v>-0.35082219133103881</v>
      </c>
      <c r="I26" s="9">
        <v>0.2403862447709158</v>
      </c>
      <c r="J26" s="9">
        <v>4.0357249392596467E-3</v>
      </c>
      <c r="K26" s="9">
        <v>5.0444335993488708E-2</v>
      </c>
      <c r="L26" s="2">
        <v>0.33375944447564659</v>
      </c>
      <c r="M26" s="2">
        <v>-0.14681933889950849</v>
      </c>
      <c r="N26" s="2">
        <v>-4.5513036897265921E-2</v>
      </c>
      <c r="O26" s="1">
        <v>3.6648790739543732E-2</v>
      </c>
      <c r="P26" s="1">
        <v>2.3793042237939769E-2</v>
      </c>
      <c r="Q26" s="1">
        <v>-5.8526355228876503E-2</v>
      </c>
      <c r="R26" s="1">
        <v>-0.205719498946597</v>
      </c>
      <c r="S26" s="1">
        <v>0.16214817112020841</v>
      </c>
      <c r="T26" s="1">
        <v>8.6879700711825353E-3</v>
      </c>
      <c r="U26" s="1">
        <v>0.31319604574317439</v>
      </c>
      <c r="V26" s="1">
        <v>0.1198708711359763</v>
      </c>
      <c r="W26" s="1">
        <v>-0.3584633922548992</v>
      </c>
      <c r="X26" s="1">
        <v>-0.3943802756836714</v>
      </c>
      <c r="Y26" s="1">
        <v>1.4221312723076109E-2</v>
      </c>
      <c r="Z26" s="1">
        <v>0.15040992568878969</v>
      </c>
      <c r="AA26" s="1">
        <v>-0.21854457969115479</v>
      </c>
      <c r="AB26" s="1">
        <v>0.30039379355698248</v>
      </c>
      <c r="AC26" s="1">
        <v>0.4017473338469546</v>
      </c>
      <c r="AD26" s="1">
        <v>-5.9922146810819088E-2</v>
      </c>
      <c r="AE26" s="1">
        <v>-7.6910296327827874E-3</v>
      </c>
      <c r="AF26" s="1">
        <v>0.49538941280416188</v>
      </c>
      <c r="AG26" s="1">
        <v>0.38005539258279603</v>
      </c>
      <c r="AH26" s="1">
        <v>-0.30212275660657528</v>
      </c>
      <c r="AI26" s="1">
        <v>0.22020303799885829</v>
      </c>
      <c r="AJ26" s="1">
        <v>-4.3060156683354972E-2</v>
      </c>
      <c r="AK26" s="1">
        <v>7.446209485385441E-2</v>
      </c>
      <c r="AL26" s="1">
        <v>0.1074544263057416</v>
      </c>
      <c r="AM26" s="1">
        <v>8.7353687328161136E-3</v>
      </c>
      <c r="AN26" s="1">
        <v>-0.1106607719355505</v>
      </c>
      <c r="AO26" s="1">
        <v>-0.1029057025777895</v>
      </c>
      <c r="AP26" s="1">
        <v>0.41640853388971072</v>
      </c>
      <c r="AQ26" s="1">
        <v>-0.35649193169751819</v>
      </c>
      <c r="AR26" s="1">
        <v>2.0350844492814421E-2</v>
      </c>
      <c r="AS26" s="1">
        <v>-3.2867737066227462E-3</v>
      </c>
      <c r="AT26" s="1">
        <v>-0.15076897992568081</v>
      </c>
      <c r="AU26" s="1">
        <v>0.22984101567941989</v>
      </c>
      <c r="AV26" s="1">
        <v>-2.701295389019814E-2</v>
      </c>
      <c r="AW26" s="1">
        <v>0.110692741431359</v>
      </c>
      <c r="AX26" s="1">
        <v>-8.7562371548723775E-2</v>
      </c>
      <c r="AY26" s="1">
        <v>-0.15123352655858069</v>
      </c>
      <c r="AZ26" s="1">
        <v>-0.1351747783682527</v>
      </c>
      <c r="BA26" s="1">
        <v>0.1721687797484048</v>
      </c>
      <c r="BB26" s="1">
        <v>9.7411651607418992E-2</v>
      </c>
      <c r="BC26" s="1">
        <v>-4.366869614383373E-3</v>
      </c>
      <c r="BD26" s="1">
        <v>-8.4626104287160442E-3</v>
      </c>
      <c r="BE26" s="1">
        <v>-0.2253254170325045</v>
      </c>
      <c r="BF26" s="1">
        <v>5.3072180092927357E-3</v>
      </c>
      <c r="BG26" s="1">
        <v>0.23814201230386919</v>
      </c>
      <c r="BH26" s="1">
        <v>0.38455842328885081</v>
      </c>
      <c r="BI26" s="1">
        <v>1.288899881599736E-2</v>
      </c>
      <c r="BJ26" s="1">
        <v>6.0567254322459393E-2</v>
      </c>
      <c r="BK26" s="1">
        <v>0.1360958044315734</v>
      </c>
      <c r="BL26" s="1">
        <v>-0.1850218211144101</v>
      </c>
      <c r="BM26" s="1">
        <v>-8.4782939838988242E-2</v>
      </c>
      <c r="BN26" s="1">
        <v>-1.989015847921969E-2</v>
      </c>
      <c r="BO26" s="1">
        <v>5.9152692835040738E-2</v>
      </c>
      <c r="BP26" s="1">
        <v>-0.56718861430704814</v>
      </c>
      <c r="BQ26" s="1">
        <v>-3.0219752294305121E-2</v>
      </c>
      <c r="BR26" s="1">
        <v>-0.46561903092791163</v>
      </c>
      <c r="BS26" s="1">
        <v>-0.29899423812570458</v>
      </c>
      <c r="BT26" s="1">
        <v>1.3565277960945889E-2</v>
      </c>
      <c r="BU26" s="1">
        <v>-0.42401330902075263</v>
      </c>
      <c r="BV26" s="1">
        <v>0.57736679187244444</v>
      </c>
      <c r="BW26" s="1">
        <v>-0.12626742260128859</v>
      </c>
      <c r="BX26" s="1">
        <v>-0.11547584939891931</v>
      </c>
      <c r="BY26" s="1">
        <v>-6.2216432947597378E-2</v>
      </c>
      <c r="BZ26" s="1">
        <v>0.17452436813387709</v>
      </c>
      <c r="CA26" s="1">
        <v>-8.5352138787233134E-2</v>
      </c>
      <c r="CB26" s="1">
        <v>6.4127083156042083E-2</v>
      </c>
      <c r="CC26" s="1">
        <v>-0.2133941810290905</v>
      </c>
      <c r="CD26" s="1">
        <v>-0.69133196858938295</v>
      </c>
      <c r="CE26" s="1">
        <v>-1.1613905017936721E-2</v>
      </c>
      <c r="CF26" s="1">
        <v>-0.2205997696869802</v>
      </c>
      <c r="CG26" s="1">
        <v>-0.26059873319147719</v>
      </c>
      <c r="CH26" s="1">
        <v>0.18315276268400121</v>
      </c>
      <c r="CI26" s="1">
        <v>-0.14493950193848451</v>
      </c>
      <c r="CJ26" s="1">
        <v>0.28580320410647481</v>
      </c>
      <c r="CK26" s="1">
        <v>7.0407690410865975E-2</v>
      </c>
      <c r="CL26" s="1">
        <v>8.562087850371021E-2</v>
      </c>
      <c r="CM26" s="1">
        <v>4.4688538323931992E-2</v>
      </c>
      <c r="CN26" s="1">
        <v>0.5691224990463567</v>
      </c>
      <c r="CO26" s="1">
        <v>-0.47231299319638959</v>
      </c>
      <c r="CP26" s="1">
        <v>-3.9424886005623043E-2</v>
      </c>
      <c r="CQ26" s="1">
        <v>5.1440027992953663E-2</v>
      </c>
      <c r="CR26" s="1">
        <v>-0.1377874560487031</v>
      </c>
      <c r="CS26" s="1">
        <v>0.25680382282331699</v>
      </c>
      <c r="CT26" s="1">
        <v>-0.1020926034667536</v>
      </c>
      <c r="CU26" s="1">
        <v>-5.2729044813654813E-2</v>
      </c>
      <c r="CV26" s="1">
        <v>8.9725835158648334E-2</v>
      </c>
      <c r="CW26" s="1">
        <v>-0.234993215272846</v>
      </c>
      <c r="CX26" s="1">
        <v>-0.14669462567028749</v>
      </c>
      <c r="CY26" s="1">
        <v>0.36022804676873771</v>
      </c>
      <c r="CZ26" s="1">
        <v>0.16210690987816029</v>
      </c>
      <c r="DA26" s="1">
        <v>0.81302239690696343</v>
      </c>
      <c r="DB26" s="1">
        <v>0.94810958937996914</v>
      </c>
      <c r="DC26" s="1">
        <v>-0.28272977872851818</v>
      </c>
      <c r="DD26" s="1">
        <v>2.9493018415762889E-2</v>
      </c>
      <c r="DE26" s="1">
        <v>-0.11126515754093801</v>
      </c>
      <c r="DF26" s="1">
        <v>0.10068725514528019</v>
      </c>
      <c r="DG26" s="1">
        <v>-0.21872041243816959</v>
      </c>
      <c r="DH26" s="1">
        <v>-8.2747511785653108E-2</v>
      </c>
      <c r="DI26" s="1">
        <v>-0.37614904154618278</v>
      </c>
      <c r="DJ26" s="1">
        <v>0.2293698745310894</v>
      </c>
      <c r="DK26" s="1">
        <v>0.22005458366138081</v>
      </c>
      <c r="DL26" s="1">
        <v>-0.15326139564237409</v>
      </c>
      <c r="DM26" s="1">
        <v>-0.13104387070065179</v>
      </c>
      <c r="DN26" s="1">
        <v>7.5677388355675057E-2</v>
      </c>
      <c r="DO26" s="1">
        <v>5.233752510823015E-2</v>
      </c>
      <c r="DP26" s="1">
        <v>1.191424786424663E-2</v>
      </c>
      <c r="DQ26" s="1">
        <v>4.8815482548044409E-2</v>
      </c>
      <c r="DR26" s="1">
        <v>0.34727416965402652</v>
      </c>
      <c r="DS26" s="1">
        <v>0.14400697483881431</v>
      </c>
      <c r="DT26" s="1">
        <v>-2.9435726388863388E-2</v>
      </c>
      <c r="DU26" s="1">
        <v>0.7705433077559587</v>
      </c>
      <c r="DV26" s="1">
        <v>-0.32149888937948667</v>
      </c>
      <c r="DW26" s="1">
        <v>-0.22665737061400629</v>
      </c>
      <c r="DX26" s="1">
        <v>2.8142322567260621E-2</v>
      </c>
      <c r="DY26" s="1">
        <v>0.1657872141314391</v>
      </c>
      <c r="DZ26" s="1">
        <v>5.8303293232280007E-2</v>
      </c>
      <c r="EA26" s="1">
        <v>2.3171501846674901E-2</v>
      </c>
      <c r="EB26" s="1">
        <v>0.66580759497743014</v>
      </c>
      <c r="EC26" s="1">
        <v>-0.25665137996352638</v>
      </c>
      <c r="ED26" s="1">
        <v>-8.4540092567264802E-2</v>
      </c>
      <c r="EE26" s="1">
        <v>-3.5663982870964749E-2</v>
      </c>
      <c r="EF26" s="1">
        <v>-0.12895777307843831</v>
      </c>
    </row>
    <row r="27" spans="1:136" ht="16">
      <c r="A27" s="6" t="s">
        <v>141</v>
      </c>
      <c r="B27" s="6" t="s">
        <v>142</v>
      </c>
      <c r="C27" s="22">
        <v>-1.7446770539390338E-2</v>
      </c>
      <c r="D27" s="22">
        <v>2.070106053181563E-2</v>
      </c>
      <c r="E27" s="22">
        <v>2.3982129254766709E-2</v>
      </c>
      <c r="F27" s="22">
        <v>-6.557578972823077E-3</v>
      </c>
      <c r="G27" s="22">
        <v>3.1845129800519692E-2</v>
      </c>
      <c r="H27" s="22">
        <v>3.4348532736990518E-2</v>
      </c>
      <c r="I27" s="22">
        <v>-8.2549327813252367E-3</v>
      </c>
      <c r="J27" s="22">
        <v>1.2843524394052759E-2</v>
      </c>
      <c r="K27" s="22">
        <v>-5.1018524626790823E-2</v>
      </c>
      <c r="L27" s="22">
        <v>8.7394274103658827E-4</v>
      </c>
      <c r="M27" s="22">
        <v>2.3389575505495919E-2</v>
      </c>
      <c r="N27" s="22">
        <v>1.2988972200332851E-2</v>
      </c>
      <c r="O27" s="22">
        <v>5.8545887256348812E-3</v>
      </c>
      <c r="P27" s="22">
        <v>2.7413206571790558E-2</v>
      </c>
      <c r="Q27" s="22">
        <v>-3.7129361176928542E-3</v>
      </c>
      <c r="R27" s="22">
        <v>2.4076614047823328E-2</v>
      </c>
      <c r="S27" s="22">
        <v>-1.219002529903996E-2</v>
      </c>
      <c r="T27" s="22">
        <v>-3.9749578159589592E-2</v>
      </c>
      <c r="U27" s="22">
        <v>-7.3155449831649552E-2</v>
      </c>
      <c r="V27" s="22">
        <v>-5.8260229910114661E-2</v>
      </c>
      <c r="W27" s="22">
        <v>7.7279756550837221E-4</v>
      </c>
      <c r="X27" s="22">
        <v>4.459152113521897E-2</v>
      </c>
      <c r="Y27" s="22">
        <v>-2.7699680050213091E-2</v>
      </c>
      <c r="Z27" s="22">
        <v>2.0950059497436462E-3</v>
      </c>
      <c r="AA27" s="22">
        <v>-2.340055099256411E-2</v>
      </c>
      <c r="AB27" s="22">
        <v>3.2129371097322189E-2</v>
      </c>
      <c r="AC27" s="22">
        <v>3.890327309406643E-2</v>
      </c>
      <c r="AD27" s="22">
        <v>-4.286538217110427E-2</v>
      </c>
      <c r="AE27" s="22">
        <v>1.8647194550152159E-2</v>
      </c>
      <c r="AF27" s="22">
        <v>1.5229768322528949E-2</v>
      </c>
      <c r="AG27" s="22">
        <v>3.6016603778892417E-2</v>
      </c>
      <c r="AH27" s="22">
        <v>9.3546113853161701E-3</v>
      </c>
      <c r="AI27" s="22">
        <v>1.0748251336838139E-2</v>
      </c>
      <c r="AJ27" s="22">
        <v>1.335775405308097E-2</v>
      </c>
      <c r="AK27" s="22">
        <v>-5.3327473290953921E-3</v>
      </c>
      <c r="AL27" s="22">
        <v>1.383135807261675E-3</v>
      </c>
      <c r="AM27" s="22">
        <v>2.079592842007446E-2</v>
      </c>
      <c r="AN27" s="22">
        <v>3.1517702220390638E-2</v>
      </c>
      <c r="AO27" s="22">
        <v>6.2417165333294418E-3</v>
      </c>
      <c r="AP27" s="22">
        <v>6.1452616535713897E-3</v>
      </c>
      <c r="AQ27" s="22">
        <v>1.694635767669651E-2</v>
      </c>
      <c r="AR27" s="22">
        <v>3.4682830454308228E-2</v>
      </c>
      <c r="AS27" s="22">
        <v>3.0985886171969678E-3</v>
      </c>
      <c r="AT27" s="22">
        <v>1.508134714348611E-2</v>
      </c>
      <c r="AU27" s="22">
        <v>-1.9251209229863991E-2</v>
      </c>
      <c r="AV27" s="22">
        <v>3.8711513387631437E-2</v>
      </c>
      <c r="AW27" s="22">
        <v>-2.1856951135736599E-2</v>
      </c>
      <c r="AX27" s="22">
        <v>7.7743007097896798E-3</v>
      </c>
      <c r="AY27" s="22">
        <v>4.2397246695325942E-2</v>
      </c>
      <c r="AZ27" s="22">
        <v>-2.630897486115975E-2</v>
      </c>
      <c r="BA27" s="22">
        <v>9.5717493087162323E-3</v>
      </c>
      <c r="BB27" s="22">
        <v>-2.424974126627483E-2</v>
      </c>
      <c r="BC27" s="22">
        <v>2.0163374143915822E-2</v>
      </c>
      <c r="BD27" s="22">
        <v>-3.5049987821160239E-3</v>
      </c>
      <c r="BE27" s="22">
        <v>2.0151935098542271E-2</v>
      </c>
      <c r="BF27" s="22">
        <v>5.8133623077027128E-4</v>
      </c>
      <c r="BG27" s="22">
        <v>-5.2197009532526043E-3</v>
      </c>
      <c r="BH27" s="22">
        <v>-0.11587176140213</v>
      </c>
      <c r="BI27" s="22">
        <v>8.7252256924373536E-3</v>
      </c>
      <c r="BJ27" s="22">
        <v>-1.6377260977822151E-2</v>
      </c>
      <c r="BK27" s="22">
        <v>2.0840371600260421E-2</v>
      </c>
      <c r="BL27" s="22">
        <v>4.4975872102114713E-2</v>
      </c>
      <c r="BM27" s="22">
        <v>2.3954306081863871E-2</v>
      </c>
      <c r="BN27" s="22">
        <v>3.0239101391442601E-2</v>
      </c>
      <c r="BO27" s="22">
        <v>-4.372588759108751E-2</v>
      </c>
      <c r="BP27" s="22">
        <v>2.1889469568198618E-2</v>
      </c>
      <c r="BQ27" s="22">
        <v>8.6274302635084028E-3</v>
      </c>
      <c r="BR27" s="22">
        <v>-1.9192953994658781E-2</v>
      </c>
      <c r="BS27" s="22">
        <v>1.973512988813305E-2</v>
      </c>
      <c r="BT27" s="22">
        <v>4.7694337483699438E-2</v>
      </c>
      <c r="BU27" s="22">
        <v>1.145481680658339E-2</v>
      </c>
      <c r="BV27" s="22">
        <v>4.3228620735213191E-2</v>
      </c>
      <c r="BW27" s="22">
        <v>-4.2747430436922793E-2</v>
      </c>
      <c r="BX27" s="22">
        <v>-1.781129242779457E-2</v>
      </c>
      <c r="BY27" s="22">
        <v>-0.1511530968690756</v>
      </c>
      <c r="BZ27" s="22">
        <v>0.12422400361957529</v>
      </c>
      <c r="CA27" s="22">
        <v>-4.5572538445296431E-3</v>
      </c>
      <c r="CB27" s="22">
        <v>6.0211240204911178E-2</v>
      </c>
      <c r="CC27" s="22">
        <v>8.5992033482502284E-2</v>
      </c>
      <c r="CD27" s="22">
        <v>-5.8084795823660634E-3</v>
      </c>
      <c r="CE27" s="22">
        <v>-6.0413469889680736E-3</v>
      </c>
      <c r="CF27" s="22">
        <v>2.4523243722520739E-3</v>
      </c>
      <c r="CG27" s="22">
        <v>8.963625193702289E-2</v>
      </c>
      <c r="CH27" s="22">
        <v>7.099273252675789E-2</v>
      </c>
      <c r="CI27" s="22">
        <v>2.7170642901783448E-2</v>
      </c>
      <c r="CJ27" s="22">
        <v>5.2468428425330033E-2</v>
      </c>
      <c r="CK27" s="22">
        <v>2.9480660943049509E-2</v>
      </c>
      <c r="CL27" s="22">
        <v>6.6825081060201283E-2</v>
      </c>
      <c r="CM27" s="22">
        <v>-2.8772229019816971E-2</v>
      </c>
      <c r="CN27" s="22">
        <v>3.9462515901637851E-2</v>
      </c>
      <c r="CO27" s="22">
        <v>-2.9031086977359909E-2</v>
      </c>
      <c r="CP27" s="22">
        <v>1.3983882519467901E-2</v>
      </c>
      <c r="CQ27" s="22">
        <v>-3.2276964959333833E-2</v>
      </c>
      <c r="CR27" s="22">
        <v>3.1035766128940231E-3</v>
      </c>
      <c r="CS27" s="22">
        <v>2.5591855767083171E-2</v>
      </c>
      <c r="CT27" s="22">
        <v>4.4391886287193302E-2</v>
      </c>
      <c r="CU27" s="22">
        <v>-3.0338958549577438E-2</v>
      </c>
      <c r="CV27" s="22">
        <v>-1.2579764545717069E-3</v>
      </c>
      <c r="CW27" s="22">
        <v>2.336356455857952E-3</v>
      </c>
      <c r="CX27" s="22">
        <v>-6.4264144925906069E-2</v>
      </c>
      <c r="CY27" s="22">
        <v>1.2909779458992439E-2</v>
      </c>
      <c r="CZ27" s="22">
        <v>-0.12547709467085871</v>
      </c>
      <c r="DA27" s="22">
        <v>1.1690682939792569E-2</v>
      </c>
      <c r="DB27" s="22">
        <v>6.3378437007417512E-3</v>
      </c>
      <c r="DC27" s="22">
        <v>-0.1173053564693855</v>
      </c>
      <c r="DD27" s="22">
        <v>-3.6010872049446613E-2</v>
      </c>
      <c r="DE27" s="22">
        <v>0.1389113040722679</v>
      </c>
      <c r="DF27" s="22">
        <v>-5.1143506226105737E-2</v>
      </c>
      <c r="DG27" s="22">
        <v>7.6731447181969059E-2</v>
      </c>
      <c r="DH27" s="22">
        <v>1.550878219700816E-2</v>
      </c>
      <c r="DI27" s="22">
        <v>2.3223773674755831E-2</v>
      </c>
      <c r="DJ27" s="22">
        <v>-1.8372876361227891E-2</v>
      </c>
      <c r="DK27" s="22">
        <v>6.2199014085099431E-2</v>
      </c>
      <c r="DL27" s="22">
        <v>2.0098304486957191E-2</v>
      </c>
      <c r="DM27" s="22">
        <v>1.349893974806809E-2</v>
      </c>
      <c r="DN27" s="22">
        <v>-3.025221272842088E-2</v>
      </c>
      <c r="DO27" s="22">
        <v>-1.7022835708053841E-2</v>
      </c>
      <c r="DP27" s="22">
        <v>-2.1788523272461981E-2</v>
      </c>
      <c r="DQ27" s="22">
        <v>8.5745624585137223E-2</v>
      </c>
      <c r="DR27" s="22">
        <v>2.8106743604973752E-2</v>
      </c>
      <c r="DS27" s="22">
        <v>-2.3031598073594501E-3</v>
      </c>
      <c r="DT27" s="22">
        <v>5.8471198131487503E-2</v>
      </c>
      <c r="DU27" s="22">
        <v>6.7658949048647651E-2</v>
      </c>
      <c r="DV27" s="22">
        <v>5.0207706404322644E-3</v>
      </c>
      <c r="DW27" s="22">
        <v>3.7416183675207063E-2</v>
      </c>
      <c r="DX27" s="22">
        <v>8.4111003746042121E-2</v>
      </c>
      <c r="DY27" s="22">
        <v>-3.6832398544012837E-2</v>
      </c>
      <c r="DZ27" s="22">
        <v>3.0917028169369942E-3</v>
      </c>
      <c r="EA27" s="22">
        <v>-1.957628214294549E-3</v>
      </c>
      <c r="EB27" s="22">
        <v>2.6459103603519739E-2</v>
      </c>
      <c r="EC27" s="22">
        <v>-2.4752538760690269E-2</v>
      </c>
      <c r="ED27" s="22">
        <v>3.4115490982559941E-2</v>
      </c>
      <c r="EE27" s="22">
        <v>2.1061973989032982E-2</v>
      </c>
      <c r="EF27" s="22">
        <v>-2.0277392706005919E-2</v>
      </c>
    </row>
    <row r="28" spans="1:136">
      <c r="A28" s="3"/>
      <c r="B28" s="3"/>
      <c r="K28" s="3"/>
    </row>
    <row r="29" spans="1:136">
      <c r="C29" s="47">
        <v>1101</v>
      </c>
      <c r="D29" s="47">
        <v>2484</v>
      </c>
      <c r="E29" s="47">
        <v>1233</v>
      </c>
      <c r="F29" s="47">
        <v>2524</v>
      </c>
      <c r="G29" s="47">
        <v>2611</v>
      </c>
      <c r="H29" s="47">
        <v>1233</v>
      </c>
      <c r="I29" s="47">
        <v>2379</v>
      </c>
      <c r="J29" s="47">
        <v>2379</v>
      </c>
      <c r="K29" s="47">
        <v>2524</v>
      </c>
      <c r="L29" s="47">
        <v>1233</v>
      </c>
      <c r="M29" s="47">
        <v>2524</v>
      </c>
      <c r="N29" s="47">
        <v>1805</v>
      </c>
      <c r="O29" s="47">
        <v>2538</v>
      </c>
      <c r="P29" s="47">
        <v>3033</v>
      </c>
      <c r="Q29" s="47">
        <v>2385</v>
      </c>
      <c r="R29" s="47">
        <v>3024</v>
      </c>
      <c r="S29" s="47">
        <v>3024</v>
      </c>
      <c r="T29" s="47">
        <v>1314</v>
      </c>
      <c r="U29" s="47">
        <v>3024</v>
      </c>
      <c r="V29" s="47">
        <v>3024</v>
      </c>
      <c r="W29" s="47">
        <v>5521</v>
      </c>
      <c r="X29" s="47">
        <v>2535</v>
      </c>
      <c r="Y29" s="47">
        <v>3033</v>
      </c>
      <c r="Z29" s="47">
        <v>5201</v>
      </c>
      <c r="AA29" s="47">
        <v>2535</v>
      </c>
      <c r="AB29" s="47">
        <v>5201</v>
      </c>
      <c r="AC29" s="47">
        <v>5471</v>
      </c>
      <c r="AD29" s="47">
        <v>5521</v>
      </c>
      <c r="AE29" s="47">
        <v>2023</v>
      </c>
      <c r="AF29" s="47">
        <v>2023</v>
      </c>
      <c r="AG29" s="47">
        <v>3017</v>
      </c>
      <c r="AH29" s="47">
        <v>3033</v>
      </c>
      <c r="AI29" s="47">
        <v>1464</v>
      </c>
      <c r="AJ29" s="47">
        <v>2451</v>
      </c>
      <c r="AK29" s="47">
        <v>2451</v>
      </c>
      <c r="AL29" s="47">
        <v>4413</v>
      </c>
      <c r="AM29" s="47">
        <v>2451</v>
      </c>
      <c r="AN29" s="47">
        <v>2451</v>
      </c>
      <c r="AO29" s="47">
        <v>6121</v>
      </c>
      <c r="AP29" s="47">
        <v>2451</v>
      </c>
      <c r="AQ29" s="47">
        <v>1805</v>
      </c>
      <c r="AR29" s="47">
        <v>4416</v>
      </c>
      <c r="AS29" s="47">
        <v>5523</v>
      </c>
      <c r="AT29" s="47">
        <v>2524</v>
      </c>
      <c r="AU29" s="47">
        <v>1436</v>
      </c>
      <c r="AV29" s="47">
        <v>2338</v>
      </c>
      <c r="AW29" s="47">
        <v>5212</v>
      </c>
      <c r="AX29" s="47">
        <v>2338</v>
      </c>
      <c r="AY29" s="47">
        <v>6186</v>
      </c>
      <c r="AZ29" s="47">
        <v>5523</v>
      </c>
      <c r="BA29" s="47">
        <v>5523</v>
      </c>
      <c r="BB29" s="47">
        <v>5443</v>
      </c>
      <c r="BC29" s="47">
        <v>3051</v>
      </c>
      <c r="BD29" s="47">
        <v>5523</v>
      </c>
      <c r="BE29" s="47">
        <v>3051</v>
      </c>
      <c r="BF29" s="47">
        <v>3051</v>
      </c>
      <c r="BG29" s="47">
        <v>3051</v>
      </c>
      <c r="BH29" s="47">
        <v>6186</v>
      </c>
      <c r="BI29" s="47">
        <v>6186</v>
      </c>
      <c r="BJ29" s="47">
        <v>2537</v>
      </c>
      <c r="BK29" s="47">
        <v>2537</v>
      </c>
      <c r="BL29" s="47">
        <v>2488</v>
      </c>
      <c r="BM29" s="47">
        <v>6192</v>
      </c>
      <c r="BN29" s="47">
        <v>8927</v>
      </c>
      <c r="BO29" s="47">
        <v>2537</v>
      </c>
      <c r="BP29" s="47">
        <v>4416</v>
      </c>
      <c r="BQ29" s="47">
        <v>2537</v>
      </c>
      <c r="BR29" s="47">
        <v>6128</v>
      </c>
      <c r="BS29" s="47">
        <v>3002</v>
      </c>
      <c r="BT29" s="47">
        <v>5007</v>
      </c>
      <c r="BU29" s="47">
        <v>4109</v>
      </c>
      <c r="BV29" s="47">
        <v>6128</v>
      </c>
      <c r="BW29" s="47">
        <v>8085</v>
      </c>
      <c r="BX29" s="47">
        <v>8927</v>
      </c>
      <c r="BY29" s="47">
        <v>1737</v>
      </c>
      <c r="BZ29" s="47">
        <v>6242</v>
      </c>
      <c r="CA29" s="47">
        <v>6242</v>
      </c>
      <c r="CB29" s="47">
        <v>8927</v>
      </c>
      <c r="CC29" s="47">
        <v>8927</v>
      </c>
      <c r="CD29" s="47">
        <v>6242</v>
      </c>
      <c r="CE29" s="47">
        <v>8927</v>
      </c>
      <c r="CF29" s="47">
        <v>6242</v>
      </c>
      <c r="CG29" s="47">
        <v>8050</v>
      </c>
      <c r="CH29" s="47">
        <v>6242</v>
      </c>
      <c r="CI29" s="47">
        <v>6242</v>
      </c>
      <c r="CJ29" s="47">
        <v>8050</v>
      </c>
      <c r="CK29" s="47">
        <v>8050</v>
      </c>
      <c r="CL29" s="47">
        <v>6242</v>
      </c>
      <c r="CM29" s="47">
        <v>4402</v>
      </c>
      <c r="CN29" s="47">
        <v>3016</v>
      </c>
      <c r="CO29" s="47">
        <v>1436</v>
      </c>
      <c r="CP29" s="47">
        <v>6242</v>
      </c>
      <c r="CQ29" s="47">
        <v>3016</v>
      </c>
      <c r="CR29" s="47">
        <v>6242</v>
      </c>
      <c r="CS29" s="47">
        <v>3005</v>
      </c>
      <c r="CT29" s="47">
        <v>2493</v>
      </c>
      <c r="CU29" s="47">
        <v>2423</v>
      </c>
      <c r="CV29" s="47">
        <v>1734</v>
      </c>
      <c r="CW29" s="47">
        <v>5306</v>
      </c>
      <c r="CX29" s="47">
        <v>4402</v>
      </c>
      <c r="CY29" s="47">
        <v>9904</v>
      </c>
      <c r="CZ29" s="47">
        <v>8072</v>
      </c>
      <c r="DA29" s="47">
        <v>5007</v>
      </c>
      <c r="DB29" s="47">
        <v>9904</v>
      </c>
      <c r="DC29" s="47">
        <v>8072</v>
      </c>
      <c r="DD29" s="47">
        <v>6021</v>
      </c>
      <c r="DE29" s="47">
        <v>3232</v>
      </c>
      <c r="DF29" s="47">
        <v>2538</v>
      </c>
      <c r="DG29" s="47">
        <v>2538</v>
      </c>
      <c r="DH29" s="47">
        <v>5306</v>
      </c>
      <c r="DI29" s="47">
        <v>2538</v>
      </c>
      <c r="DJ29" s="47">
        <v>2434</v>
      </c>
      <c r="DK29" s="47">
        <v>2538</v>
      </c>
      <c r="DL29" s="47">
        <v>6020</v>
      </c>
      <c r="DM29" s="47">
        <v>2538</v>
      </c>
      <c r="DN29" s="47">
        <v>4402</v>
      </c>
      <c r="DO29" s="47">
        <v>2538</v>
      </c>
      <c r="DP29" s="47">
        <v>5425</v>
      </c>
      <c r="DQ29" s="47">
        <v>5425</v>
      </c>
      <c r="DR29" s="47">
        <v>4402</v>
      </c>
      <c r="DS29" s="47">
        <v>6291</v>
      </c>
      <c r="DT29" s="47">
        <v>2031</v>
      </c>
      <c r="DU29" s="47">
        <v>6291</v>
      </c>
      <c r="DV29" s="47">
        <v>3232</v>
      </c>
      <c r="DW29" s="47">
        <v>2538</v>
      </c>
      <c r="DX29" s="47">
        <v>6291</v>
      </c>
      <c r="DY29" s="47">
        <v>2538</v>
      </c>
      <c r="DZ29" s="47">
        <v>2538</v>
      </c>
      <c r="EA29" s="47">
        <v>8074</v>
      </c>
      <c r="EB29" s="47">
        <v>8074</v>
      </c>
      <c r="EC29" s="47">
        <v>3232</v>
      </c>
      <c r="ED29" s="47">
        <v>4402</v>
      </c>
      <c r="EE29" s="47">
        <v>2538</v>
      </c>
      <c r="EF29" s="47">
        <v>2538</v>
      </c>
    </row>
    <row r="30" spans="1:136">
      <c r="C30" s="47" t="s">
        <v>166</v>
      </c>
      <c r="D30" s="47" t="s">
        <v>167</v>
      </c>
      <c r="E30" s="47" t="s">
        <v>168</v>
      </c>
      <c r="F30" s="47" t="s">
        <v>169</v>
      </c>
      <c r="G30" s="47" t="s">
        <v>170</v>
      </c>
      <c r="H30" s="47" t="s">
        <v>168</v>
      </c>
      <c r="I30" s="47" t="s">
        <v>171</v>
      </c>
      <c r="J30" s="47" t="s">
        <v>171</v>
      </c>
      <c r="K30" s="47" t="s">
        <v>169</v>
      </c>
      <c r="L30" s="47" t="s">
        <v>168</v>
      </c>
      <c r="M30" s="47" t="s">
        <v>169</v>
      </c>
      <c r="N30" s="47" t="s">
        <v>172</v>
      </c>
      <c r="O30" s="47" t="s">
        <v>173</v>
      </c>
      <c r="P30" s="47" t="s">
        <v>174</v>
      </c>
      <c r="Q30" s="47" t="s">
        <v>175</v>
      </c>
      <c r="R30" s="47" t="s">
        <v>176</v>
      </c>
      <c r="S30" s="47" t="s">
        <v>176</v>
      </c>
      <c r="T30" s="47" t="s">
        <v>177</v>
      </c>
      <c r="U30" s="47" t="s">
        <v>176</v>
      </c>
      <c r="V30" s="47" t="s">
        <v>176</v>
      </c>
      <c r="W30" s="47" t="s">
        <v>178</v>
      </c>
      <c r="X30" s="47" t="s">
        <v>179</v>
      </c>
      <c r="Y30" s="47" t="s">
        <v>174</v>
      </c>
      <c r="Z30" s="47" t="s">
        <v>180</v>
      </c>
      <c r="AA30" s="47" t="s">
        <v>179</v>
      </c>
      <c r="AB30" s="47" t="s">
        <v>180</v>
      </c>
      <c r="AC30" s="47" t="s">
        <v>181</v>
      </c>
      <c r="AD30" s="47" t="s">
        <v>178</v>
      </c>
      <c r="AE30" s="47" t="s">
        <v>182</v>
      </c>
      <c r="AF30" s="47" t="s">
        <v>182</v>
      </c>
      <c r="AG30" s="47" t="s">
        <v>183</v>
      </c>
      <c r="AH30" s="47" t="s">
        <v>174</v>
      </c>
      <c r="AI30" s="47" t="s">
        <v>184</v>
      </c>
      <c r="AJ30" s="47" t="s">
        <v>185</v>
      </c>
      <c r="AK30" s="47" t="s">
        <v>185</v>
      </c>
      <c r="AL30" s="47" t="s">
        <v>186</v>
      </c>
      <c r="AM30" s="47" t="s">
        <v>185</v>
      </c>
      <c r="AN30" s="47" t="s">
        <v>185</v>
      </c>
      <c r="AO30" s="47" t="s">
        <v>187</v>
      </c>
      <c r="AP30" s="47" t="s">
        <v>185</v>
      </c>
      <c r="AQ30" s="47" t="s">
        <v>172</v>
      </c>
      <c r="AR30" s="47" t="s">
        <v>188</v>
      </c>
      <c r="AS30" s="47" t="s">
        <v>189</v>
      </c>
      <c r="AT30" s="47" t="s">
        <v>169</v>
      </c>
      <c r="AU30" s="47" t="s">
        <v>190</v>
      </c>
      <c r="AV30" s="47" t="s">
        <v>191</v>
      </c>
      <c r="AW30" s="47" t="s">
        <v>192</v>
      </c>
      <c r="AX30" s="47" t="s">
        <v>191</v>
      </c>
      <c r="AY30" s="47" t="s">
        <v>193</v>
      </c>
      <c r="AZ30" s="47" t="s">
        <v>189</v>
      </c>
      <c r="BA30" s="47" t="s">
        <v>189</v>
      </c>
      <c r="BB30" s="47" t="s">
        <v>194</v>
      </c>
      <c r="BC30" s="47" t="s">
        <v>195</v>
      </c>
      <c r="BD30" s="47" t="s">
        <v>189</v>
      </c>
      <c r="BE30" s="47" t="s">
        <v>195</v>
      </c>
      <c r="BF30" s="47" t="s">
        <v>195</v>
      </c>
      <c r="BG30" s="47" t="s">
        <v>195</v>
      </c>
      <c r="BH30" s="47" t="s">
        <v>193</v>
      </c>
      <c r="BI30" s="47" t="s">
        <v>193</v>
      </c>
      <c r="BJ30" s="47" t="s">
        <v>196</v>
      </c>
      <c r="BK30" s="47" t="s">
        <v>196</v>
      </c>
      <c r="BL30" s="47" t="s">
        <v>197</v>
      </c>
      <c r="BM30" s="47" t="s">
        <v>198</v>
      </c>
      <c r="BN30" s="47" t="s">
        <v>199</v>
      </c>
      <c r="BO30" s="47" t="s">
        <v>196</v>
      </c>
      <c r="BP30" s="47" t="s">
        <v>188</v>
      </c>
      <c r="BQ30" s="47" t="s">
        <v>196</v>
      </c>
      <c r="BR30" s="47" t="s">
        <v>200</v>
      </c>
      <c r="BS30" s="47" t="s">
        <v>201</v>
      </c>
      <c r="BT30" s="47" t="s">
        <v>202</v>
      </c>
      <c r="BU30" s="47" t="s">
        <v>203</v>
      </c>
      <c r="BV30" s="47" t="s">
        <v>200</v>
      </c>
      <c r="BW30" s="47" t="s">
        <v>204</v>
      </c>
      <c r="BX30" s="47" t="s">
        <v>199</v>
      </c>
      <c r="BY30" s="47" t="s">
        <v>205</v>
      </c>
      <c r="BZ30" s="47" t="s">
        <v>206</v>
      </c>
      <c r="CA30" s="47" t="s">
        <v>206</v>
      </c>
      <c r="CB30" s="47" t="s">
        <v>199</v>
      </c>
      <c r="CC30" s="47" t="s">
        <v>199</v>
      </c>
      <c r="CD30" s="47" t="s">
        <v>206</v>
      </c>
      <c r="CE30" s="47" t="s">
        <v>199</v>
      </c>
      <c r="CF30" s="47" t="s">
        <v>206</v>
      </c>
      <c r="CG30" s="47" t="s">
        <v>207</v>
      </c>
      <c r="CH30" s="47" t="s">
        <v>206</v>
      </c>
      <c r="CI30" s="47" t="s">
        <v>206</v>
      </c>
      <c r="CJ30" s="47" t="s">
        <v>207</v>
      </c>
      <c r="CK30" s="47" t="s">
        <v>207</v>
      </c>
      <c r="CL30" s="47" t="s">
        <v>206</v>
      </c>
      <c r="CM30" s="47" t="s">
        <v>208</v>
      </c>
      <c r="CN30" s="47" t="s">
        <v>209</v>
      </c>
      <c r="CO30" s="47" t="s">
        <v>190</v>
      </c>
      <c r="CP30" s="47" t="s">
        <v>206</v>
      </c>
      <c r="CQ30" s="47" t="s">
        <v>209</v>
      </c>
      <c r="CR30" s="47" t="s">
        <v>206</v>
      </c>
      <c r="CS30" s="47" t="s">
        <v>210</v>
      </c>
      <c r="CT30" s="47" t="s">
        <v>211</v>
      </c>
      <c r="CU30" s="47" t="s">
        <v>212</v>
      </c>
      <c r="CV30" s="47" t="s">
        <v>213</v>
      </c>
      <c r="CW30" s="47" t="s">
        <v>214</v>
      </c>
      <c r="CX30" s="47" t="s">
        <v>208</v>
      </c>
      <c r="CY30" s="47" t="s">
        <v>215</v>
      </c>
      <c r="CZ30" s="47" t="s">
        <v>216</v>
      </c>
      <c r="DA30" s="47" t="s">
        <v>202</v>
      </c>
      <c r="DB30" s="47" t="s">
        <v>215</v>
      </c>
      <c r="DC30" s="47" t="s">
        <v>216</v>
      </c>
      <c r="DD30" s="47" t="s">
        <v>217</v>
      </c>
      <c r="DE30" s="47" t="s">
        <v>218</v>
      </c>
      <c r="DF30" s="47" t="s">
        <v>173</v>
      </c>
      <c r="DG30" s="47" t="s">
        <v>173</v>
      </c>
      <c r="DH30" s="47" t="s">
        <v>214</v>
      </c>
      <c r="DI30" s="47" t="s">
        <v>173</v>
      </c>
      <c r="DJ30" s="47" t="s">
        <v>219</v>
      </c>
      <c r="DK30" s="47" t="s">
        <v>173</v>
      </c>
      <c r="DL30" s="47" t="s">
        <v>220</v>
      </c>
      <c r="DM30" s="47" t="s">
        <v>173</v>
      </c>
      <c r="DN30" s="47" t="s">
        <v>208</v>
      </c>
      <c r="DO30" s="47" t="s">
        <v>173</v>
      </c>
      <c r="DP30" s="47" t="s">
        <v>221</v>
      </c>
      <c r="DQ30" s="47" t="s">
        <v>221</v>
      </c>
      <c r="DR30" s="47" t="s">
        <v>208</v>
      </c>
      <c r="DS30" s="47" t="s">
        <v>222</v>
      </c>
      <c r="DT30" s="47" t="s">
        <v>223</v>
      </c>
      <c r="DU30" s="47" t="s">
        <v>222</v>
      </c>
      <c r="DV30" s="47" t="s">
        <v>218</v>
      </c>
      <c r="DW30" s="47" t="s">
        <v>173</v>
      </c>
      <c r="DX30" s="47" t="s">
        <v>222</v>
      </c>
      <c r="DY30" s="47" t="s">
        <v>173</v>
      </c>
      <c r="DZ30" s="47" t="s">
        <v>173</v>
      </c>
      <c r="EA30" s="47" t="s">
        <v>224</v>
      </c>
      <c r="EB30" s="47" t="s">
        <v>224</v>
      </c>
      <c r="EC30" s="47" t="s">
        <v>218</v>
      </c>
      <c r="ED30" s="47" t="s">
        <v>208</v>
      </c>
      <c r="EE30" s="47" t="s">
        <v>173</v>
      </c>
      <c r="EF30" s="47" t="s">
        <v>173</v>
      </c>
    </row>
    <row r="31" spans="1:136">
      <c r="C31" s="47">
        <v>9951</v>
      </c>
      <c r="D31" s="47">
        <v>3219</v>
      </c>
      <c r="E31" s="47">
        <v>2328</v>
      </c>
      <c r="F31" s="47">
        <v>2489</v>
      </c>
      <c r="G31" s="47">
        <v>2489</v>
      </c>
      <c r="H31" s="47">
        <v>2328</v>
      </c>
      <c r="I31" s="47">
        <v>1805</v>
      </c>
      <c r="J31" s="47">
        <v>1440</v>
      </c>
      <c r="K31" s="47">
        <v>2489</v>
      </c>
      <c r="L31" s="47">
        <v>2328</v>
      </c>
      <c r="M31" s="47">
        <v>2436</v>
      </c>
      <c r="N31" s="47">
        <v>2328</v>
      </c>
      <c r="O31" s="47">
        <v>2436</v>
      </c>
      <c r="P31" s="47">
        <v>2524</v>
      </c>
      <c r="Q31" s="47">
        <v>2524</v>
      </c>
      <c r="R31" s="47">
        <v>2524</v>
      </c>
      <c r="S31" s="47">
        <v>2524</v>
      </c>
      <c r="T31" s="47">
        <v>1451</v>
      </c>
      <c r="U31" s="47">
        <v>2524</v>
      </c>
      <c r="V31" s="47">
        <v>2524</v>
      </c>
      <c r="W31" s="47">
        <v>2328</v>
      </c>
      <c r="X31" s="47">
        <v>5007</v>
      </c>
      <c r="Y31" s="47">
        <v>2524</v>
      </c>
      <c r="Z31" s="47">
        <v>2524</v>
      </c>
      <c r="AA31" s="47">
        <v>5007</v>
      </c>
      <c r="AB31" s="47">
        <v>2524</v>
      </c>
      <c r="AC31" s="47">
        <v>5432</v>
      </c>
      <c r="AD31" s="47">
        <v>2328</v>
      </c>
      <c r="AE31" s="47">
        <v>5443</v>
      </c>
      <c r="AF31" s="47">
        <v>4528</v>
      </c>
      <c r="AG31" s="47">
        <v>2524</v>
      </c>
      <c r="AH31" s="47">
        <v>2527</v>
      </c>
      <c r="AI31" s="47">
        <v>2328</v>
      </c>
      <c r="AJ31" s="47">
        <v>2002</v>
      </c>
      <c r="AK31" s="47">
        <v>2538</v>
      </c>
      <c r="AL31" s="47">
        <v>2328</v>
      </c>
      <c r="AM31" s="47">
        <v>2538</v>
      </c>
      <c r="AN31" s="47">
        <v>2022</v>
      </c>
      <c r="AO31" s="47">
        <v>2023</v>
      </c>
      <c r="AP31" s="47">
        <v>2023</v>
      </c>
      <c r="AQ31" s="47">
        <v>2328</v>
      </c>
      <c r="AR31" s="47">
        <v>2328</v>
      </c>
      <c r="AS31" s="47">
        <v>2022</v>
      </c>
      <c r="AT31" s="47">
        <v>9904</v>
      </c>
      <c r="AU31" s="47">
        <v>2328</v>
      </c>
      <c r="AV31" s="47">
        <v>2607</v>
      </c>
      <c r="AW31" s="47">
        <v>1440</v>
      </c>
      <c r="AX31" s="47">
        <v>2539</v>
      </c>
      <c r="AY31" s="47">
        <v>2527</v>
      </c>
      <c r="AZ31" s="47">
        <v>2328</v>
      </c>
      <c r="BA31" s="47">
        <v>2328</v>
      </c>
      <c r="BB31" s="47">
        <v>5523</v>
      </c>
      <c r="BC31" s="47">
        <v>5523</v>
      </c>
      <c r="BD31" s="47">
        <v>2328</v>
      </c>
      <c r="BE31" s="47">
        <v>5523</v>
      </c>
      <c r="BF31" s="47">
        <v>5523</v>
      </c>
      <c r="BG31" s="47">
        <v>5523</v>
      </c>
      <c r="BH31" s="47">
        <v>5523</v>
      </c>
      <c r="BI31" s="47">
        <v>1785</v>
      </c>
      <c r="BJ31" s="47">
        <v>2328</v>
      </c>
      <c r="BK31" s="47">
        <v>2328</v>
      </c>
      <c r="BL31" s="47">
        <v>2537</v>
      </c>
      <c r="BM31" s="47">
        <v>5015</v>
      </c>
      <c r="BN31" s="47">
        <v>2328</v>
      </c>
      <c r="BO31" s="47">
        <v>1785</v>
      </c>
      <c r="BP31" s="47">
        <v>2328</v>
      </c>
      <c r="BQ31" s="47">
        <v>1785</v>
      </c>
      <c r="BR31" s="47">
        <v>6242</v>
      </c>
      <c r="BS31" s="47">
        <v>2538</v>
      </c>
      <c r="BT31" s="47">
        <v>2328</v>
      </c>
      <c r="BU31" s="47">
        <v>2328</v>
      </c>
      <c r="BV31" s="47">
        <v>3060</v>
      </c>
      <c r="BW31" s="47">
        <v>5355</v>
      </c>
      <c r="BX31" s="47">
        <v>2328</v>
      </c>
      <c r="BY31" s="47">
        <v>6285</v>
      </c>
      <c r="BZ31" s="47">
        <v>2504</v>
      </c>
      <c r="CA31" s="47">
        <v>4205</v>
      </c>
      <c r="CB31" s="47">
        <v>2328</v>
      </c>
      <c r="CC31" s="47">
        <v>2328</v>
      </c>
      <c r="CD31" s="47">
        <v>4205</v>
      </c>
      <c r="CE31" s="47">
        <v>2328</v>
      </c>
      <c r="CF31" s="47">
        <v>8927</v>
      </c>
      <c r="CG31" s="47">
        <v>4906</v>
      </c>
      <c r="CH31" s="47">
        <v>2504</v>
      </c>
      <c r="CI31" s="47">
        <v>4205</v>
      </c>
      <c r="CJ31" s="47">
        <v>8066</v>
      </c>
      <c r="CK31" s="47">
        <v>8066</v>
      </c>
      <c r="CL31" s="47">
        <v>4205</v>
      </c>
      <c r="CM31" s="47">
        <v>2328</v>
      </c>
      <c r="CN31" s="47">
        <v>5450</v>
      </c>
      <c r="CO31" s="47">
        <v>2328</v>
      </c>
      <c r="CP31" s="47">
        <v>4205</v>
      </c>
      <c r="CQ31" s="47">
        <v>6128</v>
      </c>
      <c r="CR31" s="47">
        <v>6128</v>
      </c>
      <c r="CS31" s="47">
        <v>6128</v>
      </c>
      <c r="CT31" s="47">
        <v>2328</v>
      </c>
      <c r="CU31" s="47">
        <v>5464</v>
      </c>
      <c r="CV31" s="47">
        <v>5464</v>
      </c>
      <c r="CW31" s="47">
        <v>5464</v>
      </c>
      <c r="CX31" s="47">
        <v>3016</v>
      </c>
      <c r="CY31" s="47">
        <v>2328</v>
      </c>
      <c r="CZ31" s="47">
        <v>3016</v>
      </c>
      <c r="DA31" s="47">
        <v>2328</v>
      </c>
      <c r="DB31" s="47">
        <v>2328</v>
      </c>
      <c r="DC31" s="47">
        <v>4205</v>
      </c>
      <c r="DD31" s="47">
        <v>2538</v>
      </c>
      <c r="DE31" s="47">
        <v>5306</v>
      </c>
      <c r="DF31" s="47">
        <v>2328</v>
      </c>
      <c r="DG31" s="47">
        <v>2328</v>
      </c>
      <c r="DH31" s="47">
        <v>2328</v>
      </c>
      <c r="DI31" s="47">
        <v>2328</v>
      </c>
      <c r="DJ31" s="47">
        <v>5306</v>
      </c>
      <c r="DK31" s="47">
        <v>2328</v>
      </c>
      <c r="DL31" s="47">
        <v>5306</v>
      </c>
      <c r="DM31" s="47">
        <v>2328</v>
      </c>
      <c r="DN31" s="47">
        <v>8074</v>
      </c>
      <c r="DO31" s="47">
        <v>2328</v>
      </c>
      <c r="DP31" s="47">
        <v>6167</v>
      </c>
      <c r="DQ31" s="47">
        <v>6167</v>
      </c>
      <c r="DR31" s="47">
        <v>8074</v>
      </c>
      <c r="DS31" s="47">
        <v>2328</v>
      </c>
      <c r="DT31" s="47">
        <v>8112</v>
      </c>
      <c r="DU31" s="47">
        <v>2328</v>
      </c>
      <c r="DV31" s="47">
        <v>3049</v>
      </c>
      <c r="DW31" s="47">
        <v>2328</v>
      </c>
      <c r="DX31" s="47">
        <v>2434</v>
      </c>
      <c r="DY31" s="47">
        <v>2328</v>
      </c>
      <c r="DZ31" s="47">
        <v>2328</v>
      </c>
      <c r="EA31" s="47">
        <v>8112</v>
      </c>
      <c r="EB31" s="47">
        <v>8112</v>
      </c>
      <c r="EC31" s="47">
        <v>3049</v>
      </c>
      <c r="ED31" s="47">
        <v>4205</v>
      </c>
      <c r="EE31" s="47">
        <v>2328</v>
      </c>
      <c r="EF31" s="47">
        <v>2328</v>
      </c>
    </row>
    <row r="32" spans="1:136">
      <c r="C32" s="47" t="s">
        <v>225</v>
      </c>
      <c r="D32" s="47" t="s">
        <v>226</v>
      </c>
      <c r="E32" s="47" t="s">
        <v>227</v>
      </c>
      <c r="F32" s="47" t="s">
        <v>228</v>
      </c>
      <c r="G32" s="47" t="s">
        <v>228</v>
      </c>
      <c r="H32" s="47" t="s">
        <v>227</v>
      </c>
      <c r="I32" s="47" t="s">
        <v>172</v>
      </c>
      <c r="J32" s="47" t="s">
        <v>229</v>
      </c>
      <c r="K32" s="47" t="s">
        <v>228</v>
      </c>
      <c r="L32" s="47" t="s">
        <v>227</v>
      </c>
      <c r="M32" s="47" t="s">
        <v>230</v>
      </c>
      <c r="N32" s="47" t="s">
        <v>227</v>
      </c>
      <c r="O32" s="47" t="s">
        <v>230</v>
      </c>
      <c r="P32" s="47" t="s">
        <v>169</v>
      </c>
      <c r="Q32" s="47" t="s">
        <v>169</v>
      </c>
      <c r="R32" s="47" t="s">
        <v>169</v>
      </c>
      <c r="S32" s="47" t="s">
        <v>169</v>
      </c>
      <c r="T32" s="47" t="s">
        <v>231</v>
      </c>
      <c r="U32" s="47" t="s">
        <v>169</v>
      </c>
      <c r="V32" s="47" t="s">
        <v>169</v>
      </c>
      <c r="W32" s="47" t="s">
        <v>227</v>
      </c>
      <c r="X32" s="47" t="s">
        <v>202</v>
      </c>
      <c r="Y32" s="47" t="s">
        <v>169</v>
      </c>
      <c r="Z32" s="47" t="s">
        <v>169</v>
      </c>
      <c r="AA32" s="47" t="s">
        <v>202</v>
      </c>
      <c r="AB32" s="47" t="s">
        <v>169</v>
      </c>
      <c r="AC32" s="47" t="s">
        <v>232</v>
      </c>
      <c r="AD32" s="47" t="s">
        <v>227</v>
      </c>
      <c r="AE32" s="47" t="s">
        <v>194</v>
      </c>
      <c r="AF32" s="47" t="s">
        <v>233</v>
      </c>
      <c r="AG32" s="47" t="s">
        <v>169</v>
      </c>
      <c r="AH32" s="47" t="s">
        <v>234</v>
      </c>
      <c r="AI32" s="47" t="s">
        <v>227</v>
      </c>
      <c r="AJ32" s="47" t="s">
        <v>235</v>
      </c>
      <c r="AK32" s="47" t="s">
        <v>173</v>
      </c>
      <c r="AL32" s="47" t="s">
        <v>227</v>
      </c>
      <c r="AM32" s="47" t="s">
        <v>173</v>
      </c>
      <c r="AN32" s="47" t="s">
        <v>236</v>
      </c>
      <c r="AO32" s="47" t="s">
        <v>182</v>
      </c>
      <c r="AP32" s="47" t="s">
        <v>182</v>
      </c>
      <c r="AQ32" s="47" t="s">
        <v>227</v>
      </c>
      <c r="AR32" s="47" t="s">
        <v>227</v>
      </c>
      <c r="AS32" s="47" t="s">
        <v>236</v>
      </c>
      <c r="AT32" s="47" t="s">
        <v>215</v>
      </c>
      <c r="AU32" s="47" t="s">
        <v>227</v>
      </c>
      <c r="AV32" s="47" t="s">
        <v>237</v>
      </c>
      <c r="AW32" s="47" t="s">
        <v>229</v>
      </c>
      <c r="AX32" s="47" t="s">
        <v>238</v>
      </c>
      <c r="AY32" s="47" t="s">
        <v>234</v>
      </c>
      <c r="AZ32" s="47" t="s">
        <v>227</v>
      </c>
      <c r="BA32" s="47" t="s">
        <v>227</v>
      </c>
      <c r="BB32" s="47" t="s">
        <v>189</v>
      </c>
      <c r="BC32" s="47" t="s">
        <v>189</v>
      </c>
      <c r="BD32" s="47" t="s">
        <v>227</v>
      </c>
      <c r="BE32" s="47" t="s">
        <v>189</v>
      </c>
      <c r="BF32" s="47" t="s">
        <v>189</v>
      </c>
      <c r="BG32" s="47" t="s">
        <v>189</v>
      </c>
      <c r="BH32" s="47" t="s">
        <v>189</v>
      </c>
      <c r="BI32" s="47" t="s">
        <v>239</v>
      </c>
      <c r="BJ32" s="47" t="s">
        <v>227</v>
      </c>
      <c r="BK32" s="47" t="s">
        <v>227</v>
      </c>
      <c r="BL32" s="47" t="s">
        <v>196</v>
      </c>
      <c r="BM32" s="47" t="s">
        <v>240</v>
      </c>
      <c r="BN32" s="47" t="s">
        <v>227</v>
      </c>
      <c r="BO32" s="47" t="s">
        <v>239</v>
      </c>
      <c r="BP32" s="47" t="s">
        <v>227</v>
      </c>
      <c r="BQ32" s="47" t="s">
        <v>239</v>
      </c>
      <c r="BR32" s="47" t="s">
        <v>206</v>
      </c>
      <c r="BS32" s="47" t="s">
        <v>173</v>
      </c>
      <c r="BT32" s="47" t="s">
        <v>227</v>
      </c>
      <c r="BU32" s="47" t="s">
        <v>227</v>
      </c>
      <c r="BV32" s="47" t="s">
        <v>241</v>
      </c>
      <c r="BW32" s="47" t="s">
        <v>242</v>
      </c>
      <c r="BX32" s="47" t="s">
        <v>227</v>
      </c>
      <c r="BY32" s="47" t="s">
        <v>243</v>
      </c>
      <c r="BZ32" s="47" t="s">
        <v>244</v>
      </c>
      <c r="CA32" s="47" t="s">
        <v>245</v>
      </c>
      <c r="CB32" s="47" t="s">
        <v>227</v>
      </c>
      <c r="CC32" s="47" t="s">
        <v>227</v>
      </c>
      <c r="CD32" s="47" t="s">
        <v>245</v>
      </c>
      <c r="CE32" s="47" t="s">
        <v>227</v>
      </c>
      <c r="CF32" s="47" t="s">
        <v>199</v>
      </c>
      <c r="CG32" s="47" t="s">
        <v>246</v>
      </c>
      <c r="CH32" s="47" t="s">
        <v>244</v>
      </c>
      <c r="CI32" s="47" t="s">
        <v>245</v>
      </c>
      <c r="CJ32" s="47" t="s">
        <v>247</v>
      </c>
      <c r="CK32" s="47" t="s">
        <v>247</v>
      </c>
      <c r="CL32" s="47" t="s">
        <v>245</v>
      </c>
      <c r="CM32" s="47" t="s">
        <v>227</v>
      </c>
      <c r="CN32" s="47" t="s">
        <v>248</v>
      </c>
      <c r="CO32" s="47" t="s">
        <v>227</v>
      </c>
      <c r="CP32" s="47" t="s">
        <v>245</v>
      </c>
      <c r="CQ32" s="47" t="s">
        <v>200</v>
      </c>
      <c r="CR32" s="47" t="s">
        <v>200</v>
      </c>
      <c r="CS32" s="47" t="s">
        <v>200</v>
      </c>
      <c r="CT32" s="47" t="s">
        <v>227</v>
      </c>
      <c r="CU32" s="47" t="s">
        <v>249</v>
      </c>
      <c r="CV32" s="47" t="s">
        <v>249</v>
      </c>
      <c r="CW32" s="47" t="s">
        <v>249</v>
      </c>
      <c r="CX32" s="47" t="s">
        <v>209</v>
      </c>
      <c r="CY32" s="47" t="s">
        <v>227</v>
      </c>
      <c r="CZ32" s="47" t="s">
        <v>209</v>
      </c>
      <c r="DA32" s="47" t="s">
        <v>227</v>
      </c>
      <c r="DB32" s="47" t="s">
        <v>227</v>
      </c>
      <c r="DC32" s="47" t="s">
        <v>245</v>
      </c>
      <c r="DD32" s="47" t="s">
        <v>173</v>
      </c>
      <c r="DE32" s="47" t="s">
        <v>214</v>
      </c>
      <c r="DF32" s="47" t="s">
        <v>227</v>
      </c>
      <c r="DG32" s="47" t="s">
        <v>227</v>
      </c>
      <c r="DH32" s="47" t="s">
        <v>227</v>
      </c>
      <c r="DI32" s="47" t="s">
        <v>227</v>
      </c>
      <c r="DJ32" s="47" t="s">
        <v>214</v>
      </c>
      <c r="DK32" s="47" t="s">
        <v>227</v>
      </c>
      <c r="DL32" s="47" t="s">
        <v>214</v>
      </c>
      <c r="DM32" s="47" t="s">
        <v>227</v>
      </c>
      <c r="DN32" s="47" t="s">
        <v>224</v>
      </c>
      <c r="DO32" s="47" t="s">
        <v>227</v>
      </c>
      <c r="DP32" s="47" t="s">
        <v>250</v>
      </c>
      <c r="DQ32" s="47" t="s">
        <v>250</v>
      </c>
      <c r="DR32" s="47" t="s">
        <v>224</v>
      </c>
      <c r="DS32" s="47" t="s">
        <v>227</v>
      </c>
      <c r="DT32" s="47" t="s">
        <v>251</v>
      </c>
      <c r="DU32" s="47" t="s">
        <v>227</v>
      </c>
      <c r="DV32" s="47" t="s">
        <v>252</v>
      </c>
      <c r="DW32" s="47" t="s">
        <v>227</v>
      </c>
      <c r="DX32" s="47" t="s">
        <v>219</v>
      </c>
      <c r="DY32" s="47" t="s">
        <v>227</v>
      </c>
      <c r="DZ32" s="47" t="s">
        <v>227</v>
      </c>
      <c r="EA32" s="47" t="s">
        <v>251</v>
      </c>
      <c r="EB32" s="47" t="s">
        <v>251</v>
      </c>
      <c r="EC32" s="47" t="s">
        <v>252</v>
      </c>
      <c r="ED32" s="47" t="s">
        <v>245</v>
      </c>
      <c r="EE32" s="47" t="s">
        <v>227</v>
      </c>
      <c r="EF32" s="47" t="s">
        <v>227</v>
      </c>
    </row>
  </sheetData>
  <mergeCells count="2">
    <mergeCell ref="A8:B8"/>
    <mergeCell ref="A12:B12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418D-0DEA-A84A-932E-FC7FAF6462F8}">
  <dimension ref="A1:EG32"/>
  <sheetViews>
    <sheetView workbookViewId="0"/>
  </sheetViews>
  <sheetFormatPr baseColWidth="10" defaultColWidth="8.83203125" defaultRowHeight="15"/>
  <cols>
    <col min="1" max="1" width="8.83203125" style="48"/>
    <col min="2" max="2" width="8.33203125" style="48" customWidth="1"/>
    <col min="3" max="10" width="8.83203125" style="3" bestFit="1"/>
    <col min="11" max="11" width="8.1640625" style="48" customWidth="1"/>
    <col min="12" max="55" width="8.83203125" style="3" bestFit="1"/>
    <col min="56" max="56" width="13.83203125" style="3" bestFit="1" customWidth="1"/>
    <col min="57" max="136" width="8.83203125" style="3" bestFit="1"/>
    <col min="137" max="16384" width="8.83203125" style="3"/>
  </cols>
  <sheetData>
    <row r="1" spans="1:137" ht="16">
      <c r="A1" s="16" t="s">
        <v>258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37" ht="16">
      <c r="A2" s="60"/>
      <c r="B2" s="6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4" t="s">
        <v>34</v>
      </c>
      <c r="AJ2" s="14" t="s">
        <v>35</v>
      </c>
      <c r="AK2" s="14" t="s">
        <v>36</v>
      </c>
      <c r="AL2" s="14" t="s">
        <v>37</v>
      </c>
      <c r="AM2" s="14" t="s">
        <v>38</v>
      </c>
      <c r="AN2" s="14" t="s">
        <v>39</v>
      </c>
      <c r="AO2" s="14" t="s">
        <v>40</v>
      </c>
      <c r="AP2" s="14" t="s">
        <v>41</v>
      </c>
      <c r="AQ2" s="14" t="s">
        <v>42</v>
      </c>
      <c r="AR2" s="14" t="s">
        <v>43</v>
      </c>
      <c r="AS2" s="14" t="s">
        <v>44</v>
      </c>
      <c r="AT2" s="14" t="s">
        <v>45</v>
      </c>
      <c r="AU2" s="14" t="s">
        <v>46</v>
      </c>
      <c r="AV2" s="14" t="s">
        <v>47</v>
      </c>
      <c r="AW2" s="14" t="s">
        <v>48</v>
      </c>
      <c r="AX2" s="14" t="s">
        <v>49</v>
      </c>
      <c r="AY2" s="14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4" t="s">
        <v>55</v>
      </c>
      <c r="BE2" s="14" t="s">
        <v>56</v>
      </c>
      <c r="BF2" s="14" t="s">
        <v>57</v>
      </c>
      <c r="BG2" s="14" t="s">
        <v>58</v>
      </c>
      <c r="BH2" s="14" t="s">
        <v>59</v>
      </c>
      <c r="BI2" s="14" t="s">
        <v>60</v>
      </c>
      <c r="BJ2" s="14" t="s">
        <v>61</v>
      </c>
      <c r="BK2" s="14" t="s">
        <v>62</v>
      </c>
      <c r="BL2" s="14" t="s">
        <v>63</v>
      </c>
      <c r="BM2" s="14" t="s">
        <v>64</v>
      </c>
      <c r="BN2" s="14" t="s">
        <v>65</v>
      </c>
      <c r="BO2" s="14" t="s">
        <v>66</v>
      </c>
      <c r="BP2" s="14" t="s">
        <v>67</v>
      </c>
      <c r="BQ2" s="14" t="s">
        <v>68</v>
      </c>
      <c r="BR2" s="14" t="s">
        <v>69</v>
      </c>
      <c r="BS2" s="14" t="s">
        <v>70</v>
      </c>
      <c r="BT2" s="14" t="s">
        <v>71</v>
      </c>
      <c r="BU2" s="14" t="s">
        <v>72</v>
      </c>
      <c r="BV2" s="14" t="s">
        <v>73</v>
      </c>
      <c r="BW2" s="14" t="s">
        <v>74</v>
      </c>
      <c r="BX2" s="14" t="s">
        <v>75</v>
      </c>
      <c r="BY2" s="14" t="s">
        <v>76</v>
      </c>
      <c r="BZ2" s="14" t="s">
        <v>77</v>
      </c>
      <c r="CA2" s="14" t="s">
        <v>78</v>
      </c>
      <c r="CB2" s="14" t="s">
        <v>79</v>
      </c>
      <c r="CC2" s="14" t="s">
        <v>80</v>
      </c>
      <c r="CD2" s="14" t="s">
        <v>81</v>
      </c>
      <c r="CE2" s="14" t="s">
        <v>82</v>
      </c>
      <c r="CF2" s="14" t="s">
        <v>83</v>
      </c>
      <c r="CG2" s="14" t="s">
        <v>84</v>
      </c>
      <c r="CH2" s="14" t="s">
        <v>85</v>
      </c>
      <c r="CI2" s="14" t="s">
        <v>86</v>
      </c>
      <c r="CJ2" s="14" t="s">
        <v>87</v>
      </c>
      <c r="CK2" s="14" t="s">
        <v>88</v>
      </c>
      <c r="CL2" s="14" t="s">
        <v>89</v>
      </c>
      <c r="CM2" s="14" t="s">
        <v>90</v>
      </c>
      <c r="CN2" s="14" t="s">
        <v>91</v>
      </c>
      <c r="CO2" s="14" t="s">
        <v>92</v>
      </c>
      <c r="CP2" s="14" t="s">
        <v>93</v>
      </c>
      <c r="CQ2" s="14" t="s">
        <v>94</v>
      </c>
      <c r="CR2" s="14" t="s">
        <v>95</v>
      </c>
      <c r="CS2" s="14" t="s">
        <v>96</v>
      </c>
      <c r="CT2" s="14" t="s">
        <v>97</v>
      </c>
      <c r="CU2" s="14" t="s">
        <v>98</v>
      </c>
      <c r="CV2" s="14" t="s">
        <v>99</v>
      </c>
      <c r="CW2" s="14" t="s">
        <v>100</v>
      </c>
      <c r="CX2" s="14" t="s">
        <v>101</v>
      </c>
      <c r="CY2" s="14" t="s">
        <v>102</v>
      </c>
      <c r="CZ2" s="14" t="s">
        <v>103</v>
      </c>
      <c r="DA2" s="14" t="s">
        <v>104</v>
      </c>
      <c r="DB2" s="14" t="s">
        <v>105</v>
      </c>
      <c r="DC2" s="14" t="s">
        <v>106</v>
      </c>
      <c r="DD2" s="14" t="s">
        <v>107</v>
      </c>
      <c r="DE2" s="14" t="s">
        <v>108</v>
      </c>
      <c r="DF2" s="14" t="s">
        <v>109</v>
      </c>
      <c r="DG2" s="14" t="s">
        <v>110</v>
      </c>
      <c r="DH2" s="14" t="s">
        <v>111</v>
      </c>
      <c r="DI2" s="14" t="s">
        <v>112</v>
      </c>
      <c r="DJ2" s="14" t="s">
        <v>113</v>
      </c>
      <c r="DK2" s="14" t="s">
        <v>114</v>
      </c>
      <c r="DL2" s="14" t="s">
        <v>115</v>
      </c>
      <c r="DM2" s="14" t="s">
        <v>116</v>
      </c>
      <c r="DN2" s="14" t="s">
        <v>117</v>
      </c>
      <c r="DO2" s="14" t="s">
        <v>118</v>
      </c>
      <c r="DP2" s="14" t="s">
        <v>119</v>
      </c>
      <c r="DQ2" s="14" t="s">
        <v>120</v>
      </c>
      <c r="DR2" s="14" t="s">
        <v>121</v>
      </c>
      <c r="DS2" s="14" t="s">
        <v>122</v>
      </c>
      <c r="DT2" s="14" t="s">
        <v>123</v>
      </c>
      <c r="DU2" s="14" t="s">
        <v>124</v>
      </c>
      <c r="DV2" s="14" t="s">
        <v>125</v>
      </c>
      <c r="DW2" s="14" t="s">
        <v>126</v>
      </c>
      <c r="DX2" s="14" t="s">
        <v>127</v>
      </c>
      <c r="DY2" s="14" t="s">
        <v>128</v>
      </c>
      <c r="DZ2" s="14" t="s">
        <v>129</v>
      </c>
      <c r="EA2" s="14" t="s">
        <v>130</v>
      </c>
      <c r="EB2" s="14" t="s">
        <v>131</v>
      </c>
      <c r="EC2" s="14" t="s">
        <v>132</v>
      </c>
      <c r="ED2" s="15" t="s">
        <v>133</v>
      </c>
      <c r="EE2" s="12" t="s">
        <v>134</v>
      </c>
      <c r="EF2" s="14" t="s">
        <v>140</v>
      </c>
    </row>
    <row r="3" spans="1:137" ht="16">
      <c r="A3" s="5"/>
      <c r="B3" s="30" t="s">
        <v>253</v>
      </c>
      <c r="C3" s="36">
        <v>-3.9007326873579884E-2</v>
      </c>
      <c r="D3" s="36">
        <v>3.9134521488913047E-2</v>
      </c>
      <c r="E3" s="36">
        <v>-2.5194919531132443E-2</v>
      </c>
      <c r="F3" s="36">
        <v>-3.219084653774689E-3</v>
      </c>
      <c r="G3" s="36">
        <v>-2.3583239183472413E-2</v>
      </c>
      <c r="H3" s="36">
        <v>4.7514284021884172E-2</v>
      </c>
      <c r="I3" s="36">
        <v>-3.2860489175658376E-2</v>
      </c>
      <c r="J3" s="36">
        <v>-9.5191449869756972E-2</v>
      </c>
      <c r="K3" s="36">
        <v>2.4055684927529526E-2</v>
      </c>
      <c r="L3" s="36">
        <v>0.11492369208490275</v>
      </c>
      <c r="M3" s="36">
        <v>3.2584893543689319E-2</v>
      </c>
      <c r="N3" s="36">
        <v>-0.13728706634808741</v>
      </c>
      <c r="O3" s="36">
        <v>4.0583076916520133E-2</v>
      </c>
      <c r="P3" s="36">
        <v>-3.0470532108731286E-2</v>
      </c>
      <c r="Q3" s="36">
        <v>8.3866640045164829E-3</v>
      </c>
      <c r="R3" s="36">
        <v>8.208026750558664E-2</v>
      </c>
      <c r="S3" s="36">
        <v>0.16292554048470773</v>
      </c>
      <c r="T3" s="36">
        <v>0.21728657892151695</v>
      </c>
      <c r="U3" s="36">
        <v>-5.5060941550194385E-2</v>
      </c>
      <c r="V3" s="36">
        <v>-8.9510295714246221E-2</v>
      </c>
      <c r="W3" s="36">
        <v>-0.10562484594822316</v>
      </c>
      <c r="X3" s="36">
        <v>-0.11971474427306114</v>
      </c>
      <c r="Y3" s="36">
        <v>0.12771272655560825</v>
      </c>
      <c r="Z3" s="36">
        <v>-4.0331038946555639E-2</v>
      </c>
      <c r="AA3" s="36">
        <v>4.4367884909087919E-2</v>
      </c>
      <c r="AB3" s="36">
        <v>-4.2279450535116878E-2</v>
      </c>
      <c r="AC3" s="36">
        <v>-5.7020367284075411E-2</v>
      </c>
      <c r="AD3" s="36">
        <v>6.8722403945187388E-2</v>
      </c>
      <c r="AE3" s="36">
        <v>6.7364560115904859E-2</v>
      </c>
      <c r="AF3" s="36">
        <v>-1.8230039824596821E-2</v>
      </c>
      <c r="AG3" s="36">
        <v>-3.4169120378629014E-2</v>
      </c>
      <c r="AH3" s="36">
        <v>-8.6886113887948965E-2</v>
      </c>
      <c r="AI3" s="36">
        <v>4.8592569133621179E-2</v>
      </c>
      <c r="AJ3" s="36">
        <v>1.2606432872091101E-2</v>
      </c>
      <c r="AK3" s="36">
        <v>2.5725428890346E-2</v>
      </c>
      <c r="AL3" s="36">
        <v>-0.13684539744025931</v>
      </c>
      <c r="AM3" s="36">
        <v>-4.9314902892593701E-2</v>
      </c>
      <c r="AN3" s="36">
        <v>-7.3498153201375344E-2</v>
      </c>
      <c r="AO3" s="36">
        <v>-4.3838381764837411E-2</v>
      </c>
      <c r="AP3" s="36">
        <v>-0.14387054370475805</v>
      </c>
      <c r="AQ3" s="36">
        <v>5.9010432769763588E-2</v>
      </c>
      <c r="AR3" s="36">
        <v>-3.8686625774575947E-2</v>
      </c>
      <c r="AS3" s="36">
        <v>-2.5058191601815581E-2</v>
      </c>
      <c r="AT3" s="36">
        <v>8.4254995163718191E-2</v>
      </c>
      <c r="AU3" s="36">
        <v>-1.9291731042074736E-2</v>
      </c>
      <c r="AV3" s="36">
        <v>8.7104496534055206E-2</v>
      </c>
      <c r="AW3" s="36">
        <v>-1.4162266082550768E-2</v>
      </c>
      <c r="AX3" s="36">
        <v>-4.2657256212453754E-2</v>
      </c>
      <c r="AY3" s="36">
        <v>6.1058177191788666E-2</v>
      </c>
      <c r="AZ3" s="36">
        <v>-5.178036239672661E-5</v>
      </c>
      <c r="BA3" s="36">
        <v>3.6828295721629746E-2</v>
      </c>
      <c r="BB3" s="36">
        <v>-8.0436245601103934E-2</v>
      </c>
      <c r="BC3" s="36">
        <v>3.8029247751023704E-2</v>
      </c>
      <c r="BD3" s="36">
        <v>-5.1565757792120963E-2</v>
      </c>
      <c r="BE3" s="36">
        <v>-8.5810107478643607E-2</v>
      </c>
      <c r="BF3" s="36">
        <v>-6.1128366330905404E-2</v>
      </c>
      <c r="BG3" s="36">
        <v>0.10900735057117664</v>
      </c>
      <c r="BH3" s="36">
        <v>0.18797344776026095</v>
      </c>
      <c r="BI3" s="36">
        <v>-0.23403216627205473</v>
      </c>
      <c r="BJ3" s="36">
        <v>7.8144599646865223E-2</v>
      </c>
      <c r="BK3" s="36">
        <v>4.9517644617543273E-2</v>
      </c>
      <c r="BL3" s="36">
        <v>-0.10811230370756146</v>
      </c>
      <c r="BM3" s="36">
        <v>4.0995420647190445E-2</v>
      </c>
      <c r="BN3" s="36">
        <v>9.2102484028839096E-2</v>
      </c>
      <c r="BO3" s="36">
        <v>-2.9868190158994497E-2</v>
      </c>
      <c r="BP3" s="36">
        <v>8.526059699292636E-2</v>
      </c>
      <c r="BQ3" s="36">
        <v>-0.10416887341258078</v>
      </c>
      <c r="BR3" s="36">
        <v>0.14969369296309232</v>
      </c>
      <c r="BS3" s="36">
        <v>5.761393362138674E-2</v>
      </c>
      <c r="BT3" s="36">
        <v>5.4899752780532739E-2</v>
      </c>
      <c r="BU3" s="36">
        <v>4.0125969830785209E-2</v>
      </c>
      <c r="BV3" s="36">
        <v>-4.0890452099439312E-2</v>
      </c>
      <c r="BW3" s="36">
        <v>6.5860612083140065E-3</v>
      </c>
      <c r="BX3" s="36">
        <v>5.5283002424940102E-2</v>
      </c>
      <c r="BY3" s="36">
        <v>0.13754053082407328</v>
      </c>
      <c r="BZ3" s="36">
        <v>-6.4512263961454777E-2</v>
      </c>
      <c r="CA3" s="36">
        <v>-1.9263381620534311E-2</v>
      </c>
      <c r="CB3" s="36">
        <v>6.9052109461609154E-2</v>
      </c>
      <c r="CC3" s="36">
        <v>4.8435595877468547E-2</v>
      </c>
      <c r="CD3" s="36">
        <v>-8.17190342340465E-2</v>
      </c>
      <c r="CE3" s="36">
        <v>4.8460728359047862E-2</v>
      </c>
      <c r="CF3" s="36">
        <v>5.8417134660894925E-2</v>
      </c>
      <c r="CG3" s="36">
        <v>-7.8602351661111097E-2</v>
      </c>
      <c r="CH3" s="36">
        <v>6.9508132188542432E-2</v>
      </c>
      <c r="CI3" s="36">
        <v>-8.7246878578323805E-2</v>
      </c>
      <c r="CJ3" s="36">
        <v>0.20186410732367452</v>
      </c>
      <c r="CK3" s="36">
        <v>-4.3322736386182614E-2</v>
      </c>
      <c r="CL3" s="36">
        <v>0.182074580883508</v>
      </c>
      <c r="CM3" s="36">
        <v>-7.9455000075154877E-3</v>
      </c>
      <c r="CN3" s="36">
        <v>0.33942024973065399</v>
      </c>
      <c r="CO3" s="36">
        <v>-0.14672756913529494</v>
      </c>
      <c r="CP3" s="36">
        <v>4.4941469652246088E-2</v>
      </c>
      <c r="CQ3" s="36">
        <v>3.9103979741879312E-3</v>
      </c>
      <c r="CR3" s="36">
        <v>-3.0683155138021292E-2</v>
      </c>
      <c r="CS3" s="36">
        <v>-5.1872370464762542E-2</v>
      </c>
      <c r="CT3" s="36">
        <v>9.4398586416191595E-3</v>
      </c>
      <c r="CU3" s="36">
        <v>-0.27870293938134544</v>
      </c>
      <c r="CV3" s="36">
        <v>2.0006763437995366E-2</v>
      </c>
      <c r="CW3" s="36">
        <v>-1.2464053093591521E-3</v>
      </c>
      <c r="CX3" s="36">
        <v>1.0781223387906016E-2</v>
      </c>
      <c r="CY3" s="36">
        <v>-7.4905655656490544E-2</v>
      </c>
      <c r="CZ3" s="36">
        <v>0.18448789087991921</v>
      </c>
      <c r="DA3" s="36">
        <v>0.19248529331662953</v>
      </c>
      <c r="DB3" s="36">
        <v>6.1627753613709382E-2</v>
      </c>
      <c r="DC3" s="36">
        <v>-0.10363872570518069</v>
      </c>
      <c r="DD3" s="36">
        <v>-5.3550315938748393E-2</v>
      </c>
      <c r="DE3" s="36">
        <v>-0.2521086055858956</v>
      </c>
      <c r="DF3" s="36">
        <v>-2.7540621932510927E-2</v>
      </c>
      <c r="DG3" s="36">
        <v>0.16558886696252534</v>
      </c>
      <c r="DH3" s="36">
        <v>4.6391735024846704E-2</v>
      </c>
      <c r="DI3" s="36">
        <v>5.4891844539006213E-3</v>
      </c>
      <c r="DJ3" s="36">
        <v>0.13308746027093407</v>
      </c>
      <c r="DK3" s="36">
        <v>6.3741011498599065E-2</v>
      </c>
      <c r="DL3" s="36">
        <v>7.0523454246701284E-2</v>
      </c>
      <c r="DM3" s="36">
        <v>0.1041623681660753</v>
      </c>
      <c r="DN3" s="36">
        <v>-5.8162915911019297E-2</v>
      </c>
      <c r="DO3" s="36">
        <v>-1.3884911956444729E-2</v>
      </c>
      <c r="DP3" s="36">
        <v>5.6484872756358155E-2</v>
      </c>
      <c r="DQ3" s="36">
        <v>-1.4706094557337316E-2</v>
      </c>
      <c r="DR3" s="36">
        <v>-3.0026480163093838E-2</v>
      </c>
      <c r="DS3" s="36">
        <v>5.1960539941843353E-2</v>
      </c>
      <c r="DT3" s="36">
        <v>-2.5467153725701675E-2</v>
      </c>
      <c r="DU3" s="36">
        <v>1.2285600584383358E-2</v>
      </c>
      <c r="DV3" s="36">
        <v>-1.3448177724712409E-2</v>
      </c>
      <c r="DW3" s="36">
        <v>-0.11774066063163997</v>
      </c>
      <c r="DX3" s="36">
        <v>-0.10918803784143352</v>
      </c>
      <c r="DY3" s="36">
        <v>-1.0464767620874605E-2</v>
      </c>
      <c r="DZ3" s="36">
        <v>7.0138978019498199E-2</v>
      </c>
      <c r="EA3" s="36">
        <v>-0.19978654263576739</v>
      </c>
      <c r="EB3" s="36">
        <v>0.10130209540720767</v>
      </c>
      <c r="EC3" s="36">
        <v>-6.5302513195902051E-2</v>
      </c>
      <c r="ED3" s="36">
        <v>6.2504548001654711E-2</v>
      </c>
      <c r="EE3" s="36">
        <v>-9.38839009749067E-3</v>
      </c>
      <c r="EF3" s="49">
        <v>-7.5127137345198589E-2</v>
      </c>
    </row>
    <row r="4" spans="1:137" ht="16">
      <c r="A4" s="5"/>
      <c r="B4" s="30" t="s">
        <v>254</v>
      </c>
      <c r="C4" s="38">
        <v>-0.24758870953733739</v>
      </c>
      <c r="D4" s="38">
        <v>-0.27469330301591988</v>
      </c>
      <c r="E4" s="38">
        <v>-8.4648385226775952E-2</v>
      </c>
      <c r="F4" s="38">
        <v>2.264463125499239E-2</v>
      </c>
      <c r="G4" s="38">
        <v>-4.968000079578011E-2</v>
      </c>
      <c r="H4" s="38">
        <v>-0.100759633161552</v>
      </c>
      <c r="I4" s="38">
        <v>-1.2522721374844691E-2</v>
      </c>
      <c r="J4" s="38">
        <v>7.8736550465264579E-2</v>
      </c>
      <c r="K4" s="38">
        <v>-3.418510024326199E-2</v>
      </c>
      <c r="L4" s="38">
        <v>8.8406797789969321E-2</v>
      </c>
      <c r="M4" s="38">
        <v>-3.063454560011507E-3</v>
      </c>
      <c r="N4" s="38">
        <v>-0.21221799304980321</v>
      </c>
      <c r="O4" s="38">
        <v>-3.6805388582279122E-2</v>
      </c>
      <c r="P4" s="38">
        <v>7.1033118877316462E-2</v>
      </c>
      <c r="Q4" s="38">
        <v>-7.1261132998910126E-2</v>
      </c>
      <c r="R4" s="38">
        <v>2.1560446706208151E-2</v>
      </c>
      <c r="S4" s="38">
        <v>0.10111125807516751</v>
      </c>
      <c r="T4" s="38">
        <v>4.3224739792793003E-2</v>
      </c>
      <c r="U4" s="38">
        <v>1.488194958969411E-2</v>
      </c>
      <c r="V4" s="38">
        <v>6.3260243037239986E-3</v>
      </c>
      <c r="W4" s="38">
        <v>-0.1435529784595129</v>
      </c>
      <c r="X4" s="38">
        <v>-6.4282172013507929E-2</v>
      </c>
      <c r="Y4" s="38">
        <v>-1.9034202878042191E-2</v>
      </c>
      <c r="Z4" s="38">
        <v>-2.0644556245472189E-2</v>
      </c>
      <c r="AA4" s="38">
        <v>3.3059540377865217E-2</v>
      </c>
      <c r="AB4" s="38">
        <v>-1.9418226776777941E-2</v>
      </c>
      <c r="AC4" s="38">
        <v>-6.3126838764061721E-2</v>
      </c>
      <c r="AD4" s="38">
        <v>-6.5629712146108229E-2</v>
      </c>
      <c r="AE4" s="38">
        <v>0.1379956892668254</v>
      </c>
      <c r="AF4" s="38">
        <v>-0.1005679184552228</v>
      </c>
      <c r="AG4" s="38">
        <v>-3.7969091150733998E-2</v>
      </c>
      <c r="AH4" s="38">
        <v>-4.5839537807496208E-2</v>
      </c>
      <c r="AI4" s="38">
        <v>-5.1034095516539722E-2</v>
      </c>
      <c r="AJ4" s="38">
        <v>-3.2204408877165632E-3</v>
      </c>
      <c r="AK4" s="38">
        <v>4.8952958975013116E-4</v>
      </c>
      <c r="AL4" s="38">
        <v>-0.1064467536119352</v>
      </c>
      <c r="AM4" s="38">
        <v>-1.3723973583554899E-2</v>
      </c>
      <c r="AN4" s="38">
        <v>-0.1219647076543238</v>
      </c>
      <c r="AO4" s="38">
        <v>-4.858966597382592E-2</v>
      </c>
      <c r="AP4" s="38">
        <v>-1.903150433663008E-3</v>
      </c>
      <c r="AQ4" s="38">
        <v>2.9067484813314101E-2</v>
      </c>
      <c r="AR4" s="38">
        <v>5.2635776863899968E-2</v>
      </c>
      <c r="AS4" s="38">
        <v>-1.289325857571229E-2</v>
      </c>
      <c r="AT4" s="38">
        <v>-2.131134772842519E-3</v>
      </c>
      <c r="AU4" s="38">
        <v>-0.15538438197178719</v>
      </c>
      <c r="AV4" s="38">
        <v>1.268178414302561E-2</v>
      </c>
      <c r="AW4" s="38">
        <v>-1.1942321618877561E-2</v>
      </c>
      <c r="AX4" s="38">
        <v>-4.2537914968475456E-3</v>
      </c>
      <c r="AY4" s="38">
        <v>2.930087158954232E-2</v>
      </c>
      <c r="AZ4" s="38">
        <v>-0.13412750113921701</v>
      </c>
      <c r="BA4" s="38">
        <v>-0.13711152966130111</v>
      </c>
      <c r="BB4" s="38">
        <v>1.7546605068716691E-3</v>
      </c>
      <c r="BC4" s="38">
        <v>2.5117126105990401E-2</v>
      </c>
      <c r="BD4" s="38">
        <v>-0.11960190660895841</v>
      </c>
      <c r="BE4" s="38">
        <v>0.1357616496399312</v>
      </c>
      <c r="BF4" s="38">
        <v>4.7091161676368357E-2</v>
      </c>
      <c r="BG4" s="38">
        <v>-2.605004393557599E-2</v>
      </c>
      <c r="BH4" s="38">
        <v>4.3752773670266483E-2</v>
      </c>
      <c r="BI4" s="38">
        <v>-8.1391827895093402E-2</v>
      </c>
      <c r="BJ4" s="38">
        <v>-0.10060082155953699</v>
      </c>
      <c r="BK4" s="38">
        <v>9.0490079041763594E-2</v>
      </c>
      <c r="BL4" s="38">
        <v>-3.0898458704964389E-2</v>
      </c>
      <c r="BM4" s="38">
        <v>5.8814186622603987E-2</v>
      </c>
      <c r="BN4" s="38">
        <v>8.1345639246770615E-2</v>
      </c>
      <c r="BO4" s="38">
        <v>-7.7164168976593351E-3</v>
      </c>
      <c r="BP4" s="38">
        <v>0.1067348704344353</v>
      </c>
      <c r="BQ4" s="38">
        <v>-2.7156341096342261E-2</v>
      </c>
      <c r="BR4" s="38">
        <v>-5.4431018659150447E-2</v>
      </c>
      <c r="BS4" s="38">
        <v>-6.822927751511014E-2</v>
      </c>
      <c r="BT4" s="38">
        <v>9.8612222991557266E-2</v>
      </c>
      <c r="BU4" s="38">
        <v>0.1283985422991091</v>
      </c>
      <c r="BV4" s="38">
        <v>-7.8402519476778718E-2</v>
      </c>
      <c r="BW4" s="38">
        <v>-0.1191337216524913</v>
      </c>
      <c r="BX4" s="38">
        <v>-4.6890096077604589E-2</v>
      </c>
      <c r="BY4" s="38">
        <v>0.10169834364209621</v>
      </c>
      <c r="BZ4" s="38">
        <v>-2.5680084240218899E-2</v>
      </c>
      <c r="CA4" s="38">
        <v>-8.3301790010408508E-2</v>
      </c>
      <c r="CB4" s="38">
        <v>-0.15782764847875469</v>
      </c>
      <c r="CC4" s="38">
        <v>-7.1052571704280934E-2</v>
      </c>
      <c r="CD4" s="38">
        <v>-7.3875492145199798E-2</v>
      </c>
      <c r="CE4" s="38">
        <v>-0.23678647002516851</v>
      </c>
      <c r="CF4" s="38">
        <v>3.2627706277002622E-2</v>
      </c>
      <c r="CG4" s="38">
        <v>1.3423084626575861E-2</v>
      </c>
      <c r="CH4" s="38">
        <v>-2.7966658799032269E-3</v>
      </c>
      <c r="CI4" s="38">
        <v>4.7925699911805238E-2</v>
      </c>
      <c r="CJ4" s="38">
        <v>-3.2520192681292038E-3</v>
      </c>
      <c r="CK4" s="38">
        <v>-7.570819035307215E-2</v>
      </c>
      <c r="CL4" s="38">
        <v>-4.439725585073561E-2</v>
      </c>
      <c r="CM4" s="38">
        <v>0.17898858319392719</v>
      </c>
      <c r="CN4" s="38">
        <v>5.799426642317386E-2</v>
      </c>
      <c r="CO4" s="38">
        <v>-0.13939018969183081</v>
      </c>
      <c r="CP4" s="38">
        <v>6.4714670503515537E-2</v>
      </c>
      <c r="CQ4" s="38">
        <v>-0.18118788880647541</v>
      </c>
      <c r="CR4" s="38">
        <v>-8.8633532328162568E-2</v>
      </c>
      <c r="CS4" s="38">
        <v>-2.532177470861038E-2</v>
      </c>
      <c r="CT4" s="38">
        <v>-0.11307907407472829</v>
      </c>
      <c r="CU4" s="38">
        <v>8.095957294189474E-3</v>
      </c>
      <c r="CV4" s="38">
        <v>-4.5200208394220349E-2</v>
      </c>
      <c r="CW4" s="38">
        <v>-5.8941225467328592E-2</v>
      </c>
      <c r="CX4" s="38">
        <v>-0.1077283016776811</v>
      </c>
      <c r="CY4" s="38">
        <v>-9.6503499496267492E-2</v>
      </c>
      <c r="CZ4" s="38">
        <v>-0.2103543453191653</v>
      </c>
      <c r="DA4" s="38">
        <v>-0.10996113735654101</v>
      </c>
      <c r="DB4" s="38">
        <v>-0.1908204716293295</v>
      </c>
      <c r="DC4" s="38">
        <v>-2.0727272402408872E-2</v>
      </c>
      <c r="DD4" s="38">
        <v>8.7029095351123936E-2</v>
      </c>
      <c r="DE4" s="38">
        <v>8.2024592921593045E-2</v>
      </c>
      <c r="DF4" s="38">
        <v>-0.166876664789437</v>
      </c>
      <c r="DG4" s="38">
        <v>0.22243808581717431</v>
      </c>
      <c r="DH4" s="38">
        <v>-0.144297746243673</v>
      </c>
      <c r="DI4" s="38">
        <v>-0.1196199522370443</v>
      </c>
      <c r="DJ4" s="38">
        <v>-0.10159274396951661</v>
      </c>
      <c r="DK4" s="38">
        <v>9.2855058740681395E-2</v>
      </c>
      <c r="DL4" s="38">
        <v>-4.2630490096108087E-2</v>
      </c>
      <c r="DM4" s="38">
        <v>8.2732072899953643E-2</v>
      </c>
      <c r="DN4" s="38">
        <v>-3.1049452465540091E-2</v>
      </c>
      <c r="DO4" s="38">
        <v>-9.8141990492640205E-2</v>
      </c>
      <c r="DP4" s="38">
        <v>-0.13058888143944061</v>
      </c>
      <c r="DQ4" s="38">
        <v>4.8655718251279387E-2</v>
      </c>
      <c r="DR4" s="38">
        <v>-3.9251909935401189E-2</v>
      </c>
      <c r="DS4" s="38">
        <v>-0.1610301993932845</v>
      </c>
      <c r="DT4" s="38">
        <v>-7.8883966483063367E-2</v>
      </c>
      <c r="DU4" s="38">
        <v>0.16407715854109439</v>
      </c>
      <c r="DV4" s="38">
        <v>7.5052515397744431E-3</v>
      </c>
      <c r="DW4" s="38">
        <v>-0.1016452501185193</v>
      </c>
      <c r="DX4" s="38">
        <v>-5.6040292492535823E-2</v>
      </c>
      <c r="DY4" s="38">
        <v>-0.1066566396478186</v>
      </c>
      <c r="DZ4" s="38">
        <v>-6.9186575508287662E-2</v>
      </c>
      <c r="EA4" s="38">
        <v>-0.12618865773840809</v>
      </c>
      <c r="EB4" s="38">
        <v>-6.4737118328050736E-2</v>
      </c>
      <c r="EC4" s="38">
        <v>5.142607344157852E-2</v>
      </c>
      <c r="ED4" s="39">
        <v>3.4496728436731378E-2</v>
      </c>
      <c r="EE4" s="40">
        <v>0.15767759835539891</v>
      </c>
      <c r="EF4" s="50">
        <v>0.24308193553486401</v>
      </c>
      <c r="EG4" s="17"/>
    </row>
    <row r="5" spans="1:137" ht="16">
      <c r="A5" s="5"/>
      <c r="B5" s="30" t="s">
        <v>255</v>
      </c>
      <c r="C5" s="38">
        <v>0.11843667158717502</v>
      </c>
      <c r="D5" s="38">
        <v>-8.9580754341396021E-2</v>
      </c>
      <c r="E5" s="38">
        <v>2.3488019851897253E-2</v>
      </c>
      <c r="F5" s="38">
        <v>5.4203336925287959E-3</v>
      </c>
      <c r="G5" s="38">
        <v>-0.14235739201705941</v>
      </c>
      <c r="H5" s="38">
        <v>-3.4467846259274564E-2</v>
      </c>
      <c r="I5" s="38">
        <v>4.1884802005972117E-2</v>
      </c>
      <c r="J5" s="38">
        <v>7.848687234056205E-3</v>
      </c>
      <c r="K5" s="38">
        <v>-1.4786684593912625E-2</v>
      </c>
      <c r="L5" s="38">
        <v>-3.5337574632874576E-2</v>
      </c>
      <c r="M5" s="38">
        <v>-2.0088712013830064E-2</v>
      </c>
      <c r="N5" s="38">
        <v>0.14803677179448843</v>
      </c>
      <c r="O5" s="38">
        <v>-4.1218154588981884E-2</v>
      </c>
      <c r="P5" s="38">
        <v>-4.4827289198355645E-3</v>
      </c>
      <c r="Q5" s="38">
        <v>-5.0970104728066592E-3</v>
      </c>
      <c r="R5" s="38">
        <v>-4.6034336677316795E-2</v>
      </c>
      <c r="S5" s="38">
        <v>-5.0669567873052573E-2</v>
      </c>
      <c r="T5" s="38">
        <v>-0.16357968241146301</v>
      </c>
      <c r="U5" s="38">
        <v>2.375584739317509E-2</v>
      </c>
      <c r="V5" s="38">
        <v>6.6351999465091962E-3</v>
      </c>
      <c r="W5" s="38">
        <v>6.100415505127392E-2</v>
      </c>
      <c r="X5" s="38">
        <v>0.3465678513656586</v>
      </c>
      <c r="Y5" s="38">
        <v>-0.11438582515051082</v>
      </c>
      <c r="Z5" s="38">
        <v>0.22062448453801226</v>
      </c>
      <c r="AA5" s="38">
        <v>-7.1612331532165993E-2</v>
      </c>
      <c r="AB5" s="38">
        <v>1.7279594769942799E-2</v>
      </c>
      <c r="AC5" s="38">
        <v>0.12343339623166977</v>
      </c>
      <c r="AD5" s="38">
        <v>4.0766670446292348E-2</v>
      </c>
      <c r="AE5" s="38">
        <v>-0.11698163144922813</v>
      </c>
      <c r="AF5" s="38">
        <v>0.14131086111265173</v>
      </c>
      <c r="AG5" s="38">
        <v>3.3710329501512037E-2</v>
      </c>
      <c r="AH5" s="38">
        <v>3.9620447634302426E-2</v>
      </c>
      <c r="AI5" s="38">
        <v>3.9029679399279982E-2</v>
      </c>
      <c r="AJ5" s="38">
        <v>-4.0906256169356656E-2</v>
      </c>
      <c r="AK5" s="38">
        <v>1.3733520644722297E-2</v>
      </c>
      <c r="AL5" s="38">
        <v>0.10645880527690942</v>
      </c>
      <c r="AM5" s="38">
        <v>-7.4864491652776616E-2</v>
      </c>
      <c r="AN5" s="38">
        <v>-6.7789730546460716E-2</v>
      </c>
      <c r="AO5" s="38">
        <v>-2.7650424585532761E-2</v>
      </c>
      <c r="AP5" s="38">
        <v>1.2937667268099598E-2</v>
      </c>
      <c r="AQ5" s="38">
        <v>-2.1777122535302884E-3</v>
      </c>
      <c r="AR5" s="38">
        <v>-3.3042222045648946E-2</v>
      </c>
      <c r="AS5" s="38">
        <v>-8.2125018938211364E-2</v>
      </c>
      <c r="AT5" s="38">
        <v>-0.19568877316323155</v>
      </c>
      <c r="AU5" s="38">
        <v>1.3830899509231049E-2</v>
      </c>
      <c r="AV5" s="38">
        <v>-0.10073630506070744</v>
      </c>
      <c r="AW5" s="38">
        <v>-8.5478712515396266E-2</v>
      </c>
      <c r="AX5" s="38">
        <v>0.12050776591997199</v>
      </c>
      <c r="AY5" s="38">
        <v>-0.14167707410498778</v>
      </c>
      <c r="AZ5" s="38">
        <v>1.9762032127281625E-2</v>
      </c>
      <c r="BA5" s="38">
        <v>-1.9686915217344229E-2</v>
      </c>
      <c r="BB5" s="38">
        <v>9.361327214143178E-2</v>
      </c>
      <c r="BC5" s="38">
        <v>-7.8613954723112736E-2</v>
      </c>
      <c r="BD5" s="38">
        <v>-7.7988525886559454E-3</v>
      </c>
      <c r="BE5" s="38">
        <v>0.10760835572010813</v>
      </c>
      <c r="BF5" s="38">
        <v>0.15040034357766729</v>
      </c>
      <c r="BG5" s="38">
        <v>0.12494386128166779</v>
      </c>
      <c r="BH5" s="38">
        <v>1.3408880620447981E-2</v>
      </c>
      <c r="BI5" s="38">
        <v>0.15067978765109502</v>
      </c>
      <c r="BJ5" s="38">
        <v>5.430843208668687E-2</v>
      </c>
      <c r="BK5" s="38">
        <v>-2.8732284701433949E-3</v>
      </c>
      <c r="BL5" s="38">
        <v>0.21103086475970498</v>
      </c>
      <c r="BM5" s="38">
        <v>-8.8266989892484382E-2</v>
      </c>
      <c r="BN5" s="38">
        <v>-4.4718132055545382E-2</v>
      </c>
      <c r="BO5" s="38">
        <v>1.1466039508413696E-2</v>
      </c>
      <c r="BP5" s="38">
        <v>-0.1607527448022586</v>
      </c>
      <c r="BQ5" s="38">
        <v>5.3684357189508376E-3</v>
      </c>
      <c r="BR5" s="38">
        <v>-0.18186337747789852</v>
      </c>
      <c r="BS5" s="38">
        <v>4.290575400133995E-3</v>
      </c>
      <c r="BT5" s="38">
        <v>-3.7493549821311519E-3</v>
      </c>
      <c r="BU5" s="38">
        <v>-8.5562283021619404E-2</v>
      </c>
      <c r="BV5" s="38">
        <v>0.10019903193683095</v>
      </c>
      <c r="BW5" s="38">
        <v>9.0654954403283361E-2</v>
      </c>
      <c r="BX5" s="38">
        <v>-2.5206334619590893E-2</v>
      </c>
      <c r="BY5" s="38">
        <v>-5.8187495551903202E-2</v>
      </c>
      <c r="BZ5" s="38">
        <v>-3.1926096127615863E-2</v>
      </c>
      <c r="CA5" s="38">
        <v>-6.3127118757586323E-2</v>
      </c>
      <c r="CB5" s="38">
        <v>6.3839648195697013E-2</v>
      </c>
      <c r="CC5" s="38">
        <v>-6.5052894082312948E-2</v>
      </c>
      <c r="CD5" s="38">
        <v>3.946127628292076E-2</v>
      </c>
      <c r="CE5" s="38">
        <v>8.432463231952543E-2</v>
      </c>
      <c r="CF5" s="38">
        <v>1.3056101372998008E-2</v>
      </c>
      <c r="CG5" s="38">
        <v>3.0704171317102749E-2</v>
      </c>
      <c r="CH5" s="38">
        <v>2.7499992543953973E-2</v>
      </c>
      <c r="CI5" s="38">
        <v>0.17815173096708875</v>
      </c>
      <c r="CJ5" s="38">
        <v>-0.27504808192287422</v>
      </c>
      <c r="CK5" s="38">
        <v>-0.11066747609508903</v>
      </c>
      <c r="CL5" s="38">
        <v>-0.15492649047573073</v>
      </c>
      <c r="CM5" s="38">
        <v>3.1524406420197999E-2</v>
      </c>
      <c r="CN5" s="38">
        <v>-0.30327885365898821</v>
      </c>
      <c r="CO5" s="38">
        <v>0.14684401364344479</v>
      </c>
      <c r="CP5" s="38">
        <v>-5.8229710904592847E-3</v>
      </c>
      <c r="CQ5" s="38">
        <v>0.19890545730607118</v>
      </c>
      <c r="CR5" s="38">
        <v>0.14902268648747369</v>
      </c>
      <c r="CS5" s="38">
        <v>5.7004586086562663E-3</v>
      </c>
      <c r="CT5" s="38">
        <v>0.17668745364744995</v>
      </c>
      <c r="CU5" s="38">
        <v>0.27688114205135078</v>
      </c>
      <c r="CV5" s="38">
        <v>-4.3579182052984777E-2</v>
      </c>
      <c r="CW5" s="38">
        <v>-9.086897579730327E-2</v>
      </c>
      <c r="CX5" s="38">
        <v>8.3238655870344125E-2</v>
      </c>
      <c r="CY5" s="38">
        <v>-8.1559151349469838E-2</v>
      </c>
      <c r="CZ5" s="38">
        <v>-2.3119210409020995E-2</v>
      </c>
      <c r="DA5" s="38">
        <v>-8.4574586288981943E-2</v>
      </c>
      <c r="DB5" s="38">
        <v>-7.3640848402627718E-2</v>
      </c>
      <c r="DC5" s="38">
        <v>-1.6051325222610328E-2</v>
      </c>
      <c r="DD5" s="38">
        <v>0.15479536631094531</v>
      </c>
      <c r="DE5" s="38">
        <v>0.14398879928184458</v>
      </c>
      <c r="DF5" s="38">
        <v>2.524155186125451E-2</v>
      </c>
      <c r="DG5" s="38">
        <v>0.18762995895186399</v>
      </c>
      <c r="DH5" s="38">
        <v>-3.5798481687196987E-2</v>
      </c>
      <c r="DI5" s="38">
        <v>-0.10114010328172157</v>
      </c>
      <c r="DJ5" s="38">
        <v>-0.14828908324692358</v>
      </c>
      <c r="DK5" s="38">
        <v>-1.3682519750437744E-2</v>
      </c>
      <c r="DL5" s="38">
        <v>-6.8096525518023462E-2</v>
      </c>
      <c r="DM5" s="38">
        <v>-2.7891166775589754E-2</v>
      </c>
      <c r="DN5" s="38">
        <v>7.1020446243733978E-2</v>
      </c>
      <c r="DO5" s="38">
        <v>8.2716798018570778E-2</v>
      </c>
      <c r="DP5" s="38">
        <v>0.21860203188719882</v>
      </c>
      <c r="DQ5" s="38">
        <v>-0.17001763821289442</v>
      </c>
      <c r="DR5" s="38">
        <v>-2.5670146469349148E-2</v>
      </c>
      <c r="DS5" s="38">
        <v>-0.12684064774396731</v>
      </c>
      <c r="DT5" s="38">
        <v>-8.1569072709721913E-2</v>
      </c>
      <c r="DU5" s="38">
        <v>-2.6614726806483944E-2</v>
      </c>
      <c r="DV5" s="38">
        <v>2.429742114620391E-2</v>
      </c>
      <c r="DW5" s="38">
        <v>1.5209186086841953E-2</v>
      </c>
      <c r="DX5" s="38">
        <v>-2.7805665228687382E-2</v>
      </c>
      <c r="DY5" s="38">
        <v>-9.6292678260737744E-2</v>
      </c>
      <c r="DZ5" s="38">
        <v>-3.7660479314118984E-2</v>
      </c>
      <c r="EA5" s="38">
        <v>0.28823378102852726</v>
      </c>
      <c r="EB5" s="38">
        <v>0.16698384968049593</v>
      </c>
      <c r="EC5" s="38">
        <v>7.2976685908654346E-2</v>
      </c>
      <c r="ED5" s="39">
        <v>1.0544526630913495E-2</v>
      </c>
      <c r="EE5" s="40">
        <v>4.7730455292752563E-2</v>
      </c>
      <c r="EF5" s="50">
        <v>0.18371090611012494</v>
      </c>
      <c r="EG5" s="17"/>
    </row>
    <row r="6" spans="1:137" ht="16">
      <c r="A6" s="5"/>
      <c r="B6" s="30" t="s">
        <v>256</v>
      </c>
      <c r="C6" s="38">
        <v>1.1325794816237758E-2</v>
      </c>
      <c r="D6" s="38">
        <v>2.727846951220099E-2</v>
      </c>
      <c r="E6" s="38">
        <v>1.4678822038412347E-2</v>
      </c>
      <c r="F6" s="38">
        <v>2.0470789497815153E-2</v>
      </c>
      <c r="G6" s="38">
        <v>-1.6921652114752512E-2</v>
      </c>
      <c r="H6" s="38">
        <v>1.9290330573584473E-2</v>
      </c>
      <c r="I6" s="38">
        <v>-5.0310642660210972E-2</v>
      </c>
      <c r="J6" s="38">
        <v>2.5365658618121029E-2</v>
      </c>
      <c r="K6" s="38">
        <v>-3.8189545028037751E-2</v>
      </c>
      <c r="L6" s="38">
        <v>-2.9690118203253651E-2</v>
      </c>
      <c r="M6" s="38">
        <v>-1.8832459372311466E-2</v>
      </c>
      <c r="N6" s="38">
        <v>-1.4796787755093332E-2</v>
      </c>
      <c r="O6" s="38">
        <v>3.18776366977232E-2</v>
      </c>
      <c r="P6" s="38">
        <v>-7.0678861053307214E-3</v>
      </c>
      <c r="Q6" s="38">
        <v>1.8889371761299723E-2</v>
      </c>
      <c r="R6" s="38">
        <v>-9.0849935081911512E-2</v>
      </c>
      <c r="S6" s="38">
        <v>5.8558530413887817E-2</v>
      </c>
      <c r="T6" s="38">
        <v>-2.932367987589567E-2</v>
      </c>
      <c r="U6" s="38">
        <v>-5.5191851906749946E-2</v>
      </c>
      <c r="V6" s="38">
        <v>3.7888974811566979E-2</v>
      </c>
      <c r="W6" s="38">
        <v>2.6208603990904959E-2</v>
      </c>
      <c r="X6" s="38">
        <v>-5.9748310163364009E-2</v>
      </c>
      <c r="Y6" s="38">
        <v>2.9410210290584875E-2</v>
      </c>
      <c r="Z6" s="38">
        <v>3.5283754860678919E-3</v>
      </c>
      <c r="AA6" s="38">
        <v>4.9550292043420617E-2</v>
      </c>
      <c r="AB6" s="38">
        <v>5.121290512243433E-2</v>
      </c>
      <c r="AC6" s="38">
        <v>9.9760467544083003E-3</v>
      </c>
      <c r="AD6" s="38">
        <v>-4.011716627074411E-2</v>
      </c>
      <c r="AE6" s="38">
        <v>5.1869658724428879E-3</v>
      </c>
      <c r="AF6" s="38">
        <v>-3.3082754835015514E-2</v>
      </c>
      <c r="AG6" s="38">
        <v>2.9738728148951833E-2</v>
      </c>
      <c r="AH6" s="38">
        <v>2.6620506736634429E-2</v>
      </c>
      <c r="AI6" s="38">
        <v>-4.5866403017001227E-2</v>
      </c>
      <c r="AJ6" s="38">
        <v>-4.3883593998398036E-2</v>
      </c>
      <c r="AK6" s="38">
        <v>-5.4074272137515887E-2</v>
      </c>
      <c r="AL6" s="38">
        <v>7.5132714676242815E-2</v>
      </c>
      <c r="AM6" s="38">
        <v>-4.3008162679617481E-3</v>
      </c>
      <c r="AN6" s="38">
        <v>1.2173748812487627E-2</v>
      </c>
      <c r="AO6" s="38">
        <v>2.1589045163705117E-2</v>
      </c>
      <c r="AP6" s="38">
        <v>-4.9648708836071854E-3</v>
      </c>
      <c r="AQ6" s="38">
        <v>-1.3384411937266947E-2</v>
      </c>
      <c r="AR6" s="38">
        <v>-2.7250206268895467E-2</v>
      </c>
      <c r="AS6" s="38">
        <v>-5.562459667424674E-2</v>
      </c>
      <c r="AT6" s="38">
        <v>6.6821333496253105E-2</v>
      </c>
      <c r="AU6" s="38">
        <v>3.7318035142511606E-2</v>
      </c>
      <c r="AV6" s="38">
        <v>4.2622765843842558E-2</v>
      </c>
      <c r="AW6" s="38">
        <v>-3.190687859301649E-2</v>
      </c>
      <c r="AX6" s="38">
        <v>-8.4058730573609158E-3</v>
      </c>
      <c r="AY6" s="38">
        <v>4.1145632840271833E-2</v>
      </c>
      <c r="AZ6" s="38">
        <v>-6.5503244453281179E-2</v>
      </c>
      <c r="BA6" s="38">
        <v>-8.9268818208520411E-4</v>
      </c>
      <c r="BB6" s="38">
        <v>-4.8786090026242006E-2</v>
      </c>
      <c r="BC6" s="38">
        <v>3.922885888222543E-2</v>
      </c>
      <c r="BD6" s="38">
        <v>1.9952642229723958E-2</v>
      </c>
      <c r="BE6" s="38">
        <v>-3.3075780564007368E-2</v>
      </c>
      <c r="BF6" s="38">
        <v>4.0011873530372173E-2</v>
      </c>
      <c r="BG6" s="38">
        <v>-7.0602901990856962E-2</v>
      </c>
      <c r="BH6" s="38">
        <v>-7.6056348461332079E-2</v>
      </c>
      <c r="BI6" s="38">
        <v>1.7309135001964907E-2</v>
      </c>
      <c r="BJ6" s="38">
        <v>-4.3699210158316723E-2</v>
      </c>
      <c r="BK6" s="38">
        <v>-5.4757556263131755E-3</v>
      </c>
      <c r="BL6" s="38">
        <v>2.0292708054265316E-3</v>
      </c>
      <c r="BM6" s="38">
        <v>2.1772041779423254E-2</v>
      </c>
      <c r="BN6" s="38">
        <v>-1.5648547272762551E-2</v>
      </c>
      <c r="BO6" s="38">
        <v>-0.14281030065881184</v>
      </c>
      <c r="BP6" s="38">
        <v>5.0387507635402205E-4</v>
      </c>
      <c r="BQ6" s="38">
        <v>2.3226492270909397E-2</v>
      </c>
      <c r="BR6" s="38">
        <v>4.6075521174396748E-2</v>
      </c>
      <c r="BS6" s="38">
        <v>1.5250342868084946E-2</v>
      </c>
      <c r="BT6" s="38">
        <v>2.637624903324259E-3</v>
      </c>
      <c r="BU6" s="38">
        <v>-5.5801779001663193E-2</v>
      </c>
      <c r="BV6" s="38">
        <v>3.15110344734627E-2</v>
      </c>
      <c r="BW6" s="38">
        <v>-4.4379935126828703E-2</v>
      </c>
      <c r="BX6" s="38">
        <v>-7.9050665648598868E-3</v>
      </c>
      <c r="BY6" s="38">
        <v>-3.6996307431221745E-2</v>
      </c>
      <c r="BZ6" s="38">
        <v>-7.7321944414258589E-3</v>
      </c>
      <c r="CA6" s="38">
        <v>2.6942443277111278E-2</v>
      </c>
      <c r="CB6" s="38">
        <v>4.1333756595979834E-2</v>
      </c>
      <c r="CC6" s="38">
        <v>6.7469748564302184E-2</v>
      </c>
      <c r="CD6" s="38">
        <v>-3.5857721586308053E-2</v>
      </c>
      <c r="CE6" s="38">
        <v>6.5387391924313337E-2</v>
      </c>
      <c r="CF6" s="38">
        <v>-2.5958833960471533E-2</v>
      </c>
      <c r="CG6" s="38">
        <v>-4.6364338966505075E-2</v>
      </c>
      <c r="CH6" s="38">
        <v>-9.0699386606614939E-3</v>
      </c>
      <c r="CI6" s="38">
        <v>2.4264510953455526E-2</v>
      </c>
      <c r="CJ6" s="38">
        <v>-6.6902603426352587E-3</v>
      </c>
      <c r="CK6" s="38">
        <v>-4.8342622272677743E-2</v>
      </c>
      <c r="CL6" s="38">
        <v>3.787979318314235E-2</v>
      </c>
      <c r="CM6" s="38">
        <v>-4.6722628620042748E-2</v>
      </c>
      <c r="CN6" s="38">
        <v>9.4792069990681904E-2</v>
      </c>
      <c r="CO6" s="38">
        <v>-7.3255300059680103E-2</v>
      </c>
      <c r="CP6" s="38">
        <v>-1.8109964225731367E-2</v>
      </c>
      <c r="CQ6" s="38">
        <v>-5.6773906989129277E-2</v>
      </c>
      <c r="CR6" s="38">
        <v>-8.273645137301075E-2</v>
      </c>
      <c r="CS6" s="38">
        <v>6.6175625910672407E-3</v>
      </c>
      <c r="CT6" s="38">
        <v>2.5210389215813464E-2</v>
      </c>
      <c r="CU6" s="38">
        <v>-7.01370789423469E-2</v>
      </c>
      <c r="CV6" s="38">
        <v>0.10815873853747598</v>
      </c>
      <c r="CW6" s="38">
        <v>4.1686012819666302E-2</v>
      </c>
      <c r="CX6" s="38">
        <v>-5.1857657257867638E-2</v>
      </c>
      <c r="CY6" s="38">
        <v>4.4480765615494425E-2</v>
      </c>
      <c r="CZ6" s="38">
        <v>-1.0581391260694464E-3</v>
      </c>
      <c r="DA6" s="38">
        <v>4.6776521559644679E-2</v>
      </c>
      <c r="DB6" s="38">
        <v>5.9503041533476561E-2</v>
      </c>
      <c r="DC6" s="38">
        <v>-3.9210293908640378E-2</v>
      </c>
      <c r="DD6" s="38">
        <v>-1.9989307666101953E-2</v>
      </c>
      <c r="DE6" s="38">
        <v>2.3312786969338369E-2</v>
      </c>
      <c r="DF6" s="38">
        <v>-1.727527198158383E-2</v>
      </c>
      <c r="DG6" s="38">
        <v>6.4328763559394028E-2</v>
      </c>
      <c r="DH6" s="38">
        <v>4.5716805822010563E-2</v>
      </c>
      <c r="DI6" s="38">
        <v>5.6202182636701126E-2</v>
      </c>
      <c r="DJ6" s="38">
        <v>4.4052951181117336E-2</v>
      </c>
      <c r="DK6" s="38">
        <v>-2.0213321116119256E-2</v>
      </c>
      <c r="DL6" s="38">
        <v>6.7290109032139458E-2</v>
      </c>
      <c r="DM6" s="38">
        <v>4.509150776653606E-2</v>
      </c>
      <c r="DN6" s="38">
        <v>-2.5848343495010546E-2</v>
      </c>
      <c r="DO6" s="38">
        <v>-2.5758285999421798E-2</v>
      </c>
      <c r="DP6" s="38">
        <v>-1.4576830709120346E-2</v>
      </c>
      <c r="DQ6" s="38">
        <v>-2.5349832697565487E-2</v>
      </c>
      <c r="DR6" s="38">
        <v>6.8266028978355306E-2</v>
      </c>
      <c r="DS6" s="38">
        <v>3.348750806977633E-2</v>
      </c>
      <c r="DT6" s="38">
        <v>7.7907655306084858E-2</v>
      </c>
      <c r="DU6" s="38">
        <v>1.7433991657787681E-2</v>
      </c>
      <c r="DV6" s="38">
        <v>-3.3361741600165577E-2</v>
      </c>
      <c r="DW6" s="38">
        <v>-1.7664099702310563E-2</v>
      </c>
      <c r="DX6" s="38">
        <v>-3.8164999722267216E-2</v>
      </c>
      <c r="DY6" s="38">
        <v>-4.2286815681209261E-2</v>
      </c>
      <c r="DZ6" s="38">
        <v>9.9828166306646787E-3</v>
      </c>
      <c r="EA6" s="38">
        <v>4.8277419102625797E-3</v>
      </c>
      <c r="EB6" s="38">
        <v>1.8541220742843905E-2</v>
      </c>
      <c r="EC6" s="38">
        <v>9.8316359595039607E-3</v>
      </c>
      <c r="ED6" s="39">
        <v>1.2779218280083184E-2</v>
      </c>
      <c r="EE6" s="40">
        <v>-2.3222924136097719E-2</v>
      </c>
      <c r="EF6" s="50">
        <v>1.951241769513672E-2</v>
      </c>
      <c r="EG6" s="17"/>
    </row>
    <row r="7" spans="1:137" ht="16">
      <c r="A7" s="5"/>
      <c r="B7" s="30" t="s">
        <v>257</v>
      </c>
      <c r="C7" s="40">
        <v>-5.49830205683828E-4</v>
      </c>
      <c r="D7" s="40">
        <v>7.2772006897929677E-3</v>
      </c>
      <c r="E7" s="40">
        <v>1.6901946304031388E-2</v>
      </c>
      <c r="F7" s="40">
        <v>-1.1187242574751691E-2</v>
      </c>
      <c r="G7" s="40">
        <v>-2.8651437856188199E-2</v>
      </c>
      <c r="H7" s="40">
        <v>-1.7145600716088258E-3</v>
      </c>
      <c r="I7" s="40">
        <v>-7.0230583345802525E-2</v>
      </c>
      <c r="J7" s="40">
        <v>1.8918721099943508E-2</v>
      </c>
      <c r="K7" s="40">
        <v>-1.5809706837666006E-2</v>
      </c>
      <c r="L7" s="40">
        <v>-2.2734646525232188E-2</v>
      </c>
      <c r="M7" s="40">
        <v>1.9028432362173688E-2</v>
      </c>
      <c r="N7" s="40">
        <v>6.5867285674935716E-2</v>
      </c>
      <c r="O7" s="40">
        <v>1.9884424146019666E-2</v>
      </c>
      <c r="P7" s="40">
        <v>-5.3364956292117141E-3</v>
      </c>
      <c r="Q7" s="40">
        <v>9.5075812032749216E-2</v>
      </c>
      <c r="R7" s="40">
        <v>-9.8580041287727432E-2</v>
      </c>
      <c r="S7" s="40">
        <v>5.7430576445184289E-2</v>
      </c>
      <c r="T7" s="40">
        <v>4.4725221223624219E-2</v>
      </c>
      <c r="U7" s="40">
        <v>-6.7300074772839141E-2</v>
      </c>
      <c r="V7" s="40">
        <v>-2.1534959962777808E-2</v>
      </c>
      <c r="W7" s="40">
        <v>1.8756648483415756E-2</v>
      </c>
      <c r="X7" s="40">
        <v>2.0596763176551968E-2</v>
      </c>
      <c r="Y7" s="40">
        <v>-3.4907177980568915E-2</v>
      </c>
      <c r="Z7" s="40">
        <v>5.3227850985659826E-3</v>
      </c>
      <c r="AA7" s="40">
        <v>-1.0729428582490574E-2</v>
      </c>
      <c r="AB7" s="40">
        <v>-4.3132894762007174E-3</v>
      </c>
      <c r="AC7" s="40">
        <v>-2.2587213045461178E-2</v>
      </c>
      <c r="AD7" s="40">
        <v>-8.9228843097406193E-3</v>
      </c>
      <c r="AE7" s="40">
        <v>-9.6076920830267601E-3</v>
      </c>
      <c r="AF7" s="40">
        <v>-7.6328144582402026E-3</v>
      </c>
      <c r="AG7" s="40">
        <v>2.4721841330179434E-2</v>
      </c>
      <c r="AH7" s="40">
        <v>-7.4628672636391094E-3</v>
      </c>
      <c r="AI7" s="40">
        <v>1.214044475663366E-2</v>
      </c>
      <c r="AJ7" s="40">
        <v>-2.5444784115802813E-2</v>
      </c>
      <c r="AK7" s="40">
        <v>-5.001035351876542E-2</v>
      </c>
      <c r="AL7" s="40">
        <v>7.2678069821912203E-2</v>
      </c>
      <c r="AM7" s="40">
        <v>-4.0703795221129456E-2</v>
      </c>
      <c r="AN7" s="40">
        <v>3.7374999759495209E-2</v>
      </c>
      <c r="AO7" s="40">
        <v>4.7655596533367678E-2</v>
      </c>
      <c r="AP7" s="40">
        <v>-2.752978334564889E-2</v>
      </c>
      <c r="AQ7" s="40">
        <v>-1.0221189053767862E-2</v>
      </c>
      <c r="AR7" s="40">
        <v>-4.850538896598891E-2</v>
      </c>
      <c r="AS7" s="40">
        <v>-3.1925447947510475E-2</v>
      </c>
      <c r="AT7" s="40">
        <v>1.7880939085966663E-2</v>
      </c>
      <c r="AU7" s="40">
        <v>9.0635711605464842E-4</v>
      </c>
      <c r="AV7" s="40">
        <v>-1.2530696480951835E-2</v>
      </c>
      <c r="AW7" s="40">
        <v>4.2548022359220096E-2</v>
      </c>
      <c r="AX7" s="40">
        <v>-2.6000709195808869E-2</v>
      </c>
      <c r="AY7" s="40">
        <v>-1.5553313097856186E-2</v>
      </c>
      <c r="AZ7" s="40">
        <v>-1.6624693960388605E-2</v>
      </c>
      <c r="BA7" s="40">
        <v>1.108434292906344E-2</v>
      </c>
      <c r="BB7" s="40">
        <v>-3.3470618973853131E-2</v>
      </c>
      <c r="BC7" s="40">
        <v>4.125602983471275E-2</v>
      </c>
      <c r="BD7" s="40">
        <v>3.0048183623920106E-2</v>
      </c>
      <c r="BE7" s="40">
        <v>-2.3365229114424974E-2</v>
      </c>
      <c r="BF7" s="40">
        <v>-4.3191808584885027E-2</v>
      </c>
      <c r="BG7" s="40">
        <v>-4.5074261416987754E-2</v>
      </c>
      <c r="BH7" s="40">
        <v>-5.8638955097199921E-2</v>
      </c>
      <c r="BI7" s="40">
        <v>1.1459137406828806E-2</v>
      </c>
      <c r="BJ7" s="40">
        <v>1.3265457677323636E-2</v>
      </c>
      <c r="BK7" s="40">
        <v>-6.7173347841010516E-3</v>
      </c>
      <c r="BL7" s="40">
        <v>2.3564592994934162E-2</v>
      </c>
      <c r="BM7" s="40">
        <v>1.4470114353520649E-2</v>
      </c>
      <c r="BN7" s="40">
        <v>-4.2319979468540769E-2</v>
      </c>
      <c r="BO7" s="40">
        <v>-0.11135322589421688</v>
      </c>
      <c r="BP7" s="40">
        <v>3.8323005216354844E-2</v>
      </c>
      <c r="BQ7" s="40">
        <v>3.0750204172787631E-2</v>
      </c>
      <c r="BR7" s="40">
        <v>3.9349961820597357E-2</v>
      </c>
      <c r="BS7" s="40">
        <v>-1.5502410236318298E-2</v>
      </c>
      <c r="BT7" s="40">
        <v>-9.5360181198336329E-3</v>
      </c>
      <c r="BU7" s="40">
        <v>-1.2382387175604031E-2</v>
      </c>
      <c r="BV7" s="40">
        <v>1.6121679644516211E-2</v>
      </c>
      <c r="BW7" s="40">
        <v>-4.0442817409004572E-2</v>
      </c>
      <c r="BX7" s="40">
        <v>-9.0743373557693498E-3</v>
      </c>
      <c r="BY7" s="40">
        <v>-3.2035668993953749E-2</v>
      </c>
      <c r="BZ7" s="40">
        <v>4.6341554036925359E-2</v>
      </c>
      <c r="CA7" s="40">
        <v>-9.1187006975938598E-3</v>
      </c>
      <c r="CB7" s="40">
        <v>1.664936406418777E-2</v>
      </c>
      <c r="CC7" s="40">
        <v>4.4010187007938149E-2</v>
      </c>
      <c r="CD7" s="40">
        <v>5.5991532715328703E-2</v>
      </c>
      <c r="CE7" s="40">
        <v>3.221234920607708E-2</v>
      </c>
      <c r="CF7" s="40">
        <v>-8.2982888926991669E-2</v>
      </c>
      <c r="CG7" s="40">
        <v>-2.4997802689844632E-2</v>
      </c>
      <c r="CH7" s="40">
        <v>-5.3528526729100495E-2</v>
      </c>
      <c r="CI7" s="40">
        <v>6.6094632410618054E-2</v>
      </c>
      <c r="CJ7" s="40">
        <v>3.5571420139841214E-2</v>
      </c>
      <c r="CK7" s="40">
        <v>1.7034967917570757E-2</v>
      </c>
      <c r="CL7" s="40">
        <v>-3.8621379381935508E-2</v>
      </c>
      <c r="CM7" s="40">
        <v>4.3880111604612998E-2</v>
      </c>
      <c r="CN7" s="40">
        <v>-5.0285564838095397E-2</v>
      </c>
      <c r="CO7" s="40">
        <v>1.4932004848608313E-2</v>
      </c>
      <c r="CP7" s="40">
        <v>-5.4661878796854031E-2</v>
      </c>
      <c r="CQ7" s="40">
        <v>-2.626252259398203E-2</v>
      </c>
      <c r="CR7" s="40">
        <v>1.0931687855795316E-3</v>
      </c>
      <c r="CS7" s="40">
        <v>2.2495604081981889E-2</v>
      </c>
      <c r="CT7" s="40">
        <v>3.3626071424438859E-2</v>
      </c>
      <c r="CU7" s="40">
        <v>-2.9927668103440264E-2</v>
      </c>
      <c r="CV7" s="40">
        <v>9.4178362001349519E-2</v>
      </c>
      <c r="CW7" s="40">
        <v>2.2797117973186742E-2</v>
      </c>
      <c r="CX7" s="40">
        <v>-5.6389917140587852E-2</v>
      </c>
      <c r="CY7" s="40">
        <v>-8.9975590047605501E-3</v>
      </c>
      <c r="CZ7" s="40">
        <v>-0.12954595737373947</v>
      </c>
      <c r="DA7" s="40">
        <v>5.6727121557170405E-2</v>
      </c>
      <c r="DB7" s="40">
        <v>-6.1427323648539631E-2</v>
      </c>
      <c r="DC7" s="40">
        <v>-4.2426214302403023E-2</v>
      </c>
      <c r="DD7" s="40">
        <v>-3.125404350674679E-3</v>
      </c>
      <c r="DE7" s="40">
        <v>3.985361120045066E-2</v>
      </c>
      <c r="DF7" s="40">
        <v>-6.6899378397593801E-3</v>
      </c>
      <c r="DG7" s="40">
        <v>7.0939565655221632E-3</v>
      </c>
      <c r="DH7" s="40">
        <v>1.415838007410427E-2</v>
      </c>
      <c r="DI7" s="40">
        <v>-5.7914176927489373E-3</v>
      </c>
      <c r="DJ7" s="40">
        <v>-5.4565470484482567E-3</v>
      </c>
      <c r="DK7" s="40">
        <v>-5.0583134404174289E-4</v>
      </c>
      <c r="DL7" s="40">
        <v>4.9071171031395645E-3</v>
      </c>
      <c r="DM7" s="40">
        <v>4.33444030698317E-2</v>
      </c>
      <c r="DN7" s="40">
        <v>2.8080106941028235E-3</v>
      </c>
      <c r="DO7" s="40">
        <v>-4.6174630830088895E-2</v>
      </c>
      <c r="DP7" s="40">
        <v>-4.0581954982299329E-2</v>
      </c>
      <c r="DQ7" s="40">
        <v>-1.8061157150478183E-2</v>
      </c>
      <c r="DR7" s="40">
        <v>2.5478671793366783E-2</v>
      </c>
      <c r="DS7" s="40">
        <v>3.0410292169024372E-3</v>
      </c>
      <c r="DT7" s="40">
        <v>5.81958778736456E-2</v>
      </c>
      <c r="DU7" s="40">
        <v>-2.2504968344624894E-3</v>
      </c>
      <c r="DV7" s="40">
        <v>-4.8376544701711523E-2</v>
      </c>
      <c r="DW7" s="40">
        <v>1.046250798346122E-2</v>
      </c>
      <c r="DX7" s="40">
        <v>-4.6380430632526538E-2</v>
      </c>
      <c r="DY7" s="40">
        <v>-5.5720008942169094E-2</v>
      </c>
      <c r="DZ7" s="40">
        <v>-1.0601379839641484E-5</v>
      </c>
      <c r="EA7" s="40">
        <v>1.8724239379515548E-3</v>
      </c>
      <c r="EB7" s="40">
        <v>5.4872087738074983E-2</v>
      </c>
      <c r="EC7" s="40">
        <v>-2.1973128091506245E-2</v>
      </c>
      <c r="ED7" s="41">
        <v>2.6373080101040135E-2</v>
      </c>
      <c r="EE7" s="40">
        <v>-3.6568802962306253E-2</v>
      </c>
      <c r="EF7" s="51">
        <v>1.9470479510597233E-3</v>
      </c>
    </row>
    <row r="8" spans="1:137" ht="16">
      <c r="A8" s="63" t="s">
        <v>135</v>
      </c>
      <c r="B8" s="64"/>
      <c r="C8" s="21">
        <f t="array" ref="C8">MATCH(MAX(ABS(C3:C7)), ABS(C3:C7), 0)</f>
        <v>2</v>
      </c>
      <c r="D8" s="21">
        <f t="array" ref="D8">MATCH(MAX(ABS(D3:D7)), ABS(D3:D7), 0)</f>
        <v>2</v>
      </c>
      <c r="E8" s="21">
        <f t="array" ref="E8">MATCH(MAX(ABS(E3:E7)), ABS(E3:E7), 0)</f>
        <v>2</v>
      </c>
      <c r="F8" s="21">
        <f t="array" ref="F8">MATCH(MAX(ABS(F3:F7)), ABS(F3:F7), 0)</f>
        <v>2</v>
      </c>
      <c r="G8" s="21">
        <f t="array" ref="G8">MATCH(MAX(ABS(G3:G7)), ABS(G3:G7), 0)</f>
        <v>3</v>
      </c>
      <c r="H8" s="21">
        <f t="array" ref="H8">MATCH(MAX(ABS(H3:H7)), ABS(H3:H7), 0)</f>
        <v>2</v>
      </c>
      <c r="I8" s="21">
        <f t="array" ref="I8">MATCH(MAX(ABS(I3:I7)), ABS(I3:I7), 0)</f>
        <v>5</v>
      </c>
      <c r="J8" s="21">
        <f t="array" ref="J8">MATCH(MAX(ABS(J3:J7)), ABS(J3:J7), 0)</f>
        <v>1</v>
      </c>
      <c r="K8" s="21">
        <f t="array" ref="K8">MATCH(MAX(ABS(K3:K7)), ABS(K3:K7), 0)</f>
        <v>4</v>
      </c>
      <c r="L8" s="21">
        <f t="array" ref="L8">MATCH(MAX(ABS(L3:L7)), ABS(L3:L7), 0)</f>
        <v>1</v>
      </c>
      <c r="M8" s="21">
        <f t="array" ref="M8">MATCH(MAX(ABS(M3:M7)), ABS(M3:M7), 0)</f>
        <v>1</v>
      </c>
      <c r="N8" s="21">
        <f t="array" ref="N8">MATCH(MAX(ABS(N3:N7)), ABS(N3:N7), 0)</f>
        <v>2</v>
      </c>
      <c r="O8" s="21">
        <f t="array" ref="O8">MATCH(MAX(ABS(O3:O7)), ABS(O3:O7), 0)</f>
        <v>3</v>
      </c>
      <c r="P8" s="21">
        <f t="array" ref="P8">MATCH(MAX(ABS(P3:P7)), ABS(P3:P7), 0)</f>
        <v>2</v>
      </c>
      <c r="Q8" s="21">
        <f t="array" ref="Q8">MATCH(MAX(ABS(Q3:Q7)), ABS(Q3:Q7), 0)</f>
        <v>5</v>
      </c>
      <c r="R8" s="21">
        <f t="array" ref="R8">MATCH(MAX(ABS(R3:R7)), ABS(R3:R7), 0)</f>
        <v>5</v>
      </c>
      <c r="S8" s="21">
        <f t="array" ref="S8">MATCH(MAX(ABS(S3:S7)), ABS(S3:S7), 0)</f>
        <v>1</v>
      </c>
      <c r="T8" s="21">
        <f t="array" ref="T8">MATCH(MAX(ABS(T3:T7)), ABS(T3:T7), 0)</f>
        <v>1</v>
      </c>
      <c r="U8" s="21">
        <f t="array" ref="U8">MATCH(MAX(ABS(U3:U7)), ABS(U3:U7), 0)</f>
        <v>5</v>
      </c>
      <c r="V8" s="21">
        <f t="array" ref="V8">MATCH(MAX(ABS(V3:V7)), ABS(V3:V7), 0)</f>
        <v>1</v>
      </c>
      <c r="W8" s="21">
        <f t="array" ref="W8">MATCH(MAX(ABS(W3:W7)), ABS(W3:W7), 0)</f>
        <v>2</v>
      </c>
      <c r="X8" s="21">
        <f t="array" ref="X8">MATCH(MAX(ABS(X3:X7)), ABS(X3:X7), 0)</f>
        <v>3</v>
      </c>
      <c r="Y8" s="21">
        <f t="array" ref="Y8">MATCH(MAX(ABS(Y3:Y7)), ABS(Y3:Y7), 0)</f>
        <v>1</v>
      </c>
      <c r="Z8" s="21">
        <f t="array" ref="Z8">MATCH(MAX(ABS(Z3:Z7)), ABS(Z3:Z7), 0)</f>
        <v>3</v>
      </c>
      <c r="AA8" s="21">
        <f t="array" ref="AA8">MATCH(MAX(ABS(AA3:AA7)), ABS(AA3:AA7), 0)</f>
        <v>3</v>
      </c>
      <c r="AB8" s="21">
        <f t="array" ref="AB8">MATCH(MAX(ABS(AB3:AB7)), ABS(AB3:AB7), 0)</f>
        <v>4</v>
      </c>
      <c r="AC8" s="21">
        <f t="array" ref="AC8">MATCH(MAX(ABS(AC3:AC7)), ABS(AC3:AC7), 0)</f>
        <v>3</v>
      </c>
      <c r="AD8" s="21">
        <f t="array" ref="AD8">MATCH(MAX(ABS(AD3:AD7)), ABS(AD3:AD7), 0)</f>
        <v>1</v>
      </c>
      <c r="AE8" s="21">
        <f t="array" ref="AE8">MATCH(MAX(ABS(AE3:AE7)), ABS(AE3:AE7), 0)</f>
        <v>2</v>
      </c>
      <c r="AF8" s="21">
        <f t="array" ref="AF8">MATCH(MAX(ABS(AF3:AF7)), ABS(AF3:AF7), 0)</f>
        <v>3</v>
      </c>
      <c r="AG8" s="21">
        <f t="array" ref="AG8">MATCH(MAX(ABS(AG3:AG7)), ABS(AG3:AG7), 0)</f>
        <v>2</v>
      </c>
      <c r="AH8" s="21">
        <f t="array" ref="AH8">MATCH(MAX(ABS(AH3:AH7)), ABS(AH3:AH7), 0)</f>
        <v>1</v>
      </c>
      <c r="AI8" s="21">
        <f t="array" ref="AI8">MATCH(MAX(ABS(AI3:AI7)), ABS(AI3:AI7), 0)</f>
        <v>2</v>
      </c>
      <c r="AJ8" s="21">
        <f t="array" ref="AJ8">MATCH(MAX(ABS(AJ3:AJ7)), ABS(AJ3:AJ7), 0)</f>
        <v>4</v>
      </c>
      <c r="AK8" s="21">
        <f t="array" ref="AK8">MATCH(MAX(ABS(AK3:AK7)), ABS(AK3:AK7), 0)</f>
        <v>4</v>
      </c>
      <c r="AL8" s="21">
        <f t="array" ref="AL8">MATCH(MAX(ABS(AL3:AL7)), ABS(AL3:AL7), 0)</f>
        <v>1</v>
      </c>
      <c r="AM8" s="21">
        <f t="array" ref="AM8">MATCH(MAX(ABS(AM3:AM7)), ABS(AM3:AM7), 0)</f>
        <v>3</v>
      </c>
      <c r="AN8" s="21">
        <f t="array" ref="AN8">MATCH(MAX(ABS(AN3:AN7)), ABS(AN3:AN7), 0)</f>
        <v>2</v>
      </c>
      <c r="AO8" s="21">
        <f t="array" ref="AO8">MATCH(MAX(ABS(AO3:AO7)), ABS(AO3:AO7), 0)</f>
        <v>2</v>
      </c>
      <c r="AP8" s="21">
        <f t="array" ref="AP8">MATCH(MAX(ABS(AP3:AP7)), ABS(AP3:AP7), 0)</f>
        <v>1</v>
      </c>
      <c r="AQ8" s="21">
        <f t="array" ref="AQ8">MATCH(MAX(ABS(AQ3:AQ7)), ABS(AQ3:AQ7), 0)</f>
        <v>1</v>
      </c>
      <c r="AR8" s="21">
        <f t="array" ref="AR8">MATCH(MAX(ABS(AR3:AR7)), ABS(AR3:AR7), 0)</f>
        <v>2</v>
      </c>
      <c r="AS8" s="21">
        <f t="array" ref="AS8">MATCH(MAX(ABS(AS3:AS7)), ABS(AS3:AS7), 0)</f>
        <v>3</v>
      </c>
      <c r="AT8" s="21">
        <f t="array" ref="AT8">MATCH(MAX(ABS(AT3:AT7)), ABS(AT3:AT7), 0)</f>
        <v>3</v>
      </c>
      <c r="AU8" s="21">
        <f t="array" ref="AU8">MATCH(MAX(ABS(AU3:AU7)), ABS(AU3:AU7), 0)</f>
        <v>2</v>
      </c>
      <c r="AV8" s="21">
        <f t="array" ref="AV8">MATCH(MAX(ABS(AV3:AV7)), ABS(AV3:AV7), 0)</f>
        <v>3</v>
      </c>
      <c r="AW8" s="21">
        <f t="array" ref="AW8">MATCH(MAX(ABS(AW3:AW7)), ABS(AW3:AW7), 0)</f>
        <v>3</v>
      </c>
      <c r="AX8" s="21">
        <f t="array" ref="AX8">MATCH(MAX(ABS(AX3:AX7)), ABS(AX3:AX7), 0)</f>
        <v>3</v>
      </c>
      <c r="AY8" s="21">
        <f t="array" ref="AY8">MATCH(MAX(ABS(AY3:AY7)), ABS(AY3:AY7), 0)</f>
        <v>3</v>
      </c>
      <c r="AZ8" s="21">
        <f t="array" ref="AZ8">MATCH(MAX(ABS(AZ3:AZ7)), ABS(AZ3:AZ7), 0)</f>
        <v>2</v>
      </c>
      <c r="BA8" s="21">
        <f t="array" ref="BA8">MATCH(MAX(ABS(BA3:BA7)), ABS(BA3:BA7), 0)</f>
        <v>2</v>
      </c>
      <c r="BB8" s="21">
        <f t="array" ref="BB8">MATCH(MAX(ABS(BB3:BB7)), ABS(BB3:BB7), 0)</f>
        <v>3</v>
      </c>
      <c r="BC8" s="21">
        <f t="array" ref="BC8">MATCH(MAX(ABS(BC3:BC7)), ABS(BC3:BC7), 0)</f>
        <v>3</v>
      </c>
      <c r="BD8" s="21">
        <f t="array" ref="BD8">MATCH(MAX(ABS(BD3:BD7)), ABS(BD3:BD7), 0)</f>
        <v>2</v>
      </c>
      <c r="BE8" s="21">
        <f t="array" ref="BE8">MATCH(MAX(ABS(BE3:BE7)), ABS(BE3:BE7), 0)</f>
        <v>2</v>
      </c>
      <c r="BF8" s="21">
        <f t="array" ref="BF8">MATCH(MAX(ABS(BF3:BF7)), ABS(BF3:BF7), 0)</f>
        <v>3</v>
      </c>
      <c r="BG8" s="21">
        <f t="array" ref="BG8">MATCH(MAX(ABS(BG3:BG7)), ABS(BG3:BG7), 0)</f>
        <v>3</v>
      </c>
      <c r="BH8" s="21">
        <f t="array" ref="BH8">MATCH(MAX(ABS(BH3:BH7)), ABS(BH3:BH7), 0)</f>
        <v>1</v>
      </c>
      <c r="BI8" s="21">
        <f t="array" ref="BI8">MATCH(MAX(ABS(BI3:BI7)), ABS(BI3:BI7), 0)</f>
        <v>1</v>
      </c>
      <c r="BJ8" s="21">
        <f t="array" ref="BJ8">MATCH(MAX(ABS(BJ3:BJ7)), ABS(BJ3:BJ7), 0)</f>
        <v>2</v>
      </c>
      <c r="BK8" s="21">
        <f t="array" ref="BK8">MATCH(MAX(ABS(BK3:BK7)), ABS(BK3:BK7), 0)</f>
        <v>2</v>
      </c>
      <c r="BL8" s="21">
        <f t="array" ref="BL8">MATCH(MAX(ABS(BL3:BL7)), ABS(BL3:BL7), 0)</f>
        <v>3</v>
      </c>
      <c r="BM8" s="21">
        <f t="array" ref="BM8">MATCH(MAX(ABS(BM3:BM7)), ABS(BM3:BM7), 0)</f>
        <v>3</v>
      </c>
      <c r="BN8" s="21">
        <f t="array" ref="BN8">MATCH(MAX(ABS(BN3:BN7)), ABS(BN3:BN7), 0)</f>
        <v>1</v>
      </c>
      <c r="BO8" s="21">
        <f t="array" ref="BO8">MATCH(MAX(ABS(BO3:BO7)), ABS(BO3:BO7), 0)</f>
        <v>4</v>
      </c>
      <c r="BP8" s="21">
        <f t="array" ref="BP8">MATCH(MAX(ABS(BP3:BP7)), ABS(BP3:BP7), 0)</f>
        <v>3</v>
      </c>
      <c r="BQ8" s="21">
        <f t="array" ref="BQ8">MATCH(MAX(ABS(BQ3:BQ7)), ABS(BQ3:BQ7), 0)</f>
        <v>1</v>
      </c>
      <c r="BR8" s="21">
        <f t="array" ref="BR8">MATCH(MAX(ABS(BR3:BR7)), ABS(BR3:BR7), 0)</f>
        <v>3</v>
      </c>
      <c r="BS8" s="21">
        <f t="array" ref="BS8">MATCH(MAX(ABS(BS3:BS7)), ABS(BS3:BS7), 0)</f>
        <v>2</v>
      </c>
      <c r="BT8" s="21">
        <f t="array" ref="BT8">MATCH(MAX(ABS(BT3:BT7)), ABS(BT3:BT7), 0)</f>
        <v>2</v>
      </c>
      <c r="BU8" s="21">
        <f t="array" ref="BU8">MATCH(MAX(ABS(BU3:BU7)), ABS(BU3:BU7), 0)</f>
        <v>2</v>
      </c>
      <c r="BV8" s="21">
        <f t="array" ref="BV8">MATCH(MAX(ABS(BV3:BV7)), ABS(BV3:BV7), 0)</f>
        <v>3</v>
      </c>
      <c r="BW8" s="21">
        <f t="array" ref="BW8">MATCH(MAX(ABS(BW3:BW7)), ABS(BW3:BW7), 0)</f>
        <v>2</v>
      </c>
      <c r="BX8" s="21">
        <f t="array" ref="BX8">MATCH(MAX(ABS(BX3:BX7)), ABS(BX3:BX7), 0)</f>
        <v>1</v>
      </c>
      <c r="BY8" s="21">
        <f t="array" ref="BY8">MATCH(MAX(ABS(BY3:BY7)), ABS(BY3:BY7), 0)</f>
        <v>1</v>
      </c>
      <c r="BZ8" s="21">
        <f t="array" ref="BZ8">MATCH(MAX(ABS(BZ3:BZ7)), ABS(BZ3:BZ7), 0)</f>
        <v>1</v>
      </c>
      <c r="CA8" s="21">
        <f t="array" ref="CA8">MATCH(MAX(ABS(CA3:CA7)), ABS(CA3:CA7), 0)</f>
        <v>2</v>
      </c>
      <c r="CB8" s="21">
        <f t="array" ref="CB8">MATCH(MAX(ABS(CB3:CB7)), ABS(CB3:CB7), 0)</f>
        <v>2</v>
      </c>
      <c r="CC8" s="21">
        <f t="array" ref="CC8">MATCH(MAX(ABS(CC3:CC7)), ABS(CC3:CC7), 0)</f>
        <v>2</v>
      </c>
      <c r="CD8" s="21">
        <f t="array" ref="CD8">MATCH(MAX(ABS(CD3:CD7)), ABS(CD3:CD7), 0)</f>
        <v>1</v>
      </c>
      <c r="CE8" s="21">
        <f t="array" ref="CE8">MATCH(MAX(ABS(CE3:CE7)), ABS(CE3:CE7), 0)</f>
        <v>2</v>
      </c>
      <c r="CF8" s="21">
        <f t="array" ref="CF8">MATCH(MAX(ABS(CF3:CF7)), ABS(CF3:CF7), 0)</f>
        <v>5</v>
      </c>
      <c r="CG8" s="21">
        <f t="array" ref="CG8">MATCH(MAX(ABS(CG3:CG7)), ABS(CG3:CG7), 0)</f>
        <v>1</v>
      </c>
      <c r="CH8" s="21">
        <f t="array" ref="CH8">MATCH(MAX(ABS(CH3:CH7)), ABS(CH3:CH7), 0)</f>
        <v>1</v>
      </c>
      <c r="CI8" s="21">
        <f t="array" ref="CI8">MATCH(MAX(ABS(CI3:CI7)), ABS(CI3:CI7), 0)</f>
        <v>3</v>
      </c>
      <c r="CJ8" s="21">
        <f t="array" ref="CJ8">MATCH(MAX(ABS(CJ3:CJ7)), ABS(CJ3:CJ7), 0)</f>
        <v>3</v>
      </c>
      <c r="CK8" s="21">
        <f t="array" ref="CK8">MATCH(MAX(ABS(CK3:CK7)), ABS(CK3:CK7), 0)</f>
        <v>3</v>
      </c>
      <c r="CL8" s="21">
        <f t="array" ref="CL8">MATCH(MAX(ABS(CL3:CL7)), ABS(CL3:CL7), 0)</f>
        <v>1</v>
      </c>
      <c r="CM8" s="21">
        <f t="array" ref="CM8">MATCH(MAX(ABS(CM3:CM7)), ABS(CM3:CM7), 0)</f>
        <v>2</v>
      </c>
      <c r="CN8" s="21">
        <f t="array" ref="CN8">MATCH(MAX(ABS(CN3:CN7)), ABS(CN3:CN7), 0)</f>
        <v>1</v>
      </c>
      <c r="CO8" s="21">
        <f t="array" ref="CO8">MATCH(MAX(ABS(CO3:CO7)), ABS(CO3:CO7), 0)</f>
        <v>3</v>
      </c>
      <c r="CP8" s="21">
        <f t="array" ref="CP8">MATCH(MAX(ABS(CP3:CP7)), ABS(CP3:CP7), 0)</f>
        <v>2</v>
      </c>
      <c r="CQ8" s="21">
        <f t="array" ref="CQ8">MATCH(MAX(ABS(CQ3:CQ7)), ABS(CQ3:CQ7), 0)</f>
        <v>3</v>
      </c>
      <c r="CR8" s="21">
        <f t="array" ref="CR8">MATCH(MAX(ABS(CR3:CR7)), ABS(CR3:CR7), 0)</f>
        <v>3</v>
      </c>
      <c r="CS8" s="21">
        <f t="array" ref="CS8">MATCH(MAX(ABS(CS3:CS7)), ABS(CS3:CS7), 0)</f>
        <v>1</v>
      </c>
      <c r="CT8" s="21">
        <f t="array" ref="CT8">MATCH(MAX(ABS(CT3:CT7)), ABS(CT3:CT7), 0)</f>
        <v>3</v>
      </c>
      <c r="CU8" s="21">
        <f t="array" ref="CU8">MATCH(MAX(ABS(CU3:CU7)), ABS(CU3:CU7), 0)</f>
        <v>1</v>
      </c>
      <c r="CV8" s="21">
        <f t="array" ref="CV8">MATCH(MAX(ABS(CV3:CV7)), ABS(CV3:CV7), 0)</f>
        <v>4</v>
      </c>
      <c r="CW8" s="21">
        <f t="array" ref="CW8">MATCH(MAX(ABS(CW3:CW7)), ABS(CW3:CW7), 0)</f>
        <v>3</v>
      </c>
      <c r="CX8" s="21">
        <f t="array" ref="CX8">MATCH(MAX(ABS(CX3:CX7)), ABS(CX3:CX7), 0)</f>
        <v>2</v>
      </c>
      <c r="CY8" s="21">
        <f t="array" ref="CY8">MATCH(MAX(ABS(CY3:CY7)), ABS(CY3:CY7), 0)</f>
        <v>2</v>
      </c>
      <c r="CZ8" s="21">
        <f t="array" ref="CZ8">MATCH(MAX(ABS(CZ3:CZ7)), ABS(CZ3:CZ7), 0)</f>
        <v>2</v>
      </c>
      <c r="DA8" s="21">
        <f t="array" ref="DA8">MATCH(MAX(ABS(DA3:DA7)), ABS(DA3:DA7), 0)</f>
        <v>1</v>
      </c>
      <c r="DB8" s="21">
        <f t="array" ref="DB8">MATCH(MAX(ABS(DB3:DB7)), ABS(DB3:DB7), 0)</f>
        <v>2</v>
      </c>
      <c r="DC8" s="21">
        <f t="array" ref="DC8">MATCH(MAX(ABS(DC3:DC7)), ABS(DC3:DC7), 0)</f>
        <v>1</v>
      </c>
      <c r="DD8" s="21">
        <f t="array" ref="DD8">MATCH(MAX(ABS(DD3:DD7)), ABS(DD3:DD7), 0)</f>
        <v>3</v>
      </c>
      <c r="DE8" s="21">
        <f t="array" ref="DE8">MATCH(MAX(ABS(DE3:DE7)), ABS(DE3:DE7), 0)</f>
        <v>1</v>
      </c>
      <c r="DF8" s="21">
        <f t="array" ref="DF8">MATCH(MAX(ABS(DF3:DF7)), ABS(DF3:DF7), 0)</f>
        <v>2</v>
      </c>
      <c r="DG8" s="21">
        <f t="array" ref="DG8">MATCH(MAX(ABS(DG3:DG7)), ABS(DG3:DG7), 0)</f>
        <v>2</v>
      </c>
      <c r="DH8" s="21">
        <f t="array" ref="DH8">MATCH(MAX(ABS(DH3:DH7)), ABS(DH3:DH7), 0)</f>
        <v>2</v>
      </c>
      <c r="DI8" s="21">
        <f t="array" ref="DI8">MATCH(MAX(ABS(DI3:DI7)), ABS(DI3:DI7), 0)</f>
        <v>2</v>
      </c>
      <c r="DJ8" s="21">
        <f t="array" ref="DJ8">MATCH(MAX(ABS(DJ3:DJ7)), ABS(DJ3:DJ7), 0)</f>
        <v>3</v>
      </c>
      <c r="DK8" s="21">
        <f t="array" ref="DK8">MATCH(MAX(ABS(DK3:DK7)), ABS(DK3:DK7), 0)</f>
        <v>2</v>
      </c>
      <c r="DL8" s="21">
        <f t="array" ref="DL8">MATCH(MAX(ABS(DL3:DL7)), ABS(DL3:DL7), 0)</f>
        <v>1</v>
      </c>
      <c r="DM8" s="21">
        <f t="array" ref="DM8">MATCH(MAX(ABS(DM3:DM7)), ABS(DM3:DM7), 0)</f>
        <v>1</v>
      </c>
      <c r="DN8" s="21">
        <f t="array" ref="DN8">MATCH(MAX(ABS(DN3:DN7)), ABS(DN3:DN7), 0)</f>
        <v>3</v>
      </c>
      <c r="DO8" s="21">
        <f t="array" ref="DO8">MATCH(MAX(ABS(DO3:DO7)), ABS(DO3:DO7), 0)</f>
        <v>2</v>
      </c>
      <c r="DP8" s="21">
        <f t="array" ref="DP8">MATCH(MAX(ABS(DP3:DP7)), ABS(DP3:DP7), 0)</f>
        <v>3</v>
      </c>
      <c r="DQ8" s="21">
        <f t="array" ref="DQ8">MATCH(MAX(ABS(DQ3:DQ7)), ABS(DQ3:DQ7), 0)</f>
        <v>3</v>
      </c>
      <c r="DR8" s="21">
        <f t="array" ref="DR8">MATCH(MAX(ABS(DR3:DR7)), ABS(DR3:DR7), 0)</f>
        <v>4</v>
      </c>
      <c r="DS8" s="21">
        <f t="array" ref="DS8">MATCH(MAX(ABS(DS3:DS7)), ABS(DS3:DS7), 0)</f>
        <v>2</v>
      </c>
      <c r="DT8" s="21">
        <f t="array" ref="DT8">MATCH(MAX(ABS(DT3:DT7)), ABS(DT3:DT7), 0)</f>
        <v>3</v>
      </c>
      <c r="DU8" s="21">
        <f t="array" ref="DU8">MATCH(MAX(ABS(DU3:DU7)), ABS(DU3:DU7), 0)</f>
        <v>2</v>
      </c>
      <c r="DV8" s="21">
        <f t="array" ref="DV8">MATCH(MAX(ABS(DV3:DV7)), ABS(DV3:DV7), 0)</f>
        <v>5</v>
      </c>
      <c r="DW8" s="21">
        <f t="array" ref="DW8">MATCH(MAX(ABS(DW3:DW7)), ABS(DW3:DW7), 0)</f>
        <v>1</v>
      </c>
      <c r="DX8" s="21">
        <f t="array" ref="DX8">MATCH(MAX(ABS(DX3:DX7)), ABS(DX3:DX7), 0)</f>
        <v>1</v>
      </c>
      <c r="DY8" s="21">
        <f t="array" ref="DY8">MATCH(MAX(ABS(DY3:DY7)), ABS(DY3:DY7), 0)</f>
        <v>2</v>
      </c>
      <c r="DZ8" s="21">
        <f t="array" ref="DZ8">MATCH(MAX(ABS(DZ3:DZ7)), ABS(DZ3:DZ7), 0)</f>
        <v>1</v>
      </c>
      <c r="EA8" s="21">
        <f t="array" ref="EA8">MATCH(MAX(ABS(EA3:EA7)), ABS(EA3:EA7), 0)</f>
        <v>3</v>
      </c>
      <c r="EB8" s="21">
        <f t="array" ref="EB8">MATCH(MAX(ABS(EB3:EB7)), ABS(EB3:EB7), 0)</f>
        <v>3</v>
      </c>
      <c r="EC8" s="21">
        <f t="array" ref="EC8">MATCH(MAX(ABS(EC3:EC7)), ABS(EC3:EC7), 0)</f>
        <v>3</v>
      </c>
      <c r="ED8" s="21">
        <f t="array" ref="ED8">MATCH(MAX(ABS(ED3:ED7)), ABS(ED3:ED7), 0)</f>
        <v>1</v>
      </c>
      <c r="EE8" s="21">
        <f t="array" ref="EE8">MATCH(MAX(ABS(EE3:EE7)), ABS(EE3:EE7), 0)</f>
        <v>2</v>
      </c>
      <c r="EF8" s="25">
        <v>2</v>
      </c>
    </row>
    <row r="9" spans="1:137" ht="16">
      <c r="A9" s="5"/>
      <c r="B9" s="18"/>
      <c r="C9" s="21" t="str">
        <f>IF(C8=1,"mom1",
IF(C8=2,"mom12",
IF(C8=3,"chmom",
IF(C8=4,"retvol",
IF(C8=5,"maxret","")))))</f>
        <v>mom12</v>
      </c>
      <c r="D9" s="21" t="str">
        <f t="shared" ref="D9:BO9" si="0">IF(D8=1,"mom1",
IF(D8=2,"mom12",
IF(D8=3,"chmom",
IF(D8=4,"retvol",
IF(D8=5,"maxret","")))))</f>
        <v>mom12</v>
      </c>
      <c r="E9" s="21" t="str">
        <f t="shared" si="0"/>
        <v>mom12</v>
      </c>
      <c r="F9" s="21" t="str">
        <f t="shared" si="0"/>
        <v>mom12</v>
      </c>
      <c r="G9" s="21" t="str">
        <f t="shared" si="0"/>
        <v>chmom</v>
      </c>
      <c r="H9" s="21" t="str">
        <f t="shared" si="0"/>
        <v>mom12</v>
      </c>
      <c r="I9" s="21" t="str">
        <f t="shared" si="0"/>
        <v>maxret</v>
      </c>
      <c r="J9" s="21" t="str">
        <f t="shared" si="0"/>
        <v>mom1</v>
      </c>
      <c r="K9" s="21" t="str">
        <f t="shared" si="0"/>
        <v>retvol</v>
      </c>
      <c r="L9" s="21" t="str">
        <f t="shared" si="0"/>
        <v>mom1</v>
      </c>
      <c r="M9" s="21" t="str">
        <f t="shared" si="0"/>
        <v>mom1</v>
      </c>
      <c r="N9" s="21" t="str">
        <f t="shared" si="0"/>
        <v>mom12</v>
      </c>
      <c r="O9" s="21" t="str">
        <f t="shared" si="0"/>
        <v>chmom</v>
      </c>
      <c r="P9" s="21" t="str">
        <f t="shared" si="0"/>
        <v>mom12</v>
      </c>
      <c r="Q9" s="21" t="str">
        <f t="shared" si="0"/>
        <v>maxret</v>
      </c>
      <c r="R9" s="21" t="str">
        <f t="shared" si="0"/>
        <v>maxret</v>
      </c>
      <c r="S9" s="21" t="str">
        <f t="shared" si="0"/>
        <v>mom1</v>
      </c>
      <c r="T9" s="21" t="str">
        <f t="shared" si="0"/>
        <v>mom1</v>
      </c>
      <c r="U9" s="21" t="str">
        <f t="shared" si="0"/>
        <v>maxret</v>
      </c>
      <c r="V9" s="21" t="str">
        <f t="shared" si="0"/>
        <v>mom1</v>
      </c>
      <c r="W9" s="21" t="str">
        <f t="shared" si="0"/>
        <v>mom12</v>
      </c>
      <c r="X9" s="21" t="str">
        <f t="shared" si="0"/>
        <v>chmom</v>
      </c>
      <c r="Y9" s="21" t="str">
        <f t="shared" si="0"/>
        <v>mom1</v>
      </c>
      <c r="Z9" s="21" t="str">
        <f t="shared" si="0"/>
        <v>chmom</v>
      </c>
      <c r="AA9" s="21" t="str">
        <f t="shared" si="0"/>
        <v>chmom</v>
      </c>
      <c r="AB9" s="21" t="str">
        <f t="shared" si="0"/>
        <v>retvol</v>
      </c>
      <c r="AC9" s="21" t="str">
        <f t="shared" si="0"/>
        <v>chmom</v>
      </c>
      <c r="AD9" s="21" t="str">
        <f t="shared" si="0"/>
        <v>mom1</v>
      </c>
      <c r="AE9" s="21" t="str">
        <f t="shared" si="0"/>
        <v>mom12</v>
      </c>
      <c r="AF9" s="21" t="str">
        <f t="shared" si="0"/>
        <v>chmom</v>
      </c>
      <c r="AG9" s="21" t="str">
        <f t="shared" si="0"/>
        <v>mom12</v>
      </c>
      <c r="AH9" s="21" t="str">
        <f t="shared" si="0"/>
        <v>mom1</v>
      </c>
      <c r="AI9" s="21" t="str">
        <f t="shared" si="0"/>
        <v>mom12</v>
      </c>
      <c r="AJ9" s="21" t="str">
        <f t="shared" si="0"/>
        <v>retvol</v>
      </c>
      <c r="AK9" s="21" t="str">
        <f t="shared" si="0"/>
        <v>retvol</v>
      </c>
      <c r="AL9" s="21" t="str">
        <f t="shared" si="0"/>
        <v>mom1</v>
      </c>
      <c r="AM9" s="21" t="str">
        <f t="shared" si="0"/>
        <v>chmom</v>
      </c>
      <c r="AN9" s="21" t="str">
        <f t="shared" si="0"/>
        <v>mom12</v>
      </c>
      <c r="AO9" s="21" t="str">
        <f t="shared" si="0"/>
        <v>mom12</v>
      </c>
      <c r="AP9" s="21" t="str">
        <f t="shared" si="0"/>
        <v>mom1</v>
      </c>
      <c r="AQ9" s="21" t="str">
        <f t="shared" si="0"/>
        <v>mom1</v>
      </c>
      <c r="AR9" s="21" t="str">
        <f t="shared" si="0"/>
        <v>mom12</v>
      </c>
      <c r="AS9" s="21" t="str">
        <f t="shared" si="0"/>
        <v>chmom</v>
      </c>
      <c r="AT9" s="21" t="str">
        <f t="shared" si="0"/>
        <v>chmom</v>
      </c>
      <c r="AU9" s="21" t="str">
        <f t="shared" si="0"/>
        <v>mom12</v>
      </c>
      <c r="AV9" s="21" t="str">
        <f t="shared" si="0"/>
        <v>chmom</v>
      </c>
      <c r="AW9" s="21" t="str">
        <f t="shared" si="0"/>
        <v>chmom</v>
      </c>
      <c r="AX9" s="21" t="str">
        <f t="shared" si="0"/>
        <v>chmom</v>
      </c>
      <c r="AY9" s="21" t="str">
        <f t="shared" si="0"/>
        <v>chmom</v>
      </c>
      <c r="AZ9" s="21" t="str">
        <f t="shared" si="0"/>
        <v>mom12</v>
      </c>
      <c r="BA9" s="21" t="str">
        <f t="shared" si="0"/>
        <v>mom12</v>
      </c>
      <c r="BB9" s="21" t="str">
        <f t="shared" si="0"/>
        <v>chmom</v>
      </c>
      <c r="BC9" s="21" t="str">
        <f t="shared" si="0"/>
        <v>chmom</v>
      </c>
      <c r="BD9" s="21" t="str">
        <f t="shared" si="0"/>
        <v>mom12</v>
      </c>
      <c r="BE9" s="21" t="str">
        <f t="shared" si="0"/>
        <v>mom12</v>
      </c>
      <c r="BF9" s="21" t="str">
        <f t="shared" si="0"/>
        <v>chmom</v>
      </c>
      <c r="BG9" s="21" t="str">
        <f t="shared" si="0"/>
        <v>chmom</v>
      </c>
      <c r="BH9" s="21" t="str">
        <f t="shared" si="0"/>
        <v>mom1</v>
      </c>
      <c r="BI9" s="21" t="str">
        <f t="shared" si="0"/>
        <v>mom1</v>
      </c>
      <c r="BJ9" s="21" t="str">
        <f t="shared" si="0"/>
        <v>mom12</v>
      </c>
      <c r="BK9" s="21" t="str">
        <f t="shared" si="0"/>
        <v>mom12</v>
      </c>
      <c r="BL9" s="21" t="str">
        <f t="shared" si="0"/>
        <v>chmom</v>
      </c>
      <c r="BM9" s="21" t="str">
        <f t="shared" si="0"/>
        <v>chmom</v>
      </c>
      <c r="BN9" s="21" t="str">
        <f t="shared" si="0"/>
        <v>mom1</v>
      </c>
      <c r="BO9" s="21" t="str">
        <f t="shared" si="0"/>
        <v>retvol</v>
      </c>
      <c r="BP9" s="21" t="str">
        <f t="shared" ref="BP9:EA9" si="1">IF(BP8=1,"mom1",
IF(BP8=2,"mom12",
IF(BP8=3,"chmom",
IF(BP8=4,"retvol",
IF(BP8=5,"maxret","")))))</f>
        <v>chmom</v>
      </c>
      <c r="BQ9" s="21" t="str">
        <f t="shared" si="1"/>
        <v>mom1</v>
      </c>
      <c r="BR9" s="21" t="str">
        <f t="shared" si="1"/>
        <v>chmom</v>
      </c>
      <c r="BS9" s="21" t="str">
        <f t="shared" si="1"/>
        <v>mom12</v>
      </c>
      <c r="BT9" s="21" t="str">
        <f t="shared" si="1"/>
        <v>mom12</v>
      </c>
      <c r="BU9" s="21" t="str">
        <f t="shared" si="1"/>
        <v>mom12</v>
      </c>
      <c r="BV9" s="21" t="str">
        <f t="shared" si="1"/>
        <v>chmom</v>
      </c>
      <c r="BW9" s="21" t="str">
        <f t="shared" si="1"/>
        <v>mom12</v>
      </c>
      <c r="BX9" s="21" t="str">
        <f t="shared" si="1"/>
        <v>mom1</v>
      </c>
      <c r="BY9" s="21" t="str">
        <f t="shared" si="1"/>
        <v>mom1</v>
      </c>
      <c r="BZ9" s="21" t="str">
        <f t="shared" si="1"/>
        <v>mom1</v>
      </c>
      <c r="CA9" s="21" t="str">
        <f t="shared" si="1"/>
        <v>mom12</v>
      </c>
      <c r="CB9" s="21" t="str">
        <f t="shared" si="1"/>
        <v>mom12</v>
      </c>
      <c r="CC9" s="21" t="str">
        <f t="shared" si="1"/>
        <v>mom12</v>
      </c>
      <c r="CD9" s="21" t="str">
        <f t="shared" si="1"/>
        <v>mom1</v>
      </c>
      <c r="CE9" s="21" t="str">
        <f t="shared" si="1"/>
        <v>mom12</v>
      </c>
      <c r="CF9" s="21" t="str">
        <f t="shared" si="1"/>
        <v>maxret</v>
      </c>
      <c r="CG9" s="21" t="str">
        <f t="shared" si="1"/>
        <v>mom1</v>
      </c>
      <c r="CH9" s="21" t="str">
        <f t="shared" si="1"/>
        <v>mom1</v>
      </c>
      <c r="CI9" s="21" t="str">
        <f t="shared" si="1"/>
        <v>chmom</v>
      </c>
      <c r="CJ9" s="21" t="str">
        <f t="shared" si="1"/>
        <v>chmom</v>
      </c>
      <c r="CK9" s="21" t="str">
        <f t="shared" si="1"/>
        <v>chmom</v>
      </c>
      <c r="CL9" s="21" t="str">
        <f t="shared" si="1"/>
        <v>mom1</v>
      </c>
      <c r="CM9" s="21" t="str">
        <f t="shared" si="1"/>
        <v>mom12</v>
      </c>
      <c r="CN9" s="21" t="str">
        <f t="shared" si="1"/>
        <v>mom1</v>
      </c>
      <c r="CO9" s="21" t="str">
        <f t="shared" si="1"/>
        <v>chmom</v>
      </c>
      <c r="CP9" s="21" t="str">
        <f t="shared" si="1"/>
        <v>mom12</v>
      </c>
      <c r="CQ9" s="21" t="str">
        <f t="shared" si="1"/>
        <v>chmom</v>
      </c>
      <c r="CR9" s="21" t="str">
        <f t="shared" si="1"/>
        <v>chmom</v>
      </c>
      <c r="CS9" s="21" t="str">
        <f t="shared" si="1"/>
        <v>mom1</v>
      </c>
      <c r="CT9" s="21" t="str">
        <f t="shared" si="1"/>
        <v>chmom</v>
      </c>
      <c r="CU9" s="21" t="str">
        <f t="shared" si="1"/>
        <v>mom1</v>
      </c>
      <c r="CV9" s="21" t="str">
        <f t="shared" si="1"/>
        <v>retvol</v>
      </c>
      <c r="CW9" s="21" t="str">
        <f t="shared" si="1"/>
        <v>chmom</v>
      </c>
      <c r="CX9" s="21" t="str">
        <f t="shared" si="1"/>
        <v>mom12</v>
      </c>
      <c r="CY9" s="21" t="str">
        <f t="shared" si="1"/>
        <v>mom12</v>
      </c>
      <c r="CZ9" s="21" t="str">
        <f t="shared" si="1"/>
        <v>mom12</v>
      </c>
      <c r="DA9" s="21" t="str">
        <f t="shared" si="1"/>
        <v>mom1</v>
      </c>
      <c r="DB9" s="21" t="str">
        <f t="shared" si="1"/>
        <v>mom12</v>
      </c>
      <c r="DC9" s="21" t="str">
        <f t="shared" si="1"/>
        <v>mom1</v>
      </c>
      <c r="DD9" s="21" t="str">
        <f t="shared" si="1"/>
        <v>chmom</v>
      </c>
      <c r="DE9" s="21" t="str">
        <f t="shared" si="1"/>
        <v>mom1</v>
      </c>
      <c r="DF9" s="21" t="str">
        <f t="shared" si="1"/>
        <v>mom12</v>
      </c>
      <c r="DG9" s="21" t="str">
        <f t="shared" si="1"/>
        <v>mom12</v>
      </c>
      <c r="DH9" s="21" t="str">
        <f t="shared" si="1"/>
        <v>mom12</v>
      </c>
      <c r="DI9" s="21" t="str">
        <f t="shared" si="1"/>
        <v>mom12</v>
      </c>
      <c r="DJ9" s="21" t="str">
        <f t="shared" si="1"/>
        <v>chmom</v>
      </c>
      <c r="DK9" s="21" t="str">
        <f t="shared" si="1"/>
        <v>mom12</v>
      </c>
      <c r="DL9" s="21" t="str">
        <f t="shared" si="1"/>
        <v>mom1</v>
      </c>
      <c r="DM9" s="21" t="str">
        <f t="shared" si="1"/>
        <v>mom1</v>
      </c>
      <c r="DN9" s="21" t="str">
        <f t="shared" si="1"/>
        <v>chmom</v>
      </c>
      <c r="DO9" s="21" t="str">
        <f t="shared" si="1"/>
        <v>mom12</v>
      </c>
      <c r="DP9" s="21" t="str">
        <f t="shared" si="1"/>
        <v>chmom</v>
      </c>
      <c r="DQ9" s="21" t="str">
        <f t="shared" si="1"/>
        <v>chmom</v>
      </c>
      <c r="DR9" s="21" t="str">
        <f t="shared" si="1"/>
        <v>retvol</v>
      </c>
      <c r="DS9" s="21" t="str">
        <f t="shared" si="1"/>
        <v>mom12</v>
      </c>
      <c r="DT9" s="21" t="str">
        <f t="shared" si="1"/>
        <v>chmom</v>
      </c>
      <c r="DU9" s="21" t="str">
        <f t="shared" si="1"/>
        <v>mom12</v>
      </c>
      <c r="DV9" s="21" t="str">
        <f t="shared" si="1"/>
        <v>maxret</v>
      </c>
      <c r="DW9" s="21" t="str">
        <f t="shared" si="1"/>
        <v>mom1</v>
      </c>
      <c r="DX9" s="21" t="str">
        <f t="shared" si="1"/>
        <v>mom1</v>
      </c>
      <c r="DY9" s="21" t="str">
        <f t="shared" si="1"/>
        <v>mom12</v>
      </c>
      <c r="DZ9" s="21" t="str">
        <f t="shared" si="1"/>
        <v>mom1</v>
      </c>
      <c r="EA9" s="21" t="str">
        <f t="shared" si="1"/>
        <v>chmom</v>
      </c>
      <c r="EB9" s="21" t="str">
        <f t="shared" ref="EB9:EF9" si="2">IF(EB8=1,"mom1",
IF(EB8=2,"mom12",
IF(EB8=3,"chmom",
IF(EB8=4,"retvol",
IF(EB8=5,"maxret","")))))</f>
        <v>chmom</v>
      </c>
      <c r="EC9" s="21" t="str">
        <f t="shared" si="2"/>
        <v>chmom</v>
      </c>
      <c r="ED9" s="21" t="str">
        <f t="shared" si="2"/>
        <v>mom1</v>
      </c>
      <c r="EE9" s="21" t="str">
        <f t="shared" si="2"/>
        <v>mom12</v>
      </c>
      <c r="EF9" s="21" t="str">
        <f t="shared" si="2"/>
        <v>mom12</v>
      </c>
    </row>
    <row r="10" spans="1:137" ht="16">
      <c r="A10" s="5"/>
      <c r="B10" s="18"/>
      <c r="C10" s="21">
        <f t="shared" ref="C10:H10" si="3">IF(C8=1,C3,IF(C8=2,C4,IF(C8=3,C5,IF(C8=4,C6,IF(C8=5,C7)))))</f>
        <v>-0.24758870953733739</v>
      </c>
      <c r="D10" s="21">
        <f t="shared" si="3"/>
        <v>-0.27469330301591988</v>
      </c>
      <c r="E10" s="21">
        <f t="shared" si="3"/>
        <v>-8.4648385226775952E-2</v>
      </c>
      <c r="F10" s="21">
        <f t="shared" si="3"/>
        <v>2.264463125499239E-2</v>
      </c>
      <c r="G10" s="21">
        <f t="shared" si="3"/>
        <v>-0.14235739201705941</v>
      </c>
      <c r="H10" s="21">
        <f t="shared" si="3"/>
        <v>-0.100759633161552</v>
      </c>
      <c r="I10" s="21">
        <f>IF(I8=1,I3,IF(I8=2,I4,IF(I8=3,I5,IF(I8=4,I6,IF(I8=5,I7)))))</f>
        <v>-7.0230583345802525E-2</v>
      </c>
      <c r="J10" s="21">
        <f t="shared" ref="J10:BU10" si="4">IF(J8=1,J3,IF(J8=2,J4,IF(J8=3,J5,IF(J8=4,J6,IF(J8=5,J7)))))</f>
        <v>-9.5191449869756972E-2</v>
      </c>
      <c r="K10" s="21">
        <f t="shared" si="4"/>
        <v>-3.8189545028037751E-2</v>
      </c>
      <c r="L10" s="21">
        <f t="shared" si="4"/>
        <v>0.11492369208490275</v>
      </c>
      <c r="M10" s="21">
        <f t="shared" si="4"/>
        <v>3.2584893543689319E-2</v>
      </c>
      <c r="N10" s="21">
        <f t="shared" si="4"/>
        <v>-0.21221799304980321</v>
      </c>
      <c r="O10" s="21">
        <f t="shared" si="4"/>
        <v>-4.1218154588981884E-2</v>
      </c>
      <c r="P10" s="21">
        <f t="shared" si="4"/>
        <v>7.1033118877316462E-2</v>
      </c>
      <c r="Q10" s="21">
        <f t="shared" si="4"/>
        <v>9.5075812032749216E-2</v>
      </c>
      <c r="R10" s="21">
        <f t="shared" si="4"/>
        <v>-9.8580041287727432E-2</v>
      </c>
      <c r="S10" s="21">
        <f t="shared" si="4"/>
        <v>0.16292554048470773</v>
      </c>
      <c r="T10" s="21">
        <f t="shared" si="4"/>
        <v>0.21728657892151695</v>
      </c>
      <c r="U10" s="21">
        <f t="shared" si="4"/>
        <v>-6.7300074772839141E-2</v>
      </c>
      <c r="V10" s="21">
        <f t="shared" si="4"/>
        <v>-8.9510295714246221E-2</v>
      </c>
      <c r="W10" s="21">
        <f t="shared" si="4"/>
        <v>-0.1435529784595129</v>
      </c>
      <c r="X10" s="21">
        <f t="shared" si="4"/>
        <v>0.3465678513656586</v>
      </c>
      <c r="Y10" s="21">
        <f t="shared" si="4"/>
        <v>0.12771272655560825</v>
      </c>
      <c r="Z10" s="21">
        <f t="shared" si="4"/>
        <v>0.22062448453801226</v>
      </c>
      <c r="AA10" s="21">
        <f t="shared" si="4"/>
        <v>-7.1612331532165993E-2</v>
      </c>
      <c r="AB10" s="21">
        <f t="shared" si="4"/>
        <v>5.121290512243433E-2</v>
      </c>
      <c r="AC10" s="21">
        <f t="shared" si="4"/>
        <v>0.12343339623166977</v>
      </c>
      <c r="AD10" s="21">
        <f t="shared" si="4"/>
        <v>6.8722403945187388E-2</v>
      </c>
      <c r="AE10" s="21">
        <f t="shared" si="4"/>
        <v>0.1379956892668254</v>
      </c>
      <c r="AF10" s="21">
        <f t="shared" si="4"/>
        <v>0.14131086111265173</v>
      </c>
      <c r="AG10" s="21">
        <f t="shared" si="4"/>
        <v>-3.7969091150733998E-2</v>
      </c>
      <c r="AH10" s="21">
        <f t="shared" si="4"/>
        <v>-8.6886113887948965E-2</v>
      </c>
      <c r="AI10" s="21">
        <f t="shared" si="4"/>
        <v>-5.1034095516539722E-2</v>
      </c>
      <c r="AJ10" s="21">
        <f t="shared" si="4"/>
        <v>-4.3883593998398036E-2</v>
      </c>
      <c r="AK10" s="21">
        <f t="shared" si="4"/>
        <v>-5.4074272137515887E-2</v>
      </c>
      <c r="AL10" s="21">
        <f t="shared" si="4"/>
        <v>-0.13684539744025931</v>
      </c>
      <c r="AM10" s="21">
        <f t="shared" si="4"/>
        <v>-7.4864491652776616E-2</v>
      </c>
      <c r="AN10" s="21">
        <f t="shared" si="4"/>
        <v>-0.1219647076543238</v>
      </c>
      <c r="AO10" s="21">
        <f t="shared" si="4"/>
        <v>-4.858966597382592E-2</v>
      </c>
      <c r="AP10" s="21">
        <f t="shared" si="4"/>
        <v>-0.14387054370475805</v>
      </c>
      <c r="AQ10" s="21">
        <f t="shared" si="4"/>
        <v>5.9010432769763588E-2</v>
      </c>
      <c r="AR10" s="21">
        <f t="shared" si="4"/>
        <v>5.2635776863899968E-2</v>
      </c>
      <c r="AS10" s="21">
        <f t="shared" si="4"/>
        <v>-8.2125018938211364E-2</v>
      </c>
      <c r="AT10" s="21">
        <f t="shared" si="4"/>
        <v>-0.19568877316323155</v>
      </c>
      <c r="AU10" s="21">
        <f t="shared" si="4"/>
        <v>-0.15538438197178719</v>
      </c>
      <c r="AV10" s="21">
        <f t="shared" si="4"/>
        <v>-0.10073630506070744</v>
      </c>
      <c r="AW10" s="21">
        <f t="shared" si="4"/>
        <v>-8.5478712515396266E-2</v>
      </c>
      <c r="AX10" s="21">
        <f t="shared" si="4"/>
        <v>0.12050776591997199</v>
      </c>
      <c r="AY10" s="21">
        <f t="shared" si="4"/>
        <v>-0.14167707410498778</v>
      </c>
      <c r="AZ10" s="21">
        <f t="shared" si="4"/>
        <v>-0.13412750113921701</v>
      </c>
      <c r="BA10" s="21">
        <f t="shared" si="4"/>
        <v>-0.13711152966130111</v>
      </c>
      <c r="BB10" s="21">
        <f t="shared" si="4"/>
        <v>9.361327214143178E-2</v>
      </c>
      <c r="BC10" s="21">
        <f t="shared" si="4"/>
        <v>-7.8613954723112736E-2</v>
      </c>
      <c r="BD10" s="21">
        <f t="shared" si="4"/>
        <v>-0.11960190660895841</v>
      </c>
      <c r="BE10" s="21">
        <f t="shared" si="4"/>
        <v>0.1357616496399312</v>
      </c>
      <c r="BF10" s="21">
        <f t="shared" si="4"/>
        <v>0.15040034357766729</v>
      </c>
      <c r="BG10" s="21">
        <f t="shared" si="4"/>
        <v>0.12494386128166779</v>
      </c>
      <c r="BH10" s="21">
        <f t="shared" si="4"/>
        <v>0.18797344776026095</v>
      </c>
      <c r="BI10" s="21">
        <f t="shared" si="4"/>
        <v>-0.23403216627205473</v>
      </c>
      <c r="BJ10" s="21">
        <f t="shared" si="4"/>
        <v>-0.10060082155953699</v>
      </c>
      <c r="BK10" s="21">
        <f t="shared" si="4"/>
        <v>9.0490079041763594E-2</v>
      </c>
      <c r="BL10" s="21">
        <f t="shared" si="4"/>
        <v>0.21103086475970498</v>
      </c>
      <c r="BM10" s="21">
        <f t="shared" si="4"/>
        <v>-8.8266989892484382E-2</v>
      </c>
      <c r="BN10" s="21">
        <f t="shared" si="4"/>
        <v>9.2102484028839096E-2</v>
      </c>
      <c r="BO10" s="21">
        <f t="shared" si="4"/>
        <v>-0.14281030065881184</v>
      </c>
      <c r="BP10" s="21">
        <f t="shared" si="4"/>
        <v>-0.1607527448022586</v>
      </c>
      <c r="BQ10" s="21">
        <f t="shared" si="4"/>
        <v>-0.10416887341258078</v>
      </c>
      <c r="BR10" s="21">
        <f t="shared" si="4"/>
        <v>-0.18186337747789852</v>
      </c>
      <c r="BS10" s="21">
        <f t="shared" si="4"/>
        <v>-6.822927751511014E-2</v>
      </c>
      <c r="BT10" s="21">
        <f t="shared" si="4"/>
        <v>9.8612222991557266E-2</v>
      </c>
      <c r="BU10" s="21">
        <f t="shared" si="4"/>
        <v>0.1283985422991091</v>
      </c>
      <c r="BV10" s="21">
        <f t="shared" ref="BV10:EF10" si="5">IF(BV8=1,BV3,IF(BV8=2,BV4,IF(BV8=3,BV5,IF(BV8=4,BV6,IF(BV8=5,BV7)))))</f>
        <v>0.10019903193683095</v>
      </c>
      <c r="BW10" s="21">
        <f t="shared" si="5"/>
        <v>-0.1191337216524913</v>
      </c>
      <c r="BX10" s="21">
        <f t="shared" si="5"/>
        <v>5.5283002424940102E-2</v>
      </c>
      <c r="BY10" s="21">
        <f t="shared" si="5"/>
        <v>0.13754053082407328</v>
      </c>
      <c r="BZ10" s="21">
        <f t="shared" si="5"/>
        <v>-6.4512263961454777E-2</v>
      </c>
      <c r="CA10" s="21">
        <f t="shared" si="5"/>
        <v>-8.3301790010408508E-2</v>
      </c>
      <c r="CB10" s="21">
        <f t="shared" si="5"/>
        <v>-0.15782764847875469</v>
      </c>
      <c r="CC10" s="21">
        <f t="shared" si="5"/>
        <v>-7.1052571704280934E-2</v>
      </c>
      <c r="CD10" s="21">
        <f t="shared" si="5"/>
        <v>-8.17190342340465E-2</v>
      </c>
      <c r="CE10" s="21">
        <f t="shared" si="5"/>
        <v>-0.23678647002516851</v>
      </c>
      <c r="CF10" s="21">
        <f t="shared" si="5"/>
        <v>-8.2982888926991669E-2</v>
      </c>
      <c r="CG10" s="21">
        <f t="shared" si="5"/>
        <v>-7.8602351661111097E-2</v>
      </c>
      <c r="CH10" s="21">
        <f t="shared" si="5"/>
        <v>6.9508132188542432E-2</v>
      </c>
      <c r="CI10" s="21">
        <f t="shared" si="5"/>
        <v>0.17815173096708875</v>
      </c>
      <c r="CJ10" s="21">
        <f t="shared" si="5"/>
        <v>-0.27504808192287422</v>
      </c>
      <c r="CK10" s="21">
        <f t="shared" si="5"/>
        <v>-0.11066747609508903</v>
      </c>
      <c r="CL10" s="21">
        <f t="shared" si="5"/>
        <v>0.182074580883508</v>
      </c>
      <c r="CM10" s="21">
        <f t="shared" si="5"/>
        <v>0.17898858319392719</v>
      </c>
      <c r="CN10" s="21">
        <f t="shared" si="5"/>
        <v>0.33942024973065399</v>
      </c>
      <c r="CO10" s="21">
        <f t="shared" si="5"/>
        <v>0.14684401364344479</v>
      </c>
      <c r="CP10" s="21">
        <f t="shared" si="5"/>
        <v>6.4714670503515537E-2</v>
      </c>
      <c r="CQ10" s="21">
        <f t="shared" si="5"/>
        <v>0.19890545730607118</v>
      </c>
      <c r="CR10" s="21">
        <f t="shared" si="5"/>
        <v>0.14902268648747369</v>
      </c>
      <c r="CS10" s="21">
        <f t="shared" si="5"/>
        <v>-5.1872370464762542E-2</v>
      </c>
      <c r="CT10" s="21">
        <f t="shared" si="5"/>
        <v>0.17668745364744995</v>
      </c>
      <c r="CU10" s="21">
        <f t="shared" si="5"/>
        <v>-0.27870293938134544</v>
      </c>
      <c r="CV10" s="21">
        <f t="shared" si="5"/>
        <v>0.10815873853747598</v>
      </c>
      <c r="CW10" s="21">
        <f t="shared" si="5"/>
        <v>-9.086897579730327E-2</v>
      </c>
      <c r="CX10" s="21">
        <f t="shared" si="5"/>
        <v>-0.1077283016776811</v>
      </c>
      <c r="CY10" s="21">
        <f t="shared" si="5"/>
        <v>-9.6503499496267492E-2</v>
      </c>
      <c r="CZ10" s="21">
        <f t="shared" si="5"/>
        <v>-0.2103543453191653</v>
      </c>
      <c r="DA10" s="21">
        <f t="shared" si="5"/>
        <v>0.19248529331662953</v>
      </c>
      <c r="DB10" s="21">
        <f t="shared" si="5"/>
        <v>-0.1908204716293295</v>
      </c>
      <c r="DC10" s="21">
        <f t="shared" si="5"/>
        <v>-0.10363872570518069</v>
      </c>
      <c r="DD10" s="21">
        <f t="shared" si="5"/>
        <v>0.15479536631094531</v>
      </c>
      <c r="DE10" s="21">
        <f t="shared" si="5"/>
        <v>-0.2521086055858956</v>
      </c>
      <c r="DF10" s="21">
        <f t="shared" si="5"/>
        <v>-0.166876664789437</v>
      </c>
      <c r="DG10" s="21">
        <f t="shared" si="5"/>
        <v>0.22243808581717431</v>
      </c>
      <c r="DH10" s="21">
        <f t="shared" si="5"/>
        <v>-0.144297746243673</v>
      </c>
      <c r="DI10" s="21">
        <f t="shared" si="5"/>
        <v>-0.1196199522370443</v>
      </c>
      <c r="DJ10" s="21">
        <f t="shared" si="5"/>
        <v>-0.14828908324692358</v>
      </c>
      <c r="DK10" s="21">
        <f t="shared" si="5"/>
        <v>9.2855058740681395E-2</v>
      </c>
      <c r="DL10" s="21">
        <f t="shared" si="5"/>
        <v>7.0523454246701284E-2</v>
      </c>
      <c r="DM10" s="21">
        <f t="shared" si="5"/>
        <v>0.1041623681660753</v>
      </c>
      <c r="DN10" s="21">
        <f t="shared" si="5"/>
        <v>7.1020446243733978E-2</v>
      </c>
      <c r="DO10" s="21">
        <f t="shared" si="5"/>
        <v>-9.8141990492640205E-2</v>
      </c>
      <c r="DP10" s="21">
        <f t="shared" si="5"/>
        <v>0.21860203188719882</v>
      </c>
      <c r="DQ10" s="21">
        <f t="shared" si="5"/>
        <v>-0.17001763821289442</v>
      </c>
      <c r="DR10" s="21">
        <f t="shared" si="5"/>
        <v>6.8266028978355306E-2</v>
      </c>
      <c r="DS10" s="21">
        <f t="shared" si="5"/>
        <v>-0.1610301993932845</v>
      </c>
      <c r="DT10" s="21">
        <f t="shared" si="5"/>
        <v>-8.1569072709721913E-2</v>
      </c>
      <c r="DU10" s="21">
        <f t="shared" si="5"/>
        <v>0.16407715854109439</v>
      </c>
      <c r="DV10" s="21">
        <f t="shared" si="5"/>
        <v>-4.8376544701711523E-2</v>
      </c>
      <c r="DW10" s="21">
        <f t="shared" si="5"/>
        <v>-0.11774066063163997</v>
      </c>
      <c r="DX10" s="21">
        <f t="shared" si="5"/>
        <v>-0.10918803784143352</v>
      </c>
      <c r="DY10" s="21">
        <f t="shared" si="5"/>
        <v>-0.1066566396478186</v>
      </c>
      <c r="DZ10" s="21">
        <f t="shared" si="5"/>
        <v>7.0138978019498199E-2</v>
      </c>
      <c r="EA10" s="21">
        <f t="shared" si="5"/>
        <v>0.28823378102852726</v>
      </c>
      <c r="EB10" s="21">
        <f t="shared" si="5"/>
        <v>0.16698384968049593</v>
      </c>
      <c r="EC10" s="21">
        <f t="shared" si="5"/>
        <v>7.2976685908654346E-2</v>
      </c>
      <c r="ED10" s="21">
        <f t="shared" si="5"/>
        <v>6.2504548001654711E-2</v>
      </c>
      <c r="EE10" s="21">
        <f t="shared" si="5"/>
        <v>0.15767759835539891</v>
      </c>
      <c r="EF10" s="21">
        <f t="shared" si="5"/>
        <v>0.24308193553486401</v>
      </c>
    </row>
    <row r="12" spans="1:137" ht="16">
      <c r="A12" s="63" t="s">
        <v>136</v>
      </c>
      <c r="B12" s="64"/>
      <c r="C12" s="10" t="s">
        <v>137</v>
      </c>
      <c r="D12" s="10">
        <v>964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37" ht="18">
      <c r="A13" s="7" t="s">
        <v>138</v>
      </c>
      <c r="B13" s="8" t="s">
        <v>139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9</v>
      </c>
      <c r="J13" s="14" t="s">
        <v>10</v>
      </c>
      <c r="K13" s="14" t="s">
        <v>11</v>
      </c>
      <c r="L13" s="14" t="s">
        <v>12</v>
      </c>
      <c r="M13" s="14" t="s">
        <v>13</v>
      </c>
      <c r="N13" s="14" t="s">
        <v>14</v>
      </c>
      <c r="O13" s="14" t="s">
        <v>15</v>
      </c>
      <c r="P13" s="14" t="s">
        <v>16</v>
      </c>
      <c r="Q13" s="14" t="s">
        <v>17</v>
      </c>
      <c r="R13" s="14" t="s">
        <v>18</v>
      </c>
      <c r="S13" s="14" t="s">
        <v>19</v>
      </c>
      <c r="T13" s="14" t="s">
        <v>20</v>
      </c>
      <c r="U13" s="14" t="s">
        <v>21</v>
      </c>
      <c r="V13" s="14" t="s">
        <v>22</v>
      </c>
      <c r="W13" s="14" t="s">
        <v>23</v>
      </c>
      <c r="X13" s="14" t="s">
        <v>24</v>
      </c>
      <c r="Y13" s="14" t="s">
        <v>25</v>
      </c>
      <c r="Z13" s="14" t="s">
        <v>26</v>
      </c>
      <c r="AA13" s="14" t="s">
        <v>27</v>
      </c>
      <c r="AB13" s="14" t="s">
        <v>28</v>
      </c>
      <c r="AC13" s="14" t="s">
        <v>29</v>
      </c>
      <c r="AD13" s="14" t="s">
        <v>30</v>
      </c>
      <c r="AE13" s="14" t="s">
        <v>31</v>
      </c>
      <c r="AF13" s="14" t="s">
        <v>32</v>
      </c>
      <c r="AG13" s="14" t="s">
        <v>33</v>
      </c>
      <c r="AH13" s="14" t="s">
        <v>34</v>
      </c>
      <c r="AI13" s="14" t="s">
        <v>35</v>
      </c>
      <c r="AJ13" s="14" t="s">
        <v>36</v>
      </c>
      <c r="AK13" s="14" t="s">
        <v>37</v>
      </c>
      <c r="AL13" s="14" t="s">
        <v>38</v>
      </c>
      <c r="AM13" s="14" t="s">
        <v>39</v>
      </c>
      <c r="AN13" s="14" t="s">
        <v>40</v>
      </c>
      <c r="AO13" s="14" t="s">
        <v>41</v>
      </c>
      <c r="AP13" s="14" t="s">
        <v>42</v>
      </c>
      <c r="AQ13" s="14" t="s">
        <v>43</v>
      </c>
      <c r="AR13" s="14" t="s">
        <v>44</v>
      </c>
      <c r="AS13" s="14" t="s">
        <v>45</v>
      </c>
      <c r="AT13" s="14" t="s">
        <v>46</v>
      </c>
      <c r="AU13" s="14" t="s">
        <v>47</v>
      </c>
      <c r="AV13" s="14" t="s">
        <v>48</v>
      </c>
      <c r="AW13" s="14" t="s">
        <v>49</v>
      </c>
      <c r="AX13" s="14" t="s">
        <v>50</v>
      </c>
      <c r="AY13" s="14" t="s">
        <v>51</v>
      </c>
      <c r="AZ13" s="14" t="s">
        <v>52</v>
      </c>
      <c r="BA13" s="14" t="s">
        <v>53</v>
      </c>
      <c r="BB13" s="14" t="s">
        <v>54</v>
      </c>
      <c r="BC13" s="14" t="s">
        <v>55</v>
      </c>
      <c r="BD13" s="14" t="s">
        <v>56</v>
      </c>
      <c r="BE13" s="14" t="s">
        <v>57</v>
      </c>
      <c r="BF13" s="14" t="s">
        <v>58</v>
      </c>
      <c r="BG13" s="14" t="s">
        <v>59</v>
      </c>
      <c r="BH13" s="14" t="s">
        <v>60</v>
      </c>
      <c r="BI13" s="14" t="s">
        <v>61</v>
      </c>
      <c r="BJ13" s="14" t="s">
        <v>62</v>
      </c>
      <c r="BK13" s="14" t="s">
        <v>63</v>
      </c>
      <c r="BL13" s="14" t="s">
        <v>64</v>
      </c>
      <c r="BM13" s="14" t="s">
        <v>65</v>
      </c>
      <c r="BN13" s="14" t="s">
        <v>66</v>
      </c>
      <c r="BO13" s="14" t="s">
        <v>67</v>
      </c>
      <c r="BP13" s="14" t="s">
        <v>68</v>
      </c>
      <c r="BQ13" s="14" t="s">
        <v>69</v>
      </c>
      <c r="BR13" s="14" t="s">
        <v>70</v>
      </c>
      <c r="BS13" s="14" t="s">
        <v>71</v>
      </c>
      <c r="BT13" s="14" t="s">
        <v>72</v>
      </c>
      <c r="BU13" s="14" t="s">
        <v>73</v>
      </c>
      <c r="BV13" s="14" t="s">
        <v>74</v>
      </c>
      <c r="BW13" s="14" t="s">
        <v>75</v>
      </c>
      <c r="BX13" s="14" t="s">
        <v>76</v>
      </c>
      <c r="BY13" s="14" t="s">
        <v>77</v>
      </c>
      <c r="BZ13" s="14" t="s">
        <v>78</v>
      </c>
      <c r="CA13" s="14" t="s">
        <v>79</v>
      </c>
      <c r="CB13" s="14" t="s">
        <v>80</v>
      </c>
      <c r="CC13" s="14" t="s">
        <v>81</v>
      </c>
      <c r="CD13" s="14" t="s">
        <v>82</v>
      </c>
      <c r="CE13" s="14" t="s">
        <v>83</v>
      </c>
      <c r="CF13" s="14" t="s">
        <v>84</v>
      </c>
      <c r="CG13" s="14" t="s">
        <v>85</v>
      </c>
      <c r="CH13" s="14" t="s">
        <v>86</v>
      </c>
      <c r="CI13" s="14" t="s">
        <v>87</v>
      </c>
      <c r="CJ13" s="14" t="s">
        <v>88</v>
      </c>
      <c r="CK13" s="14" t="s">
        <v>89</v>
      </c>
      <c r="CL13" s="14" t="s">
        <v>90</v>
      </c>
      <c r="CM13" s="14" t="s">
        <v>91</v>
      </c>
      <c r="CN13" s="14" t="s">
        <v>92</v>
      </c>
      <c r="CO13" s="14" t="s">
        <v>93</v>
      </c>
      <c r="CP13" s="14" t="s">
        <v>94</v>
      </c>
      <c r="CQ13" s="14" t="s">
        <v>95</v>
      </c>
      <c r="CR13" s="14" t="s">
        <v>96</v>
      </c>
      <c r="CS13" s="14" t="s">
        <v>97</v>
      </c>
      <c r="CT13" s="14" t="s">
        <v>98</v>
      </c>
      <c r="CU13" s="14" t="s">
        <v>99</v>
      </c>
      <c r="CV13" s="14" t="s">
        <v>100</v>
      </c>
      <c r="CW13" s="14" t="s">
        <v>101</v>
      </c>
      <c r="CX13" s="14" t="s">
        <v>102</v>
      </c>
      <c r="CY13" s="14" t="s">
        <v>103</v>
      </c>
      <c r="CZ13" s="14" t="s">
        <v>104</v>
      </c>
      <c r="DA13" s="14" t="s">
        <v>105</v>
      </c>
      <c r="DB13" s="14" t="s">
        <v>106</v>
      </c>
      <c r="DC13" s="14" t="s">
        <v>107</v>
      </c>
      <c r="DD13" s="14" t="s">
        <v>108</v>
      </c>
      <c r="DE13" s="14" t="s">
        <v>109</v>
      </c>
      <c r="DF13" s="14" t="s">
        <v>110</v>
      </c>
      <c r="DG13" s="14" t="s">
        <v>111</v>
      </c>
      <c r="DH13" s="14" t="s">
        <v>112</v>
      </c>
      <c r="DI13" s="14" t="s">
        <v>113</v>
      </c>
      <c r="DJ13" s="14" t="s">
        <v>114</v>
      </c>
      <c r="DK13" s="14" t="s">
        <v>115</v>
      </c>
      <c r="DL13" s="14" t="s">
        <v>116</v>
      </c>
      <c r="DM13" s="14" t="s">
        <v>117</v>
      </c>
      <c r="DN13" s="14" t="s">
        <v>118</v>
      </c>
      <c r="DO13" s="14" t="s">
        <v>119</v>
      </c>
      <c r="DP13" s="14" t="s">
        <v>120</v>
      </c>
      <c r="DQ13" s="14" t="s">
        <v>121</v>
      </c>
      <c r="DR13" s="14" t="s">
        <v>122</v>
      </c>
      <c r="DS13" s="14" t="s">
        <v>123</v>
      </c>
      <c r="DT13" s="14" t="s">
        <v>124</v>
      </c>
      <c r="DU13" s="14" t="s">
        <v>125</v>
      </c>
      <c r="DV13" s="14" t="s">
        <v>126</v>
      </c>
      <c r="DW13" s="14" t="s">
        <v>127</v>
      </c>
      <c r="DX13" s="14" t="s">
        <v>128</v>
      </c>
      <c r="DY13" s="14" t="s">
        <v>129</v>
      </c>
      <c r="DZ13" s="14" t="s">
        <v>130</v>
      </c>
      <c r="EA13" s="14" t="s">
        <v>131</v>
      </c>
      <c r="EB13" s="14" t="s">
        <v>132</v>
      </c>
      <c r="EC13" s="14" t="s">
        <v>133</v>
      </c>
      <c r="ED13" s="14" t="s">
        <v>134</v>
      </c>
      <c r="EE13" s="14" t="s">
        <v>140</v>
      </c>
      <c r="EF13" s="14" t="s">
        <v>144</v>
      </c>
    </row>
    <row r="14" spans="1:137" ht="16">
      <c r="A14" s="6">
        <v>10</v>
      </c>
      <c r="B14" s="6">
        <v>96</v>
      </c>
      <c r="C14" s="9">
        <v>1.4499246984096079E-2</v>
      </c>
      <c r="D14" s="9">
        <v>-1.467855149787599E-2</v>
      </c>
      <c r="E14" s="9">
        <v>1.393724540866443E-3</v>
      </c>
      <c r="F14" s="9">
        <v>-5.5959384784458693E-2</v>
      </c>
      <c r="G14" s="9">
        <v>4.1961454393969103E-2</v>
      </c>
      <c r="H14" s="9">
        <v>-9.5992583565995878E-3</v>
      </c>
      <c r="I14" s="9">
        <v>3.4706739734519258E-2</v>
      </c>
      <c r="J14" s="9">
        <v>2.3303620048731329E-2</v>
      </c>
      <c r="K14" s="9">
        <v>9.9649059035327309E-3</v>
      </c>
      <c r="L14" s="2">
        <v>3.1312734757973498E-2</v>
      </c>
      <c r="M14" s="2">
        <v>-1.801965651313555E-2</v>
      </c>
      <c r="N14" s="2">
        <v>3.4703354243462832E-2</v>
      </c>
      <c r="O14" s="1">
        <v>2.6784773524831568E-2</v>
      </c>
      <c r="P14" s="1">
        <v>-2.5432810815710942E-4</v>
      </c>
      <c r="Q14" s="1">
        <v>2.3279776206123419E-2</v>
      </c>
      <c r="R14" s="1">
        <v>2.6379861257194891E-2</v>
      </c>
      <c r="S14" s="1">
        <v>7.0622507683201399E-2</v>
      </c>
      <c r="T14" s="1">
        <v>8.1370905813461694E-2</v>
      </c>
      <c r="U14" s="1">
        <v>9.3007960444258797E-3</v>
      </c>
      <c r="V14" s="1">
        <v>1.211318389535372E-2</v>
      </c>
      <c r="W14" s="1">
        <v>2.841766285816311E-2</v>
      </c>
      <c r="X14" s="1">
        <v>0.10636943785049791</v>
      </c>
      <c r="Y14" s="1">
        <v>4.9026198774376341E-2</v>
      </c>
      <c r="Z14" s="1">
        <v>6.5362758369934756E-2</v>
      </c>
      <c r="AA14" s="1">
        <v>6.9017746122357199E-3</v>
      </c>
      <c r="AB14" s="1">
        <v>1.385325092436758E-2</v>
      </c>
      <c r="AC14" s="1">
        <v>2.6464181995971559E-2</v>
      </c>
      <c r="AD14" s="1">
        <v>2.9116941618712359E-2</v>
      </c>
      <c r="AE14" s="1">
        <v>4.6437716666984027E-2</v>
      </c>
      <c r="AF14" s="1">
        <v>2.223445996469128E-2</v>
      </c>
      <c r="AG14" s="1">
        <v>3.814930420809846E-3</v>
      </c>
      <c r="AH14" s="1">
        <v>1.8802729831562E-2</v>
      </c>
      <c r="AI14" s="1">
        <v>-8.79379249226157E-3</v>
      </c>
      <c r="AJ14" s="1">
        <v>2.005209064290164E-2</v>
      </c>
      <c r="AK14" s="1">
        <v>1.416581559647973E-2</v>
      </c>
      <c r="AL14" s="1">
        <v>4.7013173140121059E-2</v>
      </c>
      <c r="AM14" s="1">
        <v>2.8540927517940219E-2</v>
      </c>
      <c r="AN14" s="1">
        <v>-2.6645628802444581E-2</v>
      </c>
      <c r="AO14" s="1">
        <v>-1.499547084312733E-2</v>
      </c>
      <c r="AP14" s="1">
        <v>3.9724130505228557E-2</v>
      </c>
      <c r="AQ14" s="1">
        <v>9.6935179582823446E-3</v>
      </c>
      <c r="AR14" s="1">
        <v>2.2223025987592172E-2</v>
      </c>
      <c r="AS14" s="1">
        <v>2.326236105582952E-2</v>
      </c>
      <c r="AT14" s="1">
        <v>7.6883760601009071E-2</v>
      </c>
      <c r="AU14" s="1">
        <v>-3.713536440044597E-3</v>
      </c>
      <c r="AV14" s="1">
        <v>4.6910306946673329E-2</v>
      </c>
      <c r="AW14" s="1">
        <v>1.7563423556935329E-2</v>
      </c>
      <c r="AX14" s="1">
        <v>4.0481688149105292E-2</v>
      </c>
      <c r="AY14" s="1">
        <v>4.8156517207972087E-2</v>
      </c>
      <c r="AZ14" s="1">
        <v>2.361455316530061E-2</v>
      </c>
      <c r="BA14" s="1">
        <v>2.6434329877061589E-2</v>
      </c>
      <c r="BB14" s="1">
        <v>1.233972201510253E-3</v>
      </c>
      <c r="BC14" s="1">
        <v>3.7276109431537308E-2</v>
      </c>
      <c r="BD14" s="1">
        <v>8.2215801414614979E-3</v>
      </c>
      <c r="BE14" s="1">
        <v>-3.5368545142518727E-2</v>
      </c>
      <c r="BF14" s="1">
        <v>7.0904934370428871E-2</v>
      </c>
      <c r="BG14" s="1">
        <v>2.8739961775754559E-2</v>
      </c>
      <c r="BH14" s="1">
        <v>8.3923868638347332E-2</v>
      </c>
      <c r="BI14" s="1">
        <v>7.857415131815064E-2</v>
      </c>
      <c r="BJ14" s="1">
        <v>2.4663126175119381E-2</v>
      </c>
      <c r="BK14" s="1">
        <v>-6.5738349503460108E-4</v>
      </c>
      <c r="BL14" s="1">
        <v>5.0616365910587803E-2</v>
      </c>
      <c r="BM14" s="1">
        <v>2.063401850669919E-2</v>
      </c>
      <c r="BN14" s="1">
        <v>1.430525947943481E-2</v>
      </c>
      <c r="BO14" s="1">
        <v>6.1541279385937467E-2</v>
      </c>
      <c r="BP14" s="1">
        <v>3.2994976342917738E-2</v>
      </c>
      <c r="BQ14" s="1">
        <v>3.2266202745726967E-2</v>
      </c>
      <c r="BR14" s="1">
        <v>5.6986674960917361E-2</v>
      </c>
      <c r="BS14" s="1">
        <v>3.2642854888392712E-2</v>
      </c>
      <c r="BT14" s="1">
        <v>1.6364783314425421E-2</v>
      </c>
      <c r="BU14" s="1">
        <v>1.691501722427487E-2</v>
      </c>
      <c r="BV14" s="1">
        <v>3.7969141942813707E-2</v>
      </c>
      <c r="BW14" s="1">
        <v>4.4477003891650213E-2</v>
      </c>
      <c r="BX14" s="1">
        <v>1.4968367403470189E-2</v>
      </c>
      <c r="BY14" s="1">
        <v>8.801131477805163E-2</v>
      </c>
      <c r="BZ14" s="1">
        <v>2.9735991808453821E-2</v>
      </c>
      <c r="CA14" s="1">
        <v>-6.0368843449926102E-4</v>
      </c>
      <c r="CB14" s="1">
        <v>2.7173862793031679E-2</v>
      </c>
      <c r="CC14" s="1">
        <v>-1.612118070707726E-2</v>
      </c>
      <c r="CD14" s="1">
        <v>4.9035807317421562E-2</v>
      </c>
      <c r="CE14" s="1">
        <v>5.0816539029017671E-2</v>
      </c>
      <c r="CF14" s="1">
        <v>1.165806526422826E-2</v>
      </c>
      <c r="CG14" s="1">
        <v>2.065594692542061E-2</v>
      </c>
      <c r="CH14" s="1">
        <v>3.2558163266996912E-2</v>
      </c>
      <c r="CI14" s="1">
        <v>5.9093801834623483E-2</v>
      </c>
      <c r="CJ14" s="1">
        <v>6.4059392195633946E-2</v>
      </c>
      <c r="CK14" s="1">
        <v>6.8992563901843967E-2</v>
      </c>
      <c r="CL14" s="1">
        <v>0.1075148382745849</v>
      </c>
      <c r="CM14" s="1">
        <v>-2.6353950838169271E-2</v>
      </c>
      <c r="CN14" s="1">
        <v>0.1561724078108212</v>
      </c>
      <c r="CO14" s="1">
        <v>5.6181821891254792E-2</v>
      </c>
      <c r="CP14" s="1">
        <v>-1.005022035691888E-3</v>
      </c>
      <c r="CQ14" s="1">
        <v>6.7376584335243211E-2</v>
      </c>
      <c r="CR14" s="1">
        <v>5.5808329124309747E-2</v>
      </c>
      <c r="CS14" s="1">
        <v>2.2256163376022649E-2</v>
      </c>
      <c r="CT14" s="1">
        <v>6.5684091527569044E-2</v>
      </c>
      <c r="CU14" s="1">
        <v>5.1317623947433513E-2</v>
      </c>
      <c r="CV14" s="1">
        <v>3.5483194522230442E-2</v>
      </c>
      <c r="CW14" s="1">
        <v>1.6945478878017211E-2</v>
      </c>
      <c r="CX14" s="1">
        <v>3.0752638267462998E-2</v>
      </c>
      <c r="CY14" s="1">
        <v>-1.6420596247805591E-2</v>
      </c>
      <c r="CZ14" s="1">
        <v>1.232426205991659E-2</v>
      </c>
      <c r="DA14" s="1">
        <v>6.3495726289159379E-2</v>
      </c>
      <c r="DB14" s="1">
        <v>-3.5585282643903413E-2</v>
      </c>
      <c r="DC14" s="1">
        <v>2.4316549691977819E-2</v>
      </c>
      <c r="DD14" s="1">
        <v>6.3793867549636923E-2</v>
      </c>
      <c r="DE14" s="1">
        <v>7.7132099196599524E-2</v>
      </c>
      <c r="DF14" s="1">
        <v>-1.1624319687869001E-2</v>
      </c>
      <c r="DG14" s="1">
        <v>-4.7394421629824303E-2</v>
      </c>
      <c r="DH14" s="1">
        <v>-3.0803155186856539E-2</v>
      </c>
      <c r="DI14" s="1">
        <v>-2.9979254557499689E-2</v>
      </c>
      <c r="DJ14" s="1">
        <v>4.6699544919174343E-2</v>
      </c>
      <c r="DK14" s="1">
        <v>1.071198628580648E-3</v>
      </c>
      <c r="DL14" s="1">
        <v>1.231048349440207E-2</v>
      </c>
      <c r="DM14" s="1">
        <v>5.5814637076361057E-2</v>
      </c>
      <c r="DN14" s="1">
        <v>1.7558182704016521E-2</v>
      </c>
      <c r="DO14" s="1">
        <v>1.9030728267897829E-2</v>
      </c>
      <c r="DP14" s="1">
        <v>6.3520966431002551E-2</v>
      </c>
      <c r="DQ14" s="1">
        <v>2.6687357853319878E-2</v>
      </c>
      <c r="DR14" s="1">
        <v>1.9377367459695542E-2</v>
      </c>
      <c r="DS14" s="1">
        <v>-4.6024279005124763E-2</v>
      </c>
      <c r="DT14" s="1">
        <v>1.0075931124348059E-2</v>
      </c>
      <c r="DU14" s="1">
        <v>4.5787141974467017E-2</v>
      </c>
      <c r="DV14" s="1">
        <v>-1.0771227952457579E-3</v>
      </c>
      <c r="DW14" s="1">
        <v>5.7481428382575007E-2</v>
      </c>
      <c r="DX14" s="1">
        <v>3.7731484286673542E-2</v>
      </c>
      <c r="DY14" s="1">
        <v>-6.2728222094769914E-2</v>
      </c>
      <c r="DZ14" s="1">
        <v>2.845328574485979E-2</v>
      </c>
      <c r="EA14" s="1">
        <v>9.6735160117665475E-2</v>
      </c>
      <c r="EB14" s="1">
        <v>3.1887415032860217E-2</v>
      </c>
      <c r="EC14" s="1">
        <v>2.1682571739028291E-2</v>
      </c>
      <c r="ED14" s="1">
        <v>2.8381040698280308E-2</v>
      </c>
      <c r="EE14" s="1">
        <v>-2.821628026780338E-2</v>
      </c>
      <c r="EF14" s="1">
        <v>-3.1810858274230483E-2</v>
      </c>
    </row>
    <row r="15" spans="1:137" ht="16">
      <c r="A15" s="6">
        <v>20</v>
      </c>
      <c r="B15" s="6">
        <v>48</v>
      </c>
      <c r="C15" s="9">
        <v>-7.4773642018864817E-3</v>
      </c>
      <c r="D15" s="9">
        <v>5.4568599887918484E-3</v>
      </c>
      <c r="E15" s="9">
        <v>5.5236267032863426E-3</v>
      </c>
      <c r="F15" s="9">
        <v>-5.9986526692922967E-2</v>
      </c>
      <c r="G15" s="9">
        <v>3.067107744474367E-2</v>
      </c>
      <c r="H15" s="9">
        <v>-1.7388387027499001E-2</v>
      </c>
      <c r="I15" s="9">
        <v>5.8084020026547459E-2</v>
      </c>
      <c r="J15" s="9">
        <v>3.9856684074938302E-2</v>
      </c>
      <c r="K15" s="9">
        <v>1.5861688991329521E-2</v>
      </c>
      <c r="L15" s="2">
        <v>5.8607348544394422E-2</v>
      </c>
      <c r="M15" s="2">
        <v>-1.8712507749699321E-3</v>
      </c>
      <c r="N15" s="2">
        <v>4.3392417465696768E-2</v>
      </c>
      <c r="O15" s="1">
        <v>2.5220257447385489E-2</v>
      </c>
      <c r="P15" s="1">
        <v>-6.2776476607329431E-3</v>
      </c>
      <c r="Q15" s="1">
        <v>7.0595182804607049E-3</v>
      </c>
      <c r="R15" s="1">
        <v>7.6740477191068242E-3</v>
      </c>
      <c r="S15" s="1">
        <v>9.2380985744164965E-2</v>
      </c>
      <c r="T15" s="1">
        <v>9.8739164028358875E-2</v>
      </c>
      <c r="U15" s="1">
        <v>2.7434259977465431E-2</v>
      </c>
      <c r="V15" s="1">
        <v>2.283075276744766E-2</v>
      </c>
      <c r="W15" s="1">
        <v>3.096890407148287E-2</v>
      </c>
      <c r="X15" s="1">
        <v>0.15038577771880221</v>
      </c>
      <c r="Y15" s="1">
        <v>5.9594261973708852E-2</v>
      </c>
      <c r="Z15" s="1">
        <v>8.9596586699451808E-2</v>
      </c>
      <c r="AA15" s="1">
        <v>4.1796948899226263E-2</v>
      </c>
      <c r="AB15" s="1">
        <v>9.5636683869003355E-3</v>
      </c>
      <c r="AC15" s="1">
        <v>6.2887261527782456E-2</v>
      </c>
      <c r="AD15" s="1">
        <v>4.2610233164312762E-2</v>
      </c>
      <c r="AE15" s="1">
        <v>7.7071416726800693E-2</v>
      </c>
      <c r="AF15" s="1">
        <v>6.5830546235003951E-2</v>
      </c>
      <c r="AG15" s="1">
        <v>-9.9052077270740911E-3</v>
      </c>
      <c r="AH15" s="1">
        <v>5.3916524072466089E-2</v>
      </c>
      <c r="AI15" s="1">
        <v>-1.8646046379966051E-2</v>
      </c>
      <c r="AJ15" s="1">
        <v>1.30357893924533E-2</v>
      </c>
      <c r="AK15" s="1">
        <v>1.231959919073378E-2</v>
      </c>
      <c r="AL15" s="1">
        <v>8.0599425637266991E-2</v>
      </c>
      <c r="AM15" s="1">
        <v>4.1837427989975327E-2</v>
      </c>
      <c r="AN15" s="1">
        <v>-2.9977660519922341E-2</v>
      </c>
      <c r="AO15" s="1">
        <v>1.708846688635377E-3</v>
      </c>
      <c r="AP15" s="1">
        <v>4.6909190456250742E-2</v>
      </c>
      <c r="AQ15" s="1">
        <v>3.2293347395235143E-2</v>
      </c>
      <c r="AR15" s="1">
        <v>2.0848043794723822E-2</v>
      </c>
      <c r="AS15" s="1">
        <v>1.5442130768374701E-2</v>
      </c>
      <c r="AT15" s="1">
        <v>8.8363545729628637E-2</v>
      </c>
      <c r="AU15" s="1">
        <v>1.569541842647252E-2</v>
      </c>
      <c r="AV15" s="1">
        <v>8.3161757297302019E-2</v>
      </c>
      <c r="AW15" s="1">
        <v>5.1912609220117568E-2</v>
      </c>
      <c r="AX15" s="1">
        <v>4.8434224065755059E-2</v>
      </c>
      <c r="AY15" s="1">
        <v>6.8287142652547719E-2</v>
      </c>
      <c r="AZ15" s="1">
        <v>3.1220536093770089E-2</v>
      </c>
      <c r="BA15" s="1">
        <v>2.618827405064264E-2</v>
      </c>
      <c r="BB15" s="1">
        <v>5.4462432294473888E-2</v>
      </c>
      <c r="BC15" s="1">
        <v>4.7291055956566477E-2</v>
      </c>
      <c r="BD15" s="1">
        <v>1.0962313176339699E-2</v>
      </c>
      <c r="BE15" s="1">
        <v>-4.3773789385783149E-2</v>
      </c>
      <c r="BF15" s="1">
        <v>7.1981555380687207E-2</v>
      </c>
      <c r="BG15" s="1">
        <v>5.7825843984624377E-2</v>
      </c>
      <c r="BH15" s="1">
        <v>6.2336407483630292E-2</v>
      </c>
      <c r="BI15" s="1">
        <v>7.033950938804806E-2</v>
      </c>
      <c r="BJ15" s="1">
        <v>2.4266087613108878E-2</v>
      </c>
      <c r="BK15" s="1">
        <v>-8.8783959160913806E-3</v>
      </c>
      <c r="BL15" s="1">
        <v>3.9310511392790522E-2</v>
      </c>
      <c r="BM15" s="1">
        <v>2.4812053730599009E-2</v>
      </c>
      <c r="BN15" s="1">
        <v>8.2262658060564854E-3</v>
      </c>
      <c r="BO15" s="1">
        <v>8.2577836296605422E-2</v>
      </c>
      <c r="BP15" s="1">
        <v>5.7598025288633573E-2</v>
      </c>
      <c r="BQ15" s="1">
        <v>2.4176505327882299E-2</v>
      </c>
      <c r="BR15" s="1">
        <v>8.1428201651234683E-2</v>
      </c>
      <c r="BS15" s="1">
        <v>4.0180514361416918E-2</v>
      </c>
      <c r="BT15" s="1">
        <v>5.2107167580298965E-4</v>
      </c>
      <c r="BU15" s="1">
        <v>1.552716642111396E-2</v>
      </c>
      <c r="BV15" s="1">
        <v>6.9814479287640147E-2</v>
      </c>
      <c r="BW15" s="1">
        <v>7.5714005636679543E-2</v>
      </c>
      <c r="BX15" s="1">
        <v>3.8230427600343793E-2</v>
      </c>
      <c r="BY15" s="1">
        <v>8.8893446723256359E-2</v>
      </c>
      <c r="BZ15" s="1">
        <v>4.9619743013921608E-2</v>
      </c>
      <c r="CA15" s="1">
        <v>-1.1020985390851629E-2</v>
      </c>
      <c r="CB15" s="1">
        <v>2.6017379522694919E-2</v>
      </c>
      <c r="CC15" s="1">
        <v>8.2248093719304166E-3</v>
      </c>
      <c r="CD15" s="1">
        <v>0.10303659262633121</v>
      </c>
      <c r="CE15" s="1">
        <v>7.9437869787202589E-2</v>
      </c>
      <c r="CF15" s="1">
        <v>1.0965174140406349E-2</v>
      </c>
      <c r="CG15" s="1">
        <v>7.0088229580526074E-3</v>
      </c>
      <c r="CH15" s="1">
        <v>6.9980991086459443E-2</v>
      </c>
      <c r="CI15" s="1">
        <v>5.2366556886112088E-2</v>
      </c>
      <c r="CJ15" s="1">
        <v>8.0962159562338792E-2</v>
      </c>
      <c r="CK15" s="1">
        <v>3.471242810937674E-2</v>
      </c>
      <c r="CL15" s="1">
        <v>9.5904701976189416E-2</v>
      </c>
      <c r="CM15" s="1">
        <v>-1.401073477287859E-2</v>
      </c>
      <c r="CN15" s="1">
        <v>0.19173365248419361</v>
      </c>
      <c r="CO15" s="1">
        <v>6.0648235510008419E-2</v>
      </c>
      <c r="CP15" s="1">
        <v>2.0576995740129451E-2</v>
      </c>
      <c r="CQ15" s="1">
        <v>7.3319275809578907E-2</v>
      </c>
      <c r="CR15" s="1">
        <v>6.3694110404249535E-2</v>
      </c>
      <c r="CS15" s="1">
        <v>2.04377478764536E-2</v>
      </c>
      <c r="CT15" s="1">
        <v>9.4868405295442326E-2</v>
      </c>
      <c r="CU15" s="1">
        <v>9.2464007023769598E-2</v>
      </c>
      <c r="CV15" s="1">
        <v>5.457688963215418E-2</v>
      </c>
      <c r="CW15" s="1">
        <v>2.1968141460530409E-2</v>
      </c>
      <c r="CX15" s="1">
        <v>3.0582841479689839E-2</v>
      </c>
      <c r="CY15" s="1">
        <v>-4.1201751884096742E-2</v>
      </c>
      <c r="CZ15" s="1">
        <v>4.8982161600652913E-3</v>
      </c>
      <c r="DA15" s="1">
        <v>9.1763535383060882E-2</v>
      </c>
      <c r="DB15" s="1">
        <v>-6.1356185237271411E-2</v>
      </c>
      <c r="DC15" s="1">
        <v>2.7499309215570811E-2</v>
      </c>
      <c r="DD15" s="1">
        <v>8.380604879211169E-2</v>
      </c>
      <c r="DE15" s="1">
        <v>5.8686433124140028E-2</v>
      </c>
      <c r="DF15" s="1">
        <v>-1.727163202818233E-2</v>
      </c>
      <c r="DG15" s="1">
        <v>-7.1335760214919608E-2</v>
      </c>
      <c r="DH15" s="1">
        <v>-3.8806516940288249E-2</v>
      </c>
      <c r="DI15" s="1">
        <v>-2.957041963442816E-2</v>
      </c>
      <c r="DJ15" s="1">
        <v>6.2055444301176668E-2</v>
      </c>
      <c r="DK15" s="1">
        <v>-2.340089189559031E-2</v>
      </c>
      <c r="DL15" s="1">
        <v>1.523210973566882E-2</v>
      </c>
      <c r="DM15" s="1">
        <v>5.0544010345780092E-2</v>
      </c>
      <c r="DN15" s="1">
        <v>3.4460787087784238E-2</v>
      </c>
      <c r="DO15" s="1">
        <v>4.4325139422202869E-2</v>
      </c>
      <c r="DP15" s="1">
        <v>7.1385517092726836E-2</v>
      </c>
      <c r="DQ15" s="1">
        <v>1.9359187229736188E-2</v>
      </c>
      <c r="DR15" s="1">
        <v>2.443410483172985E-2</v>
      </c>
      <c r="DS15" s="1">
        <v>-2.991519389132713E-2</v>
      </c>
      <c r="DT15" s="1">
        <v>-1.9573841233267289E-2</v>
      </c>
      <c r="DU15" s="1">
        <v>2.369885378120147E-2</v>
      </c>
      <c r="DV15" s="1">
        <v>-1.868677602333235E-3</v>
      </c>
      <c r="DW15" s="1">
        <v>6.8211974643914694E-2</v>
      </c>
      <c r="DX15" s="1">
        <v>4.8594748227518303E-2</v>
      </c>
      <c r="DY15" s="1">
        <v>-9.5046248038774331E-3</v>
      </c>
      <c r="DZ15" s="1">
        <v>4.2618816770670781E-2</v>
      </c>
      <c r="EA15" s="1">
        <v>0.13635654829712329</v>
      </c>
      <c r="EB15" s="1">
        <v>5.8059596313331067E-2</v>
      </c>
      <c r="EC15" s="1">
        <v>1.47594409868422E-3</v>
      </c>
      <c r="ED15" s="1">
        <v>1.228506476574304E-2</v>
      </c>
      <c r="EE15" s="1">
        <v>-3.58674799008201E-2</v>
      </c>
      <c r="EF15" s="1">
        <v>-4.7879265492308178E-2</v>
      </c>
    </row>
    <row r="16" spans="1:137" ht="16">
      <c r="A16" s="6">
        <v>50</v>
      </c>
      <c r="B16" s="6">
        <v>19</v>
      </c>
      <c r="C16" s="9">
        <v>-3.3228977675766193E-2</v>
      </c>
      <c r="D16" s="9">
        <v>0.14164364875262569</v>
      </c>
      <c r="E16" s="9">
        <v>4.7920746013269233E-2</v>
      </c>
      <c r="F16" s="9">
        <v>-6.0341904906032563E-2</v>
      </c>
      <c r="G16" s="9">
        <v>2.159907404179276E-3</v>
      </c>
      <c r="H16" s="9">
        <v>1.150826086212358E-2</v>
      </c>
      <c r="I16" s="9">
        <v>2.9145887999726811E-2</v>
      </c>
      <c r="J16" s="9">
        <v>7.2074427620435116E-2</v>
      </c>
      <c r="K16" s="9">
        <v>3.3031716948784401E-2</v>
      </c>
      <c r="L16" s="2">
        <v>0.1103574307225705</v>
      </c>
      <c r="M16" s="2">
        <v>-3.2524613441144247E-2</v>
      </c>
      <c r="N16" s="2">
        <v>5.7369426657022049E-2</v>
      </c>
      <c r="O16" s="1">
        <v>1.0220681250603599E-2</v>
      </c>
      <c r="P16" s="1">
        <v>6.5414209581504011E-3</v>
      </c>
      <c r="Q16" s="1">
        <v>4.7138773697644618E-2</v>
      </c>
      <c r="R16" s="1">
        <v>2.3861424233528331E-2</v>
      </c>
      <c r="S16" s="1">
        <v>0.1017947274093632</v>
      </c>
      <c r="T16" s="1">
        <v>0.14378684519624929</v>
      </c>
      <c r="U16" s="1">
        <v>3.5183022279848063E-2</v>
      </c>
      <c r="V16" s="1">
        <v>5.9177758336658857E-2</v>
      </c>
      <c r="W16" s="1">
        <v>4.779500273352006E-2</v>
      </c>
      <c r="X16" s="1">
        <v>0.21811053511687881</v>
      </c>
      <c r="Y16" s="1">
        <v>2.995643227259016E-2</v>
      </c>
      <c r="Z16" s="1">
        <v>0.145743857962021</v>
      </c>
      <c r="AA16" s="1">
        <v>0.1070834594347648</v>
      </c>
      <c r="AB16" s="1">
        <v>3.4264466517791081E-2</v>
      </c>
      <c r="AC16" s="1">
        <v>6.8321334190784538E-2</v>
      </c>
      <c r="AD16" s="1">
        <v>3.8219856267594478E-2</v>
      </c>
      <c r="AE16" s="1">
        <v>0.11683691983956609</v>
      </c>
      <c r="AF16" s="1">
        <v>0.1565334733582435</v>
      </c>
      <c r="AG16" s="1">
        <v>-2.532929501095306E-2</v>
      </c>
      <c r="AH16" s="1">
        <v>7.9251789282674873E-2</v>
      </c>
      <c r="AI16" s="1">
        <v>3.5462643898611909E-2</v>
      </c>
      <c r="AJ16" s="1">
        <v>2.6059549347814959E-2</v>
      </c>
      <c r="AK16" s="1">
        <v>-3.7561767147497572E-3</v>
      </c>
      <c r="AL16" s="1">
        <v>0.10194434054772621</v>
      </c>
      <c r="AM16" s="1">
        <v>2.8014228646212651E-2</v>
      </c>
      <c r="AN16" s="1">
        <v>-1.9132523225286639E-2</v>
      </c>
      <c r="AO16" s="1">
        <v>3.8044352542061337E-2</v>
      </c>
      <c r="AP16" s="1">
        <v>7.7212592104824937E-2</v>
      </c>
      <c r="AQ16" s="1">
        <v>4.95195385045228E-2</v>
      </c>
      <c r="AR16" s="1">
        <v>7.5826916674388654E-3</v>
      </c>
      <c r="AS16" s="1">
        <v>2.7183251285118702E-2</v>
      </c>
      <c r="AT16" s="1">
        <v>0.1271366623675747</v>
      </c>
      <c r="AU16" s="1">
        <v>5.7421613114133872E-2</v>
      </c>
      <c r="AV16" s="1">
        <v>2.267549452821925E-2</v>
      </c>
      <c r="AW16" s="1">
        <v>0.12471052744714491</v>
      </c>
      <c r="AX16" s="1">
        <v>5.3702717337575562E-2</v>
      </c>
      <c r="AY16" s="1">
        <v>0.1432485149460308</v>
      </c>
      <c r="AZ16" s="1">
        <v>6.1070580481239263E-2</v>
      </c>
      <c r="BA16" s="1">
        <v>6.688983156284864E-2</v>
      </c>
      <c r="BB16" s="1">
        <v>0.1399818913615056</v>
      </c>
      <c r="BC16" s="1">
        <v>3.4202302029718239E-2</v>
      </c>
      <c r="BD16" s="1">
        <v>5.4089652686273207E-2</v>
      </c>
      <c r="BE16" s="1">
        <v>-7.0081770149328954E-2</v>
      </c>
      <c r="BF16" s="1">
        <v>0.1101725310759458</v>
      </c>
      <c r="BG16" s="1">
        <v>0.1004747755448602</v>
      </c>
      <c r="BH16" s="1">
        <v>7.2087164226492639E-2</v>
      </c>
      <c r="BI16" s="1">
        <v>4.2830066772558323E-2</v>
      </c>
      <c r="BJ16" s="1">
        <v>6.8604195602302701E-2</v>
      </c>
      <c r="BK16" s="1">
        <v>-3.3691419870768582E-2</v>
      </c>
      <c r="BL16" s="1">
        <v>4.2496618170721999E-2</v>
      </c>
      <c r="BM16" s="1">
        <v>1.7130280440688161E-2</v>
      </c>
      <c r="BN16" s="1">
        <v>8.27926832208149E-2</v>
      </c>
      <c r="BO16" s="1">
        <v>2.0140931042434401E-2</v>
      </c>
      <c r="BP16" s="1">
        <v>7.0319344371876077E-2</v>
      </c>
      <c r="BQ16" s="1">
        <v>1.405509542141364E-2</v>
      </c>
      <c r="BR16" s="1">
        <v>8.6828184595889091E-2</v>
      </c>
      <c r="BS16" s="1">
        <v>3.033272398677064E-2</v>
      </c>
      <c r="BT16" s="1">
        <v>-3.0726476125764419E-2</v>
      </c>
      <c r="BU16" s="1">
        <v>1.800251373238208E-2</v>
      </c>
      <c r="BV16" s="1">
        <v>0.10176926059884341</v>
      </c>
      <c r="BW16" s="1">
        <v>0.13089750855718529</v>
      </c>
      <c r="BX16" s="1">
        <v>6.8591435252763649E-2</v>
      </c>
      <c r="BY16" s="1">
        <v>6.6609972464382522E-2</v>
      </c>
      <c r="BZ16" s="1">
        <v>2.655840513080376E-2</v>
      </c>
      <c r="CA16" s="1">
        <v>-9.6516324581383234E-2</v>
      </c>
      <c r="CB16" s="1">
        <v>5.947706029353985E-2</v>
      </c>
      <c r="CC16" s="1">
        <v>2.8975681486368692E-2</v>
      </c>
      <c r="CD16" s="1">
        <v>9.6587738692372277E-2</v>
      </c>
      <c r="CE16" s="1">
        <v>0.1143531086270947</v>
      </c>
      <c r="CF16" s="1">
        <v>2.073529831987958E-2</v>
      </c>
      <c r="CG16" s="1">
        <v>-3.8548459664088462E-3</v>
      </c>
      <c r="CH16" s="1">
        <v>2.517840120176966E-2</v>
      </c>
      <c r="CI16" s="1">
        <v>6.4628960587314571E-2</v>
      </c>
      <c r="CJ16" s="1">
        <v>0.12531710259410231</v>
      </c>
      <c r="CK16" s="1">
        <v>5.0262758695945597E-2</v>
      </c>
      <c r="CL16" s="1">
        <v>2.0066941364265942E-2</v>
      </c>
      <c r="CM16" s="1">
        <v>5.0971068777472964E-3</v>
      </c>
      <c r="CN16" s="1">
        <v>0.2178744160266744</v>
      </c>
      <c r="CO16" s="1">
        <v>0.1186599854193373</v>
      </c>
      <c r="CP16" s="1">
        <v>9.3659357741041865E-2</v>
      </c>
      <c r="CQ16" s="1">
        <v>9.2452779160133169E-2</v>
      </c>
      <c r="CR16" s="1">
        <v>0.1255896364037235</v>
      </c>
      <c r="CS16" s="1">
        <v>-2.1811516403124839E-2</v>
      </c>
      <c r="CT16" s="1">
        <v>9.9677083852552695E-2</v>
      </c>
      <c r="CU16" s="1">
        <v>0.12194388688342769</v>
      </c>
      <c r="CV16" s="1">
        <v>5.8675077055290813E-2</v>
      </c>
      <c r="CW16" s="1">
        <v>-8.6733492579689625E-3</v>
      </c>
      <c r="CX16" s="1">
        <v>9.0639227349923676E-2</v>
      </c>
      <c r="CY16" s="1">
        <v>-9.6361130127283895E-2</v>
      </c>
      <c r="CZ16" s="1">
        <v>1.030139965842336E-2</v>
      </c>
      <c r="DA16" s="1">
        <v>9.0255186182485347E-2</v>
      </c>
      <c r="DB16" s="1">
        <v>-9.0239013556801195E-2</v>
      </c>
      <c r="DC16" s="1">
        <v>1.958707875190693E-2</v>
      </c>
      <c r="DD16" s="1">
        <v>9.5026376422367137E-2</v>
      </c>
      <c r="DE16" s="1">
        <v>2.9401324059843251E-2</v>
      </c>
      <c r="DF16" s="1">
        <v>-6.4180407871054584E-2</v>
      </c>
      <c r="DG16" s="1">
        <v>-8.7324805758533047E-2</v>
      </c>
      <c r="DH16" s="1">
        <v>-8.4132403676702855E-3</v>
      </c>
      <c r="DI16" s="1">
        <v>-4.0659134635571623E-2</v>
      </c>
      <c r="DJ16" s="1">
        <v>7.5919774861546802E-2</v>
      </c>
      <c r="DK16" s="1">
        <v>-7.7413284290136219E-2</v>
      </c>
      <c r="DL16" s="1">
        <v>4.8888732826866087E-2</v>
      </c>
      <c r="DM16" s="1">
        <v>-1.0041382403377579E-2</v>
      </c>
      <c r="DN16" s="1">
        <v>1.9303839954376598E-2</v>
      </c>
      <c r="DO16" s="1">
        <v>7.0288548944531598E-2</v>
      </c>
      <c r="DP16" s="1">
        <v>6.6129097011168425E-2</v>
      </c>
      <c r="DQ16" s="1">
        <v>4.6225076596043371E-2</v>
      </c>
      <c r="DR16" s="1">
        <v>-1.416633297322486E-2</v>
      </c>
      <c r="DS16" s="1">
        <v>-8.9437754388967172E-2</v>
      </c>
      <c r="DT16" s="1">
        <v>3.2148242638743357E-2</v>
      </c>
      <c r="DU16" s="1">
        <v>0.11891758656757311</v>
      </c>
      <c r="DV16" s="1">
        <v>-1.055302289104675E-3</v>
      </c>
      <c r="DW16" s="1">
        <v>7.8666707024103569E-2</v>
      </c>
      <c r="DX16" s="1">
        <v>6.5291075928872427E-2</v>
      </c>
      <c r="DY16" s="1">
        <v>-4.7660986602341193E-2</v>
      </c>
      <c r="DZ16" s="1">
        <v>1.7729961760733319E-2</v>
      </c>
      <c r="EA16" s="1">
        <v>0.19235015927739299</v>
      </c>
      <c r="EB16" s="1">
        <v>8.8158781681692097E-2</v>
      </c>
      <c r="EC16" s="1">
        <v>-6.8136937310102758E-3</v>
      </c>
      <c r="ED16" s="1">
        <v>3.2621900485425237E-2</v>
      </c>
      <c r="EE16" s="1">
        <v>-4.2505739301358238E-2</v>
      </c>
      <c r="EF16" s="1">
        <v>-8.4951384476466579E-2</v>
      </c>
    </row>
    <row r="17" spans="1:136" ht="16">
      <c r="A17" s="6">
        <v>100</v>
      </c>
      <c r="B17" s="6">
        <v>10</v>
      </c>
      <c r="C17" s="9">
        <v>-3.6350225217569643E-2</v>
      </c>
      <c r="D17" s="9">
        <v>0.27303487269562599</v>
      </c>
      <c r="E17" s="9">
        <v>9.5344605470970442E-2</v>
      </c>
      <c r="F17" s="9">
        <v>3.4921436556697362E-2</v>
      </c>
      <c r="G17" s="9">
        <v>9.6089997898837584E-2</v>
      </c>
      <c r="H17" s="9">
        <v>1.2437260581050979E-3</v>
      </c>
      <c r="I17" s="9">
        <v>2.296976075655088E-2</v>
      </c>
      <c r="J17" s="9">
        <v>1.9207592167383349E-2</v>
      </c>
      <c r="K17" s="9">
        <v>4.4247227061697848E-3</v>
      </c>
      <c r="L17" s="2">
        <v>2.46838370368683E-2</v>
      </c>
      <c r="M17" s="2">
        <v>6.7675427893991336E-2</v>
      </c>
      <c r="N17" s="2">
        <v>0.10979619442513371</v>
      </c>
      <c r="O17" s="1">
        <v>-5.3304249958189602E-2</v>
      </c>
      <c r="P17" s="1">
        <v>2.1896569845224052E-2</v>
      </c>
      <c r="Q17" s="1">
        <v>6.1471869493003747E-2</v>
      </c>
      <c r="R17" s="1">
        <v>1.232337052385705E-2</v>
      </c>
      <c r="S17" s="1">
        <v>0.14332081948029771</v>
      </c>
      <c r="T17" s="1">
        <v>0.19849228635955071</v>
      </c>
      <c r="U17" s="1">
        <v>3.5213137452692327E-2</v>
      </c>
      <c r="V17" s="1">
        <v>0.18766619244425281</v>
      </c>
      <c r="W17" s="1">
        <v>5.0671424244990597E-2</v>
      </c>
      <c r="X17" s="1">
        <v>0.25186325128855802</v>
      </c>
      <c r="Y17" s="1">
        <v>9.3065988813691193E-3</v>
      </c>
      <c r="Z17" s="1">
        <v>8.5222204686674741E-2</v>
      </c>
      <c r="AA17" s="1">
        <v>0.113345209732513</v>
      </c>
      <c r="AB17" s="1">
        <v>3.3221015839858883E-2</v>
      </c>
      <c r="AC17" s="1">
        <v>0.15912435400720079</v>
      </c>
      <c r="AD17" s="1">
        <v>-7.728212132685916E-3</v>
      </c>
      <c r="AE17" s="1">
        <v>0.21179264304727199</v>
      </c>
      <c r="AF17" s="1">
        <v>0.20342608166953571</v>
      </c>
      <c r="AG17" s="1">
        <v>-4.4324544215075819E-2</v>
      </c>
      <c r="AH17" s="1">
        <v>0.1650398016901814</v>
      </c>
      <c r="AI17" s="1">
        <v>2.4849257132530979E-2</v>
      </c>
      <c r="AJ17" s="1">
        <v>4.9967108754486698E-2</v>
      </c>
      <c r="AK17" s="1">
        <v>1.9606473120677248E-3</v>
      </c>
      <c r="AL17" s="1">
        <v>8.9783850361381895E-2</v>
      </c>
      <c r="AM17" s="1">
        <v>-2.1048665009479162E-2</v>
      </c>
      <c r="AN17" s="1">
        <v>-3.550046026520183E-2</v>
      </c>
      <c r="AO17" s="1">
        <v>5.1384520239967417E-2</v>
      </c>
      <c r="AP17" s="1">
        <v>7.5074159484203984E-2</v>
      </c>
      <c r="AQ17" s="1">
        <v>0.12618228653927241</v>
      </c>
      <c r="AR17" s="1">
        <v>1.773382575923934E-2</v>
      </c>
      <c r="AS17" s="1">
        <v>7.9962980787619611E-4</v>
      </c>
      <c r="AT17" s="1">
        <v>0.11866220652941591</v>
      </c>
      <c r="AU17" s="1">
        <v>7.7174077249961781E-2</v>
      </c>
      <c r="AV17" s="1">
        <v>-4.4632515675899348E-3</v>
      </c>
      <c r="AW17" s="1">
        <v>0.18936077066892121</v>
      </c>
      <c r="AX17" s="1">
        <v>0.1131763688864499</v>
      </c>
      <c r="AY17" s="1">
        <v>0.20000626980510719</v>
      </c>
      <c r="AZ17" s="1">
        <v>6.7846329118650406E-2</v>
      </c>
      <c r="BA17" s="1">
        <v>-1.5151738493797209E-2</v>
      </c>
      <c r="BB17" s="1">
        <v>8.466479166840081E-2</v>
      </c>
      <c r="BC17" s="1">
        <v>5.9072808976257628E-2</v>
      </c>
      <c r="BD17" s="1">
        <v>9.6474811402217225E-3</v>
      </c>
      <c r="BE17" s="1">
        <v>-4.1397970696908121E-2</v>
      </c>
      <c r="BF17" s="1">
        <v>0.1272523121191925</v>
      </c>
      <c r="BG17" s="1">
        <v>0.12916989067904619</v>
      </c>
      <c r="BH17" s="1">
        <v>6.8436267604432971E-2</v>
      </c>
      <c r="BI17" s="1">
        <v>0.13535398218118319</v>
      </c>
      <c r="BJ17" s="1">
        <v>0.13011025503616941</v>
      </c>
      <c r="BK17" s="1">
        <v>4.5604932300413438E-2</v>
      </c>
      <c r="BL17" s="1">
        <v>2.11126667000688E-2</v>
      </c>
      <c r="BM17" s="1">
        <v>1.1126533396229011E-2</v>
      </c>
      <c r="BN17" s="1">
        <v>0.10130496792474041</v>
      </c>
      <c r="BO17" s="1">
        <v>2.8938090794333439E-2</v>
      </c>
      <c r="BP17" s="1">
        <v>0.1382756322826329</v>
      </c>
      <c r="BQ17" s="1">
        <v>-5.8076926467476864E-3</v>
      </c>
      <c r="BR17" s="1">
        <v>0.13180032776225159</v>
      </c>
      <c r="BS17" s="1">
        <v>1.1865910908611719E-2</v>
      </c>
      <c r="BT17" s="1">
        <v>-5.9850936091850729E-2</v>
      </c>
      <c r="BU17" s="1">
        <v>-1.514008239886341E-2</v>
      </c>
      <c r="BV17" s="1">
        <v>0.16459384726439391</v>
      </c>
      <c r="BW17" s="1">
        <v>0.29887898957592779</v>
      </c>
      <c r="BX17" s="1">
        <v>6.5865195931870332E-2</v>
      </c>
      <c r="BY17" s="1">
        <v>1.735896241721183E-2</v>
      </c>
      <c r="BZ17" s="1">
        <v>1.2772746408824779E-2</v>
      </c>
      <c r="CA17" s="1">
        <v>-9.2920533808793823E-2</v>
      </c>
      <c r="CB17" s="1">
        <v>9.268410552323747E-2</v>
      </c>
      <c r="CC17" s="1">
        <v>-3.5358543172516708E-2</v>
      </c>
      <c r="CD17" s="1">
        <v>-9.8917645152045292E-3</v>
      </c>
      <c r="CE17" s="1">
        <v>9.7490745145434682E-2</v>
      </c>
      <c r="CF17" s="1">
        <v>4.5210670660176318E-2</v>
      </c>
      <c r="CG17" s="1">
        <v>2.451194808216035E-2</v>
      </c>
      <c r="CH17" s="1">
        <v>3.5292236273181177E-2</v>
      </c>
      <c r="CI17" s="1">
        <v>9.5587797892597665E-2</v>
      </c>
      <c r="CJ17" s="1">
        <v>5.6967558937002713E-2</v>
      </c>
      <c r="CK17" s="1">
        <v>2.145722091248117E-2</v>
      </c>
      <c r="CL17" s="1">
        <v>6.502653643932553E-2</v>
      </c>
      <c r="CM17" s="1">
        <v>4.662653579259865E-2</v>
      </c>
      <c r="CN17" s="1">
        <v>0.30775852693825723</v>
      </c>
      <c r="CO17" s="1">
        <v>0.19945622381826589</v>
      </c>
      <c r="CP17" s="1">
        <v>0.13009874767373969</v>
      </c>
      <c r="CQ17" s="1">
        <v>6.7089015743962532E-2</v>
      </c>
      <c r="CR17" s="1">
        <v>0.13647811444388511</v>
      </c>
      <c r="CS17" s="1">
        <v>-5.9912530200233308E-2</v>
      </c>
      <c r="CT17" s="1">
        <v>0.16873606627298221</v>
      </c>
      <c r="CU17" s="1">
        <v>0.1842701190485436</v>
      </c>
      <c r="CV17" s="1">
        <v>8.464184309113934E-2</v>
      </c>
      <c r="CW17" s="1">
        <v>4.1982760628530819E-2</v>
      </c>
      <c r="CX17" s="1">
        <v>0.15238777889156799</v>
      </c>
      <c r="CY17" s="1">
        <v>-9.2947904335357948E-2</v>
      </c>
      <c r="CZ17" s="1">
        <v>2.3763335140482119E-2</v>
      </c>
      <c r="DA17" s="1">
        <v>0.1626710477427829</v>
      </c>
      <c r="DB17" s="1">
        <v>-0.20966340207921569</v>
      </c>
      <c r="DC17" s="1">
        <v>8.4746934354120118E-2</v>
      </c>
      <c r="DD17" s="1">
        <v>0.1001987504485114</v>
      </c>
      <c r="DE17" s="1">
        <v>-2.2313539019256479E-2</v>
      </c>
      <c r="DF17" s="1">
        <v>6.0545262726041937E-3</v>
      </c>
      <c r="DG17" s="1">
        <v>-0.11309156284035971</v>
      </c>
      <c r="DH17" s="1">
        <v>9.3841476708658722E-4</v>
      </c>
      <c r="DI17" s="1">
        <v>-5.4108318657130297E-2</v>
      </c>
      <c r="DJ17" s="1">
        <v>5.0118008605961967E-2</v>
      </c>
      <c r="DK17" s="1">
        <v>-7.2188597805797533E-2</v>
      </c>
      <c r="DL17" s="1">
        <v>7.5327611348568552E-2</v>
      </c>
      <c r="DM17" s="1">
        <v>-5.2317813240770963E-2</v>
      </c>
      <c r="DN17" s="1">
        <v>-4.6964690162812017E-2</v>
      </c>
      <c r="DO17" s="1">
        <v>3.4104415749097068E-2</v>
      </c>
      <c r="DP17" s="1">
        <v>0.14544193115157711</v>
      </c>
      <c r="DQ17" s="1">
        <v>4.1916519321548502E-2</v>
      </c>
      <c r="DR17" s="1">
        <v>-3.6174917563987538E-2</v>
      </c>
      <c r="DS17" s="1">
        <v>-9.5715424587646189E-3</v>
      </c>
      <c r="DT17" s="1">
        <v>4.9159564832050147E-2</v>
      </c>
      <c r="DU17" s="1">
        <v>0.18864064490238791</v>
      </c>
      <c r="DV17" s="1">
        <v>1.6190145421325661E-2</v>
      </c>
      <c r="DW17" s="1">
        <v>5.9003667251552691E-2</v>
      </c>
      <c r="DX17" s="1">
        <v>0.11240375283143531</v>
      </c>
      <c r="DY17" s="1">
        <v>8.3673634692538773E-2</v>
      </c>
      <c r="DZ17" s="1">
        <v>-1.5664545698907181E-2</v>
      </c>
      <c r="EA17" s="1">
        <v>0.14525279100574751</v>
      </c>
      <c r="EB17" s="1">
        <v>7.5294390068854106E-2</v>
      </c>
      <c r="EC17" s="1">
        <v>1.41482685682065E-2</v>
      </c>
      <c r="ED17" s="1">
        <v>5.9257877699051567E-2</v>
      </c>
      <c r="EE17" s="1">
        <v>-4.9344179940159598E-2</v>
      </c>
      <c r="EF17" s="1">
        <v>-0.15968343912296651</v>
      </c>
    </row>
    <row r="18" spans="1:136" ht="16">
      <c r="A18" s="6">
        <v>107</v>
      </c>
      <c r="B18" s="6">
        <v>9</v>
      </c>
      <c r="C18" s="9">
        <v>-3.9435389831589437E-2</v>
      </c>
      <c r="D18" s="9">
        <v>0.23433797695998909</v>
      </c>
      <c r="E18" s="9">
        <v>8.6704171428553314E-2</v>
      </c>
      <c r="F18" s="9">
        <v>7.871547190433098E-2</v>
      </c>
      <c r="G18" s="9">
        <v>0.109031149567638</v>
      </c>
      <c r="H18" s="9">
        <v>6.4934945682304252E-4</v>
      </c>
      <c r="I18" s="9">
        <v>2.7240273275590431E-2</v>
      </c>
      <c r="J18" s="9">
        <v>4.1406976112723218E-2</v>
      </c>
      <c r="K18" s="9">
        <v>-1.9554681566525959E-2</v>
      </c>
      <c r="L18" s="2">
        <v>3.9397823732206932E-3</v>
      </c>
      <c r="M18" s="2">
        <v>4.9392184987669167E-2</v>
      </c>
      <c r="N18" s="2">
        <v>0.1202424982791967</v>
      </c>
      <c r="O18" s="1">
        <v>-6.6199355793817846E-2</v>
      </c>
      <c r="P18" s="1">
        <v>8.1881795143319731E-3</v>
      </c>
      <c r="Q18" s="1">
        <v>7.6299132728347402E-2</v>
      </c>
      <c r="R18" s="1">
        <v>-9.600969226025019E-4</v>
      </c>
      <c r="S18" s="1">
        <v>0.14543681595694299</v>
      </c>
      <c r="T18" s="1">
        <v>0.224559799495058</v>
      </c>
      <c r="U18" s="1">
        <v>2.7648234072830669E-2</v>
      </c>
      <c r="V18" s="1">
        <v>0.22655835455312609</v>
      </c>
      <c r="W18" s="1">
        <v>0.1016313571311754</v>
      </c>
      <c r="X18" s="1">
        <v>0.27113095815733512</v>
      </c>
      <c r="Y18" s="1">
        <v>7.237298417993536E-2</v>
      </c>
      <c r="Z18" s="1">
        <v>9.5220855002759813E-2</v>
      </c>
      <c r="AA18" s="1">
        <v>0.12880750461640081</v>
      </c>
      <c r="AB18" s="1">
        <v>2.696186977636628E-2</v>
      </c>
      <c r="AC18" s="1">
        <v>0.14261636205658451</v>
      </c>
      <c r="AD18" s="1">
        <v>-4.3150504353961366E-3</v>
      </c>
      <c r="AE18" s="1">
        <v>0.20962824117691051</v>
      </c>
      <c r="AF18" s="1">
        <v>0.20694873849648571</v>
      </c>
      <c r="AG18" s="1">
        <v>-4.377615973577241E-2</v>
      </c>
      <c r="AH18" s="1">
        <v>0.17727619038042061</v>
      </c>
      <c r="AI18" s="1">
        <v>3.3383255671647287E-2</v>
      </c>
      <c r="AJ18" s="1">
        <v>5.5558243575850028E-2</v>
      </c>
      <c r="AK18" s="1">
        <v>2.1222531996144579E-2</v>
      </c>
      <c r="AL18" s="1">
        <v>8.0221329797241683E-2</v>
      </c>
      <c r="AM18" s="1">
        <v>-2.8978861064543681E-2</v>
      </c>
      <c r="AN18" s="1">
        <v>-2.2032517942514099E-2</v>
      </c>
      <c r="AO18" s="1">
        <v>4.1090153361741238E-2</v>
      </c>
      <c r="AP18" s="1">
        <v>5.1133118117231098E-2</v>
      </c>
      <c r="AQ18" s="1">
        <v>0.12639411488258351</v>
      </c>
      <c r="AR18" s="1">
        <v>3.4371979060270917E-2</v>
      </c>
      <c r="AS18" s="1">
        <v>-8.2851231130728932E-3</v>
      </c>
      <c r="AT18" s="1">
        <v>0.13151109754337109</v>
      </c>
      <c r="AU18" s="1">
        <v>8.2090271843001911E-2</v>
      </c>
      <c r="AV18" s="1">
        <v>-2.1221234553224E-2</v>
      </c>
      <c r="AW18" s="1">
        <v>0.21589448291222979</v>
      </c>
      <c r="AX18" s="1">
        <v>2.608009384067083E-2</v>
      </c>
      <c r="AY18" s="1">
        <v>0.22593248855830589</v>
      </c>
      <c r="AZ18" s="1">
        <v>8.8150181520572635E-2</v>
      </c>
      <c r="BA18" s="1">
        <v>3.3911561984698552E-2</v>
      </c>
      <c r="BB18" s="1">
        <v>0.11876170274132269</v>
      </c>
      <c r="BC18" s="1">
        <v>6.951714654568697E-2</v>
      </c>
      <c r="BD18" s="1">
        <v>-1.6936217924359391E-2</v>
      </c>
      <c r="BE18" s="1">
        <v>-6.119764392645928E-2</v>
      </c>
      <c r="BF18" s="1">
        <v>0.1586923508972026</v>
      </c>
      <c r="BG18" s="1">
        <v>0.1207788909262187</v>
      </c>
      <c r="BH18" s="1">
        <v>8.1620837513683459E-2</v>
      </c>
      <c r="BI18" s="1">
        <v>0.1223671255273429</v>
      </c>
      <c r="BJ18" s="1">
        <v>9.6566803525538036E-2</v>
      </c>
      <c r="BK18" s="1">
        <v>5.1371624526011413E-2</v>
      </c>
      <c r="BL18" s="1">
        <v>9.8151684675086698E-3</v>
      </c>
      <c r="BM18" s="1">
        <v>-1.4382606788316331E-3</v>
      </c>
      <c r="BN18" s="1">
        <v>0.1012639033842422</v>
      </c>
      <c r="BO18" s="1">
        <v>2.9487266931902061E-2</v>
      </c>
      <c r="BP18" s="1">
        <v>0.12596295439639271</v>
      </c>
      <c r="BQ18" s="1">
        <v>2.265208765356554E-2</v>
      </c>
      <c r="BR18" s="1">
        <v>0.14752202810068329</v>
      </c>
      <c r="BS18" s="1">
        <v>3.2006987192883168E-2</v>
      </c>
      <c r="BT18" s="1">
        <v>-4.6660882493518303E-2</v>
      </c>
      <c r="BU18" s="1">
        <v>-1.5064577536601859E-2</v>
      </c>
      <c r="BV18" s="1">
        <v>0.17428475975596619</v>
      </c>
      <c r="BW18" s="1">
        <v>0.31797083453836722</v>
      </c>
      <c r="BX18" s="1">
        <v>6.9459716596261087E-2</v>
      </c>
      <c r="BY18" s="1">
        <v>6.1034726731378892E-2</v>
      </c>
      <c r="BZ18" s="1">
        <v>-2.84017715575339E-2</v>
      </c>
      <c r="CA18" s="1">
        <v>-0.13046988383823571</v>
      </c>
      <c r="CB18" s="1">
        <v>0.1158655489891553</v>
      </c>
      <c r="CC18" s="1">
        <v>-2.0683160701185161E-2</v>
      </c>
      <c r="CD18" s="1">
        <v>6.4934923417245174E-2</v>
      </c>
      <c r="CE18" s="1">
        <v>0.12131041340196019</v>
      </c>
      <c r="CF18" s="1">
        <v>-1.19936404476988E-2</v>
      </c>
      <c r="CG18" s="1">
        <v>5.4488637966952018E-2</v>
      </c>
      <c r="CH18" s="1">
        <v>5.9711263508849227E-2</v>
      </c>
      <c r="CI18" s="1">
        <v>0.102135471759466</v>
      </c>
      <c r="CJ18" s="1">
        <v>5.4788462478742223E-2</v>
      </c>
      <c r="CK18" s="1">
        <v>6.0724102631643927E-2</v>
      </c>
      <c r="CL18" s="1">
        <v>6.8320466134685287E-2</v>
      </c>
      <c r="CM18" s="1">
        <v>6.9997267456522183E-3</v>
      </c>
      <c r="CN18" s="1">
        <v>0.30199598219258678</v>
      </c>
      <c r="CO18" s="1">
        <v>0.2041018267437201</v>
      </c>
      <c r="CP18" s="1">
        <v>0.1111514502016443</v>
      </c>
      <c r="CQ18" s="1">
        <v>9.1639389935504953E-2</v>
      </c>
      <c r="CR18" s="1">
        <v>0.13403741536657451</v>
      </c>
      <c r="CS18" s="1">
        <v>-8.9290829489122772E-2</v>
      </c>
      <c r="CT18" s="1">
        <v>0.1569789966764131</v>
      </c>
      <c r="CU18" s="1">
        <v>0.16811337784348579</v>
      </c>
      <c r="CV18" s="1">
        <v>9.0097054832442486E-2</v>
      </c>
      <c r="CW18" s="1">
        <v>5.1934259828947123E-2</v>
      </c>
      <c r="CX18" s="1">
        <v>0.16226597530261619</v>
      </c>
      <c r="CY18" s="1">
        <v>-8.1280637874214245E-2</v>
      </c>
      <c r="CZ18" s="1">
        <v>3.2724822242144208E-2</v>
      </c>
      <c r="DA18" s="1">
        <v>0.16782969051510871</v>
      </c>
      <c r="DB18" s="1">
        <v>-0.23166534590164389</v>
      </c>
      <c r="DC18" s="1">
        <v>9.61333382983873E-2</v>
      </c>
      <c r="DD18" s="1">
        <v>9.7893033702861065E-2</v>
      </c>
      <c r="DE18" s="1">
        <v>-5.0631629502670507E-2</v>
      </c>
      <c r="DF18" s="1">
        <v>2.6980135523259762E-3</v>
      </c>
      <c r="DG18" s="1">
        <v>-0.12637191985047269</v>
      </c>
      <c r="DH18" s="1">
        <v>-3.9788319645553058E-3</v>
      </c>
      <c r="DI18" s="1">
        <v>-4.5399497901261202E-2</v>
      </c>
      <c r="DJ18" s="1">
        <v>6.6051330404252137E-2</v>
      </c>
      <c r="DK18" s="1">
        <v>-5.7685769347259337E-2</v>
      </c>
      <c r="DL18" s="1">
        <v>5.5473782477393152E-2</v>
      </c>
      <c r="DM18" s="1">
        <v>-5.0953763039580997E-2</v>
      </c>
      <c r="DN18" s="1">
        <v>-5.7679570246785522E-2</v>
      </c>
      <c r="DO18" s="1">
        <v>4.6563866479777977E-2</v>
      </c>
      <c r="DP18" s="1">
        <v>0.13500153092975339</v>
      </c>
      <c r="DQ18" s="1">
        <v>4.145341061894342E-2</v>
      </c>
      <c r="DR18" s="1">
        <v>-2.6365380194143018E-2</v>
      </c>
      <c r="DS18" s="1">
        <v>1.042302437651494E-2</v>
      </c>
      <c r="DT18" s="1">
        <v>4.677433526996512E-2</v>
      </c>
      <c r="DU18" s="1">
        <v>0.1901082424459184</v>
      </c>
      <c r="DV18" s="1">
        <v>1.0674915793543269E-2</v>
      </c>
      <c r="DW18" s="1">
        <v>4.8547744872951368E-2</v>
      </c>
      <c r="DX18" s="1">
        <v>0.10514200203935101</v>
      </c>
      <c r="DY18" s="1">
        <v>9.4984864221236961E-2</v>
      </c>
      <c r="DZ18" s="1">
        <v>-1.509224731396463E-2</v>
      </c>
      <c r="EA18" s="1">
        <v>0.14794581154704359</v>
      </c>
      <c r="EB18" s="1">
        <v>8.8908953959292436E-2</v>
      </c>
      <c r="EC18" s="1">
        <v>1.6325517932017961E-2</v>
      </c>
      <c r="ED18" s="1">
        <v>5.8215192077591418E-2</v>
      </c>
      <c r="EE18" s="1">
        <v>-5.9240996655185868E-2</v>
      </c>
      <c r="EF18" s="1">
        <v>-0.15799174927001061</v>
      </c>
    </row>
    <row r="19" spans="1:136" ht="16">
      <c r="A19" s="6">
        <v>120</v>
      </c>
      <c r="B19" s="6">
        <v>8</v>
      </c>
      <c r="C19" s="9">
        <v>-3.8913468982799758E-2</v>
      </c>
      <c r="D19" s="9">
        <v>0.16854736185977429</v>
      </c>
      <c r="E19" s="9">
        <v>9.6671109192610821E-2</v>
      </c>
      <c r="F19" s="9">
        <v>8.0752164152319103E-2</v>
      </c>
      <c r="G19" s="9">
        <v>0.1347326611812226</v>
      </c>
      <c r="H19" s="9">
        <v>-7.9428568480016844E-3</v>
      </c>
      <c r="I19" s="9">
        <v>2.4219034639758139E-2</v>
      </c>
      <c r="J19" s="9">
        <v>2.8755829150013849E-2</v>
      </c>
      <c r="K19" s="9">
        <v>-4.5982238765455638E-3</v>
      </c>
      <c r="L19" s="2">
        <v>1.257257416604282E-2</v>
      </c>
      <c r="M19" s="2">
        <v>4.9947201803779748E-2</v>
      </c>
      <c r="N19" s="2">
        <v>0.1092778268298058</v>
      </c>
      <c r="O19" s="1">
        <v>-6.9983647279601532E-2</v>
      </c>
      <c r="P19" s="1">
        <v>1.3382946743368309E-2</v>
      </c>
      <c r="Q19" s="1">
        <v>7.5377464853876447E-2</v>
      </c>
      <c r="R19" s="1">
        <v>-3.4291974366142779E-3</v>
      </c>
      <c r="S19" s="1">
        <v>0.16865809972046189</v>
      </c>
      <c r="T19" s="1">
        <v>0.20441382127320989</v>
      </c>
      <c r="U19" s="1">
        <v>8.0603229871662185E-3</v>
      </c>
      <c r="V19" s="1">
        <v>0.18406310044512211</v>
      </c>
      <c r="W19" s="1">
        <v>0.1286672543576686</v>
      </c>
      <c r="X19" s="1">
        <v>0.27133594829567148</v>
      </c>
      <c r="Y19" s="1">
        <v>8.9095159266180279E-2</v>
      </c>
      <c r="Z19" s="1">
        <v>0.14106493822804689</v>
      </c>
      <c r="AA19" s="1">
        <v>0.1172277019924583</v>
      </c>
      <c r="AB19" s="1">
        <v>3.8530231473316703E-2</v>
      </c>
      <c r="AC19" s="1">
        <v>0.19759172354391311</v>
      </c>
      <c r="AD19" s="1">
        <v>9.6522741229912098E-3</v>
      </c>
      <c r="AE19" s="1">
        <v>0.22212270442845089</v>
      </c>
      <c r="AF19" s="1">
        <v>0.2112132146561663</v>
      </c>
      <c r="AG19" s="1">
        <v>-6.2640141571138716E-2</v>
      </c>
      <c r="AH19" s="1">
        <v>0.21598924848345069</v>
      </c>
      <c r="AI19" s="1">
        <v>5.7037975655486538E-2</v>
      </c>
      <c r="AJ19" s="1">
        <v>5.1567092257441813E-2</v>
      </c>
      <c r="AK19" s="1">
        <v>1.7833618899743858E-2</v>
      </c>
      <c r="AL19" s="1">
        <v>7.6426547694144586E-2</v>
      </c>
      <c r="AM19" s="1">
        <v>-2.952114289090722E-2</v>
      </c>
      <c r="AN19" s="1">
        <v>6.4561353732883464E-3</v>
      </c>
      <c r="AO19" s="1">
        <v>7.6694527622622966E-2</v>
      </c>
      <c r="AP19" s="1">
        <v>5.9962441360630933E-2</v>
      </c>
      <c r="AQ19" s="1">
        <v>0.1127231273337288</v>
      </c>
      <c r="AR19" s="1">
        <v>4.5802625557302828E-2</v>
      </c>
      <c r="AS19" s="1">
        <v>9.9190402085040826E-3</v>
      </c>
      <c r="AT19" s="1">
        <v>0.14284857915328819</v>
      </c>
      <c r="AU19" s="1">
        <v>0.11569960953410489</v>
      </c>
      <c r="AV19" s="1">
        <v>-6.1275359407888308E-2</v>
      </c>
      <c r="AW19" s="1">
        <v>0.25023986522614389</v>
      </c>
      <c r="AX19" s="1">
        <v>2.9189241893463839E-2</v>
      </c>
      <c r="AY19" s="1">
        <v>0.23807944308841519</v>
      </c>
      <c r="AZ19" s="1">
        <v>7.0494230916434572E-2</v>
      </c>
      <c r="BA19" s="1">
        <v>3.8771615247690558E-2</v>
      </c>
      <c r="BB19" s="1">
        <v>0.13322666043475401</v>
      </c>
      <c r="BC19" s="1">
        <v>5.134875213438167E-2</v>
      </c>
      <c r="BD19" s="1">
        <v>1.347482982462418E-2</v>
      </c>
      <c r="BE19" s="1">
        <v>-4.4110253344838479E-2</v>
      </c>
      <c r="BF19" s="1">
        <v>5.5060756886814111E-2</v>
      </c>
      <c r="BG19" s="1">
        <v>0.11262104663195339</v>
      </c>
      <c r="BH19" s="1">
        <v>8.9156995538337003E-2</v>
      </c>
      <c r="BI19" s="1">
        <v>0.1182997346921037</v>
      </c>
      <c r="BJ19" s="1">
        <v>9.7868244368423979E-2</v>
      </c>
      <c r="BK19" s="1">
        <v>1.67513267503808E-2</v>
      </c>
      <c r="BL19" s="1">
        <v>1.132258281994482E-2</v>
      </c>
      <c r="BM19" s="1">
        <v>-8.5086093268850575E-3</v>
      </c>
      <c r="BN19" s="1">
        <v>9.3255475180167191E-2</v>
      </c>
      <c r="BO19" s="1">
        <v>3.219728570126746E-2</v>
      </c>
      <c r="BP19" s="1">
        <v>0.14972725019603911</v>
      </c>
      <c r="BQ19" s="1">
        <v>1.9160736461803121E-2</v>
      </c>
      <c r="BR19" s="1">
        <v>0.17828809709458751</v>
      </c>
      <c r="BS19" s="1">
        <v>2.090601821369549E-2</v>
      </c>
      <c r="BT19" s="1">
        <v>-5.265016026197774E-2</v>
      </c>
      <c r="BU19" s="1">
        <v>-3.8510384871554643E-2</v>
      </c>
      <c r="BV19" s="1">
        <v>0.18846883730086739</v>
      </c>
      <c r="BW19" s="1">
        <v>0.2083368255173885</v>
      </c>
      <c r="BX19" s="1">
        <v>7.1902304476958279E-2</v>
      </c>
      <c r="BY19" s="1">
        <v>5.1357930857691157E-2</v>
      </c>
      <c r="BZ19" s="1">
        <v>-2.5526302810298721E-2</v>
      </c>
      <c r="CA19" s="1">
        <v>-0.1308778477759738</v>
      </c>
      <c r="CB19" s="1">
        <v>0.10916583702074401</v>
      </c>
      <c r="CC19" s="1">
        <v>-0.1146808468537778</v>
      </c>
      <c r="CD19" s="1">
        <v>6.0579450358787063E-2</v>
      </c>
      <c r="CE19" s="1">
        <v>0.1124945912954069</v>
      </c>
      <c r="CF19" s="1">
        <v>5.5948196573457707E-4</v>
      </c>
      <c r="CG19" s="1">
        <v>9.5848573087292444E-2</v>
      </c>
      <c r="CH19" s="1">
        <v>0.115839366391173</v>
      </c>
      <c r="CI19" s="1">
        <v>0.13045056225053181</v>
      </c>
      <c r="CJ19" s="1">
        <v>8.1164386899999691E-2</v>
      </c>
      <c r="CK19" s="1">
        <v>5.2047222923162578E-2</v>
      </c>
      <c r="CL19" s="1">
        <v>3.069144001299443E-3</v>
      </c>
      <c r="CM19" s="1">
        <v>-1.6699728933534249E-3</v>
      </c>
      <c r="CN19" s="1">
        <v>0.33955425374346643</v>
      </c>
      <c r="CO19" s="1">
        <v>0.18269784574884071</v>
      </c>
      <c r="CP19" s="1">
        <v>0.108221383508889</v>
      </c>
      <c r="CQ19" s="1">
        <v>9.1887761713894067E-2</v>
      </c>
      <c r="CR19" s="1">
        <v>0.1631100460377467</v>
      </c>
      <c r="CS19" s="1">
        <v>-8.8519896400953299E-2</v>
      </c>
      <c r="CT19" s="1">
        <v>0.1145065715734727</v>
      </c>
      <c r="CU19" s="1">
        <v>0.17086143868775819</v>
      </c>
      <c r="CV19" s="1">
        <v>6.6457647905950434E-2</v>
      </c>
      <c r="CW19" s="1">
        <v>5.5803085769991642E-2</v>
      </c>
      <c r="CX19" s="1">
        <v>0.1250098553997174</v>
      </c>
      <c r="CY19" s="1">
        <v>-7.5608913409805661E-2</v>
      </c>
      <c r="CZ19" s="1">
        <v>3.1592684380340658E-2</v>
      </c>
      <c r="DA19" s="1">
        <v>0.21729512228579931</v>
      </c>
      <c r="DB19" s="1">
        <v>-0.22431697129508241</v>
      </c>
      <c r="DC19" s="1">
        <v>0.1124463838392047</v>
      </c>
      <c r="DD19" s="1">
        <v>8.9256538320887452E-2</v>
      </c>
      <c r="DE19" s="1">
        <v>-5.3569555155120741E-2</v>
      </c>
      <c r="DF19" s="1">
        <v>1.5674444936529901E-2</v>
      </c>
      <c r="DG19" s="1">
        <v>-0.1232124661306393</v>
      </c>
      <c r="DH19" s="1">
        <v>-1.2653894662512761E-2</v>
      </c>
      <c r="DI19" s="1">
        <v>-3.504453606594507E-2</v>
      </c>
      <c r="DJ19" s="1">
        <v>8.1138534273587137E-2</v>
      </c>
      <c r="DK19" s="1">
        <v>-6.8118111488885122E-2</v>
      </c>
      <c r="DL19" s="1">
        <v>3.6462510985385367E-2</v>
      </c>
      <c r="DM19" s="1">
        <v>-6.1866517609930699E-2</v>
      </c>
      <c r="DN19" s="1">
        <v>-3.2796834940880662E-2</v>
      </c>
      <c r="DO19" s="1">
        <v>6.5250544351453679E-2</v>
      </c>
      <c r="DP19" s="1">
        <v>0.12178262475785941</v>
      </c>
      <c r="DQ19" s="1">
        <v>7.2381798096285421E-2</v>
      </c>
      <c r="DR19" s="1">
        <v>-2.9562321152702541E-2</v>
      </c>
      <c r="DS19" s="1">
        <v>6.5055362314722356E-3</v>
      </c>
      <c r="DT19" s="1">
        <v>-7.2241768215537371E-3</v>
      </c>
      <c r="DU19" s="1">
        <v>0.15955509947844379</v>
      </c>
      <c r="DV19" s="1">
        <v>2.349968072458233E-2</v>
      </c>
      <c r="DW19" s="1">
        <v>6.2561775719574206E-2</v>
      </c>
      <c r="DX19" s="1">
        <v>0.1108210784346087</v>
      </c>
      <c r="DY19" s="1">
        <v>0.12601053790105471</v>
      </c>
      <c r="DZ19" s="1">
        <v>2.9107188759115409E-2</v>
      </c>
      <c r="EA19" s="1">
        <v>0.13185062442513931</v>
      </c>
      <c r="EB19" s="1">
        <v>8.6858713774628823E-2</v>
      </c>
      <c r="EC19" s="1">
        <v>-1.0220505365850971E-2</v>
      </c>
      <c r="ED19" s="1">
        <v>7.5350992521246968E-2</v>
      </c>
      <c r="EE19" s="1">
        <v>-6.4278699968889033E-2</v>
      </c>
      <c r="EF19" s="1">
        <v>-0.13981484782620349</v>
      </c>
    </row>
    <row r="20" spans="1:136" ht="16">
      <c r="A20" s="6">
        <v>137</v>
      </c>
      <c r="B20" s="6">
        <v>7</v>
      </c>
      <c r="C20" s="9">
        <v>-5.9146797802220617E-2</v>
      </c>
      <c r="D20" s="9">
        <v>0.18401888940316621</v>
      </c>
      <c r="E20" s="9">
        <v>0.10047562300309219</v>
      </c>
      <c r="F20" s="9">
        <v>0.11938296010218979</v>
      </c>
      <c r="G20" s="9">
        <v>0.16399390802720509</v>
      </c>
      <c r="H20" s="9">
        <v>-8.6222277544443261E-3</v>
      </c>
      <c r="I20" s="9">
        <v>3.0636707211393749E-2</v>
      </c>
      <c r="J20" s="9">
        <v>-1.1634694394191651E-2</v>
      </c>
      <c r="K20" s="9">
        <v>-1.4703560803650409E-2</v>
      </c>
      <c r="L20" s="2">
        <v>2.9322852947789059E-2</v>
      </c>
      <c r="M20" s="2">
        <v>7.0025626230073357E-2</v>
      </c>
      <c r="N20" s="2">
        <v>0.14120748849629611</v>
      </c>
      <c r="O20" s="1">
        <v>-6.9370689117355791E-2</v>
      </c>
      <c r="P20" s="1">
        <v>8.3280858539089599E-3</v>
      </c>
      <c r="Q20" s="1">
        <v>7.5409570921666697E-2</v>
      </c>
      <c r="R20" s="1">
        <v>-3.306423989218276E-3</v>
      </c>
      <c r="S20" s="1">
        <v>0.19196586596172921</v>
      </c>
      <c r="T20" s="1">
        <v>0.22531337403900059</v>
      </c>
      <c r="U20" s="1">
        <v>7.1456678423764269E-3</v>
      </c>
      <c r="V20" s="1">
        <v>0.2301292091290579</v>
      </c>
      <c r="W20" s="1">
        <v>0.16613482926929909</v>
      </c>
      <c r="X20" s="1">
        <v>0.28203658893631423</v>
      </c>
      <c r="Y20" s="1">
        <v>5.2382066107746469E-2</v>
      </c>
      <c r="Z20" s="1">
        <v>0.1449497793710067</v>
      </c>
      <c r="AA20" s="1">
        <v>0.10441760948373439</v>
      </c>
      <c r="AB20" s="1">
        <v>3.6791411363642453E-2</v>
      </c>
      <c r="AC20" s="1">
        <v>0.19163482088092201</v>
      </c>
      <c r="AD20" s="1">
        <v>1.8143742179112E-2</v>
      </c>
      <c r="AE20" s="1">
        <v>0.25839134891520849</v>
      </c>
      <c r="AF20" s="1">
        <v>0.25576929106695911</v>
      </c>
      <c r="AG20" s="1">
        <v>-8.1719979892753619E-2</v>
      </c>
      <c r="AH20" s="1">
        <v>0.29224261072045687</v>
      </c>
      <c r="AI20" s="1">
        <v>8.1423750051169697E-2</v>
      </c>
      <c r="AJ20" s="1">
        <v>5.5938250388193098E-2</v>
      </c>
      <c r="AK20" s="1">
        <v>1.4642588458335619E-2</v>
      </c>
      <c r="AL20" s="1">
        <v>0.124524007929702</v>
      </c>
      <c r="AM20" s="1">
        <v>-3.980331590333433E-2</v>
      </c>
      <c r="AN20" s="1">
        <v>-2.7944177599378839E-3</v>
      </c>
      <c r="AO20" s="1">
        <v>-2.4584280444806969E-2</v>
      </c>
      <c r="AP20" s="1">
        <v>9.6950774431148953E-2</v>
      </c>
      <c r="AQ20" s="1">
        <v>0.13434728255340239</v>
      </c>
      <c r="AR20" s="1">
        <v>3.9002474062764268E-2</v>
      </c>
      <c r="AS20" s="1">
        <v>5.0561008623202855E-4</v>
      </c>
      <c r="AT20" s="1">
        <v>0.15198511409100729</v>
      </c>
      <c r="AU20" s="1">
        <v>0.13889821464621971</v>
      </c>
      <c r="AV20" s="1">
        <v>-4.6031583709171688E-2</v>
      </c>
      <c r="AW20" s="1">
        <v>0.21338713699061879</v>
      </c>
      <c r="AX20" s="1">
        <v>6.7649606941906359E-2</v>
      </c>
      <c r="AY20" s="1">
        <v>0.25333878430622631</v>
      </c>
      <c r="AZ20" s="1">
        <v>5.1646327393508343E-2</v>
      </c>
      <c r="BA20" s="1">
        <v>3.5302240006763339E-2</v>
      </c>
      <c r="BB20" s="1">
        <v>0.159606639913808</v>
      </c>
      <c r="BC20" s="1">
        <v>0.1180415143207405</v>
      </c>
      <c r="BD20" s="1">
        <v>3.857350279129606E-3</v>
      </c>
      <c r="BE20" s="1">
        <v>-9.117285285592254E-2</v>
      </c>
      <c r="BF20" s="1">
        <v>3.9489137561973087E-2</v>
      </c>
      <c r="BG20" s="1">
        <v>3.968538179457877E-2</v>
      </c>
      <c r="BH20" s="1">
        <v>6.7045152969585686E-2</v>
      </c>
      <c r="BI20" s="1">
        <v>9.7220939232647005E-2</v>
      </c>
      <c r="BJ20" s="1">
        <v>9.8533856685421792E-2</v>
      </c>
      <c r="BK20" s="1">
        <v>9.810839031169187E-4</v>
      </c>
      <c r="BL20" s="1">
        <v>2.6616325896028411E-2</v>
      </c>
      <c r="BM20" s="1">
        <v>-1.573621607511148E-2</v>
      </c>
      <c r="BN20" s="1">
        <v>0.13185709462909961</v>
      </c>
      <c r="BO20" s="1">
        <v>2.997158814435465E-2</v>
      </c>
      <c r="BP20" s="1">
        <v>0.1648733667619405</v>
      </c>
      <c r="BQ20" s="1">
        <v>4.5241931126652549E-3</v>
      </c>
      <c r="BR20" s="1">
        <v>0.1741873736507232</v>
      </c>
      <c r="BS20" s="1">
        <v>3.2873256576031823E-2</v>
      </c>
      <c r="BT20" s="1">
        <v>-6.1545322892704799E-2</v>
      </c>
      <c r="BU20" s="1">
        <v>8.9206671055132442E-3</v>
      </c>
      <c r="BV20" s="1">
        <v>0.18988256705005441</v>
      </c>
      <c r="BW20" s="1">
        <v>0.21837549913098869</v>
      </c>
      <c r="BX20" s="1">
        <v>-2.5080919660545878E-5</v>
      </c>
      <c r="BY20" s="1">
        <v>3.0645106758907689E-2</v>
      </c>
      <c r="BZ20" s="1">
        <v>8.9482419393309143E-3</v>
      </c>
      <c r="CA20" s="1">
        <v>-0.1143259869520892</v>
      </c>
      <c r="CB20" s="1">
        <v>9.7387282979409254E-2</v>
      </c>
      <c r="CC20" s="1">
        <v>-0.10559806271589139</v>
      </c>
      <c r="CD20" s="1">
        <v>5.0324044981818847E-2</v>
      </c>
      <c r="CE20" s="1">
        <v>0.13007558561724719</v>
      </c>
      <c r="CF20" s="1">
        <v>1.25635822602341E-2</v>
      </c>
      <c r="CG20" s="1">
        <v>0.12563434045106889</v>
      </c>
      <c r="CH20" s="1">
        <v>0.1219862736825164</v>
      </c>
      <c r="CI20" s="1">
        <v>0.1273482928820226</v>
      </c>
      <c r="CJ20" s="1">
        <v>7.4164048463141258E-2</v>
      </c>
      <c r="CK20" s="1">
        <v>4.1630199142583937E-2</v>
      </c>
      <c r="CL20" s="1">
        <v>1.1567712223525E-2</v>
      </c>
      <c r="CM20" s="1">
        <v>-1.554875034200344E-2</v>
      </c>
      <c r="CN20" s="1">
        <v>0.34908052015781688</v>
      </c>
      <c r="CO20" s="1">
        <v>0.21677740286378891</v>
      </c>
      <c r="CP20" s="1">
        <v>0.1162703198079334</v>
      </c>
      <c r="CQ20" s="1">
        <v>9.1780217008749748E-2</v>
      </c>
      <c r="CR20" s="1">
        <v>0.15261332054537691</v>
      </c>
      <c r="CS20" s="1">
        <v>-0.12939734194643859</v>
      </c>
      <c r="CT20" s="1">
        <v>0.1008978510430367</v>
      </c>
      <c r="CU20" s="1">
        <v>0.19223174436587359</v>
      </c>
      <c r="CV20" s="1">
        <v>4.9648573949631937E-2</v>
      </c>
      <c r="CW20" s="1">
        <v>6.6998780110333264E-2</v>
      </c>
      <c r="CX20" s="1">
        <v>0.1530756896091533</v>
      </c>
      <c r="CY20" s="1">
        <v>-9.3178383907907517E-2</v>
      </c>
      <c r="CZ20" s="1">
        <v>9.1459213412702536E-2</v>
      </c>
      <c r="DA20" s="1">
        <v>0.22229134592749139</v>
      </c>
      <c r="DB20" s="1">
        <v>-0.2223821125233825</v>
      </c>
      <c r="DC20" s="1">
        <v>0.1518564839037464</v>
      </c>
      <c r="DD20" s="1">
        <v>6.1689381640210227E-2</v>
      </c>
      <c r="DE20" s="1">
        <v>-1.0516025236620369E-2</v>
      </c>
      <c r="DF20" s="1">
        <v>2.8071975077961529E-2</v>
      </c>
      <c r="DG20" s="1">
        <v>-0.11821709327359541</v>
      </c>
      <c r="DH20" s="1">
        <v>-1.305003261692848E-2</v>
      </c>
      <c r="DI20" s="1">
        <v>-1.8613248030418191E-2</v>
      </c>
      <c r="DJ20" s="1">
        <v>7.6328354507878768E-2</v>
      </c>
      <c r="DK20" s="1">
        <v>-5.7250589986626008E-2</v>
      </c>
      <c r="DL20" s="1">
        <v>3.7182939410708812E-2</v>
      </c>
      <c r="DM20" s="1">
        <v>-6.5017103249625771E-2</v>
      </c>
      <c r="DN20" s="1">
        <v>-6.2461855668827587E-2</v>
      </c>
      <c r="DO20" s="1">
        <v>3.019901746158983E-2</v>
      </c>
      <c r="DP20" s="1">
        <v>0.1183328971341381</v>
      </c>
      <c r="DQ20" s="1">
        <v>9.0804693301264686E-2</v>
      </c>
      <c r="DR20" s="1">
        <v>-3.8466169653333791E-2</v>
      </c>
      <c r="DS20" s="1">
        <v>2.5385651257138282E-2</v>
      </c>
      <c r="DT20" s="1">
        <v>-3.9831275897070804E-3</v>
      </c>
      <c r="DU20" s="1">
        <v>0.16258878442425009</v>
      </c>
      <c r="DV20" s="1">
        <v>1.754520532884252E-2</v>
      </c>
      <c r="DW20" s="1">
        <v>5.4192831771072182E-2</v>
      </c>
      <c r="DX20" s="1">
        <v>0.1195156481225506</v>
      </c>
      <c r="DY20" s="1">
        <v>0.16576310466200311</v>
      </c>
      <c r="DZ20" s="1">
        <v>1.1559542560123801E-2</v>
      </c>
      <c r="EA20" s="1">
        <v>9.6097119569997252E-2</v>
      </c>
      <c r="EB20" s="1">
        <v>0.1019784775173027</v>
      </c>
      <c r="EC20" s="1">
        <v>9.5228769819239237E-3</v>
      </c>
      <c r="ED20" s="1">
        <v>8.1112113732413782E-2</v>
      </c>
      <c r="EE20" s="1">
        <v>-5.3015040315364213E-2</v>
      </c>
      <c r="EF20" s="1">
        <v>-0.15493610268974681</v>
      </c>
    </row>
    <row r="21" spans="1:136" ht="16">
      <c r="A21" s="6">
        <v>160</v>
      </c>
      <c r="B21" s="6">
        <v>6</v>
      </c>
      <c r="C21" s="9">
        <v>-7.386192988077088E-2</v>
      </c>
      <c r="D21" s="9">
        <v>0.21954286838228931</v>
      </c>
      <c r="E21" s="9">
        <v>0.1405836765913312</v>
      </c>
      <c r="F21" s="9">
        <v>0.1776886618055605</v>
      </c>
      <c r="G21" s="9">
        <v>0.23579516936791139</v>
      </c>
      <c r="H21" s="9">
        <v>1.2068788462484921E-2</v>
      </c>
      <c r="I21" s="9">
        <v>1.6074987595653369E-2</v>
      </c>
      <c r="J21" s="9">
        <v>-3.4276718062496658E-2</v>
      </c>
      <c r="K21" s="9">
        <v>1.7157791669453751E-2</v>
      </c>
      <c r="L21" s="2">
        <v>3.8786798275662643E-2</v>
      </c>
      <c r="M21" s="2">
        <v>6.1808697061504339E-2</v>
      </c>
      <c r="N21" s="2">
        <v>0.15184358114798011</v>
      </c>
      <c r="O21" s="1">
        <v>-8.6254642692069033E-2</v>
      </c>
      <c r="P21" s="1">
        <v>2.3513160824520051E-2</v>
      </c>
      <c r="Q21" s="1">
        <v>8.7977832741944484E-2</v>
      </c>
      <c r="R21" s="1">
        <v>-3.60275312600828E-3</v>
      </c>
      <c r="S21" s="1">
        <v>0.18052063915267891</v>
      </c>
      <c r="T21" s="1">
        <v>0.2243495768984719</v>
      </c>
      <c r="U21" s="1">
        <v>2.5809927208050549E-2</v>
      </c>
      <c r="V21" s="1">
        <v>0.29470239612484139</v>
      </c>
      <c r="W21" s="1">
        <v>0.1747347633022315</v>
      </c>
      <c r="X21" s="1">
        <v>0.27968945142967339</v>
      </c>
      <c r="Y21" s="1">
        <v>8.141485048178225E-2</v>
      </c>
      <c r="Z21" s="1">
        <v>0.1186891535388737</v>
      </c>
      <c r="AA21" s="1">
        <v>0.10162731183589679</v>
      </c>
      <c r="AB21" s="1">
        <v>5.8083800219374808E-2</v>
      </c>
      <c r="AC21" s="1">
        <v>0.16768309483900931</v>
      </c>
      <c r="AD21" s="1">
        <v>3.048378801929065E-2</v>
      </c>
      <c r="AE21" s="1">
        <v>0.30849285792536868</v>
      </c>
      <c r="AF21" s="1">
        <v>0.27543524678159031</v>
      </c>
      <c r="AG21" s="1">
        <v>-4.1487103444311647E-2</v>
      </c>
      <c r="AH21" s="1">
        <v>0.29963521596183129</v>
      </c>
      <c r="AI21" s="1">
        <v>4.7766352759796363E-2</v>
      </c>
      <c r="AJ21" s="1">
        <v>5.7792583949660761E-2</v>
      </c>
      <c r="AK21" s="1">
        <v>6.1761082265121697E-3</v>
      </c>
      <c r="AL21" s="1">
        <v>0.1222721680409395</v>
      </c>
      <c r="AM21" s="1">
        <v>-4.437098544030698E-2</v>
      </c>
      <c r="AN21" s="1">
        <v>1.023954826971317E-2</v>
      </c>
      <c r="AO21" s="1">
        <v>-5.5890126129114689E-2</v>
      </c>
      <c r="AP21" s="1">
        <v>8.8830950498133485E-2</v>
      </c>
      <c r="AQ21" s="1">
        <v>0.1352596027930793</v>
      </c>
      <c r="AR21" s="1">
        <v>-4.1144514895575801E-2</v>
      </c>
      <c r="AS21" s="1">
        <v>2.1467462616468719E-2</v>
      </c>
      <c r="AT21" s="1">
        <v>0.17114730694314939</v>
      </c>
      <c r="AU21" s="1">
        <v>0.1530146264742607</v>
      </c>
      <c r="AV21" s="1">
        <v>-6.4146316646237725E-2</v>
      </c>
      <c r="AW21" s="1">
        <v>0.1718415863924217</v>
      </c>
      <c r="AX21" s="1">
        <v>5.3049005470330993E-2</v>
      </c>
      <c r="AY21" s="1">
        <v>0.28470839191036551</v>
      </c>
      <c r="AZ21" s="1">
        <v>0.11561152836942371</v>
      </c>
      <c r="BA21" s="1">
        <v>1.509016555835047E-3</v>
      </c>
      <c r="BB21" s="1">
        <v>0.19839559418964289</v>
      </c>
      <c r="BC21" s="1">
        <v>9.3604507285464489E-2</v>
      </c>
      <c r="BD21" s="1">
        <v>-1.4320046775842719E-2</v>
      </c>
      <c r="BE21" s="1">
        <v>-8.948072176037114E-2</v>
      </c>
      <c r="BF21" s="1">
        <v>4.7638579302290401E-2</v>
      </c>
      <c r="BG21" s="1">
        <v>6.9151689409027037E-2</v>
      </c>
      <c r="BH21" s="1">
        <v>3.7924393752731128E-2</v>
      </c>
      <c r="BI21" s="1">
        <v>0.13219912971644349</v>
      </c>
      <c r="BJ21" s="1">
        <v>5.8912217172455733E-2</v>
      </c>
      <c r="BK21" s="1">
        <v>-6.9519036629441727E-2</v>
      </c>
      <c r="BL21" s="1">
        <v>1.7025995544162609E-2</v>
      </c>
      <c r="BM21" s="1">
        <v>-2.8667915331404541E-3</v>
      </c>
      <c r="BN21" s="1">
        <v>0.16643403720888739</v>
      </c>
      <c r="BO21" s="1">
        <v>3.8154863469178228E-2</v>
      </c>
      <c r="BP21" s="1">
        <v>0.15328773448595909</v>
      </c>
      <c r="BQ21" s="1">
        <v>2.0388510014357489E-4</v>
      </c>
      <c r="BR21" s="1">
        <v>0.19272348691259331</v>
      </c>
      <c r="BS21" s="1">
        <v>-3.4999319396389061E-3</v>
      </c>
      <c r="BT21" s="1">
        <v>-8.2323403677311308E-2</v>
      </c>
      <c r="BU21" s="1">
        <v>4.32466349335403E-2</v>
      </c>
      <c r="BV21" s="1">
        <v>0.17061194404922689</v>
      </c>
      <c r="BW21" s="1">
        <v>0.30745300680973342</v>
      </c>
      <c r="BX21" s="1">
        <v>-2.3374215711517529E-2</v>
      </c>
      <c r="BY21" s="1">
        <v>-1.4334339305978079E-2</v>
      </c>
      <c r="BZ21" s="1">
        <v>5.4238668817589257E-2</v>
      </c>
      <c r="CA21" s="1">
        <v>-5.6215143833243067E-2</v>
      </c>
      <c r="CB21" s="1">
        <v>7.8976807618525546E-2</v>
      </c>
      <c r="CC21" s="1">
        <v>-0.1054167570187242</v>
      </c>
      <c r="CD21" s="1">
        <v>3.6318648211709488E-3</v>
      </c>
      <c r="CE21" s="1">
        <v>0.11441435951313331</v>
      </c>
      <c r="CF21" s="1">
        <v>1.126340638261419E-2</v>
      </c>
      <c r="CG21" s="1">
        <v>0.1019921826051625</v>
      </c>
      <c r="CH21" s="1">
        <v>0.1077540410921818</v>
      </c>
      <c r="CI21" s="1">
        <v>0.1429923210377323</v>
      </c>
      <c r="CJ21" s="1">
        <v>0.1217761899427115</v>
      </c>
      <c r="CK21" s="1">
        <v>5.6178442168892527E-2</v>
      </c>
      <c r="CL21" s="1">
        <v>5.0014712960580833E-2</v>
      </c>
      <c r="CM21" s="1">
        <v>-7.558187099799421E-2</v>
      </c>
      <c r="CN21" s="1">
        <v>0.39490353753150759</v>
      </c>
      <c r="CO21" s="1">
        <v>0.233706699240423</v>
      </c>
      <c r="CP21" s="1">
        <v>0.13741472475783589</v>
      </c>
      <c r="CQ21" s="1">
        <v>8.5571876552919535E-2</v>
      </c>
      <c r="CR21" s="1">
        <v>0.16159636802654079</v>
      </c>
      <c r="CS21" s="1">
        <v>-0.12394645849967011</v>
      </c>
      <c r="CT21" s="1">
        <v>0.13687456606784951</v>
      </c>
      <c r="CU21" s="1">
        <v>0.21065653860891109</v>
      </c>
      <c r="CV21" s="1">
        <v>1.6310169514581481E-2</v>
      </c>
      <c r="CW21" s="1">
        <v>6.1053727957420548E-2</v>
      </c>
      <c r="CX21" s="1">
        <v>0.1481502908045049</v>
      </c>
      <c r="CY21" s="1">
        <v>-0.107892119457191</v>
      </c>
      <c r="CZ21" s="1">
        <v>5.7499263088511957E-2</v>
      </c>
      <c r="DA21" s="1">
        <v>0.22104856893023911</v>
      </c>
      <c r="DB21" s="1">
        <v>-0.28613845390130638</v>
      </c>
      <c r="DC21" s="1">
        <v>0.2038450395785098</v>
      </c>
      <c r="DD21" s="1">
        <v>4.4491239293829657E-2</v>
      </c>
      <c r="DE21" s="1">
        <v>3.2174511003490451E-3</v>
      </c>
      <c r="DF21" s="1">
        <v>2.1296342427166989E-2</v>
      </c>
      <c r="DG21" s="1">
        <v>-0.12649079783752129</v>
      </c>
      <c r="DH21" s="1">
        <v>-4.3220605483251413E-2</v>
      </c>
      <c r="DI21" s="1">
        <v>-5.8647033011268501E-2</v>
      </c>
      <c r="DJ21" s="1">
        <v>0.1167420239623989</v>
      </c>
      <c r="DK21" s="1">
        <v>-1.598428957466394E-2</v>
      </c>
      <c r="DL21" s="1">
        <v>2.7966293653361389E-2</v>
      </c>
      <c r="DM21" s="1">
        <v>-4.737444052605333E-2</v>
      </c>
      <c r="DN21" s="1">
        <v>-6.4781565625228341E-2</v>
      </c>
      <c r="DO21" s="1">
        <v>4.8705519860593828E-2</v>
      </c>
      <c r="DP21" s="1">
        <v>0.1021956741412227</v>
      </c>
      <c r="DQ21" s="1">
        <v>0.1112475064110796</v>
      </c>
      <c r="DR21" s="1">
        <v>-3.6135967237923741E-2</v>
      </c>
      <c r="DS21" s="1">
        <v>4.4918963151879987E-2</v>
      </c>
      <c r="DT21" s="1">
        <v>-1.3871028324111171E-2</v>
      </c>
      <c r="DU21" s="1">
        <v>0.1945194394629792</v>
      </c>
      <c r="DV21" s="1">
        <v>4.4761035644048652E-2</v>
      </c>
      <c r="DW21" s="1">
        <v>6.5081707721028684E-3</v>
      </c>
      <c r="DX21" s="1">
        <v>0.16203384986000591</v>
      </c>
      <c r="DY21" s="1">
        <v>0.15211940960448689</v>
      </c>
      <c r="DZ21" s="1">
        <v>6.2238674792957902E-2</v>
      </c>
      <c r="EA21" s="1">
        <v>7.8030582677855023E-2</v>
      </c>
      <c r="EB21" s="1">
        <v>0.12567599815114269</v>
      </c>
      <c r="EC21" s="1">
        <v>5.0761180852624002E-2</v>
      </c>
      <c r="ED21" s="1">
        <v>8.8697608071579781E-2</v>
      </c>
      <c r="EE21" s="1">
        <v>-2.2815885843912861E-2</v>
      </c>
      <c r="EF21" s="1">
        <v>-0.16823693539735851</v>
      </c>
    </row>
    <row r="22" spans="1:136" ht="16">
      <c r="A22" s="6">
        <v>192</v>
      </c>
      <c r="B22" s="6">
        <v>5</v>
      </c>
      <c r="C22" s="9">
        <v>1.1241331728202891E-2</v>
      </c>
      <c r="D22" s="9">
        <v>0.22258639368877581</v>
      </c>
      <c r="E22" s="9">
        <v>0.1461249052642459</v>
      </c>
      <c r="F22" s="9">
        <v>0.2055312643331742</v>
      </c>
      <c r="G22" s="9">
        <v>0.30682915644010639</v>
      </c>
      <c r="H22" s="9">
        <v>-1.158302607857771E-2</v>
      </c>
      <c r="I22" s="9">
        <v>2.600524422150487E-2</v>
      </c>
      <c r="J22" s="9">
        <v>-4.2850734683614999E-2</v>
      </c>
      <c r="K22" s="9">
        <v>1.081142869253489E-2</v>
      </c>
      <c r="L22" s="2">
        <v>3.37033316959265E-2</v>
      </c>
      <c r="M22" s="2">
        <v>3.6795824585791469E-2</v>
      </c>
      <c r="N22" s="2">
        <v>0.16814358818954389</v>
      </c>
      <c r="O22" s="1">
        <v>-0.1176513472487886</v>
      </c>
      <c r="P22" s="1">
        <v>4.3138678888527522E-2</v>
      </c>
      <c r="Q22" s="1">
        <v>8.5412351000629466E-2</v>
      </c>
      <c r="R22" s="1">
        <v>-2.9490570330360569E-2</v>
      </c>
      <c r="S22" s="1">
        <v>0.1217539554294771</v>
      </c>
      <c r="T22" s="1">
        <v>0.25442141520409811</v>
      </c>
      <c r="U22" s="1">
        <v>3.0971912649660639E-2</v>
      </c>
      <c r="V22" s="1">
        <v>0.2455361193394951</v>
      </c>
      <c r="W22" s="1">
        <v>0.22644366208310149</v>
      </c>
      <c r="X22" s="1">
        <v>0.22338310742813761</v>
      </c>
      <c r="Y22" s="1">
        <v>8.1111124604062321E-2</v>
      </c>
      <c r="Z22" s="1">
        <v>0.11896327075382759</v>
      </c>
      <c r="AA22" s="1">
        <v>0.1234903732026795</v>
      </c>
      <c r="AB22" s="1">
        <v>7.4439457921783442E-2</v>
      </c>
      <c r="AC22" s="1">
        <v>0.15288960065399201</v>
      </c>
      <c r="AD22" s="1">
        <v>0.11884884433340891</v>
      </c>
      <c r="AE22" s="1">
        <v>0.16122120715511101</v>
      </c>
      <c r="AF22" s="1">
        <v>0.30610802646847629</v>
      </c>
      <c r="AG22" s="1">
        <v>-3.216324888167648E-2</v>
      </c>
      <c r="AH22" s="1">
        <v>0.40875759967668329</v>
      </c>
      <c r="AI22" s="1">
        <v>8.3279353750723401E-2</v>
      </c>
      <c r="AJ22" s="1">
        <v>6.3529246121894561E-2</v>
      </c>
      <c r="AK22" s="1">
        <v>3.1722913362905038E-2</v>
      </c>
      <c r="AL22" s="1">
        <v>0.15473446823542039</v>
      </c>
      <c r="AM22" s="1">
        <v>4.3441575001793763E-2</v>
      </c>
      <c r="AN22" s="1">
        <v>-3.4444518988845471E-2</v>
      </c>
      <c r="AO22" s="1">
        <v>-4.9108294639399641E-2</v>
      </c>
      <c r="AP22" s="1">
        <v>9.8230924720809909E-2</v>
      </c>
      <c r="AQ22" s="1">
        <v>0.14450642807942901</v>
      </c>
      <c r="AR22" s="1">
        <v>-2.9738999850300981E-2</v>
      </c>
      <c r="AS22" s="1">
        <v>1.701281561705845E-2</v>
      </c>
      <c r="AT22" s="1">
        <v>0.19326334450039509</v>
      </c>
      <c r="AU22" s="1">
        <v>0.14307264092716551</v>
      </c>
      <c r="AV22" s="1">
        <v>-6.0817681851066882E-2</v>
      </c>
      <c r="AW22" s="1">
        <v>0.25381485933307829</v>
      </c>
      <c r="AX22" s="1">
        <v>3.9045493797984783E-2</v>
      </c>
      <c r="AY22" s="1">
        <v>0.35493547515032742</v>
      </c>
      <c r="AZ22" s="1">
        <v>0.15627400770666389</v>
      </c>
      <c r="BA22" s="1">
        <v>0.1020775703207792</v>
      </c>
      <c r="BB22" s="1">
        <v>0.21383470399596899</v>
      </c>
      <c r="BC22" s="1">
        <v>8.6816751365313985E-2</v>
      </c>
      <c r="BD22" s="1">
        <v>-1.1308295386238161E-2</v>
      </c>
      <c r="BE22" s="1">
        <v>-9.8278374734355731E-2</v>
      </c>
      <c r="BF22" s="1">
        <v>5.9849353508696912E-2</v>
      </c>
      <c r="BG22" s="1">
        <v>5.6039328898285813E-2</v>
      </c>
      <c r="BH22" s="1">
        <v>7.1499986758605055E-2</v>
      </c>
      <c r="BI22" s="1">
        <v>0.14046892500037311</v>
      </c>
      <c r="BJ22" s="1">
        <v>4.9139783811273992E-2</v>
      </c>
      <c r="BK22" s="1">
        <v>-0.1025982841544454</v>
      </c>
      <c r="BL22" s="1">
        <v>1.784798208831222E-2</v>
      </c>
      <c r="BM22" s="1">
        <v>9.4222031483192966E-3</v>
      </c>
      <c r="BN22" s="1">
        <v>0.23666855478229931</v>
      </c>
      <c r="BO22" s="1">
        <v>6.5655954031279828E-2</v>
      </c>
      <c r="BP22" s="1">
        <v>0.1992288234843673</v>
      </c>
      <c r="BQ22" s="1">
        <v>-4.08674740310963E-2</v>
      </c>
      <c r="BR22" s="1">
        <v>0.21419005807673269</v>
      </c>
      <c r="BS22" s="1">
        <v>-3.2536197724856143E-2</v>
      </c>
      <c r="BT22" s="1">
        <v>-9.6530501214455888E-2</v>
      </c>
      <c r="BU22" s="1">
        <v>-4.0683597104934813E-2</v>
      </c>
      <c r="BV22" s="1">
        <v>0.1294376780812832</v>
      </c>
      <c r="BW22" s="1">
        <v>0.35182955004840472</v>
      </c>
      <c r="BX22" s="1">
        <v>-2.018346044885895E-2</v>
      </c>
      <c r="BY22" s="1">
        <v>-9.2947883410897658E-3</v>
      </c>
      <c r="BZ22" s="1">
        <v>2.6249798759356711E-2</v>
      </c>
      <c r="CA22" s="1">
        <v>2.4248534739425901E-2</v>
      </c>
      <c r="CB22" s="1">
        <v>-1.077551010283638E-4</v>
      </c>
      <c r="CC22" s="1">
        <v>-0.1014293809649939</v>
      </c>
      <c r="CD22" s="1">
        <v>-2.3208029400854171E-2</v>
      </c>
      <c r="CE22" s="1">
        <v>0.1137684736196253</v>
      </c>
      <c r="CF22" s="1">
        <v>1.4094959264409941E-2</v>
      </c>
      <c r="CG22" s="1">
        <v>0.1089906224514005</v>
      </c>
      <c r="CH22" s="1">
        <v>9.9095897261553517E-2</v>
      </c>
      <c r="CI22" s="1">
        <v>0.18285071492314811</v>
      </c>
      <c r="CJ22" s="1">
        <v>0.15596956294007211</v>
      </c>
      <c r="CK22" s="1">
        <v>9.5139694221726551E-3</v>
      </c>
      <c r="CL22" s="1">
        <v>5.9102170705890737E-2</v>
      </c>
      <c r="CM22" s="1">
        <v>-7.9454727181336005E-2</v>
      </c>
      <c r="CN22" s="1">
        <v>0.36508131914910741</v>
      </c>
      <c r="CO22" s="1">
        <v>0.2142690534942551</v>
      </c>
      <c r="CP22" s="1">
        <v>0.15666075519518291</v>
      </c>
      <c r="CQ22" s="1">
        <v>7.4302629585178678E-2</v>
      </c>
      <c r="CR22" s="1">
        <v>0.1478327434957159</v>
      </c>
      <c r="CS22" s="1">
        <v>-9.3425970307714656E-2</v>
      </c>
      <c r="CT22" s="1">
        <v>0.1105439599314075</v>
      </c>
      <c r="CU22" s="1">
        <v>0.18953195041030249</v>
      </c>
      <c r="CV22" s="1">
        <v>2.7137038786896849E-2</v>
      </c>
      <c r="CW22" s="1">
        <v>7.9694705727188522E-2</v>
      </c>
      <c r="CX22" s="1">
        <v>0.14515418799986671</v>
      </c>
      <c r="CY22" s="1">
        <v>-0.1009666571118235</v>
      </c>
      <c r="CZ22" s="1">
        <v>1.306263386233056E-2</v>
      </c>
      <c r="DA22" s="1">
        <v>0.13166377310952099</v>
      </c>
      <c r="DB22" s="1">
        <v>-0.38248992026639161</v>
      </c>
      <c r="DC22" s="1">
        <v>0.14083519739521891</v>
      </c>
      <c r="DD22" s="1">
        <v>5.9499809643827978E-2</v>
      </c>
      <c r="DE22" s="1">
        <v>-3.5624449211750231E-2</v>
      </c>
      <c r="DF22" s="1">
        <v>4.5499958490798388E-2</v>
      </c>
      <c r="DG22" s="1">
        <v>-0.1240733079841211</v>
      </c>
      <c r="DH22" s="1">
        <v>-4.8058412185503073E-2</v>
      </c>
      <c r="DI22" s="1">
        <v>-7.4248335592093345E-2</v>
      </c>
      <c r="DJ22" s="1">
        <v>0.1703364595388468</v>
      </c>
      <c r="DK22" s="1">
        <v>-2.0765658487994779E-2</v>
      </c>
      <c r="DL22" s="1">
        <v>1.023361913433019E-2</v>
      </c>
      <c r="DM22" s="1">
        <v>-0.12382429442045451</v>
      </c>
      <c r="DN22" s="1">
        <v>-5.085232627282512E-2</v>
      </c>
      <c r="DO22" s="1">
        <v>4.9820854676895968E-2</v>
      </c>
      <c r="DP22" s="1">
        <v>7.1459179027656111E-2</v>
      </c>
      <c r="DQ22" s="1">
        <v>0.1346307589015816</v>
      </c>
      <c r="DR22" s="1">
        <v>-2.8803114477104659E-2</v>
      </c>
      <c r="DS22" s="1">
        <v>-6.9792757898282515E-2</v>
      </c>
      <c r="DT22" s="1">
        <v>-8.860726929473331E-3</v>
      </c>
      <c r="DU22" s="1">
        <v>0.27264432784194559</v>
      </c>
      <c r="DV22" s="1">
        <v>4.1075837360377093E-2</v>
      </c>
      <c r="DW22" s="1">
        <v>1.670731422800914E-2</v>
      </c>
      <c r="DX22" s="1">
        <v>0.21065666614064579</v>
      </c>
      <c r="DY22" s="1">
        <v>0.1874018300391932</v>
      </c>
      <c r="DZ22" s="1">
        <v>2.701607276859027E-2</v>
      </c>
      <c r="EA22" s="1">
        <v>1.7772342320156089E-2</v>
      </c>
      <c r="EB22" s="1">
        <v>0.21024948868647039</v>
      </c>
      <c r="EC22" s="1">
        <v>5.9624151782464933E-2</v>
      </c>
      <c r="ED22" s="1">
        <v>0.1250663854846884</v>
      </c>
      <c r="EE22" s="1">
        <v>-2.0017587297018819E-2</v>
      </c>
      <c r="EF22" s="1">
        <v>-0.2095417424669202</v>
      </c>
    </row>
    <row r="23" spans="1:136" ht="16">
      <c r="A23" s="6">
        <v>241</v>
      </c>
      <c r="B23" s="6">
        <v>4</v>
      </c>
      <c r="C23" s="9">
        <v>1.038483447742689E-2</v>
      </c>
      <c r="D23" s="9">
        <v>0.32500828164220219</v>
      </c>
      <c r="E23" s="9">
        <v>4.3717554879721017E-2</v>
      </c>
      <c r="F23" s="9">
        <v>0.18403858160612999</v>
      </c>
      <c r="G23" s="9">
        <v>0.27573235068223639</v>
      </c>
      <c r="H23" s="9">
        <v>3.7844077028292407E-2</v>
      </c>
      <c r="I23" s="9">
        <v>5.5402396970211473E-2</v>
      </c>
      <c r="J23" s="9">
        <v>-3.942239298730299E-2</v>
      </c>
      <c r="K23" s="9">
        <v>5.7512013387862448E-3</v>
      </c>
      <c r="L23" s="2">
        <v>0.1180621174112165</v>
      </c>
      <c r="M23" s="2">
        <v>-1.282315189514275E-3</v>
      </c>
      <c r="N23" s="2">
        <v>0.13905067586079981</v>
      </c>
      <c r="O23" s="1">
        <v>-8.0960975875318586E-2</v>
      </c>
      <c r="P23" s="1">
        <v>3.9891722860102737E-2</v>
      </c>
      <c r="Q23" s="1">
        <v>0.1215752646551497</v>
      </c>
      <c r="R23" s="1">
        <v>1.0488576499713201E-2</v>
      </c>
      <c r="S23" s="1">
        <v>0.16387615472526021</v>
      </c>
      <c r="T23" s="1">
        <v>0.2707611725531775</v>
      </c>
      <c r="U23" s="1">
        <v>3.26115808486101E-2</v>
      </c>
      <c r="V23" s="1">
        <v>0.25006427983452312</v>
      </c>
      <c r="W23" s="1">
        <v>0.32292054868818693</v>
      </c>
      <c r="X23" s="1">
        <v>0.26892829504619692</v>
      </c>
      <c r="Y23" s="1">
        <v>0.1370049722203788</v>
      </c>
      <c r="Z23" s="1">
        <v>0.13621156211496441</v>
      </c>
      <c r="AA23" s="1">
        <v>0.1124086659918965</v>
      </c>
      <c r="AB23" s="1">
        <v>8.4785255016709138E-2</v>
      </c>
      <c r="AC23" s="1">
        <v>0.2289600151645346</v>
      </c>
      <c r="AD23" s="1">
        <v>0.10394717497661431</v>
      </c>
      <c r="AE23" s="1">
        <v>0.12810497879624591</v>
      </c>
      <c r="AF23" s="1">
        <v>0.27660031573424332</v>
      </c>
      <c r="AG23" s="1">
        <v>-1.10465721064439E-2</v>
      </c>
      <c r="AH23" s="1">
        <v>0.51867459485434808</v>
      </c>
      <c r="AI23" s="1">
        <v>6.7729680595151026E-2</v>
      </c>
      <c r="AJ23" s="1">
        <v>3.8083447132579287E-2</v>
      </c>
      <c r="AK23" s="1">
        <v>4.0757396255910468E-2</v>
      </c>
      <c r="AL23" s="1">
        <v>0.1317523363182283</v>
      </c>
      <c r="AM23" s="1">
        <v>9.1598169549742189E-2</v>
      </c>
      <c r="AN23" s="1">
        <v>-2.1789029545820651E-2</v>
      </c>
      <c r="AO23" s="1">
        <v>-8.5567774913887312E-2</v>
      </c>
      <c r="AP23" s="1">
        <v>0.14197096868521961</v>
      </c>
      <c r="AQ23" s="1">
        <v>8.5370900112243742E-2</v>
      </c>
      <c r="AR23" s="1">
        <v>-3.4197900630824132E-2</v>
      </c>
      <c r="AS23" s="1">
        <v>-2.278513235925907E-2</v>
      </c>
      <c r="AT23" s="1">
        <v>0.1905267472355692</v>
      </c>
      <c r="AU23" s="1">
        <v>6.3455329613280029E-2</v>
      </c>
      <c r="AV23" s="1">
        <v>-9.0416840281829405E-2</v>
      </c>
      <c r="AW23" s="1">
        <v>0.31856931689645579</v>
      </c>
      <c r="AX23" s="1">
        <v>-2.7707290116822981E-2</v>
      </c>
      <c r="AY23" s="1">
        <v>0.31298445589067447</v>
      </c>
      <c r="AZ23" s="1">
        <v>9.3059394128593209E-2</v>
      </c>
      <c r="BA23" s="1">
        <v>1.9293207635707351E-2</v>
      </c>
      <c r="BB23" s="1">
        <v>0.1717171351780464</v>
      </c>
      <c r="BC23" s="1">
        <v>0.1119733108658177</v>
      </c>
      <c r="BD23" s="1">
        <v>-3.0287979307913451E-2</v>
      </c>
      <c r="BE23" s="1">
        <v>-0.13674535590796441</v>
      </c>
      <c r="BF23" s="1">
        <v>-1.4405499054857549E-3</v>
      </c>
      <c r="BG23" s="1">
        <v>8.8386261553480838E-3</v>
      </c>
      <c r="BH23" s="1">
        <v>-4.0067581156309762E-3</v>
      </c>
      <c r="BI23" s="1">
        <v>0.1075240100569517</v>
      </c>
      <c r="BJ23" s="1">
        <v>3.1982514410992063E-2</v>
      </c>
      <c r="BK23" s="1">
        <v>-8.2973161890065844E-2</v>
      </c>
      <c r="BL23" s="1">
        <v>5.1745482427973138E-2</v>
      </c>
      <c r="BM23" s="1">
        <v>2.8428272159928252E-3</v>
      </c>
      <c r="BN23" s="1">
        <v>0.2411820841267357</v>
      </c>
      <c r="BO23" s="1">
        <v>7.4350173583755619E-2</v>
      </c>
      <c r="BP23" s="1">
        <v>0.20473421562728139</v>
      </c>
      <c r="BQ23" s="1">
        <v>-5.4916868212703543E-2</v>
      </c>
      <c r="BR23" s="1">
        <v>0.28727554131239991</v>
      </c>
      <c r="BS23" s="1">
        <v>-6.5741820960347419E-2</v>
      </c>
      <c r="BT23" s="1">
        <v>-9.2952203348257254E-2</v>
      </c>
      <c r="BU23" s="1">
        <v>1.299660700193926E-2</v>
      </c>
      <c r="BV23" s="1">
        <v>0.18815701204098079</v>
      </c>
      <c r="BW23" s="1">
        <v>0.18446067072040909</v>
      </c>
      <c r="BX23" s="1">
        <v>-3.0042882303696811E-2</v>
      </c>
      <c r="BY23" s="1">
        <v>-0.1212832510182696</v>
      </c>
      <c r="BZ23" s="1">
        <v>0.24397093419112581</v>
      </c>
      <c r="CA23" s="1">
        <v>3.8078939475266402E-2</v>
      </c>
      <c r="CB23" s="1">
        <v>7.3466099404929153E-2</v>
      </c>
      <c r="CC23" s="1">
        <v>-5.3307577939454079E-2</v>
      </c>
      <c r="CD23" s="1">
        <v>4.2417527164828614E-3</v>
      </c>
      <c r="CE23" s="1">
        <v>0.14537496044398809</v>
      </c>
      <c r="CF23" s="1">
        <v>1.7618699080512421E-2</v>
      </c>
      <c r="CG23" s="1">
        <v>0.1322594222365932</v>
      </c>
      <c r="CH23" s="1">
        <v>2.2196870690250749E-3</v>
      </c>
      <c r="CI23" s="1">
        <v>0.1515396513783959</v>
      </c>
      <c r="CJ23" s="1">
        <v>7.5528008718936751E-2</v>
      </c>
      <c r="CK23" s="1">
        <v>5.3693873213358598E-2</v>
      </c>
      <c r="CL23" s="1">
        <v>0.18260056929965299</v>
      </c>
      <c r="CM23" s="1">
        <v>-6.2994332860424385E-2</v>
      </c>
      <c r="CN23" s="1">
        <v>0.30375509641254728</v>
      </c>
      <c r="CO23" s="1">
        <v>0.22242558921040251</v>
      </c>
      <c r="CP23" s="1">
        <v>9.8307306124050364E-2</v>
      </c>
      <c r="CQ23" s="1">
        <v>0.1210733800567444</v>
      </c>
      <c r="CR23" s="1">
        <v>0.11542004412777</v>
      </c>
      <c r="CS23" s="1">
        <v>-5.378291563681669E-2</v>
      </c>
      <c r="CT23" s="1">
        <v>6.7240263303585054E-2</v>
      </c>
      <c r="CU23" s="1">
        <v>0.23308971498903619</v>
      </c>
      <c r="CV23" s="1">
        <v>5.6706712346363708E-2</v>
      </c>
      <c r="CW23" s="1">
        <v>8.1174069603073357E-2</v>
      </c>
      <c r="CX23" s="1">
        <v>0.15696884691161159</v>
      </c>
      <c r="CY23" s="1">
        <v>-0.15245230624531919</v>
      </c>
      <c r="CZ23" s="1">
        <v>1.3847206411700621E-2</v>
      </c>
      <c r="DA23" s="1">
        <v>0.1180026704017608</v>
      </c>
      <c r="DB23" s="1">
        <v>-0.47235073547067691</v>
      </c>
      <c r="DC23" s="1">
        <v>0.17680626239107389</v>
      </c>
      <c r="DD23" s="1">
        <v>7.5397995815565541E-2</v>
      </c>
      <c r="DE23" s="1">
        <v>-1.1812776202459461E-3</v>
      </c>
      <c r="DF23" s="1">
        <v>0.1488089024897431</v>
      </c>
      <c r="DG23" s="1">
        <v>-0.14818493113172959</v>
      </c>
      <c r="DH23" s="1">
        <v>1.0355571501857411E-2</v>
      </c>
      <c r="DI23" s="1">
        <v>-9.0149202717820648E-2</v>
      </c>
      <c r="DJ23" s="1">
        <v>0.2068253452789777</v>
      </c>
      <c r="DK23" s="1">
        <v>-2.0966062152018541E-2</v>
      </c>
      <c r="DL23" s="1">
        <v>-4.6592571266284202E-2</v>
      </c>
      <c r="DM23" s="1">
        <v>-4.0529259766685262E-2</v>
      </c>
      <c r="DN23" s="1">
        <v>2.3084439456485951E-2</v>
      </c>
      <c r="DO23" s="1">
        <v>-1.8558809057787451E-2</v>
      </c>
      <c r="DP23" s="1">
        <v>5.1127087350032199E-2</v>
      </c>
      <c r="DQ23" s="1">
        <v>8.6895180726389187E-2</v>
      </c>
      <c r="DR23" s="1">
        <v>-4.6224820222538918E-2</v>
      </c>
      <c r="DS23" s="1">
        <v>-8.4605433605535907E-2</v>
      </c>
      <c r="DT23" s="1">
        <v>3.5339622819039157E-2</v>
      </c>
      <c r="DU23" s="1">
        <v>0.3398066388575679</v>
      </c>
      <c r="DV23" s="1">
        <v>-8.1659281235947831E-3</v>
      </c>
      <c r="DW23" s="1">
        <v>-5.3584292918368449E-2</v>
      </c>
      <c r="DX23" s="1">
        <v>0.25082647091319582</v>
      </c>
      <c r="DY23" s="1">
        <v>0.22566188118798919</v>
      </c>
      <c r="DZ23" s="1">
        <v>2.881750499782193E-2</v>
      </c>
      <c r="EA23" s="1">
        <v>1.800016614023979E-3</v>
      </c>
      <c r="EB23" s="1">
        <v>0.23519828350796679</v>
      </c>
      <c r="EC23" s="1">
        <v>0.13202662911752441</v>
      </c>
      <c r="ED23" s="1">
        <v>0.1914369840557387</v>
      </c>
      <c r="EE23" s="1">
        <v>1.095594540687448E-2</v>
      </c>
      <c r="EF23" s="1">
        <v>-0.17865427963298861</v>
      </c>
    </row>
    <row r="24" spans="1:136" ht="16">
      <c r="A24" s="6">
        <v>321</v>
      </c>
      <c r="B24" s="6">
        <v>3</v>
      </c>
      <c r="C24" s="9">
        <v>2.5922326608526759E-2</v>
      </c>
      <c r="D24" s="9">
        <v>0.41742192464002892</v>
      </c>
      <c r="E24" s="9">
        <v>2.2230412259238129E-2</v>
      </c>
      <c r="F24" s="9">
        <v>6.7831060921277567E-2</v>
      </c>
      <c r="G24" s="9">
        <v>0.16821807859567631</v>
      </c>
      <c r="H24" s="9">
        <v>0.22980554449140059</v>
      </c>
      <c r="I24" s="9">
        <v>5.2519943664693938E-2</v>
      </c>
      <c r="J24" s="9">
        <v>-7.977668271164251E-3</v>
      </c>
      <c r="K24" s="9">
        <v>9.7392053558472257E-3</v>
      </c>
      <c r="L24" s="2">
        <v>0.13120749073770821</v>
      </c>
      <c r="M24" s="2">
        <v>-4.5551595819490587E-2</v>
      </c>
      <c r="N24" s="2">
        <v>9.8030860807632764E-2</v>
      </c>
      <c r="O24" s="1">
        <v>-0.1297081749736933</v>
      </c>
      <c r="P24" s="1">
        <v>4.28584885189899E-2</v>
      </c>
      <c r="Q24" s="1">
        <v>0.17045618637125931</v>
      </c>
      <c r="R24" s="1">
        <v>2.2808642248719192E-2</v>
      </c>
      <c r="S24" s="1">
        <v>0.20635452669209531</v>
      </c>
      <c r="T24" s="1">
        <v>0.23665935153756179</v>
      </c>
      <c r="U24" s="1">
        <v>2.569714335763118E-2</v>
      </c>
      <c r="V24" s="1">
        <v>0.2011451024221198</v>
      </c>
      <c r="W24" s="1">
        <v>0.34619348529924859</v>
      </c>
      <c r="X24" s="1">
        <v>0.37472541819480099</v>
      </c>
      <c r="Y24" s="1">
        <v>0.13082499827218749</v>
      </c>
      <c r="Z24" s="1">
        <v>0.1446270696508889</v>
      </c>
      <c r="AA24" s="1">
        <v>2.7557701981985469E-2</v>
      </c>
      <c r="AB24" s="1">
        <v>6.5201125110941421E-2</v>
      </c>
      <c r="AC24" s="1">
        <v>0.3051167581115759</v>
      </c>
      <c r="AD24" s="1">
        <v>6.3937155947890012E-2</v>
      </c>
      <c r="AE24" s="1">
        <v>0.13082384281633419</v>
      </c>
      <c r="AF24" s="1">
        <v>0.15532320335718661</v>
      </c>
      <c r="AG24" s="1">
        <v>-1.0812100566842311E-2</v>
      </c>
      <c r="AH24" s="1">
        <v>0.60992565399695797</v>
      </c>
      <c r="AI24" s="1">
        <v>6.7392901011186057E-2</v>
      </c>
      <c r="AJ24" s="1">
        <v>2.398933833366089E-2</v>
      </c>
      <c r="AK24" s="1">
        <v>3.8889399011115988E-2</v>
      </c>
      <c r="AL24" s="1">
        <v>0.1162096259040736</v>
      </c>
      <c r="AM24" s="1">
        <v>0.1129979013369514</v>
      </c>
      <c r="AN24" s="1">
        <v>-2.7860566885395861E-2</v>
      </c>
      <c r="AO24" s="1">
        <v>-0.1581528752937269</v>
      </c>
      <c r="AP24" s="1">
        <v>0.18351529094570149</v>
      </c>
      <c r="AQ24" s="1">
        <v>7.8650053157339195E-3</v>
      </c>
      <c r="AR24" s="1">
        <v>-0.10818370054823639</v>
      </c>
      <c r="AS24" s="1">
        <v>1.0010713955008471E-2</v>
      </c>
      <c r="AT24" s="1">
        <v>0.2096019064782122</v>
      </c>
      <c r="AU24" s="1">
        <v>0.1099145973181844</v>
      </c>
      <c r="AV24" s="1">
        <v>-0.13130381470607411</v>
      </c>
      <c r="AW24" s="1">
        <v>0.4034837721474766</v>
      </c>
      <c r="AX24" s="1">
        <v>-1.5941445379236269E-2</v>
      </c>
      <c r="AY24" s="1">
        <v>0.30688012293046418</v>
      </c>
      <c r="AZ24" s="1">
        <v>0.2274854962334536</v>
      </c>
      <c r="BA24" s="1">
        <v>4.9176939747220441E-2</v>
      </c>
      <c r="BB24" s="1">
        <v>0.23029086022047859</v>
      </c>
      <c r="BC24" s="1">
        <v>0.1627625817334834</v>
      </c>
      <c r="BD24" s="1">
        <v>-5.8336354641560839E-2</v>
      </c>
      <c r="BE24" s="1">
        <v>-0.12806788396565999</v>
      </c>
      <c r="BF24" s="1">
        <v>-0.10506563388419229</v>
      </c>
      <c r="BG24" s="1">
        <v>6.8467457805373472E-2</v>
      </c>
      <c r="BH24" s="1">
        <v>6.8057647649857028E-2</v>
      </c>
      <c r="BI24" s="1">
        <v>0.11826475467550771</v>
      </c>
      <c r="BJ24" s="1">
        <v>-1.023397544910358E-2</v>
      </c>
      <c r="BK24" s="1">
        <v>-2.085475532976656E-2</v>
      </c>
      <c r="BL24" s="1">
        <v>5.084259546719317E-2</v>
      </c>
      <c r="BM24" s="1">
        <v>-5.5446908264472988E-2</v>
      </c>
      <c r="BN24" s="1">
        <v>0.20235492827623591</v>
      </c>
      <c r="BO24" s="1">
        <v>9.6567134905796839E-2</v>
      </c>
      <c r="BP24" s="1">
        <v>0.23915209849178731</v>
      </c>
      <c r="BQ24" s="1">
        <v>-0.1206327991317408</v>
      </c>
      <c r="BR24" s="1">
        <v>0.37344456905648932</v>
      </c>
      <c r="BS24" s="1">
        <v>-9.7047589704545023E-2</v>
      </c>
      <c r="BT24" s="1">
        <v>6.7143215417725319E-2</v>
      </c>
      <c r="BU24" s="1">
        <v>4.0368468589877637E-2</v>
      </c>
      <c r="BV24" s="1">
        <v>0.2191206056967574</v>
      </c>
      <c r="BW24" s="1">
        <v>0.1321717915357814</v>
      </c>
      <c r="BX24" s="1">
        <v>-5.4086914276141533E-2</v>
      </c>
      <c r="BY24" s="1">
        <v>-0.23789165357888539</v>
      </c>
      <c r="BZ24" s="1">
        <v>9.4846274132618008E-2</v>
      </c>
      <c r="CA24" s="1">
        <v>6.3406764064362658E-2</v>
      </c>
      <c r="CB24" s="1">
        <v>6.3604269539688812E-2</v>
      </c>
      <c r="CC24" s="1">
        <v>2.243146575298537E-2</v>
      </c>
      <c r="CD24" s="1">
        <v>-4.5246541796364392E-2</v>
      </c>
      <c r="CE24" s="1">
        <v>0.13394243105119161</v>
      </c>
      <c r="CF24" s="1">
        <v>1.1724243004556561E-2</v>
      </c>
      <c r="CG24" s="1">
        <v>0.13432332595398</v>
      </c>
      <c r="CH24" s="1">
        <v>2.8602002066367978E-2</v>
      </c>
      <c r="CI24" s="1">
        <v>6.6530984961383405E-2</v>
      </c>
      <c r="CJ24" s="1">
        <v>5.6504407948129547E-2</v>
      </c>
      <c r="CK24" s="1">
        <v>4.6159646744123171E-2</v>
      </c>
      <c r="CL24" s="1">
        <v>0.40534033607402992</v>
      </c>
      <c r="CM24" s="1">
        <v>-4.64412789746977E-2</v>
      </c>
      <c r="CN24" s="1">
        <v>0.3421646032751462</v>
      </c>
      <c r="CO24" s="1">
        <v>0.24974639966885989</v>
      </c>
      <c r="CP24" s="1">
        <v>0.17184373314239881</v>
      </c>
      <c r="CQ24" s="1">
        <v>0.16015078529955001</v>
      </c>
      <c r="CR24" s="1">
        <v>8.263560449481834E-2</v>
      </c>
      <c r="CS24" s="1">
        <v>-0.1104063686998898</v>
      </c>
      <c r="CT24" s="1">
        <v>0.1177315208897074</v>
      </c>
      <c r="CU24" s="1">
        <v>0.21647041996501859</v>
      </c>
      <c r="CV24" s="1">
        <v>4.6660081039862578E-2</v>
      </c>
      <c r="CW24" s="1">
        <v>1.6559054689718921E-2</v>
      </c>
      <c r="CX24" s="1">
        <v>5.4293295473803682E-2</v>
      </c>
      <c r="CY24" s="1">
        <v>-0.16243986871344671</v>
      </c>
      <c r="CZ24" s="1">
        <v>7.58724644113902E-3</v>
      </c>
      <c r="DA24" s="1">
        <v>0.22724284694565211</v>
      </c>
      <c r="DB24" s="1">
        <v>-0.59337517172623166</v>
      </c>
      <c r="DC24" s="1">
        <v>0.19207746504868889</v>
      </c>
      <c r="DD24" s="1">
        <v>0.13700972598687911</v>
      </c>
      <c r="DE24" s="1">
        <v>-8.9808455898488973E-2</v>
      </c>
      <c r="DF24" s="1">
        <v>9.7071705636226913E-2</v>
      </c>
      <c r="DG24" s="1">
        <v>-8.8121410503063616E-2</v>
      </c>
      <c r="DH24" s="1">
        <v>-3.4688752429190083E-2</v>
      </c>
      <c r="DI24" s="1">
        <v>-8.1105543840270106E-2</v>
      </c>
      <c r="DJ24" s="1">
        <v>0.18674152959776441</v>
      </c>
      <c r="DK24" s="1">
        <v>-2.3346176632961561E-2</v>
      </c>
      <c r="DL24" s="1">
        <v>3.2563908339568459E-2</v>
      </c>
      <c r="DM24" s="1">
        <v>-1.8313226735953599E-2</v>
      </c>
      <c r="DN24" s="1">
        <v>-2.6961744787839938E-2</v>
      </c>
      <c r="DO24" s="1">
        <v>2.3768668287448849E-2</v>
      </c>
      <c r="DP24" s="1">
        <v>5.1378437677635828E-2</v>
      </c>
      <c r="DQ24" s="1">
        <v>0.15247422230191529</v>
      </c>
      <c r="DR24" s="1">
        <v>-5.7879300205872203E-2</v>
      </c>
      <c r="DS24" s="1">
        <v>-0.12952383936920511</v>
      </c>
      <c r="DT24" s="1">
        <v>9.0306123837247426E-2</v>
      </c>
      <c r="DU24" s="1">
        <v>0.37526887234197209</v>
      </c>
      <c r="DV24" s="1">
        <v>3.3782386809592529E-3</v>
      </c>
      <c r="DW24" s="1">
        <v>-5.3132475378432263E-2</v>
      </c>
      <c r="DX24" s="1">
        <v>0.34869508967062701</v>
      </c>
      <c r="DY24" s="1">
        <v>0.31775437236448251</v>
      </c>
      <c r="DZ24" s="1">
        <v>6.0848987048616847E-2</v>
      </c>
      <c r="EA24" s="1">
        <v>1.5406586049626079E-2</v>
      </c>
      <c r="EB24" s="1">
        <v>0.21821707141831539</v>
      </c>
      <c r="EC24" s="1">
        <v>0.12589599204069071</v>
      </c>
      <c r="ED24" s="1">
        <v>0.20723115966531641</v>
      </c>
      <c r="EE24" s="1">
        <v>3.5899357196068807E-2</v>
      </c>
      <c r="EF24" s="1">
        <v>-0.1611462010182779</v>
      </c>
    </row>
    <row r="25" spans="1:136" ht="16">
      <c r="A25" s="6">
        <v>482</v>
      </c>
      <c r="B25" s="6">
        <v>2</v>
      </c>
      <c r="C25" s="9">
        <v>3.1325684581971477E-2</v>
      </c>
      <c r="D25" s="9">
        <v>-8.8966622734356765E-2</v>
      </c>
      <c r="E25" s="9">
        <v>1.5061587686965401E-2</v>
      </c>
      <c r="F25" s="9">
        <v>0.1823960753208787</v>
      </c>
      <c r="G25" s="9">
        <v>0.1360338718362685</v>
      </c>
      <c r="H25" s="9">
        <v>0.2628102412014528</v>
      </c>
      <c r="I25" s="9">
        <v>5.304524788230075E-2</v>
      </c>
      <c r="J25" s="9">
        <v>6.8112854823898339E-2</v>
      </c>
      <c r="K25" s="9">
        <v>4.5734091523975437E-2</v>
      </c>
      <c r="L25" s="2">
        <v>8.4494633965416704E-2</v>
      </c>
      <c r="M25" s="2">
        <v>-0.1025638002242181</v>
      </c>
      <c r="N25" s="2">
        <v>0.12680001369232849</v>
      </c>
      <c r="O25" s="1">
        <v>-0.11749233834479331</v>
      </c>
      <c r="P25" s="1">
        <v>1.068350475974675E-2</v>
      </c>
      <c r="Q25" s="1">
        <v>0.20986705163822811</v>
      </c>
      <c r="R25" s="1">
        <v>-8.5049777354503225E-3</v>
      </c>
      <c r="S25" s="1">
        <v>0.23955554684871089</v>
      </c>
      <c r="T25" s="1">
        <v>0.19439364786394209</v>
      </c>
      <c r="U25" s="1">
        <v>7.9732252342084253E-2</v>
      </c>
      <c r="V25" s="1">
        <v>0.15106906895084249</v>
      </c>
      <c r="W25" s="1">
        <v>0.50391933118531074</v>
      </c>
      <c r="X25" s="1">
        <v>0.25870299994157397</v>
      </c>
      <c r="Y25" s="1">
        <v>0.19511089219450081</v>
      </c>
      <c r="Z25" s="1">
        <v>0.115374630712771</v>
      </c>
      <c r="AA25" s="1">
        <v>1.5120525002932711E-2</v>
      </c>
      <c r="AB25" s="1">
        <v>9.6909287110631556E-2</v>
      </c>
      <c r="AC25" s="1">
        <v>0.26512711724320981</v>
      </c>
      <c r="AD25" s="1">
        <v>9.0543192095023151E-2</v>
      </c>
      <c r="AE25" s="1">
        <v>0.13721198875766</v>
      </c>
      <c r="AF25" s="1">
        <v>0.23397983023978469</v>
      </c>
      <c r="AG25" s="1">
        <v>0.145893892939672</v>
      </c>
      <c r="AH25" s="1">
        <v>0.73424176003455488</v>
      </c>
      <c r="AI25" s="1">
        <v>7.5450169739462281E-2</v>
      </c>
      <c r="AJ25" s="1">
        <v>4.856911620064204E-2</v>
      </c>
      <c r="AK25" s="1">
        <v>6.0601025410583029E-2</v>
      </c>
      <c r="AL25" s="1">
        <v>6.8655516054113505E-2</v>
      </c>
      <c r="AM25" s="1">
        <v>-3.298576452782942E-2</v>
      </c>
      <c r="AN25" s="1">
        <v>-0.16052014076233129</v>
      </c>
      <c r="AO25" s="1">
        <v>-9.078247952961746E-2</v>
      </c>
      <c r="AP25" s="1">
        <v>0.3175143606665462</v>
      </c>
      <c r="AQ25" s="1">
        <v>-8.5582788101402879E-2</v>
      </c>
      <c r="AR25" s="1">
        <v>-0.25346079578034408</v>
      </c>
      <c r="AS25" s="1">
        <v>-1.361428949919485E-2</v>
      </c>
      <c r="AT25" s="1">
        <v>0.20518667546015909</v>
      </c>
      <c r="AU25" s="1">
        <v>0.20359589118158589</v>
      </c>
      <c r="AV25" s="1">
        <v>-0.1139295291829399</v>
      </c>
      <c r="AW25" s="1">
        <v>7.9829551471428423E-2</v>
      </c>
      <c r="AX25" s="1">
        <v>8.3560006462093814E-2</v>
      </c>
      <c r="AY25" s="1">
        <v>0.42235449128487301</v>
      </c>
      <c r="AZ25" s="1">
        <v>0.31598452125580129</v>
      </c>
      <c r="BA25" s="1">
        <v>-0.1720809093757327</v>
      </c>
      <c r="BB25" s="1">
        <v>0.41262256706873113</v>
      </c>
      <c r="BC25" s="1">
        <v>0.1744793977777325</v>
      </c>
      <c r="BD25" s="1">
        <v>-1.535066922443418E-2</v>
      </c>
      <c r="BE25" s="1">
        <v>-0.1242921430258994</v>
      </c>
      <c r="BF25" s="1">
        <v>-4.0543090691840922E-2</v>
      </c>
      <c r="BG25" s="1">
        <v>6.0876158354245168E-2</v>
      </c>
      <c r="BH25" s="1">
        <v>0.13718937608994811</v>
      </c>
      <c r="BI25" s="1">
        <v>2.6506633597620299E-2</v>
      </c>
      <c r="BJ25" s="1">
        <v>5.8020213544642429E-2</v>
      </c>
      <c r="BK25" s="1">
        <v>-5.0098634745350491E-3</v>
      </c>
      <c r="BL25" s="1">
        <v>4.0498238901360457E-2</v>
      </c>
      <c r="BM25" s="1">
        <v>-1.1227371159245061E-3</v>
      </c>
      <c r="BN25" s="1">
        <v>0.27087395746921272</v>
      </c>
      <c r="BO25" s="1">
        <v>-2.1041233342738899E-2</v>
      </c>
      <c r="BP25" s="1">
        <v>0.24739862621825409</v>
      </c>
      <c r="BQ25" s="1">
        <v>-6.9750882537515088E-2</v>
      </c>
      <c r="BR25" s="1">
        <v>0.36684672853674211</v>
      </c>
      <c r="BS25" s="1">
        <v>-0.2205670944023907</v>
      </c>
      <c r="BT25" s="1">
        <v>7.018926416463693E-2</v>
      </c>
      <c r="BU25" s="1">
        <v>0.16327468999222081</v>
      </c>
      <c r="BV25" s="1">
        <v>0.31036373576714488</v>
      </c>
      <c r="BW25" s="1">
        <v>1.536251504309036E-2</v>
      </c>
      <c r="BX25" s="1">
        <v>-7.1021975551524258E-2</v>
      </c>
      <c r="BY25" s="1">
        <v>-0.19083520982480881</v>
      </c>
      <c r="BZ25" s="1">
        <v>0.30511607524442841</v>
      </c>
      <c r="CA25" s="1">
        <v>-3.4283619845346558E-2</v>
      </c>
      <c r="CB25" s="1">
        <v>-4.1664988378588452E-2</v>
      </c>
      <c r="CC25" s="1">
        <v>8.3555909038169007E-2</v>
      </c>
      <c r="CD25" s="1">
        <v>-7.827425295736018E-2</v>
      </c>
      <c r="CE25" s="1">
        <v>0.2045907215024447</v>
      </c>
      <c r="CF25" s="1">
        <v>4.3442465030490179E-2</v>
      </c>
      <c r="CG25" s="1">
        <v>8.1436355110577271E-2</v>
      </c>
      <c r="CH25" s="1">
        <v>8.0916362296203331E-2</v>
      </c>
      <c r="CI25" s="1">
        <v>2.0130185116805279E-2</v>
      </c>
      <c r="CJ25" s="1">
        <v>-3.5304074314340628E-2</v>
      </c>
      <c r="CK25" s="1">
        <v>3.7307753462931588E-2</v>
      </c>
      <c r="CL25" s="1">
        <v>0.30484811116052979</v>
      </c>
      <c r="CM25" s="1">
        <v>-6.9750090132210951E-3</v>
      </c>
      <c r="CN25" s="1">
        <v>0.37527390669913419</v>
      </c>
      <c r="CO25" s="1">
        <v>0.21630903111465311</v>
      </c>
      <c r="CP25" s="1">
        <v>0.24610177245621889</v>
      </c>
      <c r="CQ25" s="1">
        <v>0.1192281798197458</v>
      </c>
      <c r="CR25" s="1">
        <v>6.191248784002179E-2</v>
      </c>
      <c r="CS25" s="1">
        <v>0.18411134538175011</v>
      </c>
      <c r="CT25" s="1">
        <v>9.9939178711183657E-2</v>
      </c>
      <c r="CU25" s="1">
        <v>0.13089704720430059</v>
      </c>
      <c r="CV25" s="1">
        <v>7.9103172966228555E-2</v>
      </c>
      <c r="CW25" s="1">
        <v>0.13558402938106701</v>
      </c>
      <c r="CX25" s="1">
        <v>6.1859993147280662E-2</v>
      </c>
      <c r="CY25" s="1">
        <v>-0.28171082747401988</v>
      </c>
      <c r="CZ25" s="1">
        <v>-6.1281100514640897E-2</v>
      </c>
      <c r="DA25" s="1">
        <v>0.1206927493887074</v>
      </c>
      <c r="DB25" s="1">
        <v>-0.86457557459721113</v>
      </c>
      <c r="DC25" s="1">
        <v>0.21929106910535209</v>
      </c>
      <c r="DD25" s="1">
        <v>0.28485167144526469</v>
      </c>
      <c r="DE25" s="1">
        <v>-0.13994415204303251</v>
      </c>
      <c r="DF25" s="1">
        <v>0.1913738738124513</v>
      </c>
      <c r="DG25" s="1">
        <v>-0.15297665429505281</v>
      </c>
      <c r="DH25" s="1">
        <v>-0.1095821983620974</v>
      </c>
      <c r="DI25" s="1">
        <v>-0.18491271354810521</v>
      </c>
      <c r="DJ25" s="1">
        <v>0.17841658187128029</v>
      </c>
      <c r="DK25" s="1">
        <v>-4.7749797048578922E-2</v>
      </c>
      <c r="DL25" s="1">
        <v>5.4971909962510813E-2</v>
      </c>
      <c r="DM25" s="1">
        <v>-0.19976992704615301</v>
      </c>
      <c r="DN25" s="1">
        <v>4.6213660461266182E-2</v>
      </c>
      <c r="DO25" s="1">
        <v>-8.4670827807182117E-2</v>
      </c>
      <c r="DP25" s="1">
        <v>9.6270511044360088E-2</v>
      </c>
      <c r="DQ25" s="1">
        <v>0.23778793080664401</v>
      </c>
      <c r="DR25" s="1">
        <v>-7.5931973391099639E-2</v>
      </c>
      <c r="DS25" s="1">
        <v>-0.24719455144246849</v>
      </c>
      <c r="DT25" s="1">
        <v>5.5218175271476419E-2</v>
      </c>
      <c r="DU25" s="1">
        <v>0.52524170665309988</v>
      </c>
      <c r="DV25" s="1">
        <v>-2.47270863078989E-2</v>
      </c>
      <c r="DW25" s="1">
        <v>0.21016617095469431</v>
      </c>
      <c r="DX25" s="1">
        <v>0.2589849690033853</v>
      </c>
      <c r="DY25" s="1">
        <v>0.26822192937212391</v>
      </c>
      <c r="DZ25" s="1">
        <v>2.5955164679618309E-2</v>
      </c>
      <c r="EA25" s="1">
        <v>3.5782094434630873E-2</v>
      </c>
      <c r="EB25" s="1">
        <v>0.31038588333370842</v>
      </c>
      <c r="EC25" s="1">
        <v>0.33146834853884311</v>
      </c>
      <c r="ED25" s="1">
        <v>6.3192472204515265E-2</v>
      </c>
      <c r="EE25" s="1">
        <v>6.9545558094986554E-2</v>
      </c>
      <c r="EF25" s="1">
        <v>-8.3271776749482732E-2</v>
      </c>
    </row>
    <row r="26" spans="1:136" ht="16">
      <c r="A26" s="6">
        <v>964</v>
      </c>
      <c r="B26" s="6">
        <v>1</v>
      </c>
      <c r="C26" s="9">
        <v>2.776696731044102E-2</v>
      </c>
      <c r="D26" s="9">
        <v>-8.1988379169623898E-2</v>
      </c>
      <c r="E26" s="9">
        <v>-8.1880334610397495E-2</v>
      </c>
      <c r="F26" s="9">
        <v>0.20154571887164621</v>
      </c>
      <c r="G26" s="9">
        <v>-2.2622388562617651E-2</v>
      </c>
      <c r="H26" s="9">
        <v>0.35082219133103881</v>
      </c>
      <c r="I26" s="9">
        <v>4.8541667304075893E-2</v>
      </c>
      <c r="J26" s="9">
        <v>-5.170518944782404E-3</v>
      </c>
      <c r="K26" s="9">
        <v>-1.974455572944488E-2</v>
      </c>
      <c r="L26" s="2">
        <v>-0.192573627084517</v>
      </c>
      <c r="M26" s="2">
        <v>0.13645120482380019</v>
      </c>
      <c r="N26" s="2">
        <v>0.1051917107958454</v>
      </c>
      <c r="O26" s="1">
        <v>-0.27049724769768002</v>
      </c>
      <c r="P26" s="1">
        <v>7.7736485854057236E-2</v>
      </c>
      <c r="Q26" s="1">
        <v>8.6793540191679133E-2</v>
      </c>
      <c r="R26" s="1">
        <v>2.2454265588894351E-2</v>
      </c>
      <c r="S26" s="1">
        <v>0.29893394924921568</v>
      </c>
      <c r="T26" s="1">
        <v>0.45417579566715982</v>
      </c>
      <c r="U26" s="1">
        <v>0.1173219671219055</v>
      </c>
      <c r="V26" s="1">
        <v>0.56251758374214278</v>
      </c>
      <c r="W26" s="1">
        <v>0.64293352860565944</v>
      </c>
      <c r="X26" s="1">
        <v>0.3943802756836714</v>
      </c>
      <c r="Y26" s="1">
        <v>0.1502901799901015</v>
      </c>
      <c r="Z26" s="1">
        <v>8.9670663165636488E-2</v>
      </c>
      <c r="AA26" s="1">
        <v>7.8111046105503346E-2</v>
      </c>
      <c r="AB26" s="1">
        <v>6.5967773669365126E-2</v>
      </c>
      <c r="AC26" s="1">
        <v>0.4017473338469546</v>
      </c>
      <c r="AD26" s="1">
        <v>-0.36389544319836098</v>
      </c>
      <c r="AE26" s="1">
        <v>0.19314178971175811</v>
      </c>
      <c r="AF26" s="1">
        <v>0.48904083526581982</v>
      </c>
      <c r="AG26" s="1">
        <v>0.38005539258279603</v>
      </c>
      <c r="AH26" s="1">
        <v>1.462947609302206</v>
      </c>
      <c r="AI26" s="1">
        <v>0.15191167478339729</v>
      </c>
      <c r="AJ26" s="1">
        <v>4.7560204300488552E-2</v>
      </c>
      <c r="AK26" s="1">
        <v>0.19140630949441459</v>
      </c>
      <c r="AL26" s="1">
        <v>0.1755171066541821</v>
      </c>
      <c r="AM26" s="1">
        <v>-8.7353687328161136E-3</v>
      </c>
      <c r="AN26" s="1">
        <v>-0.1106607719355505</v>
      </c>
      <c r="AO26" s="1">
        <v>-0.1029057025777895</v>
      </c>
      <c r="AP26" s="1">
        <v>0.20014831416142009</v>
      </c>
      <c r="AQ26" s="1">
        <v>-0.33309839647211897</v>
      </c>
      <c r="AR26" s="1">
        <v>-2.0350844492814421E-2</v>
      </c>
      <c r="AS26" s="1">
        <v>-0.30407516935920542</v>
      </c>
      <c r="AT26" s="1">
        <v>-0.21265645000644101</v>
      </c>
      <c r="AU26" s="1">
        <v>0.22984101567941989</v>
      </c>
      <c r="AV26" s="1">
        <v>-0.2378231555513734</v>
      </c>
      <c r="AW26" s="1">
        <v>0.22381267144623379</v>
      </c>
      <c r="AX26" s="1">
        <v>-7.3407495395669459E-2</v>
      </c>
      <c r="AY26" s="1">
        <v>-0.15123352655858069</v>
      </c>
      <c r="AZ26" s="1">
        <v>0.60989956018477687</v>
      </c>
      <c r="BA26" s="1">
        <v>-0.1017826943099424</v>
      </c>
      <c r="BB26" s="1">
        <v>0.77915232109079058</v>
      </c>
      <c r="BC26" s="1">
        <v>-8.9792290186166232E-2</v>
      </c>
      <c r="BD26" s="1">
        <v>0.17257013871334029</v>
      </c>
      <c r="BE26" s="1">
        <v>5.7380537985080138E-2</v>
      </c>
      <c r="BF26" s="1">
        <v>5.3072180092927357E-3</v>
      </c>
      <c r="BG26" s="1">
        <v>0.23814201230386919</v>
      </c>
      <c r="BH26" s="1">
        <v>0.23042622689581499</v>
      </c>
      <c r="BI26" s="1">
        <v>-0.1201243785940973</v>
      </c>
      <c r="BJ26" s="1">
        <v>-6.0567254322459393E-2</v>
      </c>
      <c r="BK26" s="1">
        <v>-1.00197269490701E-2</v>
      </c>
      <c r="BL26" s="1">
        <v>0.1061069201511666</v>
      </c>
      <c r="BM26" s="1">
        <v>8.4782939838988242E-2</v>
      </c>
      <c r="BN26" s="1">
        <v>0.22225976866720201</v>
      </c>
      <c r="BO26" s="1">
        <v>-5.9152692835040738E-2</v>
      </c>
      <c r="BP26" s="1">
        <v>0.56718861430704814</v>
      </c>
      <c r="BQ26" s="1">
        <v>-0.14048484012467469</v>
      </c>
      <c r="BR26" s="1">
        <v>0.46561903092791163</v>
      </c>
      <c r="BS26" s="1">
        <v>-0.1216210365296066</v>
      </c>
      <c r="BT26" s="1">
        <v>5.5799256308256592E-2</v>
      </c>
      <c r="BU26" s="1">
        <v>0.45156953678161682</v>
      </c>
      <c r="BV26" s="1">
        <v>0.57736679187244444</v>
      </c>
      <c r="BW26" s="1">
        <v>0.15102744542241939</v>
      </c>
      <c r="BX26" s="1">
        <v>9.8459177017133165E-2</v>
      </c>
      <c r="BY26" s="1">
        <v>-0.39728190593752383</v>
      </c>
      <c r="BZ26" s="1">
        <v>-0.141644608763656</v>
      </c>
      <c r="CA26" s="1">
        <v>-8.5352138787233134E-2</v>
      </c>
      <c r="CB26" s="1">
        <v>6.4127083156042083E-2</v>
      </c>
      <c r="CC26" s="1">
        <v>0.2198311932012271</v>
      </c>
      <c r="CD26" s="1">
        <v>-4.515152545753065E-2</v>
      </c>
      <c r="CE26" s="1">
        <v>0.17930378386651619</v>
      </c>
      <c r="CF26" s="1">
        <v>-0.2205997696869802</v>
      </c>
      <c r="CG26" s="1">
        <v>8.0322388838833275E-2</v>
      </c>
      <c r="CH26" s="1">
        <v>0.16137193048241749</v>
      </c>
      <c r="CI26" s="1">
        <v>-0.10620054734777511</v>
      </c>
      <c r="CJ26" s="1">
        <v>-0.28580320410647481</v>
      </c>
      <c r="CK26" s="1">
        <v>-0.30976647659227358</v>
      </c>
      <c r="CL26" s="1">
        <v>-4.2170642208116713E-2</v>
      </c>
      <c r="CM26" s="1">
        <v>-4.4688538323931992E-2</v>
      </c>
      <c r="CN26" s="1">
        <v>0.14713511665539891</v>
      </c>
      <c r="CO26" s="1">
        <v>0.47231299319638959</v>
      </c>
      <c r="CP26" s="1">
        <v>0.19806734554709299</v>
      </c>
      <c r="CQ26" s="1">
        <v>-5.1440027992953663E-2</v>
      </c>
      <c r="CR26" s="1">
        <v>-0.25506268964851941</v>
      </c>
      <c r="CS26" s="1">
        <v>0.15756518579542139</v>
      </c>
      <c r="CT26" s="1">
        <v>0.1020926034667536</v>
      </c>
      <c r="CU26" s="1">
        <v>0.22870938419359549</v>
      </c>
      <c r="CV26" s="1">
        <v>8.9725835158648334E-2</v>
      </c>
      <c r="CW26" s="1">
        <v>0.2436497675082317</v>
      </c>
      <c r="CX26" s="1">
        <v>0.14669462567028749</v>
      </c>
      <c r="CY26" s="1">
        <v>-0.36022804676873771</v>
      </c>
      <c r="CZ26" s="1">
        <v>-0.16210690987816029</v>
      </c>
      <c r="DA26" s="1">
        <v>0.26053401353545808</v>
      </c>
      <c r="DB26" s="1">
        <v>-0.94810958937996914</v>
      </c>
      <c r="DC26" s="1">
        <v>0.35011754339257323</v>
      </c>
      <c r="DD26" s="1">
        <v>7.5505698164948884E-2</v>
      </c>
      <c r="DE26" s="1">
        <v>-0.21225499244431981</v>
      </c>
      <c r="DF26" s="1">
        <v>0.19463806375593051</v>
      </c>
      <c r="DG26" s="1">
        <v>-0.24858898273322999</v>
      </c>
      <c r="DH26" s="1">
        <v>-0.1028328439815145</v>
      </c>
      <c r="DI26" s="1">
        <v>-0.42309879972833903</v>
      </c>
      <c r="DJ26" s="1">
        <v>0.19144695953752089</v>
      </c>
      <c r="DK26" s="1">
        <v>-0.16602172835425</v>
      </c>
      <c r="DL26" s="1">
        <v>7.8227035948543425E-2</v>
      </c>
      <c r="DM26" s="1">
        <v>-0.3680283680181945</v>
      </c>
      <c r="DN26" s="1">
        <v>3.2577672666622072E-2</v>
      </c>
      <c r="DO26" s="1">
        <v>-8.3114289590005733E-2</v>
      </c>
      <c r="DP26" s="1">
        <v>-5.5090160775889491E-2</v>
      </c>
      <c r="DQ26" s="1">
        <v>7.611033925581534E-2</v>
      </c>
      <c r="DR26" s="1">
        <v>-8.2557026640249415E-2</v>
      </c>
      <c r="DS26" s="1">
        <v>-0.14400697483881431</v>
      </c>
      <c r="DT26" s="1">
        <v>-6.1771072780258528E-2</v>
      </c>
      <c r="DU26" s="1">
        <v>0.7705433077559587</v>
      </c>
      <c r="DV26" s="1">
        <v>-0.1016246924906845</v>
      </c>
      <c r="DW26" s="1">
        <v>0.23213227122128241</v>
      </c>
      <c r="DX26" s="1">
        <v>0.56717595105083507</v>
      </c>
      <c r="DY26" s="1">
        <v>3.2066535729951551E-2</v>
      </c>
      <c r="DZ26" s="1">
        <v>0.13060160891322209</v>
      </c>
      <c r="EA26" s="1">
        <v>0.27291703580973192</v>
      </c>
      <c r="EB26" s="1">
        <v>0.66580759497743014</v>
      </c>
      <c r="EC26" s="1">
        <v>0.14343651784726261</v>
      </c>
      <c r="ED26" s="1">
        <v>0.29283080699710301</v>
      </c>
      <c r="EE26" s="1">
        <v>-3.5663982870964749E-2</v>
      </c>
      <c r="EF26" s="1">
        <v>-0.12895777307843831</v>
      </c>
    </row>
    <row r="27" spans="1:136" ht="16">
      <c r="A27" s="6" t="s">
        <v>141</v>
      </c>
      <c r="B27" s="6" t="s">
        <v>142</v>
      </c>
      <c r="C27" s="22">
        <v>-1.7446770539390338E-2</v>
      </c>
      <c r="D27" s="22">
        <v>2.070106053181563E-2</v>
      </c>
      <c r="E27" s="22">
        <v>2.3982129254766709E-2</v>
      </c>
      <c r="F27" s="22">
        <v>-6.557578972823077E-3</v>
      </c>
      <c r="G27" s="22">
        <v>3.1845129800519692E-2</v>
      </c>
      <c r="H27" s="22">
        <v>3.4348532736990518E-2</v>
      </c>
      <c r="I27" s="22">
        <v>-8.2549327813252367E-3</v>
      </c>
      <c r="J27" s="22">
        <v>1.2843524394052759E-2</v>
      </c>
      <c r="K27" s="22">
        <v>-5.1018524626790823E-2</v>
      </c>
      <c r="L27" s="22">
        <v>8.7394274103658827E-4</v>
      </c>
      <c r="M27" s="22">
        <v>2.3389575505495919E-2</v>
      </c>
      <c r="N27" s="22">
        <v>1.2988972200332851E-2</v>
      </c>
      <c r="O27" s="22">
        <v>5.8545887256348812E-3</v>
      </c>
      <c r="P27" s="22">
        <v>2.7413206571790558E-2</v>
      </c>
      <c r="Q27" s="22">
        <v>-3.7129361176928542E-3</v>
      </c>
      <c r="R27" s="22">
        <v>2.4076614047823328E-2</v>
      </c>
      <c r="S27" s="22">
        <v>-1.219002529903996E-2</v>
      </c>
      <c r="T27" s="22">
        <v>-3.9749578159589592E-2</v>
      </c>
      <c r="U27" s="22">
        <v>-7.3155449831649552E-2</v>
      </c>
      <c r="V27" s="22">
        <v>-5.8260229910114661E-2</v>
      </c>
      <c r="W27" s="22">
        <v>7.7279756550837221E-4</v>
      </c>
      <c r="X27" s="22">
        <v>4.459152113521897E-2</v>
      </c>
      <c r="Y27" s="22">
        <v>-2.7699680050213091E-2</v>
      </c>
      <c r="Z27" s="22">
        <v>2.0950059497436462E-3</v>
      </c>
      <c r="AA27" s="22">
        <v>-2.340055099256411E-2</v>
      </c>
      <c r="AB27" s="22">
        <v>3.2129371097322189E-2</v>
      </c>
      <c r="AC27" s="22">
        <v>3.890327309406643E-2</v>
      </c>
      <c r="AD27" s="22">
        <v>-4.286538217110427E-2</v>
      </c>
      <c r="AE27" s="22">
        <v>1.8647194550152159E-2</v>
      </c>
      <c r="AF27" s="22">
        <v>1.5229768322528949E-2</v>
      </c>
      <c r="AG27" s="22">
        <v>3.6016603778892417E-2</v>
      </c>
      <c r="AH27" s="22">
        <v>9.3546113853161701E-3</v>
      </c>
      <c r="AI27" s="22">
        <v>1.0748251336838139E-2</v>
      </c>
      <c r="AJ27" s="22">
        <v>1.335775405308097E-2</v>
      </c>
      <c r="AK27" s="22">
        <v>-5.3327473290953921E-3</v>
      </c>
      <c r="AL27" s="22">
        <v>1.383135807261675E-3</v>
      </c>
      <c r="AM27" s="22">
        <v>2.079592842007446E-2</v>
      </c>
      <c r="AN27" s="22">
        <v>3.1517702220390638E-2</v>
      </c>
      <c r="AO27" s="22">
        <v>6.2417165333294418E-3</v>
      </c>
      <c r="AP27" s="22">
        <v>6.1452616535713897E-3</v>
      </c>
      <c r="AQ27" s="22">
        <v>1.694635767669651E-2</v>
      </c>
      <c r="AR27" s="22">
        <v>3.4682830454308228E-2</v>
      </c>
      <c r="AS27" s="22">
        <v>3.0985886171969678E-3</v>
      </c>
      <c r="AT27" s="22">
        <v>1.508134714348611E-2</v>
      </c>
      <c r="AU27" s="22">
        <v>-1.9251209229863991E-2</v>
      </c>
      <c r="AV27" s="22">
        <v>3.8711513387631437E-2</v>
      </c>
      <c r="AW27" s="22">
        <v>-2.1856951135736599E-2</v>
      </c>
      <c r="AX27" s="22">
        <v>7.7743007097896798E-3</v>
      </c>
      <c r="AY27" s="22">
        <v>4.2397246695325942E-2</v>
      </c>
      <c r="AZ27" s="22">
        <v>-2.630897486115975E-2</v>
      </c>
      <c r="BA27" s="22">
        <v>9.5717493087162323E-3</v>
      </c>
      <c r="BB27" s="22">
        <v>-2.424974126627483E-2</v>
      </c>
      <c r="BC27" s="22">
        <v>2.0163374143915822E-2</v>
      </c>
      <c r="BD27" s="22">
        <v>-3.5049987821160239E-3</v>
      </c>
      <c r="BE27" s="22">
        <v>2.0151935098542271E-2</v>
      </c>
      <c r="BF27" s="22">
        <v>5.8133623077027128E-4</v>
      </c>
      <c r="BG27" s="22">
        <v>-5.2197009532526043E-3</v>
      </c>
      <c r="BH27" s="22">
        <v>-0.11587176140213</v>
      </c>
      <c r="BI27" s="22">
        <v>8.7252256924373536E-3</v>
      </c>
      <c r="BJ27" s="22">
        <v>-1.6377260977822151E-2</v>
      </c>
      <c r="BK27" s="22">
        <v>2.0840371600260421E-2</v>
      </c>
      <c r="BL27" s="22">
        <v>4.4975872102114713E-2</v>
      </c>
      <c r="BM27" s="22">
        <v>2.3954306081863871E-2</v>
      </c>
      <c r="BN27" s="22">
        <v>3.0239101391442601E-2</v>
      </c>
      <c r="BO27" s="22">
        <v>-4.372588759108751E-2</v>
      </c>
      <c r="BP27" s="22">
        <v>2.1889469568198618E-2</v>
      </c>
      <c r="BQ27" s="22">
        <v>8.6274302635084028E-3</v>
      </c>
      <c r="BR27" s="22">
        <v>-1.9192953994658781E-2</v>
      </c>
      <c r="BS27" s="22">
        <v>1.973512988813305E-2</v>
      </c>
      <c r="BT27" s="22">
        <v>4.7694337483699438E-2</v>
      </c>
      <c r="BU27" s="22">
        <v>1.145481680658339E-2</v>
      </c>
      <c r="BV27" s="22">
        <v>4.3228620735213191E-2</v>
      </c>
      <c r="BW27" s="22">
        <v>-4.2747430436922793E-2</v>
      </c>
      <c r="BX27" s="22">
        <v>-1.781129242779457E-2</v>
      </c>
      <c r="BY27" s="22">
        <v>-0.1511530968690756</v>
      </c>
      <c r="BZ27" s="22">
        <v>0.12422400361957529</v>
      </c>
      <c r="CA27" s="22">
        <v>-4.5572538445296431E-3</v>
      </c>
      <c r="CB27" s="22">
        <v>6.0211240204911178E-2</v>
      </c>
      <c r="CC27" s="22">
        <v>8.5992033482502284E-2</v>
      </c>
      <c r="CD27" s="22">
        <v>-5.8084795823660634E-3</v>
      </c>
      <c r="CE27" s="22">
        <v>-6.0413469889680736E-3</v>
      </c>
      <c r="CF27" s="22">
        <v>2.4523243722520739E-3</v>
      </c>
      <c r="CG27" s="22">
        <v>8.963625193702289E-2</v>
      </c>
      <c r="CH27" s="22">
        <v>7.099273252675789E-2</v>
      </c>
      <c r="CI27" s="22">
        <v>2.7170642901783448E-2</v>
      </c>
      <c r="CJ27" s="22">
        <v>5.2468428425330033E-2</v>
      </c>
      <c r="CK27" s="22">
        <v>2.9480660943049509E-2</v>
      </c>
      <c r="CL27" s="22">
        <v>6.6825081060201283E-2</v>
      </c>
      <c r="CM27" s="22">
        <v>-2.8772229019816971E-2</v>
      </c>
      <c r="CN27" s="22">
        <v>3.9462515901637851E-2</v>
      </c>
      <c r="CO27" s="22">
        <v>-2.9031086977359909E-2</v>
      </c>
      <c r="CP27" s="22">
        <v>1.3983882519467901E-2</v>
      </c>
      <c r="CQ27" s="22">
        <v>-3.2276964959333833E-2</v>
      </c>
      <c r="CR27" s="22">
        <v>3.1035766128940231E-3</v>
      </c>
      <c r="CS27" s="22">
        <v>2.5591855767083171E-2</v>
      </c>
      <c r="CT27" s="22">
        <v>4.4391886287193302E-2</v>
      </c>
      <c r="CU27" s="22">
        <v>-3.0338958549577438E-2</v>
      </c>
      <c r="CV27" s="22">
        <v>-1.2579764545717069E-3</v>
      </c>
      <c r="CW27" s="22">
        <v>2.336356455857952E-3</v>
      </c>
      <c r="CX27" s="22">
        <v>-6.4264144925906069E-2</v>
      </c>
      <c r="CY27" s="22">
        <v>1.2909779458992439E-2</v>
      </c>
      <c r="CZ27" s="22">
        <v>-0.12547709467085871</v>
      </c>
      <c r="DA27" s="22">
        <v>1.1690682939792569E-2</v>
      </c>
      <c r="DB27" s="22">
        <v>6.3378437007417512E-3</v>
      </c>
      <c r="DC27" s="22">
        <v>-0.1173053564693855</v>
      </c>
      <c r="DD27" s="22">
        <v>-3.6010872049446613E-2</v>
      </c>
      <c r="DE27" s="22">
        <v>0.1389113040722679</v>
      </c>
      <c r="DF27" s="22">
        <v>-5.1143506226105737E-2</v>
      </c>
      <c r="DG27" s="22">
        <v>7.6731447181969059E-2</v>
      </c>
      <c r="DH27" s="22">
        <v>1.550878219700816E-2</v>
      </c>
      <c r="DI27" s="22">
        <v>2.3223773674755831E-2</v>
      </c>
      <c r="DJ27" s="22">
        <v>-1.8372876361227891E-2</v>
      </c>
      <c r="DK27" s="22">
        <v>6.2199014085099431E-2</v>
      </c>
      <c r="DL27" s="22">
        <v>2.0098304486957191E-2</v>
      </c>
      <c r="DM27" s="22">
        <v>1.349893974806809E-2</v>
      </c>
      <c r="DN27" s="22">
        <v>-3.025221272842088E-2</v>
      </c>
      <c r="DO27" s="22">
        <v>-1.7022835708053841E-2</v>
      </c>
      <c r="DP27" s="22">
        <v>-2.1788523272461981E-2</v>
      </c>
      <c r="DQ27" s="22">
        <v>8.5745624585137223E-2</v>
      </c>
      <c r="DR27" s="22">
        <v>2.8106743604973752E-2</v>
      </c>
      <c r="DS27" s="22">
        <v>-2.3031598073594501E-3</v>
      </c>
      <c r="DT27" s="22">
        <v>5.8471198131487503E-2</v>
      </c>
      <c r="DU27" s="22">
        <v>6.7658949048647651E-2</v>
      </c>
      <c r="DV27" s="22">
        <v>5.0207706404322644E-3</v>
      </c>
      <c r="DW27" s="22">
        <v>3.7416183675207063E-2</v>
      </c>
      <c r="DX27" s="22">
        <v>8.4111003746042121E-2</v>
      </c>
      <c r="DY27" s="22">
        <v>-3.6832398544012837E-2</v>
      </c>
      <c r="DZ27" s="22">
        <v>3.0917028169369942E-3</v>
      </c>
      <c r="EA27" s="22">
        <v>-1.957628214294549E-3</v>
      </c>
      <c r="EB27" s="22">
        <v>2.6459103603519739E-2</v>
      </c>
      <c r="EC27" s="22">
        <v>-2.4752538760690269E-2</v>
      </c>
      <c r="ED27" s="22">
        <v>3.4115490982559941E-2</v>
      </c>
      <c r="EE27" s="22">
        <v>2.1061973989032982E-2</v>
      </c>
      <c r="EF27" s="22">
        <v>-2.0277392706005919E-2</v>
      </c>
    </row>
    <row r="28" spans="1:136">
      <c r="A28" s="3"/>
      <c r="B28" s="3"/>
      <c r="K28" s="3"/>
    </row>
    <row r="29" spans="1:136">
      <c r="C29" s="47">
        <v>1101</v>
      </c>
      <c r="D29" s="47">
        <v>2484</v>
      </c>
      <c r="E29" s="47">
        <v>1233</v>
      </c>
      <c r="F29" s="47">
        <v>2524</v>
      </c>
      <c r="G29" s="47">
        <v>2611</v>
      </c>
      <c r="H29" s="47">
        <v>1233</v>
      </c>
      <c r="I29" s="47">
        <v>2379</v>
      </c>
      <c r="J29" s="47">
        <v>2379</v>
      </c>
      <c r="K29" s="47">
        <v>2524</v>
      </c>
      <c r="L29" s="47">
        <v>1233</v>
      </c>
      <c r="M29" s="47">
        <v>2524</v>
      </c>
      <c r="N29" s="47">
        <v>1805</v>
      </c>
      <c r="O29" s="47">
        <v>2538</v>
      </c>
      <c r="P29" s="47">
        <v>3033</v>
      </c>
      <c r="Q29" s="47">
        <v>2385</v>
      </c>
      <c r="R29" s="47">
        <v>3024</v>
      </c>
      <c r="S29" s="47">
        <v>3024</v>
      </c>
      <c r="T29" s="47">
        <v>1314</v>
      </c>
      <c r="U29" s="47">
        <v>3024</v>
      </c>
      <c r="V29" s="47">
        <v>3024</v>
      </c>
      <c r="W29" s="47">
        <v>5521</v>
      </c>
      <c r="X29" s="47">
        <v>2535</v>
      </c>
      <c r="Y29" s="47">
        <v>3033</v>
      </c>
      <c r="Z29" s="47">
        <v>5201</v>
      </c>
      <c r="AA29" s="47">
        <v>2535</v>
      </c>
      <c r="AB29" s="47">
        <v>5201</v>
      </c>
      <c r="AC29" s="47">
        <v>5471</v>
      </c>
      <c r="AD29" s="47">
        <v>5521</v>
      </c>
      <c r="AE29" s="47">
        <v>2023</v>
      </c>
      <c r="AF29" s="47">
        <v>2023</v>
      </c>
      <c r="AG29" s="47">
        <v>3017</v>
      </c>
      <c r="AH29" s="47">
        <v>3033</v>
      </c>
      <c r="AI29" s="47">
        <v>1464</v>
      </c>
      <c r="AJ29" s="47">
        <v>2451</v>
      </c>
      <c r="AK29" s="47">
        <v>2451</v>
      </c>
      <c r="AL29" s="47">
        <v>4413</v>
      </c>
      <c r="AM29" s="47">
        <v>2451</v>
      </c>
      <c r="AN29" s="47">
        <v>2451</v>
      </c>
      <c r="AO29" s="47">
        <v>6121</v>
      </c>
      <c r="AP29" s="47">
        <v>2451</v>
      </c>
      <c r="AQ29" s="47">
        <v>1805</v>
      </c>
      <c r="AR29" s="47">
        <v>4416</v>
      </c>
      <c r="AS29" s="47">
        <v>5523</v>
      </c>
      <c r="AT29" s="47">
        <v>2524</v>
      </c>
      <c r="AU29" s="47">
        <v>1436</v>
      </c>
      <c r="AV29" s="47">
        <v>2338</v>
      </c>
      <c r="AW29" s="47">
        <v>5212</v>
      </c>
      <c r="AX29" s="47">
        <v>2338</v>
      </c>
      <c r="AY29" s="47">
        <v>6186</v>
      </c>
      <c r="AZ29" s="47">
        <v>5523</v>
      </c>
      <c r="BA29" s="47">
        <v>5523</v>
      </c>
      <c r="BB29" s="47">
        <v>5443</v>
      </c>
      <c r="BC29" s="47">
        <v>3051</v>
      </c>
      <c r="BD29" s="47">
        <v>5523</v>
      </c>
      <c r="BE29" s="47">
        <v>3051</v>
      </c>
      <c r="BF29" s="47">
        <v>3051</v>
      </c>
      <c r="BG29" s="47">
        <v>3051</v>
      </c>
      <c r="BH29" s="47">
        <v>6186</v>
      </c>
      <c r="BI29" s="47">
        <v>6186</v>
      </c>
      <c r="BJ29" s="47">
        <v>2537</v>
      </c>
      <c r="BK29" s="47">
        <v>2537</v>
      </c>
      <c r="BL29" s="47">
        <v>2488</v>
      </c>
      <c r="BM29" s="47">
        <v>6192</v>
      </c>
      <c r="BN29" s="47">
        <v>8927</v>
      </c>
      <c r="BO29" s="47">
        <v>2537</v>
      </c>
      <c r="BP29" s="47">
        <v>4416</v>
      </c>
      <c r="BQ29" s="47">
        <v>2537</v>
      </c>
      <c r="BR29" s="47">
        <v>6128</v>
      </c>
      <c r="BS29" s="47">
        <v>3002</v>
      </c>
      <c r="BT29" s="47">
        <v>5007</v>
      </c>
      <c r="BU29" s="47">
        <v>4109</v>
      </c>
      <c r="BV29" s="47">
        <v>6128</v>
      </c>
      <c r="BW29" s="47">
        <v>8085</v>
      </c>
      <c r="BX29" s="47">
        <v>8927</v>
      </c>
      <c r="BY29" s="47">
        <v>1737</v>
      </c>
      <c r="BZ29" s="47">
        <v>6242</v>
      </c>
      <c r="CA29" s="47">
        <v>6242</v>
      </c>
      <c r="CB29" s="47">
        <v>8927</v>
      </c>
      <c r="CC29" s="47">
        <v>8927</v>
      </c>
      <c r="CD29" s="47">
        <v>6242</v>
      </c>
      <c r="CE29" s="47">
        <v>8927</v>
      </c>
      <c r="CF29" s="47">
        <v>6242</v>
      </c>
      <c r="CG29" s="47">
        <v>8050</v>
      </c>
      <c r="CH29" s="47">
        <v>6242</v>
      </c>
      <c r="CI29" s="47">
        <v>6242</v>
      </c>
      <c r="CJ29" s="47">
        <v>8050</v>
      </c>
      <c r="CK29" s="47">
        <v>8050</v>
      </c>
      <c r="CL29" s="47">
        <v>6242</v>
      </c>
      <c r="CM29" s="47">
        <v>4402</v>
      </c>
      <c r="CN29" s="47">
        <v>3016</v>
      </c>
      <c r="CO29" s="47">
        <v>1436</v>
      </c>
      <c r="CP29" s="47">
        <v>6242</v>
      </c>
      <c r="CQ29" s="47">
        <v>3016</v>
      </c>
      <c r="CR29" s="47">
        <v>6242</v>
      </c>
      <c r="CS29" s="47">
        <v>3005</v>
      </c>
      <c r="CT29" s="47">
        <v>2493</v>
      </c>
      <c r="CU29" s="47">
        <v>2423</v>
      </c>
      <c r="CV29" s="47">
        <v>1734</v>
      </c>
      <c r="CW29" s="47">
        <v>5306</v>
      </c>
      <c r="CX29" s="47">
        <v>4402</v>
      </c>
      <c r="CY29" s="47">
        <v>9904</v>
      </c>
      <c r="CZ29" s="47">
        <v>8072</v>
      </c>
      <c r="DA29" s="47">
        <v>5007</v>
      </c>
      <c r="DB29" s="47">
        <v>9904</v>
      </c>
      <c r="DC29" s="47">
        <v>8072</v>
      </c>
      <c r="DD29" s="47">
        <v>6021</v>
      </c>
      <c r="DE29" s="47">
        <v>3232</v>
      </c>
      <c r="DF29" s="47">
        <v>2538</v>
      </c>
      <c r="DG29" s="47">
        <v>2538</v>
      </c>
      <c r="DH29" s="47">
        <v>5306</v>
      </c>
      <c r="DI29" s="47">
        <v>2538</v>
      </c>
      <c r="DJ29" s="47">
        <v>2434</v>
      </c>
      <c r="DK29" s="47">
        <v>2538</v>
      </c>
      <c r="DL29" s="47">
        <v>6020</v>
      </c>
      <c r="DM29" s="47">
        <v>2538</v>
      </c>
      <c r="DN29" s="47">
        <v>4402</v>
      </c>
      <c r="DO29" s="47">
        <v>2538</v>
      </c>
      <c r="DP29" s="47">
        <v>5425</v>
      </c>
      <c r="DQ29" s="47">
        <v>5425</v>
      </c>
      <c r="DR29" s="47">
        <v>4402</v>
      </c>
      <c r="DS29" s="47">
        <v>6291</v>
      </c>
      <c r="DT29" s="47">
        <v>2031</v>
      </c>
      <c r="DU29" s="47">
        <v>6291</v>
      </c>
      <c r="DV29" s="47">
        <v>3232</v>
      </c>
      <c r="DW29" s="47">
        <v>2538</v>
      </c>
      <c r="DX29" s="47">
        <v>6291</v>
      </c>
      <c r="DY29" s="47">
        <v>2538</v>
      </c>
      <c r="DZ29" s="47">
        <v>2538</v>
      </c>
      <c r="EA29" s="47">
        <v>8074</v>
      </c>
      <c r="EB29" s="47">
        <v>8074</v>
      </c>
      <c r="EC29" s="47">
        <v>3232</v>
      </c>
      <c r="ED29" s="47">
        <v>4402</v>
      </c>
      <c r="EE29" s="47">
        <v>2538</v>
      </c>
      <c r="EF29" s="47">
        <v>2538</v>
      </c>
    </row>
    <row r="30" spans="1:136">
      <c r="C30" s="47" t="s">
        <v>166</v>
      </c>
      <c r="D30" s="47" t="s">
        <v>167</v>
      </c>
      <c r="E30" s="47" t="s">
        <v>168</v>
      </c>
      <c r="F30" s="47" t="s">
        <v>169</v>
      </c>
      <c r="G30" s="47" t="s">
        <v>170</v>
      </c>
      <c r="H30" s="47" t="s">
        <v>168</v>
      </c>
      <c r="I30" s="47" t="s">
        <v>171</v>
      </c>
      <c r="J30" s="47" t="s">
        <v>171</v>
      </c>
      <c r="K30" s="47" t="s">
        <v>169</v>
      </c>
      <c r="L30" s="47" t="s">
        <v>168</v>
      </c>
      <c r="M30" s="47" t="s">
        <v>169</v>
      </c>
      <c r="N30" s="47" t="s">
        <v>172</v>
      </c>
      <c r="O30" s="47" t="s">
        <v>173</v>
      </c>
      <c r="P30" s="47" t="s">
        <v>174</v>
      </c>
      <c r="Q30" s="47" t="s">
        <v>175</v>
      </c>
      <c r="R30" s="47" t="s">
        <v>176</v>
      </c>
      <c r="S30" s="47" t="s">
        <v>176</v>
      </c>
      <c r="T30" s="47" t="s">
        <v>177</v>
      </c>
      <c r="U30" s="47" t="s">
        <v>176</v>
      </c>
      <c r="V30" s="47" t="s">
        <v>176</v>
      </c>
      <c r="W30" s="47" t="s">
        <v>178</v>
      </c>
      <c r="X30" s="47" t="s">
        <v>179</v>
      </c>
      <c r="Y30" s="47" t="s">
        <v>174</v>
      </c>
      <c r="Z30" s="47" t="s">
        <v>180</v>
      </c>
      <c r="AA30" s="47" t="s">
        <v>179</v>
      </c>
      <c r="AB30" s="47" t="s">
        <v>180</v>
      </c>
      <c r="AC30" s="47" t="s">
        <v>181</v>
      </c>
      <c r="AD30" s="47" t="s">
        <v>178</v>
      </c>
      <c r="AE30" s="47" t="s">
        <v>182</v>
      </c>
      <c r="AF30" s="47" t="s">
        <v>182</v>
      </c>
      <c r="AG30" s="47" t="s">
        <v>183</v>
      </c>
      <c r="AH30" s="47" t="s">
        <v>174</v>
      </c>
      <c r="AI30" s="47" t="s">
        <v>184</v>
      </c>
      <c r="AJ30" s="47" t="s">
        <v>185</v>
      </c>
      <c r="AK30" s="47" t="s">
        <v>185</v>
      </c>
      <c r="AL30" s="47" t="s">
        <v>186</v>
      </c>
      <c r="AM30" s="47" t="s">
        <v>185</v>
      </c>
      <c r="AN30" s="47" t="s">
        <v>185</v>
      </c>
      <c r="AO30" s="47" t="s">
        <v>187</v>
      </c>
      <c r="AP30" s="47" t="s">
        <v>185</v>
      </c>
      <c r="AQ30" s="47" t="s">
        <v>172</v>
      </c>
      <c r="AR30" s="47" t="s">
        <v>188</v>
      </c>
      <c r="AS30" s="47" t="s">
        <v>189</v>
      </c>
      <c r="AT30" s="47" t="s">
        <v>169</v>
      </c>
      <c r="AU30" s="47" t="s">
        <v>190</v>
      </c>
      <c r="AV30" s="47" t="s">
        <v>191</v>
      </c>
      <c r="AW30" s="47" t="s">
        <v>192</v>
      </c>
      <c r="AX30" s="47" t="s">
        <v>191</v>
      </c>
      <c r="AY30" s="47" t="s">
        <v>193</v>
      </c>
      <c r="AZ30" s="47" t="s">
        <v>189</v>
      </c>
      <c r="BA30" s="47" t="s">
        <v>189</v>
      </c>
      <c r="BB30" s="47" t="s">
        <v>194</v>
      </c>
      <c r="BC30" s="47" t="s">
        <v>195</v>
      </c>
      <c r="BD30" s="47" t="s">
        <v>189</v>
      </c>
      <c r="BE30" s="47" t="s">
        <v>195</v>
      </c>
      <c r="BF30" s="47" t="s">
        <v>195</v>
      </c>
      <c r="BG30" s="47" t="s">
        <v>195</v>
      </c>
      <c r="BH30" s="47" t="s">
        <v>193</v>
      </c>
      <c r="BI30" s="47" t="s">
        <v>193</v>
      </c>
      <c r="BJ30" s="47" t="s">
        <v>196</v>
      </c>
      <c r="BK30" s="47" t="s">
        <v>196</v>
      </c>
      <c r="BL30" s="47" t="s">
        <v>197</v>
      </c>
      <c r="BM30" s="47" t="s">
        <v>198</v>
      </c>
      <c r="BN30" s="47" t="s">
        <v>199</v>
      </c>
      <c r="BO30" s="47" t="s">
        <v>196</v>
      </c>
      <c r="BP30" s="47" t="s">
        <v>188</v>
      </c>
      <c r="BQ30" s="47" t="s">
        <v>196</v>
      </c>
      <c r="BR30" s="47" t="s">
        <v>200</v>
      </c>
      <c r="BS30" s="47" t="s">
        <v>201</v>
      </c>
      <c r="BT30" s="47" t="s">
        <v>202</v>
      </c>
      <c r="BU30" s="47" t="s">
        <v>203</v>
      </c>
      <c r="BV30" s="47" t="s">
        <v>200</v>
      </c>
      <c r="BW30" s="47" t="s">
        <v>204</v>
      </c>
      <c r="BX30" s="47" t="s">
        <v>199</v>
      </c>
      <c r="BY30" s="47" t="s">
        <v>205</v>
      </c>
      <c r="BZ30" s="47" t="s">
        <v>206</v>
      </c>
      <c r="CA30" s="47" t="s">
        <v>206</v>
      </c>
      <c r="CB30" s="47" t="s">
        <v>199</v>
      </c>
      <c r="CC30" s="47" t="s">
        <v>199</v>
      </c>
      <c r="CD30" s="47" t="s">
        <v>206</v>
      </c>
      <c r="CE30" s="47" t="s">
        <v>199</v>
      </c>
      <c r="CF30" s="47" t="s">
        <v>206</v>
      </c>
      <c r="CG30" s="47" t="s">
        <v>207</v>
      </c>
      <c r="CH30" s="47" t="s">
        <v>206</v>
      </c>
      <c r="CI30" s="47" t="s">
        <v>206</v>
      </c>
      <c r="CJ30" s="47" t="s">
        <v>207</v>
      </c>
      <c r="CK30" s="47" t="s">
        <v>207</v>
      </c>
      <c r="CL30" s="47" t="s">
        <v>206</v>
      </c>
      <c r="CM30" s="47" t="s">
        <v>208</v>
      </c>
      <c r="CN30" s="47" t="s">
        <v>209</v>
      </c>
      <c r="CO30" s="47" t="s">
        <v>190</v>
      </c>
      <c r="CP30" s="47" t="s">
        <v>206</v>
      </c>
      <c r="CQ30" s="47" t="s">
        <v>209</v>
      </c>
      <c r="CR30" s="47" t="s">
        <v>206</v>
      </c>
      <c r="CS30" s="47" t="s">
        <v>210</v>
      </c>
      <c r="CT30" s="47" t="s">
        <v>211</v>
      </c>
      <c r="CU30" s="47" t="s">
        <v>212</v>
      </c>
      <c r="CV30" s="47" t="s">
        <v>213</v>
      </c>
      <c r="CW30" s="47" t="s">
        <v>214</v>
      </c>
      <c r="CX30" s="47" t="s">
        <v>208</v>
      </c>
      <c r="CY30" s="47" t="s">
        <v>215</v>
      </c>
      <c r="CZ30" s="47" t="s">
        <v>216</v>
      </c>
      <c r="DA30" s="47" t="s">
        <v>202</v>
      </c>
      <c r="DB30" s="47" t="s">
        <v>215</v>
      </c>
      <c r="DC30" s="47" t="s">
        <v>216</v>
      </c>
      <c r="DD30" s="47" t="s">
        <v>217</v>
      </c>
      <c r="DE30" s="47" t="s">
        <v>218</v>
      </c>
      <c r="DF30" s="47" t="s">
        <v>173</v>
      </c>
      <c r="DG30" s="47" t="s">
        <v>173</v>
      </c>
      <c r="DH30" s="47" t="s">
        <v>214</v>
      </c>
      <c r="DI30" s="47" t="s">
        <v>173</v>
      </c>
      <c r="DJ30" s="47" t="s">
        <v>219</v>
      </c>
      <c r="DK30" s="47" t="s">
        <v>173</v>
      </c>
      <c r="DL30" s="47" t="s">
        <v>220</v>
      </c>
      <c r="DM30" s="47" t="s">
        <v>173</v>
      </c>
      <c r="DN30" s="47" t="s">
        <v>208</v>
      </c>
      <c r="DO30" s="47" t="s">
        <v>173</v>
      </c>
      <c r="DP30" s="47" t="s">
        <v>221</v>
      </c>
      <c r="DQ30" s="47" t="s">
        <v>221</v>
      </c>
      <c r="DR30" s="47" t="s">
        <v>208</v>
      </c>
      <c r="DS30" s="47" t="s">
        <v>222</v>
      </c>
      <c r="DT30" s="47" t="s">
        <v>223</v>
      </c>
      <c r="DU30" s="47" t="s">
        <v>222</v>
      </c>
      <c r="DV30" s="47" t="s">
        <v>218</v>
      </c>
      <c r="DW30" s="47" t="s">
        <v>173</v>
      </c>
      <c r="DX30" s="47" t="s">
        <v>222</v>
      </c>
      <c r="DY30" s="47" t="s">
        <v>173</v>
      </c>
      <c r="DZ30" s="47" t="s">
        <v>173</v>
      </c>
      <c r="EA30" s="47" t="s">
        <v>224</v>
      </c>
      <c r="EB30" s="47" t="s">
        <v>224</v>
      </c>
      <c r="EC30" s="47" t="s">
        <v>218</v>
      </c>
      <c r="ED30" s="47" t="s">
        <v>208</v>
      </c>
      <c r="EE30" s="47" t="s">
        <v>173</v>
      </c>
      <c r="EF30" s="47" t="s">
        <v>173</v>
      </c>
    </row>
    <row r="31" spans="1:136">
      <c r="C31" s="47">
        <v>9951</v>
      </c>
      <c r="D31" s="47">
        <v>3219</v>
      </c>
      <c r="E31" s="47">
        <v>2328</v>
      </c>
      <c r="F31" s="47">
        <v>2489</v>
      </c>
      <c r="G31" s="47">
        <v>2489</v>
      </c>
      <c r="H31" s="47">
        <v>2328</v>
      </c>
      <c r="I31" s="47">
        <v>1805</v>
      </c>
      <c r="J31" s="47">
        <v>1440</v>
      </c>
      <c r="K31" s="47">
        <v>2489</v>
      </c>
      <c r="L31" s="47">
        <v>2328</v>
      </c>
      <c r="M31" s="47">
        <v>2436</v>
      </c>
      <c r="N31" s="47">
        <v>2328</v>
      </c>
      <c r="O31" s="47">
        <v>2436</v>
      </c>
      <c r="P31" s="47">
        <v>2524</v>
      </c>
      <c r="Q31" s="47">
        <v>2524</v>
      </c>
      <c r="R31" s="47">
        <v>2524</v>
      </c>
      <c r="S31" s="47">
        <v>2524</v>
      </c>
      <c r="T31" s="47">
        <v>1451</v>
      </c>
      <c r="U31" s="47">
        <v>2524</v>
      </c>
      <c r="V31" s="47">
        <v>2524</v>
      </c>
      <c r="W31" s="47">
        <v>2328</v>
      </c>
      <c r="X31" s="47">
        <v>5007</v>
      </c>
      <c r="Y31" s="47">
        <v>2524</v>
      </c>
      <c r="Z31" s="47">
        <v>2524</v>
      </c>
      <c r="AA31" s="47">
        <v>5007</v>
      </c>
      <c r="AB31" s="47">
        <v>2524</v>
      </c>
      <c r="AC31" s="47">
        <v>5432</v>
      </c>
      <c r="AD31" s="47">
        <v>2328</v>
      </c>
      <c r="AE31" s="47">
        <v>5443</v>
      </c>
      <c r="AF31" s="47">
        <v>4528</v>
      </c>
      <c r="AG31" s="47">
        <v>2524</v>
      </c>
      <c r="AH31" s="47">
        <v>2527</v>
      </c>
      <c r="AI31" s="47">
        <v>2328</v>
      </c>
      <c r="AJ31" s="47">
        <v>2002</v>
      </c>
      <c r="AK31" s="47">
        <v>2538</v>
      </c>
      <c r="AL31" s="47">
        <v>2328</v>
      </c>
      <c r="AM31" s="47">
        <v>2538</v>
      </c>
      <c r="AN31" s="47">
        <v>2022</v>
      </c>
      <c r="AO31" s="47">
        <v>2023</v>
      </c>
      <c r="AP31" s="47">
        <v>2023</v>
      </c>
      <c r="AQ31" s="47">
        <v>2328</v>
      </c>
      <c r="AR31" s="47">
        <v>2328</v>
      </c>
      <c r="AS31" s="47">
        <v>2022</v>
      </c>
      <c r="AT31" s="47">
        <v>9904</v>
      </c>
      <c r="AU31" s="47">
        <v>2328</v>
      </c>
      <c r="AV31" s="47">
        <v>2607</v>
      </c>
      <c r="AW31" s="47">
        <v>1440</v>
      </c>
      <c r="AX31" s="47">
        <v>2539</v>
      </c>
      <c r="AY31" s="47">
        <v>2527</v>
      </c>
      <c r="AZ31" s="47">
        <v>2328</v>
      </c>
      <c r="BA31" s="47">
        <v>2328</v>
      </c>
      <c r="BB31" s="47">
        <v>5523</v>
      </c>
      <c r="BC31" s="47">
        <v>5523</v>
      </c>
      <c r="BD31" s="47">
        <v>2328</v>
      </c>
      <c r="BE31" s="47">
        <v>5523</v>
      </c>
      <c r="BF31" s="47">
        <v>5523</v>
      </c>
      <c r="BG31" s="47">
        <v>5523</v>
      </c>
      <c r="BH31" s="47">
        <v>5523</v>
      </c>
      <c r="BI31" s="47">
        <v>1785</v>
      </c>
      <c r="BJ31" s="47">
        <v>2328</v>
      </c>
      <c r="BK31" s="47">
        <v>2328</v>
      </c>
      <c r="BL31" s="47">
        <v>2537</v>
      </c>
      <c r="BM31" s="47">
        <v>5015</v>
      </c>
      <c r="BN31" s="47">
        <v>2328</v>
      </c>
      <c r="BO31" s="47">
        <v>1785</v>
      </c>
      <c r="BP31" s="47">
        <v>2328</v>
      </c>
      <c r="BQ31" s="47">
        <v>1785</v>
      </c>
      <c r="BR31" s="47">
        <v>6242</v>
      </c>
      <c r="BS31" s="47">
        <v>2538</v>
      </c>
      <c r="BT31" s="47">
        <v>2328</v>
      </c>
      <c r="BU31" s="47">
        <v>2328</v>
      </c>
      <c r="BV31" s="47">
        <v>3060</v>
      </c>
      <c r="BW31" s="47">
        <v>5355</v>
      </c>
      <c r="BX31" s="47">
        <v>2328</v>
      </c>
      <c r="BY31" s="47">
        <v>6285</v>
      </c>
      <c r="BZ31" s="47">
        <v>2504</v>
      </c>
      <c r="CA31" s="47">
        <v>4205</v>
      </c>
      <c r="CB31" s="47">
        <v>2328</v>
      </c>
      <c r="CC31" s="47">
        <v>2328</v>
      </c>
      <c r="CD31" s="47">
        <v>4205</v>
      </c>
      <c r="CE31" s="47">
        <v>2328</v>
      </c>
      <c r="CF31" s="47">
        <v>8927</v>
      </c>
      <c r="CG31" s="47">
        <v>4906</v>
      </c>
      <c r="CH31" s="47">
        <v>2504</v>
      </c>
      <c r="CI31" s="47">
        <v>4205</v>
      </c>
      <c r="CJ31" s="47">
        <v>8066</v>
      </c>
      <c r="CK31" s="47">
        <v>8066</v>
      </c>
      <c r="CL31" s="47">
        <v>4205</v>
      </c>
      <c r="CM31" s="47">
        <v>2328</v>
      </c>
      <c r="CN31" s="47">
        <v>5450</v>
      </c>
      <c r="CO31" s="47">
        <v>2328</v>
      </c>
      <c r="CP31" s="47">
        <v>4205</v>
      </c>
      <c r="CQ31" s="47">
        <v>6128</v>
      </c>
      <c r="CR31" s="47">
        <v>6128</v>
      </c>
      <c r="CS31" s="47">
        <v>6128</v>
      </c>
      <c r="CT31" s="47">
        <v>2328</v>
      </c>
      <c r="CU31" s="47">
        <v>5464</v>
      </c>
      <c r="CV31" s="47">
        <v>5464</v>
      </c>
      <c r="CW31" s="47">
        <v>5464</v>
      </c>
      <c r="CX31" s="47">
        <v>3016</v>
      </c>
      <c r="CY31" s="47">
        <v>2328</v>
      </c>
      <c r="CZ31" s="47">
        <v>3016</v>
      </c>
      <c r="DA31" s="47">
        <v>2328</v>
      </c>
      <c r="DB31" s="47">
        <v>2328</v>
      </c>
      <c r="DC31" s="47">
        <v>4205</v>
      </c>
      <c r="DD31" s="47">
        <v>2538</v>
      </c>
      <c r="DE31" s="47">
        <v>5306</v>
      </c>
      <c r="DF31" s="47">
        <v>2328</v>
      </c>
      <c r="DG31" s="47">
        <v>2328</v>
      </c>
      <c r="DH31" s="47">
        <v>2328</v>
      </c>
      <c r="DI31" s="47">
        <v>2328</v>
      </c>
      <c r="DJ31" s="47">
        <v>5306</v>
      </c>
      <c r="DK31" s="47">
        <v>2328</v>
      </c>
      <c r="DL31" s="47">
        <v>5306</v>
      </c>
      <c r="DM31" s="47">
        <v>2328</v>
      </c>
      <c r="DN31" s="47">
        <v>8074</v>
      </c>
      <c r="DO31" s="47">
        <v>2328</v>
      </c>
      <c r="DP31" s="47">
        <v>6167</v>
      </c>
      <c r="DQ31" s="47">
        <v>6167</v>
      </c>
      <c r="DR31" s="47">
        <v>8074</v>
      </c>
      <c r="DS31" s="47">
        <v>2328</v>
      </c>
      <c r="DT31" s="47">
        <v>8112</v>
      </c>
      <c r="DU31" s="47">
        <v>2328</v>
      </c>
      <c r="DV31" s="47">
        <v>3049</v>
      </c>
      <c r="DW31" s="47">
        <v>2328</v>
      </c>
      <c r="DX31" s="47">
        <v>2434</v>
      </c>
      <c r="DY31" s="47">
        <v>2328</v>
      </c>
      <c r="DZ31" s="47">
        <v>2328</v>
      </c>
      <c r="EA31" s="47">
        <v>8112</v>
      </c>
      <c r="EB31" s="47">
        <v>8112</v>
      </c>
      <c r="EC31" s="47">
        <v>3049</v>
      </c>
      <c r="ED31" s="47">
        <v>4205</v>
      </c>
      <c r="EE31" s="47">
        <v>2328</v>
      </c>
      <c r="EF31" s="47">
        <v>2328</v>
      </c>
    </row>
    <row r="32" spans="1:136">
      <c r="C32" s="47" t="s">
        <v>225</v>
      </c>
      <c r="D32" s="47" t="s">
        <v>226</v>
      </c>
      <c r="E32" s="47" t="s">
        <v>227</v>
      </c>
      <c r="F32" s="47" t="s">
        <v>228</v>
      </c>
      <c r="G32" s="47" t="s">
        <v>228</v>
      </c>
      <c r="H32" s="47" t="s">
        <v>227</v>
      </c>
      <c r="I32" s="47" t="s">
        <v>172</v>
      </c>
      <c r="J32" s="47" t="s">
        <v>229</v>
      </c>
      <c r="K32" s="47" t="s">
        <v>228</v>
      </c>
      <c r="L32" s="47" t="s">
        <v>227</v>
      </c>
      <c r="M32" s="47" t="s">
        <v>230</v>
      </c>
      <c r="N32" s="47" t="s">
        <v>227</v>
      </c>
      <c r="O32" s="47" t="s">
        <v>230</v>
      </c>
      <c r="P32" s="47" t="s">
        <v>169</v>
      </c>
      <c r="Q32" s="47" t="s">
        <v>169</v>
      </c>
      <c r="R32" s="47" t="s">
        <v>169</v>
      </c>
      <c r="S32" s="47" t="s">
        <v>169</v>
      </c>
      <c r="T32" s="47" t="s">
        <v>231</v>
      </c>
      <c r="U32" s="47" t="s">
        <v>169</v>
      </c>
      <c r="V32" s="47" t="s">
        <v>169</v>
      </c>
      <c r="W32" s="47" t="s">
        <v>227</v>
      </c>
      <c r="X32" s="47" t="s">
        <v>202</v>
      </c>
      <c r="Y32" s="47" t="s">
        <v>169</v>
      </c>
      <c r="Z32" s="47" t="s">
        <v>169</v>
      </c>
      <c r="AA32" s="47" t="s">
        <v>202</v>
      </c>
      <c r="AB32" s="47" t="s">
        <v>169</v>
      </c>
      <c r="AC32" s="47" t="s">
        <v>232</v>
      </c>
      <c r="AD32" s="47" t="s">
        <v>227</v>
      </c>
      <c r="AE32" s="47" t="s">
        <v>194</v>
      </c>
      <c r="AF32" s="47" t="s">
        <v>233</v>
      </c>
      <c r="AG32" s="47" t="s">
        <v>169</v>
      </c>
      <c r="AH32" s="47" t="s">
        <v>234</v>
      </c>
      <c r="AI32" s="47" t="s">
        <v>227</v>
      </c>
      <c r="AJ32" s="47" t="s">
        <v>235</v>
      </c>
      <c r="AK32" s="47" t="s">
        <v>173</v>
      </c>
      <c r="AL32" s="47" t="s">
        <v>227</v>
      </c>
      <c r="AM32" s="47" t="s">
        <v>173</v>
      </c>
      <c r="AN32" s="47" t="s">
        <v>236</v>
      </c>
      <c r="AO32" s="47" t="s">
        <v>182</v>
      </c>
      <c r="AP32" s="47" t="s">
        <v>182</v>
      </c>
      <c r="AQ32" s="47" t="s">
        <v>227</v>
      </c>
      <c r="AR32" s="47" t="s">
        <v>227</v>
      </c>
      <c r="AS32" s="47" t="s">
        <v>236</v>
      </c>
      <c r="AT32" s="47" t="s">
        <v>215</v>
      </c>
      <c r="AU32" s="47" t="s">
        <v>227</v>
      </c>
      <c r="AV32" s="47" t="s">
        <v>237</v>
      </c>
      <c r="AW32" s="47" t="s">
        <v>229</v>
      </c>
      <c r="AX32" s="47" t="s">
        <v>238</v>
      </c>
      <c r="AY32" s="47" t="s">
        <v>234</v>
      </c>
      <c r="AZ32" s="47" t="s">
        <v>227</v>
      </c>
      <c r="BA32" s="47" t="s">
        <v>227</v>
      </c>
      <c r="BB32" s="47" t="s">
        <v>189</v>
      </c>
      <c r="BC32" s="47" t="s">
        <v>189</v>
      </c>
      <c r="BD32" s="47" t="s">
        <v>227</v>
      </c>
      <c r="BE32" s="47" t="s">
        <v>189</v>
      </c>
      <c r="BF32" s="47" t="s">
        <v>189</v>
      </c>
      <c r="BG32" s="47" t="s">
        <v>189</v>
      </c>
      <c r="BH32" s="47" t="s">
        <v>189</v>
      </c>
      <c r="BI32" s="47" t="s">
        <v>239</v>
      </c>
      <c r="BJ32" s="47" t="s">
        <v>227</v>
      </c>
      <c r="BK32" s="47" t="s">
        <v>227</v>
      </c>
      <c r="BL32" s="47" t="s">
        <v>196</v>
      </c>
      <c r="BM32" s="47" t="s">
        <v>240</v>
      </c>
      <c r="BN32" s="47" t="s">
        <v>227</v>
      </c>
      <c r="BO32" s="47" t="s">
        <v>239</v>
      </c>
      <c r="BP32" s="47" t="s">
        <v>227</v>
      </c>
      <c r="BQ32" s="47" t="s">
        <v>239</v>
      </c>
      <c r="BR32" s="47" t="s">
        <v>206</v>
      </c>
      <c r="BS32" s="47" t="s">
        <v>173</v>
      </c>
      <c r="BT32" s="47" t="s">
        <v>227</v>
      </c>
      <c r="BU32" s="47" t="s">
        <v>227</v>
      </c>
      <c r="BV32" s="47" t="s">
        <v>241</v>
      </c>
      <c r="BW32" s="47" t="s">
        <v>242</v>
      </c>
      <c r="BX32" s="47" t="s">
        <v>227</v>
      </c>
      <c r="BY32" s="47" t="s">
        <v>243</v>
      </c>
      <c r="BZ32" s="47" t="s">
        <v>244</v>
      </c>
      <c r="CA32" s="47" t="s">
        <v>245</v>
      </c>
      <c r="CB32" s="47" t="s">
        <v>227</v>
      </c>
      <c r="CC32" s="47" t="s">
        <v>227</v>
      </c>
      <c r="CD32" s="47" t="s">
        <v>245</v>
      </c>
      <c r="CE32" s="47" t="s">
        <v>227</v>
      </c>
      <c r="CF32" s="47" t="s">
        <v>199</v>
      </c>
      <c r="CG32" s="47" t="s">
        <v>246</v>
      </c>
      <c r="CH32" s="47" t="s">
        <v>244</v>
      </c>
      <c r="CI32" s="47" t="s">
        <v>245</v>
      </c>
      <c r="CJ32" s="47" t="s">
        <v>247</v>
      </c>
      <c r="CK32" s="47" t="s">
        <v>247</v>
      </c>
      <c r="CL32" s="47" t="s">
        <v>245</v>
      </c>
      <c r="CM32" s="47" t="s">
        <v>227</v>
      </c>
      <c r="CN32" s="47" t="s">
        <v>248</v>
      </c>
      <c r="CO32" s="47" t="s">
        <v>227</v>
      </c>
      <c r="CP32" s="47" t="s">
        <v>245</v>
      </c>
      <c r="CQ32" s="47" t="s">
        <v>200</v>
      </c>
      <c r="CR32" s="47" t="s">
        <v>200</v>
      </c>
      <c r="CS32" s="47" t="s">
        <v>200</v>
      </c>
      <c r="CT32" s="47" t="s">
        <v>227</v>
      </c>
      <c r="CU32" s="47" t="s">
        <v>249</v>
      </c>
      <c r="CV32" s="47" t="s">
        <v>249</v>
      </c>
      <c r="CW32" s="47" t="s">
        <v>249</v>
      </c>
      <c r="CX32" s="47" t="s">
        <v>209</v>
      </c>
      <c r="CY32" s="47" t="s">
        <v>227</v>
      </c>
      <c r="CZ32" s="47" t="s">
        <v>209</v>
      </c>
      <c r="DA32" s="47" t="s">
        <v>227</v>
      </c>
      <c r="DB32" s="47" t="s">
        <v>227</v>
      </c>
      <c r="DC32" s="47" t="s">
        <v>245</v>
      </c>
      <c r="DD32" s="47" t="s">
        <v>173</v>
      </c>
      <c r="DE32" s="47" t="s">
        <v>214</v>
      </c>
      <c r="DF32" s="47" t="s">
        <v>227</v>
      </c>
      <c r="DG32" s="47" t="s">
        <v>227</v>
      </c>
      <c r="DH32" s="47" t="s">
        <v>227</v>
      </c>
      <c r="DI32" s="47" t="s">
        <v>227</v>
      </c>
      <c r="DJ32" s="47" t="s">
        <v>214</v>
      </c>
      <c r="DK32" s="47" t="s">
        <v>227</v>
      </c>
      <c r="DL32" s="47" t="s">
        <v>214</v>
      </c>
      <c r="DM32" s="47" t="s">
        <v>227</v>
      </c>
      <c r="DN32" s="47" t="s">
        <v>224</v>
      </c>
      <c r="DO32" s="47" t="s">
        <v>227</v>
      </c>
      <c r="DP32" s="47" t="s">
        <v>250</v>
      </c>
      <c r="DQ32" s="47" t="s">
        <v>250</v>
      </c>
      <c r="DR32" s="47" t="s">
        <v>224</v>
      </c>
      <c r="DS32" s="47" t="s">
        <v>227</v>
      </c>
      <c r="DT32" s="47" t="s">
        <v>251</v>
      </c>
      <c r="DU32" s="47" t="s">
        <v>227</v>
      </c>
      <c r="DV32" s="47" t="s">
        <v>252</v>
      </c>
      <c r="DW32" s="47" t="s">
        <v>227</v>
      </c>
      <c r="DX32" s="47" t="s">
        <v>219</v>
      </c>
      <c r="DY32" s="47" t="s">
        <v>227</v>
      </c>
      <c r="DZ32" s="47" t="s">
        <v>227</v>
      </c>
      <c r="EA32" s="47" t="s">
        <v>251</v>
      </c>
      <c r="EB32" s="47" t="s">
        <v>251</v>
      </c>
      <c r="EC32" s="47" t="s">
        <v>252</v>
      </c>
      <c r="ED32" s="47" t="s">
        <v>245</v>
      </c>
      <c r="EE32" s="47" t="s">
        <v>227</v>
      </c>
      <c r="EF32" s="47" t="s">
        <v>227</v>
      </c>
    </row>
  </sheetData>
  <mergeCells count="2">
    <mergeCell ref="A8:B8"/>
    <mergeCell ref="A12:B1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CA69-8D97-4623-B368-93A1BA7A5714}">
  <dimension ref="A1:EH27"/>
  <sheetViews>
    <sheetView zoomScale="110" zoomScaleNormal="74" workbookViewId="0">
      <selection activeCell="EH15" sqref="EH15"/>
    </sheetView>
  </sheetViews>
  <sheetFormatPr baseColWidth="10" defaultColWidth="8.83203125" defaultRowHeight="15"/>
  <cols>
    <col min="1" max="1" width="8.83203125" style="23" customWidth="1"/>
    <col min="2" max="2" width="8.33203125" style="23" customWidth="1"/>
    <col min="3" max="10" width="8.83203125" bestFit="1" customWidth="1"/>
    <col min="11" max="11" width="8.1640625" style="23" customWidth="1"/>
    <col min="12" max="55" width="8.83203125" bestFit="1" customWidth="1"/>
    <col min="56" max="56" width="13.83203125" bestFit="1" customWidth="1"/>
    <col min="57" max="135" width="8.83203125" bestFit="1" customWidth="1"/>
    <col min="136" max="136" width="9.83203125" customWidth="1"/>
  </cols>
  <sheetData>
    <row r="1" spans="1:138" s="3" customFormat="1" ht="16">
      <c r="A1" s="54" t="s">
        <v>143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38" s="3" customFormat="1">
      <c r="A2" s="23"/>
      <c r="B2" s="23"/>
      <c r="C2"/>
      <c r="D2"/>
      <c r="E2"/>
      <c r="F2"/>
      <c r="G2"/>
      <c r="H2"/>
      <c r="I2"/>
      <c r="J2"/>
      <c r="K2" s="23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</row>
    <row r="3" spans="1:138" s="3" customFormat="1">
      <c r="A3" s="23"/>
      <c r="B3" s="23"/>
      <c r="C3"/>
      <c r="D3"/>
      <c r="E3"/>
      <c r="F3"/>
      <c r="G3"/>
      <c r="H3"/>
      <c r="I3"/>
      <c r="J3"/>
      <c r="K3" s="2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</row>
    <row r="4" spans="1:138" s="3" customFormat="1" ht="18">
      <c r="A4" s="7" t="s">
        <v>138</v>
      </c>
      <c r="B4" s="8" t="s">
        <v>139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4" t="s">
        <v>12</v>
      </c>
      <c r="M4" s="14" t="s">
        <v>13</v>
      </c>
      <c r="N4" s="14" t="s">
        <v>14</v>
      </c>
      <c r="O4" s="14" t="s">
        <v>15</v>
      </c>
      <c r="P4" s="14" t="s">
        <v>16</v>
      </c>
      <c r="Q4" s="14" t="s">
        <v>17</v>
      </c>
      <c r="R4" s="14" t="s">
        <v>18</v>
      </c>
      <c r="S4" s="14" t="s">
        <v>19</v>
      </c>
      <c r="T4" s="14" t="s">
        <v>20</v>
      </c>
      <c r="U4" s="14" t="s">
        <v>21</v>
      </c>
      <c r="V4" s="14" t="s">
        <v>22</v>
      </c>
      <c r="W4" s="14" t="s">
        <v>23</v>
      </c>
      <c r="X4" s="14" t="s">
        <v>24</v>
      </c>
      <c r="Y4" s="14" t="s">
        <v>25</v>
      </c>
      <c r="Z4" s="14" t="s">
        <v>26</v>
      </c>
      <c r="AA4" s="14" t="s">
        <v>27</v>
      </c>
      <c r="AB4" s="14" t="s">
        <v>28</v>
      </c>
      <c r="AC4" s="14" t="s">
        <v>29</v>
      </c>
      <c r="AD4" s="14" t="s">
        <v>30</v>
      </c>
      <c r="AE4" s="14" t="s">
        <v>31</v>
      </c>
      <c r="AF4" s="14" t="s">
        <v>32</v>
      </c>
      <c r="AG4" s="14" t="s">
        <v>33</v>
      </c>
      <c r="AH4" s="14" t="s">
        <v>34</v>
      </c>
      <c r="AI4" s="14" t="s">
        <v>35</v>
      </c>
      <c r="AJ4" s="14" t="s">
        <v>36</v>
      </c>
      <c r="AK4" s="14" t="s">
        <v>37</v>
      </c>
      <c r="AL4" s="14" t="s">
        <v>38</v>
      </c>
      <c r="AM4" s="14" t="s">
        <v>39</v>
      </c>
      <c r="AN4" s="14" t="s">
        <v>40</v>
      </c>
      <c r="AO4" s="14" t="s">
        <v>41</v>
      </c>
      <c r="AP4" s="14" t="s">
        <v>42</v>
      </c>
      <c r="AQ4" s="14" t="s">
        <v>43</v>
      </c>
      <c r="AR4" s="14" t="s">
        <v>44</v>
      </c>
      <c r="AS4" s="14" t="s">
        <v>45</v>
      </c>
      <c r="AT4" s="14" t="s">
        <v>46</v>
      </c>
      <c r="AU4" s="14" t="s">
        <v>47</v>
      </c>
      <c r="AV4" s="14" t="s">
        <v>48</v>
      </c>
      <c r="AW4" s="14" t="s">
        <v>49</v>
      </c>
      <c r="AX4" s="14" t="s">
        <v>50</v>
      </c>
      <c r="AY4" s="14" t="s">
        <v>51</v>
      </c>
      <c r="AZ4" s="14" t="s">
        <v>52</v>
      </c>
      <c r="BA4" s="14" t="s">
        <v>53</v>
      </c>
      <c r="BB4" s="14" t="s">
        <v>54</v>
      </c>
      <c r="BC4" s="14" t="s">
        <v>55</v>
      </c>
      <c r="BD4" s="14" t="s">
        <v>56</v>
      </c>
      <c r="BE4" s="14" t="s">
        <v>57</v>
      </c>
      <c r="BF4" s="14" t="s">
        <v>58</v>
      </c>
      <c r="BG4" s="14" t="s">
        <v>59</v>
      </c>
      <c r="BH4" s="14" t="s">
        <v>60</v>
      </c>
      <c r="BI4" s="14" t="s">
        <v>61</v>
      </c>
      <c r="BJ4" s="14" t="s">
        <v>62</v>
      </c>
      <c r="BK4" s="14" t="s">
        <v>63</v>
      </c>
      <c r="BL4" s="14" t="s">
        <v>64</v>
      </c>
      <c r="BM4" s="14" t="s">
        <v>65</v>
      </c>
      <c r="BN4" s="14" t="s">
        <v>66</v>
      </c>
      <c r="BO4" s="14" t="s">
        <v>67</v>
      </c>
      <c r="BP4" s="14" t="s">
        <v>68</v>
      </c>
      <c r="BQ4" s="14" t="s">
        <v>69</v>
      </c>
      <c r="BR4" s="14" t="s">
        <v>70</v>
      </c>
      <c r="BS4" s="14" t="s">
        <v>71</v>
      </c>
      <c r="BT4" s="14" t="s">
        <v>72</v>
      </c>
      <c r="BU4" s="14" t="s">
        <v>73</v>
      </c>
      <c r="BV4" s="14" t="s">
        <v>74</v>
      </c>
      <c r="BW4" s="14" t="s">
        <v>75</v>
      </c>
      <c r="BX4" s="14" t="s">
        <v>76</v>
      </c>
      <c r="BY4" s="14" t="s">
        <v>77</v>
      </c>
      <c r="BZ4" s="14" t="s">
        <v>78</v>
      </c>
      <c r="CA4" s="14" t="s">
        <v>79</v>
      </c>
      <c r="CB4" s="14" t="s">
        <v>80</v>
      </c>
      <c r="CC4" s="14" t="s">
        <v>81</v>
      </c>
      <c r="CD4" s="14" t="s">
        <v>82</v>
      </c>
      <c r="CE4" s="14" t="s">
        <v>83</v>
      </c>
      <c r="CF4" s="14" t="s">
        <v>84</v>
      </c>
      <c r="CG4" s="14" t="s">
        <v>85</v>
      </c>
      <c r="CH4" s="14" t="s">
        <v>86</v>
      </c>
      <c r="CI4" s="14" t="s">
        <v>87</v>
      </c>
      <c r="CJ4" s="14" t="s">
        <v>88</v>
      </c>
      <c r="CK4" s="14" t="s">
        <v>89</v>
      </c>
      <c r="CL4" s="14" t="s">
        <v>90</v>
      </c>
      <c r="CM4" s="14" t="s">
        <v>91</v>
      </c>
      <c r="CN4" s="14" t="s">
        <v>92</v>
      </c>
      <c r="CO4" s="14" t="s">
        <v>93</v>
      </c>
      <c r="CP4" s="14" t="s">
        <v>94</v>
      </c>
      <c r="CQ4" s="14" t="s">
        <v>95</v>
      </c>
      <c r="CR4" s="14" t="s">
        <v>96</v>
      </c>
      <c r="CS4" s="14" t="s">
        <v>97</v>
      </c>
      <c r="CT4" s="14" t="s">
        <v>98</v>
      </c>
      <c r="CU4" s="14" t="s">
        <v>99</v>
      </c>
      <c r="CV4" s="14" t="s">
        <v>100</v>
      </c>
      <c r="CW4" s="14" t="s">
        <v>101</v>
      </c>
      <c r="CX4" s="14" t="s">
        <v>102</v>
      </c>
      <c r="CY4" s="14" t="s">
        <v>103</v>
      </c>
      <c r="CZ4" s="14" t="s">
        <v>104</v>
      </c>
      <c r="DA4" s="14" t="s">
        <v>105</v>
      </c>
      <c r="DB4" s="14" t="s">
        <v>106</v>
      </c>
      <c r="DC4" s="14" t="s">
        <v>107</v>
      </c>
      <c r="DD4" s="14" t="s">
        <v>108</v>
      </c>
      <c r="DE4" s="14" t="s">
        <v>109</v>
      </c>
      <c r="DF4" s="14" t="s">
        <v>110</v>
      </c>
      <c r="DG4" s="14" t="s">
        <v>111</v>
      </c>
      <c r="DH4" s="14" t="s">
        <v>112</v>
      </c>
      <c r="DI4" s="14" t="s">
        <v>113</v>
      </c>
      <c r="DJ4" s="14" t="s">
        <v>114</v>
      </c>
      <c r="DK4" s="14" t="s">
        <v>115</v>
      </c>
      <c r="DL4" s="14" t="s">
        <v>116</v>
      </c>
      <c r="DM4" s="14" t="s">
        <v>117</v>
      </c>
      <c r="DN4" s="14" t="s">
        <v>118</v>
      </c>
      <c r="DO4" s="14" t="s">
        <v>119</v>
      </c>
      <c r="DP4" s="14" t="s">
        <v>120</v>
      </c>
      <c r="DQ4" s="14" t="s">
        <v>121</v>
      </c>
      <c r="DR4" s="14" t="s">
        <v>122</v>
      </c>
      <c r="DS4" s="14" t="s">
        <v>123</v>
      </c>
      <c r="DT4" s="14" t="s">
        <v>124</v>
      </c>
      <c r="DU4" s="14" t="s">
        <v>125</v>
      </c>
      <c r="DV4" s="14" t="s">
        <v>126</v>
      </c>
      <c r="DW4" s="14" t="s">
        <v>127</v>
      </c>
      <c r="DX4" s="14" t="s">
        <v>128</v>
      </c>
      <c r="DY4" s="14" t="s">
        <v>129</v>
      </c>
      <c r="DZ4" s="14" t="s">
        <v>130</v>
      </c>
      <c r="EA4" s="14" t="s">
        <v>131</v>
      </c>
      <c r="EB4" s="14" t="s">
        <v>132</v>
      </c>
      <c r="EC4" s="14" t="s">
        <v>133</v>
      </c>
      <c r="ED4" s="14" t="s">
        <v>134</v>
      </c>
      <c r="EE4" s="14" t="s">
        <v>140</v>
      </c>
      <c r="EF4" s="14" t="s">
        <v>144</v>
      </c>
      <c r="EG4" s="12" t="s">
        <v>145</v>
      </c>
      <c r="EH4" s="12" t="s">
        <v>146</v>
      </c>
    </row>
    <row r="5" spans="1:138" s="3" customFormat="1" ht="16">
      <c r="A5" s="6">
        <v>10</v>
      </c>
      <c r="B5" s="6">
        <v>96</v>
      </c>
      <c r="C5" s="26">
        <f>IF(預測IC!C14&gt;預測IC!C$27,1,0)</f>
        <v>1</v>
      </c>
      <c r="D5" s="26">
        <f>IF(預測IC!D14&gt;預測IC!D$27,1,0)</f>
        <v>0</v>
      </c>
      <c r="E5" s="26">
        <f>IF(預測IC!E14&gt;預測IC!E$27,1,0)</f>
        <v>0</v>
      </c>
      <c r="F5" s="26">
        <f>IF(預測IC!F14&gt;預測IC!F$27,1,0)</f>
        <v>0</v>
      </c>
      <c r="G5" s="26">
        <f>IF(預測IC!G14&gt;預測IC!G$27,1,0)</f>
        <v>0</v>
      </c>
      <c r="H5" s="26">
        <f>IF(預測IC!H14&gt;預測IC!H$27,1,0)</f>
        <v>0</v>
      </c>
      <c r="I5" s="26">
        <f>IF(預測IC!I14&gt;預測IC!I$27,1,0)</f>
        <v>0</v>
      </c>
      <c r="J5" s="26">
        <f>IF(預測IC!J14&gt;預測IC!J$27,1,0)</f>
        <v>0</v>
      </c>
      <c r="K5" s="26">
        <f>IF(預測IC!K14&gt;預測IC!K$27,1,0)</f>
        <v>1</v>
      </c>
      <c r="L5" s="26">
        <f>IF(預測IC!L14&gt;預測IC!L$27,1,0)</f>
        <v>1</v>
      </c>
      <c r="M5" s="26">
        <f>IF(預測IC!M14&gt;預測IC!M$27,1,0)</f>
        <v>1</v>
      </c>
      <c r="N5" s="26">
        <f>IF(預測IC!N14&gt;預測IC!N$27,1,0)</f>
        <v>0</v>
      </c>
      <c r="O5" s="26">
        <f>IF(預測IC!O14&gt;預測IC!O$27,1,0)</f>
        <v>1</v>
      </c>
      <c r="P5" s="26">
        <f>IF(預測IC!P14&gt;預測IC!P$27,1,0)</f>
        <v>0</v>
      </c>
      <c r="Q5" s="26">
        <f>IF(預測IC!Q14&gt;預測IC!Q$27,1,0)</f>
        <v>1</v>
      </c>
      <c r="R5" s="26">
        <f>IF(預測IC!R14&gt;預測IC!R$27,1,0)</f>
        <v>0</v>
      </c>
      <c r="S5" s="26">
        <f>IF(預測IC!S14&gt;預測IC!S$27,1,0)</f>
        <v>1</v>
      </c>
      <c r="T5" s="26">
        <f>IF(預測IC!T14&gt;預測IC!T$27,1,0)</f>
        <v>1</v>
      </c>
      <c r="U5" s="26">
        <f>IF(預測IC!U14&gt;預測IC!U$27,1,0)</f>
        <v>1</v>
      </c>
      <c r="V5" s="26">
        <f>IF(預測IC!V14&gt;預測IC!V$27,1,0)</f>
        <v>1</v>
      </c>
      <c r="W5" s="26">
        <f>IF(預測IC!W14&gt;預測IC!W$27,1,0)</f>
        <v>0</v>
      </c>
      <c r="X5" s="26">
        <f>IF(預測IC!X14&gt;預測IC!X$27,1,0)</f>
        <v>0</v>
      </c>
      <c r="Y5" s="26">
        <f>IF(預測IC!Y14&gt;預測IC!Y$27,1,0)</f>
        <v>1</v>
      </c>
      <c r="Z5" s="26">
        <f>IF(預測IC!Z14&gt;預測IC!Z$27,1,0)</f>
        <v>1</v>
      </c>
      <c r="AA5" s="26">
        <f>IF(預測IC!AA14&gt;預測IC!AA$27,1,0)</f>
        <v>0</v>
      </c>
      <c r="AB5" s="26">
        <f>IF(預測IC!AB14&gt;預測IC!AB$27,1,0)</f>
        <v>0</v>
      </c>
      <c r="AC5" s="26">
        <f>IF(預測IC!AC14&gt;預測IC!AC$27,1,0)</f>
        <v>1</v>
      </c>
      <c r="AD5" s="26">
        <f>IF(預測IC!AD14&gt;預測IC!AD$27,1,0)</f>
        <v>1</v>
      </c>
      <c r="AE5" s="26">
        <f>IF(預測IC!AE14&gt;預測IC!AE$27,1,0)</f>
        <v>0</v>
      </c>
      <c r="AF5" s="26">
        <f>IF(預測IC!AF14&gt;預測IC!AF$27,1,0)</f>
        <v>1</v>
      </c>
      <c r="AG5" s="26">
        <f>IF(預測IC!AG14&gt;預測IC!AG$27,1,0)</f>
        <v>0</v>
      </c>
      <c r="AH5" s="26">
        <f>IF(預測IC!AH14&gt;預測IC!AH$27,1,0)</f>
        <v>1</v>
      </c>
      <c r="AI5" s="26">
        <f>IF(預測IC!AI14&gt;預測IC!AI$27,1,0)</f>
        <v>0</v>
      </c>
      <c r="AJ5" s="26">
        <f>IF(預測IC!AJ14&gt;預測IC!AJ$27,1,0)</f>
        <v>0</v>
      </c>
      <c r="AK5" s="26">
        <f>IF(預測IC!AK14&gt;預測IC!AK$27,1,0)</f>
        <v>0</v>
      </c>
      <c r="AL5" s="26">
        <f>IF(預測IC!AL14&gt;預測IC!AL$27,1,0)</f>
        <v>1</v>
      </c>
      <c r="AM5" s="26">
        <f>IF(預測IC!AM14&gt;預測IC!AM$27,1,0)</f>
        <v>0</v>
      </c>
      <c r="AN5" s="26">
        <f>IF(預測IC!AN14&gt;預測IC!AN$27,1,0)</f>
        <v>0</v>
      </c>
      <c r="AO5" s="26">
        <f>IF(預測IC!AO14&gt;預測IC!AO$27,1,0)</f>
        <v>0</v>
      </c>
      <c r="AP5" s="26">
        <f>IF(預測IC!AP14&gt;預測IC!AP$27,1,0)</f>
        <v>0</v>
      </c>
      <c r="AQ5" s="26">
        <f>IF(預測IC!AQ14&gt;預測IC!AQ$27,1,0)</f>
        <v>0</v>
      </c>
      <c r="AR5" s="26">
        <f>IF(預測IC!AR14&gt;預測IC!AR$27,1,0)</f>
        <v>0</v>
      </c>
      <c r="AS5" s="26">
        <f>IF(預測IC!AS14&gt;預測IC!AS$27,1,0)</f>
        <v>0</v>
      </c>
      <c r="AT5" s="26">
        <f>IF(預測IC!AT14&gt;預測IC!AT$27,1,0)</f>
        <v>0</v>
      </c>
      <c r="AU5" s="26">
        <f>IF(預測IC!AU14&gt;預測IC!AU$27,1,0)</f>
        <v>1</v>
      </c>
      <c r="AV5" s="26">
        <f>IF(預測IC!AV14&gt;預測IC!AV$27,1,0)</f>
        <v>0</v>
      </c>
      <c r="AW5" s="26">
        <f>IF(預測IC!AW14&gt;預測IC!AW$27,1,0)</f>
        <v>1</v>
      </c>
      <c r="AX5" s="26">
        <f>IF(預測IC!AX14&gt;預測IC!AX$27,1,0)</f>
        <v>0</v>
      </c>
      <c r="AY5" s="26">
        <f>IF(預測IC!AY14&gt;預測IC!AY$27,1,0)</f>
        <v>1</v>
      </c>
      <c r="AZ5" s="26">
        <f>IF(預測IC!AZ14&gt;預測IC!AZ$27,1,0)</f>
        <v>0</v>
      </c>
      <c r="BA5" s="26">
        <f>IF(預測IC!BA14&gt;預測IC!BA$27,1,0)</f>
        <v>0</v>
      </c>
      <c r="BB5" s="26">
        <f>IF(預測IC!BB14&gt;預測IC!BB$27,1,0)</f>
        <v>1</v>
      </c>
      <c r="BC5" s="26">
        <f>IF(預測IC!BC14&gt;預測IC!BC$27,1,0)</f>
        <v>1</v>
      </c>
      <c r="BD5" s="26">
        <f>IF(預測IC!BD14&gt;預測IC!BD$27,1,0)</f>
        <v>0</v>
      </c>
      <c r="BE5" s="26">
        <f>IF(預測IC!BE14&gt;預測IC!BE$27,1,0)</f>
        <v>1</v>
      </c>
      <c r="BF5" s="26">
        <f>IF(預測IC!BF14&gt;預測IC!BF$27,1,0)</f>
        <v>1</v>
      </c>
      <c r="BG5" s="26">
        <f>IF(預測IC!BG14&gt;預測IC!BG$27,1,0)</f>
        <v>1</v>
      </c>
      <c r="BH5" s="26">
        <f>IF(預測IC!BH14&gt;預測IC!BH$27,1,0)</f>
        <v>1</v>
      </c>
      <c r="BI5" s="26">
        <f>IF(預測IC!BI14&gt;預測IC!BI$27,1,0)</f>
        <v>1</v>
      </c>
      <c r="BJ5" s="26">
        <f>IF(預測IC!BJ14&gt;預測IC!BJ$27,1,0)</f>
        <v>0</v>
      </c>
      <c r="BK5" s="26">
        <f>IF(預測IC!BK14&gt;預測IC!BK$27,1,0)</f>
        <v>0</v>
      </c>
      <c r="BL5" s="26">
        <f>IF(預測IC!BL14&gt;預測IC!BL$27,1,0)</f>
        <v>0</v>
      </c>
      <c r="BM5" s="26">
        <f>IF(預測IC!BM14&gt;預測IC!BM$27,1,0)</f>
        <v>0</v>
      </c>
      <c r="BN5" s="26">
        <f>IF(預測IC!BN14&gt;預測IC!BN$27,1,0)</f>
        <v>0</v>
      </c>
      <c r="BO5" s="26">
        <f>IF(預測IC!BO14&gt;預測IC!BO$27,1,0)</f>
        <v>0</v>
      </c>
      <c r="BP5" s="26">
        <f>IF(預測IC!BP14&gt;預測IC!BP$27,1,0)</f>
        <v>0</v>
      </c>
      <c r="BQ5" s="26">
        <f>IF(預測IC!BQ14&gt;預測IC!BQ$27,1,0)</f>
        <v>0</v>
      </c>
      <c r="BR5" s="26">
        <f>IF(預測IC!BR14&gt;預測IC!BR$27,1,0)</f>
        <v>0</v>
      </c>
      <c r="BS5" s="26">
        <f>IF(預測IC!BS14&gt;預測IC!BS$27,1,0)</f>
        <v>0</v>
      </c>
      <c r="BT5" s="26">
        <f>IF(預測IC!BT14&gt;預測IC!BT$27,1,0)</f>
        <v>0</v>
      </c>
      <c r="BU5" s="26">
        <f>IF(預測IC!BU14&gt;預測IC!BU$27,1,0)</f>
        <v>0</v>
      </c>
      <c r="BV5" s="26">
        <f>IF(預測IC!BV14&gt;預測IC!BV$27,1,0)</f>
        <v>0</v>
      </c>
      <c r="BW5" s="26">
        <f>IF(預測IC!BW14&gt;預測IC!BW$27,1,0)</f>
        <v>1</v>
      </c>
      <c r="BX5" s="26">
        <f>IF(預測IC!BX14&gt;預測IC!BX$27,1,0)</f>
        <v>1</v>
      </c>
      <c r="BY5" s="26">
        <f>IF(預測IC!BY14&gt;預測IC!BY$27,1,0)</f>
        <v>1</v>
      </c>
      <c r="BZ5" s="26">
        <f>IF(預測IC!BZ14&gt;預測IC!BZ$27,1,0)</f>
        <v>0</v>
      </c>
      <c r="CA5" s="26">
        <f>IF(預測IC!CA14&gt;預測IC!CA$27,1,0)</f>
        <v>0</v>
      </c>
      <c r="CB5" s="26">
        <f>IF(預測IC!CB14&gt;預測IC!CB$27,1,0)</f>
        <v>0</v>
      </c>
      <c r="CC5" s="26">
        <f>IF(預測IC!CC14&gt;預測IC!CC$27,1,0)</f>
        <v>0</v>
      </c>
      <c r="CD5" s="26">
        <f>IF(預測IC!CD14&gt;預測IC!CD$27,1,0)</f>
        <v>0</v>
      </c>
      <c r="CE5" s="26">
        <f>IF(預測IC!CE14&gt;預測IC!CE$27,1,0)</f>
        <v>1</v>
      </c>
      <c r="CF5" s="26">
        <f>IF(預測IC!CF14&gt;預測IC!CF$27,1,0)</f>
        <v>1</v>
      </c>
      <c r="CG5" s="26">
        <f>IF(預測IC!CG14&gt;預測IC!CG$27,1,0)</f>
        <v>0</v>
      </c>
      <c r="CH5" s="26">
        <f>IF(預測IC!CH14&gt;預測IC!CH$27,1,0)</f>
        <v>0</v>
      </c>
      <c r="CI5" s="26">
        <f>IF(預測IC!CI14&gt;預測IC!CI$27,1,0)</f>
        <v>0</v>
      </c>
      <c r="CJ5" s="26">
        <f>IF(預測IC!CJ14&gt;預測IC!CJ$27,1,0)</f>
        <v>0</v>
      </c>
      <c r="CK5" s="26">
        <f>IF(預測IC!CK14&gt;預測IC!CK$27,1,0)</f>
        <v>0</v>
      </c>
      <c r="CL5" s="26">
        <f>IF(預測IC!CL14&gt;預測IC!CL$27,1,0)</f>
        <v>1</v>
      </c>
      <c r="CM5" s="26">
        <f>IF(預測IC!CM14&gt;預測IC!CM$27,1,0)</f>
        <v>1</v>
      </c>
      <c r="CN5" s="26">
        <f>IF(預測IC!CN14&gt;預測IC!CN$27,1,0)</f>
        <v>1</v>
      </c>
      <c r="CO5" s="26">
        <f>IF(預測IC!CO14&gt;預測IC!CO$27,1,0)</f>
        <v>0</v>
      </c>
      <c r="CP5" s="26">
        <f>IF(預測IC!CP14&gt;預測IC!CP$27,1,0)</f>
        <v>0</v>
      </c>
      <c r="CQ5" s="26">
        <f>IF(預測IC!CQ14&gt;預測IC!CQ$27,1,0)</f>
        <v>0</v>
      </c>
      <c r="CR5" s="26">
        <f>IF(預測IC!CR14&gt;預測IC!CR$27,1,0)</f>
        <v>0</v>
      </c>
      <c r="CS5" s="26">
        <f>IF(預測IC!CS14&gt;預測IC!CS$27,1,0)</f>
        <v>0</v>
      </c>
      <c r="CT5" s="26">
        <f>IF(預測IC!CT14&gt;預測IC!CT$27,1,0)</f>
        <v>0</v>
      </c>
      <c r="CU5" s="26">
        <f>IF(預測IC!CU14&gt;預測IC!CU$27,1,0)</f>
        <v>0</v>
      </c>
      <c r="CV5" s="26">
        <f>IF(預測IC!CV14&gt;預測IC!CV$27,1,0)</f>
        <v>1</v>
      </c>
      <c r="CW5" s="26">
        <f>IF(預測IC!CW14&gt;預測IC!CW$27,1,0)</f>
        <v>1</v>
      </c>
      <c r="CX5" s="26">
        <f>IF(預測IC!CX14&gt;預測IC!CX$27,1,0)</f>
        <v>1</v>
      </c>
      <c r="CY5" s="26">
        <f>IF(預測IC!CY14&gt;預測IC!CY$27,1,0)</f>
        <v>1</v>
      </c>
      <c r="CZ5" s="26">
        <f>IF(預測IC!CZ14&gt;預測IC!CZ$27,1,0)</f>
        <v>1</v>
      </c>
      <c r="DA5" s="26">
        <f>IF(預測IC!DA14&gt;預測IC!DA$27,1,0)</f>
        <v>1</v>
      </c>
      <c r="DB5" s="26">
        <f>IF(預測IC!DB14&gt;預測IC!DB$27,1,0)</f>
        <v>1</v>
      </c>
      <c r="DC5" s="26">
        <f>IF(預測IC!DC14&gt;預測IC!DC$27,1,0)</f>
        <v>1</v>
      </c>
      <c r="DD5" s="26">
        <f>IF(預測IC!DD14&gt;預測IC!DD$27,1,0)</f>
        <v>1</v>
      </c>
      <c r="DE5" s="26">
        <f>IF(預測IC!DE14&gt;預測IC!DE$27,1,0)</f>
        <v>0</v>
      </c>
      <c r="DF5" s="26">
        <f>IF(預測IC!DF14&gt;預測IC!DF$27,1,0)</f>
        <v>1</v>
      </c>
      <c r="DG5" s="26">
        <f>IF(預測IC!DG14&gt;預測IC!DG$27,1,0)</f>
        <v>0</v>
      </c>
      <c r="DH5" s="26">
        <f>IF(預測IC!DH14&gt;預測IC!DH$27,1,0)</f>
        <v>0</v>
      </c>
      <c r="DI5" s="26">
        <f>IF(預測IC!DI14&gt;預測IC!DI$27,1,0)</f>
        <v>0</v>
      </c>
      <c r="DJ5" s="26">
        <f>IF(預測IC!DJ14&gt;預測IC!DJ$27,1,0)</f>
        <v>1</v>
      </c>
      <c r="DK5" s="26">
        <f>IF(預測IC!DK14&gt;預測IC!DK$27,1,0)</f>
        <v>0</v>
      </c>
      <c r="DL5" s="26">
        <f>IF(預測IC!DL14&gt;預測IC!DL$27,1,0)</f>
        <v>0</v>
      </c>
      <c r="DM5" s="26">
        <f>IF(預測IC!DM14&gt;預測IC!DM$27,1,0)</f>
        <v>0</v>
      </c>
      <c r="DN5" s="26">
        <f>IF(預測IC!DN14&gt;預測IC!DN$27,1,0)</f>
        <v>1</v>
      </c>
      <c r="DO5" s="26">
        <f>IF(預測IC!DO14&gt;預測IC!DO$27,1,0)</f>
        <v>1</v>
      </c>
      <c r="DP5" s="26">
        <f>IF(預測IC!DP14&gt;預測IC!DP$27,1,0)</f>
        <v>1</v>
      </c>
      <c r="DQ5" s="26">
        <f>IF(預測IC!DQ14&gt;預測IC!DQ$27,1,0)</f>
        <v>0</v>
      </c>
      <c r="DR5" s="26">
        <f>IF(預測IC!DR14&gt;預測IC!DR$27,1,0)</f>
        <v>0</v>
      </c>
      <c r="DS5" s="26">
        <f>IF(預測IC!DS14&gt;預測IC!DS$27,1,0)</f>
        <v>1</v>
      </c>
      <c r="DT5" s="26">
        <f>IF(預測IC!DT14&gt;預測IC!DT$27,1,0)</f>
        <v>0</v>
      </c>
      <c r="DU5" s="26">
        <f>IF(預測IC!DU14&gt;預測IC!DU$27,1,0)</f>
        <v>0</v>
      </c>
      <c r="DV5" s="26">
        <f>IF(預測IC!DV14&gt;預測IC!DV$27,1,0)</f>
        <v>0</v>
      </c>
      <c r="DW5" s="26">
        <f>IF(預測IC!DW14&gt;預測IC!DW$27,1,0)</f>
        <v>0</v>
      </c>
      <c r="DX5" s="26">
        <f>IF(預測IC!DX14&gt;預測IC!DX$27,1,0)</f>
        <v>0</v>
      </c>
      <c r="DY5" s="26">
        <f>IF(預測IC!DY14&gt;預測IC!DY$27,1,0)</f>
        <v>1</v>
      </c>
      <c r="DZ5" s="26">
        <f>IF(預測IC!DZ14&gt;預測IC!DZ$27,1,0)</f>
        <v>1</v>
      </c>
      <c r="EA5" s="26">
        <f>IF(預測IC!EA14&gt;預測IC!EA$27,1,0)</f>
        <v>0</v>
      </c>
      <c r="EB5" s="26">
        <f>IF(預測IC!EB14&gt;預測IC!EB$27,1,0)</f>
        <v>1</v>
      </c>
      <c r="EC5" s="26">
        <f>IF(預測IC!EC14&gt;預測IC!EC$27,1,0)</f>
        <v>1</v>
      </c>
      <c r="ED5" s="26">
        <f>IF(預測IC!ED14&gt;預測IC!ED$27,1,0)</f>
        <v>0</v>
      </c>
      <c r="EE5" s="26">
        <f>IF(預測IC!EE14&gt;預測IC!EE$27,1,0)</f>
        <v>0</v>
      </c>
      <c r="EF5" s="26">
        <f>IF(預測IC!EF14&gt;預測IC!EF$27,1,0)</f>
        <v>0</v>
      </c>
      <c r="EG5" s="1">
        <f t="shared" ref="EG5:EG17" si="0">SUM(C5:EF5)</f>
        <v>54</v>
      </c>
      <c r="EH5" s="2">
        <f t="shared" ref="EH5:EH17" si="1">SUM(C5:EF5)/134</f>
        <v>0.40298507462686567</v>
      </c>
    </row>
    <row r="6" spans="1:138" s="3" customFormat="1" ht="16">
      <c r="A6" s="6">
        <v>20</v>
      </c>
      <c r="B6" s="6">
        <v>48</v>
      </c>
      <c r="C6" s="26">
        <f>IF(預測IC!C15&gt;預測IC!C$27,1,0)</f>
        <v>1</v>
      </c>
      <c r="D6" s="26">
        <f>IF(預測IC!D15&gt;預測IC!D$27,1,0)</f>
        <v>0</v>
      </c>
      <c r="E6" s="26">
        <f>IF(預測IC!E15&gt;預測IC!E$27,1,0)</f>
        <v>0</v>
      </c>
      <c r="F6" s="26">
        <f>IF(預測IC!F15&gt;預測IC!F$27,1,0)</f>
        <v>0</v>
      </c>
      <c r="G6" s="26">
        <f>IF(預測IC!G15&gt;預測IC!G$27,1,0)</f>
        <v>0</v>
      </c>
      <c r="H6" s="26">
        <f>IF(預測IC!H15&gt;預測IC!H$27,1,0)</f>
        <v>0</v>
      </c>
      <c r="I6" s="26">
        <f>IF(預測IC!I15&gt;預測IC!I$27,1,0)</f>
        <v>1</v>
      </c>
      <c r="J6" s="26">
        <f>IF(預測IC!J15&gt;預測IC!J$27,1,0)</f>
        <v>1</v>
      </c>
      <c r="K6" s="26">
        <f>IF(預測IC!K15&gt;預測IC!K$27,1,0)</f>
        <v>1</v>
      </c>
      <c r="L6" s="26">
        <f>IF(預測IC!L15&gt;預測IC!L$27,1,0)</f>
        <v>1</v>
      </c>
      <c r="M6" s="26">
        <f>IF(預測IC!M15&gt;預測IC!M$27,1,0)</f>
        <v>0</v>
      </c>
      <c r="N6" s="26">
        <f>IF(預測IC!N15&gt;預測IC!N$27,1,0)</f>
        <v>0</v>
      </c>
      <c r="O6" s="26">
        <f>IF(預測IC!O15&gt;預測IC!O$27,1,0)</f>
        <v>1</v>
      </c>
      <c r="P6" s="26">
        <f>IF(預測IC!P15&gt;預測IC!P$27,1,0)</f>
        <v>0</v>
      </c>
      <c r="Q6" s="26">
        <f>IF(預測IC!Q15&gt;預測IC!Q$27,1,0)</f>
        <v>1</v>
      </c>
      <c r="R6" s="26">
        <f>IF(預測IC!R15&gt;預測IC!R$27,1,0)</f>
        <v>0</v>
      </c>
      <c r="S6" s="26">
        <f>IF(預測IC!S15&gt;預測IC!S$27,1,0)</f>
        <v>1</v>
      </c>
      <c r="T6" s="26">
        <f>IF(預測IC!T15&gt;預測IC!T$27,1,0)</f>
        <v>1</v>
      </c>
      <c r="U6" s="26">
        <f>IF(預測IC!U15&gt;預測IC!U$27,1,0)</f>
        <v>1</v>
      </c>
      <c r="V6" s="26">
        <f>IF(預測IC!V15&gt;預測IC!V$27,1,0)</f>
        <v>1</v>
      </c>
      <c r="W6" s="26">
        <f>IF(預測IC!W15&gt;預測IC!W$27,1,0)</f>
        <v>0</v>
      </c>
      <c r="X6" s="26">
        <f>IF(預測IC!X15&gt;預測IC!X$27,1,0)</f>
        <v>0</v>
      </c>
      <c r="Y6" s="26">
        <f>IF(預測IC!Y15&gt;預測IC!Y$27,1,0)</f>
        <v>1</v>
      </c>
      <c r="Z6" s="26">
        <f>IF(預測IC!Z15&gt;預測IC!Z$27,1,0)</f>
        <v>1</v>
      </c>
      <c r="AA6" s="26">
        <f>IF(預測IC!AA15&gt;預測IC!AA$27,1,0)</f>
        <v>0</v>
      </c>
      <c r="AB6" s="26">
        <f>IF(預測IC!AB15&gt;預測IC!AB$27,1,0)</f>
        <v>0</v>
      </c>
      <c r="AC6" s="26">
        <f>IF(預測IC!AC15&gt;預測IC!AC$27,1,0)</f>
        <v>1</v>
      </c>
      <c r="AD6" s="26">
        <f>IF(預測IC!AD15&gt;預測IC!AD$27,1,0)</f>
        <v>1</v>
      </c>
      <c r="AE6" s="26">
        <f>IF(預測IC!AE15&gt;預測IC!AE$27,1,0)</f>
        <v>0</v>
      </c>
      <c r="AF6" s="26">
        <f>IF(預測IC!AF15&gt;預測IC!AF$27,1,0)</f>
        <v>1</v>
      </c>
      <c r="AG6" s="26">
        <f>IF(預測IC!AG15&gt;預測IC!AG$27,1,0)</f>
        <v>0</v>
      </c>
      <c r="AH6" s="26">
        <f>IF(預測IC!AH15&gt;預測IC!AH$27,1,0)</f>
        <v>1</v>
      </c>
      <c r="AI6" s="26">
        <f>IF(預測IC!AI15&gt;預測IC!AI$27,1,0)</f>
        <v>0</v>
      </c>
      <c r="AJ6" s="26">
        <f>IF(預測IC!AJ15&gt;預測IC!AJ$27,1,0)</f>
        <v>0</v>
      </c>
      <c r="AK6" s="26">
        <f>IF(預測IC!AK15&gt;預測IC!AK$27,1,0)</f>
        <v>0</v>
      </c>
      <c r="AL6" s="26">
        <f>IF(預測IC!AL15&gt;預測IC!AL$27,1,0)</f>
        <v>1</v>
      </c>
      <c r="AM6" s="26">
        <f>IF(預測IC!AM15&gt;預測IC!AM$27,1,0)</f>
        <v>0</v>
      </c>
      <c r="AN6" s="26">
        <f>IF(預測IC!AN15&gt;預測IC!AN$27,1,0)</f>
        <v>0</v>
      </c>
      <c r="AO6" s="26">
        <f>IF(預測IC!AO15&gt;預測IC!AO$27,1,0)</f>
        <v>0</v>
      </c>
      <c r="AP6" s="26">
        <f>IF(預測IC!AP15&gt;預測IC!AP$27,1,0)</f>
        <v>0</v>
      </c>
      <c r="AQ6" s="26">
        <f>IF(預測IC!AQ15&gt;預測IC!AQ$27,1,0)</f>
        <v>0</v>
      </c>
      <c r="AR6" s="26">
        <f>IF(預測IC!AR15&gt;預測IC!AR$27,1,0)</f>
        <v>0</v>
      </c>
      <c r="AS6" s="26">
        <f>IF(預測IC!AS15&gt;預測IC!AS$27,1,0)</f>
        <v>0</v>
      </c>
      <c r="AT6" s="26">
        <f>IF(預測IC!AT15&gt;預測IC!AT$27,1,0)</f>
        <v>0</v>
      </c>
      <c r="AU6" s="26">
        <f>IF(預測IC!AU15&gt;預測IC!AU$27,1,0)</f>
        <v>1</v>
      </c>
      <c r="AV6" s="26">
        <f>IF(預測IC!AV15&gt;預測IC!AV$27,1,0)</f>
        <v>0</v>
      </c>
      <c r="AW6" s="26">
        <f>IF(預測IC!AW15&gt;預測IC!AW$27,1,0)</f>
        <v>1</v>
      </c>
      <c r="AX6" s="26">
        <f>IF(預測IC!AX15&gt;預測IC!AX$27,1,0)</f>
        <v>0</v>
      </c>
      <c r="AY6" s="26">
        <f>IF(預測IC!AY15&gt;預測IC!AY$27,1,0)</f>
        <v>1</v>
      </c>
      <c r="AZ6" s="26">
        <f>IF(預測IC!AZ15&gt;預測IC!AZ$27,1,0)</f>
        <v>1</v>
      </c>
      <c r="BA6" s="26">
        <f>IF(預測IC!BA15&gt;預測IC!BA$27,1,0)</f>
        <v>1</v>
      </c>
      <c r="BB6" s="26">
        <f>IF(預測IC!BB15&gt;預測IC!BB$27,1,0)</f>
        <v>1</v>
      </c>
      <c r="BC6" s="26">
        <f>IF(預測IC!BC15&gt;預測IC!BC$27,1,0)</f>
        <v>0</v>
      </c>
      <c r="BD6" s="26">
        <f>IF(預測IC!BD15&gt;預測IC!BD$27,1,0)</f>
        <v>1</v>
      </c>
      <c r="BE6" s="26">
        <f>IF(預測IC!BE15&gt;預測IC!BE$27,1,0)</f>
        <v>1</v>
      </c>
      <c r="BF6" s="26">
        <f>IF(預測IC!BF15&gt;預測IC!BF$27,1,0)</f>
        <v>1</v>
      </c>
      <c r="BG6" s="26">
        <f>IF(預測IC!BG15&gt;預測IC!BG$27,1,0)</f>
        <v>1</v>
      </c>
      <c r="BH6" s="26">
        <f>IF(預測IC!BH15&gt;預測IC!BH$27,1,0)</f>
        <v>1</v>
      </c>
      <c r="BI6" s="26">
        <f>IF(預測IC!BI15&gt;預測IC!BI$27,1,0)</f>
        <v>1</v>
      </c>
      <c r="BJ6" s="26">
        <f>IF(預測IC!BJ15&gt;預測IC!BJ$27,1,0)</f>
        <v>0</v>
      </c>
      <c r="BK6" s="26">
        <f>IF(預測IC!BK15&gt;預測IC!BK$27,1,0)</f>
        <v>0</v>
      </c>
      <c r="BL6" s="26">
        <f>IF(預測IC!BL15&gt;預測IC!BL$27,1,0)</f>
        <v>0</v>
      </c>
      <c r="BM6" s="26">
        <f>IF(預測IC!BM15&gt;預測IC!BM$27,1,0)</f>
        <v>0</v>
      </c>
      <c r="BN6" s="26">
        <f>IF(預測IC!BN15&gt;預測IC!BN$27,1,0)</f>
        <v>0</v>
      </c>
      <c r="BO6" s="26">
        <f>IF(預測IC!BO15&gt;預測IC!BO$27,1,0)</f>
        <v>0</v>
      </c>
      <c r="BP6" s="26">
        <f>IF(預測IC!BP15&gt;預測IC!BP$27,1,0)</f>
        <v>0</v>
      </c>
      <c r="BQ6" s="26">
        <f>IF(預測IC!BQ15&gt;預測IC!BQ$27,1,0)</f>
        <v>0</v>
      </c>
      <c r="BR6" s="26">
        <f>IF(預測IC!BR15&gt;預測IC!BR$27,1,0)</f>
        <v>0</v>
      </c>
      <c r="BS6" s="26">
        <f>IF(預測IC!BS15&gt;預測IC!BS$27,1,0)</f>
        <v>0</v>
      </c>
      <c r="BT6" s="26">
        <f>IF(預測IC!BT15&gt;預測IC!BT$27,1,0)</f>
        <v>0</v>
      </c>
      <c r="BU6" s="26">
        <f>IF(預測IC!BU15&gt;預測IC!BU$27,1,0)</f>
        <v>0</v>
      </c>
      <c r="BV6" s="26">
        <f>IF(預測IC!BV15&gt;預測IC!BV$27,1,0)</f>
        <v>1</v>
      </c>
      <c r="BW6" s="26">
        <f>IF(預測IC!BW15&gt;預測IC!BW$27,1,0)</f>
        <v>1</v>
      </c>
      <c r="BX6" s="26">
        <f>IF(預測IC!BX15&gt;預測IC!BX$27,1,0)</f>
        <v>1</v>
      </c>
      <c r="BY6" s="26">
        <f>IF(預測IC!BY15&gt;預測IC!BY$27,1,0)</f>
        <v>1</v>
      </c>
      <c r="BZ6" s="26">
        <f>IF(預測IC!BZ15&gt;預測IC!BZ$27,1,0)</f>
        <v>0</v>
      </c>
      <c r="CA6" s="26">
        <f>IF(預測IC!CA15&gt;預測IC!CA$27,1,0)</f>
        <v>0</v>
      </c>
      <c r="CB6" s="26">
        <f>IF(預測IC!CB15&gt;預測IC!CB$27,1,0)</f>
        <v>0</v>
      </c>
      <c r="CC6" s="26">
        <f>IF(預測IC!CC15&gt;預測IC!CC$27,1,0)</f>
        <v>0</v>
      </c>
      <c r="CD6" s="26">
        <f>IF(預測IC!CD15&gt;預測IC!CD$27,1,0)</f>
        <v>0</v>
      </c>
      <c r="CE6" s="26">
        <f>IF(預測IC!CE15&gt;預測IC!CE$27,1,0)</f>
        <v>1</v>
      </c>
      <c r="CF6" s="26">
        <f>IF(預測IC!CF15&gt;預測IC!CF$27,1,0)</f>
        <v>1</v>
      </c>
      <c r="CG6" s="26">
        <f>IF(預測IC!CG15&gt;預測IC!CG$27,1,0)</f>
        <v>0</v>
      </c>
      <c r="CH6" s="26">
        <f>IF(預測IC!CH15&gt;預測IC!CH$27,1,0)</f>
        <v>0</v>
      </c>
      <c r="CI6" s="26">
        <f>IF(預測IC!CI15&gt;預測IC!CI$27,1,0)</f>
        <v>0</v>
      </c>
      <c r="CJ6" s="26">
        <f>IF(預測IC!CJ15&gt;預測IC!CJ$27,1,0)</f>
        <v>0</v>
      </c>
      <c r="CK6" s="26">
        <f>IF(預測IC!CK15&gt;預測IC!CK$27,1,0)</f>
        <v>0</v>
      </c>
      <c r="CL6" s="26">
        <f>IF(預測IC!CL15&gt;預測IC!CL$27,1,0)</f>
        <v>1</v>
      </c>
      <c r="CM6" s="26">
        <f>IF(預測IC!CM15&gt;預測IC!CM$27,1,0)</f>
        <v>1</v>
      </c>
      <c r="CN6" s="26">
        <f>IF(預測IC!CN15&gt;預測IC!CN$27,1,0)</f>
        <v>1</v>
      </c>
      <c r="CO6" s="26">
        <f>IF(預測IC!CO15&gt;預測IC!CO$27,1,0)</f>
        <v>0</v>
      </c>
      <c r="CP6" s="26">
        <f>IF(預測IC!CP15&gt;預測IC!CP$27,1,0)</f>
        <v>1</v>
      </c>
      <c r="CQ6" s="26">
        <f>IF(預測IC!CQ15&gt;預測IC!CQ$27,1,0)</f>
        <v>0</v>
      </c>
      <c r="CR6" s="26">
        <f>IF(預測IC!CR15&gt;預測IC!CR$27,1,0)</f>
        <v>0</v>
      </c>
      <c r="CS6" s="26">
        <f>IF(預測IC!CS15&gt;預測IC!CS$27,1,0)</f>
        <v>0</v>
      </c>
      <c r="CT6" s="26">
        <f>IF(預測IC!CT15&gt;預測IC!CT$27,1,0)</f>
        <v>0</v>
      </c>
      <c r="CU6" s="26">
        <f>IF(預測IC!CU15&gt;預測IC!CU$27,1,0)</f>
        <v>0</v>
      </c>
      <c r="CV6" s="26">
        <f>IF(預測IC!CV15&gt;預測IC!CV$27,1,0)</f>
        <v>1</v>
      </c>
      <c r="CW6" s="26">
        <f>IF(預測IC!CW15&gt;預測IC!CW$27,1,0)</f>
        <v>1</v>
      </c>
      <c r="CX6" s="26">
        <f>IF(預測IC!CX15&gt;預測IC!CX$27,1,0)</f>
        <v>1</v>
      </c>
      <c r="CY6" s="26">
        <f>IF(預測IC!CY15&gt;預測IC!CY$27,1,0)</f>
        <v>1</v>
      </c>
      <c r="CZ6" s="26">
        <f>IF(預測IC!CZ15&gt;預測IC!CZ$27,1,0)</f>
        <v>1</v>
      </c>
      <c r="DA6" s="26">
        <f>IF(預測IC!DA15&gt;預測IC!DA$27,1,0)</f>
        <v>1</v>
      </c>
      <c r="DB6" s="26">
        <f>IF(預測IC!DB15&gt;預測IC!DB$27,1,0)</f>
        <v>1</v>
      </c>
      <c r="DC6" s="26">
        <f>IF(預測IC!DC15&gt;預測IC!DC$27,1,0)</f>
        <v>1</v>
      </c>
      <c r="DD6" s="26">
        <f>IF(預測IC!DD15&gt;預測IC!DD$27,1,0)</f>
        <v>1</v>
      </c>
      <c r="DE6" s="26">
        <f>IF(預測IC!DE15&gt;預測IC!DE$27,1,0)</f>
        <v>0</v>
      </c>
      <c r="DF6" s="26">
        <f>IF(預測IC!DF15&gt;預測IC!DF$27,1,0)</f>
        <v>1</v>
      </c>
      <c r="DG6" s="26">
        <f>IF(預測IC!DG15&gt;預測IC!DG$27,1,0)</f>
        <v>0</v>
      </c>
      <c r="DH6" s="26">
        <f>IF(預測IC!DH15&gt;預測IC!DH$27,1,0)</f>
        <v>0</v>
      </c>
      <c r="DI6" s="26">
        <f>IF(預測IC!DI15&gt;預測IC!DI$27,1,0)</f>
        <v>0</v>
      </c>
      <c r="DJ6" s="26">
        <f>IF(預測IC!DJ15&gt;預測IC!DJ$27,1,0)</f>
        <v>1</v>
      </c>
      <c r="DK6" s="26">
        <f>IF(預測IC!DK15&gt;預測IC!DK$27,1,0)</f>
        <v>0</v>
      </c>
      <c r="DL6" s="26">
        <f>IF(預測IC!DL15&gt;預測IC!DL$27,1,0)</f>
        <v>0</v>
      </c>
      <c r="DM6" s="26">
        <f>IF(預測IC!DM15&gt;預測IC!DM$27,1,0)</f>
        <v>0</v>
      </c>
      <c r="DN6" s="26">
        <f>IF(預測IC!DN15&gt;預測IC!DN$27,1,0)</f>
        <v>1</v>
      </c>
      <c r="DO6" s="26">
        <f>IF(預測IC!DO15&gt;預測IC!DO$27,1,0)</f>
        <v>1</v>
      </c>
      <c r="DP6" s="26">
        <f>IF(預測IC!DP15&gt;預測IC!DP$27,1,0)</f>
        <v>1</v>
      </c>
      <c r="DQ6" s="26">
        <f>IF(預測IC!DQ15&gt;預測IC!DQ$27,1,0)</f>
        <v>0</v>
      </c>
      <c r="DR6" s="26">
        <f>IF(預測IC!DR15&gt;預測IC!DR$27,1,0)</f>
        <v>0</v>
      </c>
      <c r="DS6" s="26">
        <f>IF(預測IC!DS15&gt;預測IC!DS$27,1,0)</f>
        <v>1</v>
      </c>
      <c r="DT6" s="26">
        <f>IF(預測IC!DT15&gt;預測IC!DT$27,1,0)</f>
        <v>0</v>
      </c>
      <c r="DU6" s="26">
        <f>IF(預測IC!DU15&gt;預測IC!DU$27,1,0)</f>
        <v>0</v>
      </c>
      <c r="DV6" s="26">
        <f>IF(預測IC!DV15&gt;預測IC!DV$27,1,0)</f>
        <v>0</v>
      </c>
      <c r="DW6" s="26">
        <f>IF(預測IC!DW15&gt;預測IC!DW$27,1,0)</f>
        <v>0</v>
      </c>
      <c r="DX6" s="26">
        <f>IF(預測IC!DX15&gt;預測IC!DX$27,1,0)</f>
        <v>0</v>
      </c>
      <c r="DY6" s="26">
        <f>IF(預測IC!DY15&gt;預測IC!DY$27,1,0)</f>
        <v>1</v>
      </c>
      <c r="DZ6" s="26">
        <f>IF(預測IC!DZ15&gt;預測IC!DZ$27,1,0)</f>
        <v>0</v>
      </c>
      <c r="EA6" s="26">
        <f>IF(預測IC!EA15&gt;預測IC!EA$27,1,0)</f>
        <v>0</v>
      </c>
      <c r="EB6" s="26">
        <f>IF(預測IC!EB15&gt;預測IC!EB$27,1,0)</f>
        <v>1</v>
      </c>
      <c r="EC6" s="26">
        <f>IF(預測IC!EC15&gt;預測IC!EC$27,1,0)</f>
        <v>1</v>
      </c>
      <c r="ED6" s="26">
        <f>IF(預測IC!ED15&gt;預測IC!ED$27,1,0)</f>
        <v>1</v>
      </c>
      <c r="EE6" s="26">
        <f>IF(預測IC!EE15&gt;預測IC!EE$27,1,0)</f>
        <v>0</v>
      </c>
      <c r="EF6" s="26">
        <f>IF(預測IC!EF15&gt;預測IC!EF$27,1,0)</f>
        <v>0</v>
      </c>
      <c r="EG6" s="1">
        <f t="shared" si="0"/>
        <v>59</v>
      </c>
      <c r="EH6" s="2">
        <f t="shared" si="1"/>
        <v>0.44029850746268656</v>
      </c>
    </row>
    <row r="7" spans="1:138" s="3" customFormat="1" ht="16">
      <c r="A7" s="6">
        <v>50</v>
      </c>
      <c r="B7" s="6">
        <v>19</v>
      </c>
      <c r="C7" s="26">
        <f>IF(預測IC!C16&gt;預測IC!C$27,1,0)</f>
        <v>0</v>
      </c>
      <c r="D7" s="26">
        <f>IF(預測IC!D16&gt;預測IC!D$27,1,0)</f>
        <v>1</v>
      </c>
      <c r="E7" s="26">
        <f>IF(預測IC!E16&gt;預測IC!E$27,1,0)</f>
        <v>0</v>
      </c>
      <c r="F7" s="26">
        <f>IF(預測IC!F16&gt;預測IC!F$27,1,0)</f>
        <v>1</v>
      </c>
      <c r="G7" s="26">
        <f>IF(預測IC!G16&gt;預測IC!G$27,1,0)</f>
        <v>0</v>
      </c>
      <c r="H7" s="26">
        <f>IF(預測IC!H16&gt;預測IC!H$27,1,0)</f>
        <v>0</v>
      </c>
      <c r="I7" s="26">
        <f>IF(預測IC!I16&gt;預測IC!I$27,1,0)</f>
        <v>1</v>
      </c>
      <c r="J7" s="26">
        <f>IF(預測IC!J16&gt;預測IC!J$27,1,0)</f>
        <v>1</v>
      </c>
      <c r="K7" s="26">
        <f>IF(預測IC!K16&gt;預測IC!K$27,1,0)</f>
        <v>1</v>
      </c>
      <c r="L7" s="26">
        <f>IF(預測IC!L16&gt;預測IC!L$27,1,0)</f>
        <v>1</v>
      </c>
      <c r="M7" s="26">
        <f>IF(預測IC!M16&gt;預測IC!M$27,1,0)</f>
        <v>0</v>
      </c>
      <c r="N7" s="26">
        <f>IF(預測IC!N16&gt;預測IC!N$27,1,0)</f>
        <v>0</v>
      </c>
      <c r="O7" s="26">
        <f>IF(預測IC!O16&gt;預測IC!O$27,1,0)</f>
        <v>0</v>
      </c>
      <c r="P7" s="26">
        <f>IF(預測IC!P16&gt;預測IC!P$27,1,0)</f>
        <v>0</v>
      </c>
      <c r="Q7" s="26">
        <f>IF(預測IC!Q16&gt;預測IC!Q$27,1,0)</f>
        <v>1</v>
      </c>
      <c r="R7" s="26">
        <f>IF(預測IC!R16&gt;預測IC!R$27,1,0)</f>
        <v>0</v>
      </c>
      <c r="S7" s="26">
        <f>IF(預測IC!S16&gt;預測IC!S$27,1,0)</f>
        <v>1</v>
      </c>
      <c r="T7" s="26">
        <f>IF(預測IC!T16&gt;預測IC!T$27,1,0)</f>
        <v>1</v>
      </c>
      <c r="U7" s="26">
        <f>IF(預測IC!U16&gt;預測IC!U$27,1,0)</f>
        <v>1</v>
      </c>
      <c r="V7" s="26">
        <f>IF(預測IC!V16&gt;預測IC!V$27,1,0)</f>
        <v>1</v>
      </c>
      <c r="W7" s="26">
        <f>IF(預測IC!W16&gt;預測IC!W$27,1,0)</f>
        <v>0</v>
      </c>
      <c r="X7" s="26">
        <f>IF(預測IC!X16&gt;預測IC!X$27,1,0)</f>
        <v>0</v>
      </c>
      <c r="Y7" s="26">
        <f>IF(預測IC!Y16&gt;預測IC!Y$27,1,0)</f>
        <v>0</v>
      </c>
      <c r="Z7" s="26">
        <f>IF(預測IC!Z16&gt;預測IC!Z$27,1,0)</f>
        <v>1</v>
      </c>
      <c r="AA7" s="26">
        <f>IF(預測IC!AA16&gt;預測IC!AA$27,1,0)</f>
        <v>0</v>
      </c>
      <c r="AB7" s="26">
        <f>IF(預測IC!AB16&gt;預測IC!AB$27,1,0)</f>
        <v>0</v>
      </c>
      <c r="AC7" s="26">
        <f>IF(預測IC!AC16&gt;預測IC!AC$27,1,0)</f>
        <v>0</v>
      </c>
      <c r="AD7" s="26">
        <f>IF(預測IC!AD16&gt;預測IC!AD$27,1,0)</f>
        <v>1</v>
      </c>
      <c r="AE7" s="26">
        <f>IF(預測IC!AE16&gt;預測IC!AE$27,1,0)</f>
        <v>0</v>
      </c>
      <c r="AF7" s="26">
        <f>IF(預測IC!AF16&gt;預測IC!AF$27,1,0)</f>
        <v>1</v>
      </c>
      <c r="AG7" s="26">
        <f>IF(預測IC!AG16&gt;預測IC!AG$27,1,0)</f>
        <v>0</v>
      </c>
      <c r="AH7" s="26">
        <f>IF(預測IC!AH16&gt;預測IC!AH$27,1,0)</f>
        <v>1</v>
      </c>
      <c r="AI7" s="26">
        <f>IF(預測IC!AI16&gt;預測IC!AI$27,1,0)</f>
        <v>1</v>
      </c>
      <c r="AJ7" s="26">
        <f>IF(預測IC!AJ16&gt;預測IC!AJ$27,1,0)</f>
        <v>0</v>
      </c>
      <c r="AK7" s="26">
        <f>IF(預測IC!AK16&gt;預測IC!AK$27,1,0)</f>
        <v>0</v>
      </c>
      <c r="AL7" s="26">
        <f>IF(預測IC!AL16&gt;預測IC!AL$27,1,0)</f>
        <v>1</v>
      </c>
      <c r="AM7" s="26">
        <f>IF(預測IC!AM16&gt;預測IC!AM$27,1,0)</f>
        <v>0</v>
      </c>
      <c r="AN7" s="26">
        <f>IF(預測IC!AN16&gt;預測IC!AN$27,1,0)</f>
        <v>0</v>
      </c>
      <c r="AO7" s="26">
        <f>IF(預測IC!AO16&gt;預測IC!AO$27,1,0)</f>
        <v>1</v>
      </c>
      <c r="AP7" s="26">
        <f>IF(預測IC!AP16&gt;預測IC!AP$27,1,0)</f>
        <v>0</v>
      </c>
      <c r="AQ7" s="26">
        <f>IF(預測IC!AQ16&gt;預測IC!AQ$27,1,0)</f>
        <v>0</v>
      </c>
      <c r="AR7" s="26">
        <f>IF(預測IC!AR16&gt;預測IC!AR$27,1,0)</f>
        <v>0</v>
      </c>
      <c r="AS7" s="26">
        <f>IF(預測IC!AS16&gt;預測IC!AS$27,1,0)</f>
        <v>1</v>
      </c>
      <c r="AT7" s="26">
        <f>IF(預測IC!AT16&gt;預測IC!AT$27,1,0)</f>
        <v>0</v>
      </c>
      <c r="AU7" s="26">
        <f>IF(預測IC!AU16&gt;預測IC!AU$27,1,0)</f>
        <v>1</v>
      </c>
      <c r="AV7" s="26">
        <f>IF(預測IC!AV16&gt;預測IC!AV$27,1,0)</f>
        <v>0</v>
      </c>
      <c r="AW7" s="26">
        <f>IF(預測IC!AW16&gt;預測IC!AW$27,1,0)</f>
        <v>1</v>
      </c>
      <c r="AX7" s="26">
        <f>IF(預測IC!AX16&gt;預測IC!AX$27,1,0)</f>
        <v>0</v>
      </c>
      <c r="AY7" s="26">
        <f>IF(預測IC!AY16&gt;預測IC!AY$27,1,0)</f>
        <v>1</v>
      </c>
      <c r="AZ7" s="26">
        <f>IF(預測IC!AZ16&gt;預測IC!AZ$27,1,0)</f>
        <v>0</v>
      </c>
      <c r="BA7" s="26">
        <f>IF(預測IC!BA16&gt;預測IC!BA$27,1,0)</f>
        <v>1</v>
      </c>
      <c r="BB7" s="26">
        <f>IF(預測IC!BB16&gt;預測IC!BB$27,1,0)</f>
        <v>1</v>
      </c>
      <c r="BC7" s="26">
        <f>IF(預測IC!BC16&gt;預測IC!BC$27,1,0)</f>
        <v>0</v>
      </c>
      <c r="BD7" s="26">
        <f>IF(預測IC!BD16&gt;預測IC!BD$27,1,0)</f>
        <v>1</v>
      </c>
      <c r="BE7" s="26">
        <f>IF(預測IC!BE16&gt;預測IC!BE$27,1,0)</f>
        <v>1</v>
      </c>
      <c r="BF7" s="26">
        <f>IF(預測IC!BF16&gt;預測IC!BF$27,1,0)</f>
        <v>1</v>
      </c>
      <c r="BG7" s="26">
        <f>IF(預測IC!BG16&gt;預測IC!BG$27,1,0)</f>
        <v>1</v>
      </c>
      <c r="BH7" s="26">
        <f>IF(預測IC!BH16&gt;預測IC!BH$27,1,0)</f>
        <v>1</v>
      </c>
      <c r="BI7" s="26">
        <f>IF(預測IC!BI16&gt;預測IC!BI$27,1,0)</f>
        <v>1</v>
      </c>
      <c r="BJ7" s="26">
        <f>IF(預測IC!BJ16&gt;預測IC!BJ$27,1,0)</f>
        <v>0</v>
      </c>
      <c r="BK7" s="26">
        <f>IF(預測IC!BK16&gt;預測IC!BK$27,1,0)</f>
        <v>0</v>
      </c>
      <c r="BL7" s="26">
        <f>IF(預測IC!BL16&gt;預測IC!BL$27,1,0)</f>
        <v>0</v>
      </c>
      <c r="BM7" s="26">
        <f>IF(預測IC!BM16&gt;預測IC!BM$27,1,0)</f>
        <v>0</v>
      </c>
      <c r="BN7" s="26">
        <f>IF(預測IC!BN16&gt;預測IC!BN$27,1,0)</f>
        <v>0</v>
      </c>
      <c r="BO7" s="26">
        <f>IF(預測IC!BO16&gt;預測IC!BO$27,1,0)</f>
        <v>1</v>
      </c>
      <c r="BP7" s="26">
        <f>IF(預測IC!BP16&gt;預測IC!BP$27,1,0)</f>
        <v>0</v>
      </c>
      <c r="BQ7" s="26">
        <f>IF(預測IC!BQ16&gt;預測IC!BQ$27,1,0)</f>
        <v>1</v>
      </c>
      <c r="BR7" s="26">
        <f>IF(預測IC!BR16&gt;預測IC!BR$27,1,0)</f>
        <v>0</v>
      </c>
      <c r="BS7" s="26">
        <f>IF(預測IC!BS16&gt;預測IC!BS$27,1,0)</f>
        <v>0</v>
      </c>
      <c r="BT7" s="26">
        <f>IF(預測IC!BT16&gt;預測IC!BT$27,1,0)</f>
        <v>0</v>
      </c>
      <c r="BU7" s="26">
        <f>IF(預測IC!BU16&gt;預測IC!BU$27,1,0)</f>
        <v>0</v>
      </c>
      <c r="BV7" s="26">
        <f>IF(預測IC!BV16&gt;預測IC!BV$27,1,0)</f>
        <v>1</v>
      </c>
      <c r="BW7" s="26">
        <f>IF(預測IC!BW16&gt;預測IC!BW$27,1,0)</f>
        <v>1</v>
      </c>
      <c r="BX7" s="26">
        <f>IF(預測IC!BX16&gt;預測IC!BX$27,1,0)</f>
        <v>0</v>
      </c>
      <c r="BY7" s="26">
        <f>IF(預測IC!BY16&gt;預測IC!BY$27,1,0)</f>
        <v>1</v>
      </c>
      <c r="BZ7" s="26">
        <f>IF(預測IC!BZ16&gt;預測IC!BZ$27,1,0)</f>
        <v>0</v>
      </c>
      <c r="CA7" s="26">
        <f>IF(預測IC!CA16&gt;預測IC!CA$27,1,0)</f>
        <v>0</v>
      </c>
      <c r="CB7" s="26">
        <f>IF(預測IC!CB16&gt;預測IC!CB$27,1,0)</f>
        <v>1</v>
      </c>
      <c r="CC7" s="26">
        <f>IF(預測IC!CC16&gt;預測IC!CC$27,1,0)</f>
        <v>0</v>
      </c>
      <c r="CD7" s="26">
        <f>IF(預測IC!CD16&gt;預測IC!CD$27,1,0)</f>
        <v>1</v>
      </c>
      <c r="CE7" s="26">
        <f>IF(預測IC!CE16&gt;預測IC!CE$27,1,0)</f>
        <v>1</v>
      </c>
      <c r="CF7" s="26">
        <f>IF(預測IC!CF16&gt;預測IC!CF$27,1,0)</f>
        <v>1</v>
      </c>
      <c r="CG7" s="26">
        <f>IF(預測IC!CG16&gt;預測IC!CG$27,1,0)</f>
        <v>0</v>
      </c>
      <c r="CH7" s="26">
        <f>IF(預測IC!CH16&gt;預測IC!CH$27,1,0)</f>
        <v>0</v>
      </c>
      <c r="CI7" s="26">
        <f>IF(預測IC!CI16&gt;預測IC!CI$27,1,0)</f>
        <v>0</v>
      </c>
      <c r="CJ7" s="26">
        <f>IF(預測IC!CJ16&gt;預測IC!CJ$27,1,0)</f>
        <v>0</v>
      </c>
      <c r="CK7" s="26">
        <f>IF(預測IC!CK16&gt;預測IC!CK$27,1,0)</f>
        <v>1</v>
      </c>
      <c r="CL7" s="26">
        <f>IF(預測IC!CL16&gt;預測IC!CL$27,1,0)</f>
        <v>1</v>
      </c>
      <c r="CM7" s="26">
        <f>IF(預測IC!CM16&gt;預測IC!CM$27,1,0)</f>
        <v>1</v>
      </c>
      <c r="CN7" s="26">
        <f>IF(預測IC!CN16&gt;預測IC!CN$27,1,0)</f>
        <v>1</v>
      </c>
      <c r="CO7" s="26">
        <f>IF(預測IC!CO16&gt;預測IC!CO$27,1,0)</f>
        <v>0</v>
      </c>
      <c r="CP7" s="26">
        <f>IF(預測IC!CP16&gt;預測IC!CP$27,1,0)</f>
        <v>1</v>
      </c>
      <c r="CQ7" s="26">
        <f>IF(預測IC!CQ16&gt;預測IC!CQ$27,1,0)</f>
        <v>0</v>
      </c>
      <c r="CR7" s="26">
        <f>IF(預測IC!CR16&gt;預測IC!CR$27,1,0)</f>
        <v>0</v>
      </c>
      <c r="CS7" s="26">
        <f>IF(預測IC!CS16&gt;預測IC!CS$27,1,0)</f>
        <v>0</v>
      </c>
      <c r="CT7" s="26">
        <f>IF(預測IC!CT16&gt;預測IC!CT$27,1,0)</f>
        <v>0</v>
      </c>
      <c r="CU7" s="26">
        <f>IF(預測IC!CU16&gt;預測IC!CU$27,1,0)</f>
        <v>0</v>
      </c>
      <c r="CV7" s="26">
        <f>IF(預測IC!CV16&gt;預測IC!CV$27,1,0)</f>
        <v>1</v>
      </c>
      <c r="CW7" s="26">
        <f>IF(預測IC!CW16&gt;預測IC!CW$27,1,0)</f>
        <v>1</v>
      </c>
      <c r="CX7" s="26">
        <f>IF(預測IC!CX16&gt;預測IC!CX$27,1,0)</f>
        <v>0</v>
      </c>
      <c r="CY7" s="26">
        <f>IF(預測IC!CY16&gt;預測IC!CY$27,1,0)</f>
        <v>1</v>
      </c>
      <c r="CZ7" s="26">
        <f>IF(預測IC!CZ16&gt;預測IC!CZ$27,1,0)</f>
        <v>1</v>
      </c>
      <c r="DA7" s="26">
        <f>IF(預測IC!DA16&gt;預測IC!DA$27,1,0)</f>
        <v>0</v>
      </c>
      <c r="DB7" s="26">
        <f>IF(預測IC!DB16&gt;預測IC!DB$27,1,0)</f>
        <v>1</v>
      </c>
      <c r="DC7" s="26">
        <f>IF(預測IC!DC16&gt;預測IC!DC$27,1,0)</f>
        <v>1</v>
      </c>
      <c r="DD7" s="26">
        <f>IF(預測IC!DD16&gt;預測IC!DD$27,1,0)</f>
        <v>1</v>
      </c>
      <c r="DE7" s="26">
        <f>IF(預測IC!DE16&gt;預測IC!DE$27,1,0)</f>
        <v>0</v>
      </c>
      <c r="DF7" s="26">
        <f>IF(預測IC!DF16&gt;預測IC!DF$27,1,0)</f>
        <v>1</v>
      </c>
      <c r="DG7" s="26">
        <f>IF(預測IC!DG16&gt;預測IC!DG$27,1,0)</f>
        <v>0</v>
      </c>
      <c r="DH7" s="26">
        <f>IF(預測IC!DH16&gt;預測IC!DH$27,1,0)</f>
        <v>0</v>
      </c>
      <c r="DI7" s="26">
        <f>IF(預測IC!DI16&gt;預測IC!DI$27,1,0)</f>
        <v>0</v>
      </c>
      <c r="DJ7" s="26">
        <f>IF(預測IC!DJ16&gt;預測IC!DJ$27,1,0)</f>
        <v>1</v>
      </c>
      <c r="DK7" s="26">
        <f>IF(預測IC!DK16&gt;預測IC!DK$27,1,0)</f>
        <v>1</v>
      </c>
      <c r="DL7" s="26">
        <f>IF(預測IC!DL16&gt;預測IC!DL$27,1,0)</f>
        <v>0</v>
      </c>
      <c r="DM7" s="26">
        <f>IF(預測IC!DM16&gt;預測IC!DM$27,1,0)</f>
        <v>0</v>
      </c>
      <c r="DN7" s="26">
        <f>IF(預測IC!DN16&gt;預測IC!DN$27,1,0)</f>
        <v>1</v>
      </c>
      <c r="DO7" s="26">
        <f>IF(預測IC!DO16&gt;預測IC!DO$27,1,0)</f>
        <v>1</v>
      </c>
      <c r="DP7" s="26">
        <f>IF(預測IC!DP16&gt;預測IC!DP$27,1,0)</f>
        <v>1</v>
      </c>
      <c r="DQ7" s="26">
        <f>IF(預測IC!DQ16&gt;預測IC!DQ$27,1,0)</f>
        <v>0</v>
      </c>
      <c r="DR7" s="26">
        <f>IF(預測IC!DR16&gt;預測IC!DR$27,1,0)</f>
        <v>0</v>
      </c>
      <c r="DS7" s="26">
        <f>IF(預測IC!DS16&gt;預測IC!DS$27,1,0)</f>
        <v>1</v>
      </c>
      <c r="DT7" s="26">
        <f>IF(預測IC!DT16&gt;預測IC!DT$27,1,0)</f>
        <v>0</v>
      </c>
      <c r="DU7" s="26">
        <f>IF(預測IC!DU16&gt;預測IC!DU$27,1,0)</f>
        <v>1</v>
      </c>
      <c r="DV7" s="26">
        <f>IF(預測IC!DV16&gt;預測IC!DV$27,1,0)</f>
        <v>0</v>
      </c>
      <c r="DW7" s="26">
        <f>IF(預測IC!DW16&gt;預測IC!DW$27,1,0)</f>
        <v>1</v>
      </c>
      <c r="DX7" s="26">
        <f>IF(預測IC!DX16&gt;預測IC!DX$27,1,0)</f>
        <v>0</v>
      </c>
      <c r="DY7" s="26">
        <f>IF(預測IC!DY16&gt;預測IC!DY$27,1,0)</f>
        <v>1</v>
      </c>
      <c r="DZ7" s="26">
        <f>IF(預測IC!DZ16&gt;預測IC!DZ$27,1,0)</f>
        <v>0</v>
      </c>
      <c r="EA7" s="26">
        <f>IF(預測IC!EA16&gt;預測IC!EA$27,1,0)</f>
        <v>0</v>
      </c>
      <c r="EB7" s="26">
        <f>IF(預測IC!EB16&gt;預測IC!EB$27,1,0)</f>
        <v>1</v>
      </c>
      <c r="EC7" s="26">
        <f>IF(預測IC!EC16&gt;預測IC!EC$27,1,0)</f>
        <v>1</v>
      </c>
      <c r="ED7" s="26">
        <f>IF(預測IC!ED16&gt;預測IC!ED$27,1,0)</f>
        <v>1</v>
      </c>
      <c r="EE7" s="26">
        <f>IF(預測IC!EE16&gt;預測IC!EE$27,1,0)</f>
        <v>0</v>
      </c>
      <c r="EF7" s="26">
        <f>IF(預測IC!EF16&gt;預測IC!EF$27,1,0)</f>
        <v>0</v>
      </c>
      <c r="EG7" s="1">
        <f t="shared" si="0"/>
        <v>64</v>
      </c>
      <c r="EH7" s="2">
        <f t="shared" si="1"/>
        <v>0.47761194029850745</v>
      </c>
    </row>
    <row r="8" spans="1:138" s="3" customFormat="1" ht="16">
      <c r="A8" s="6">
        <v>100</v>
      </c>
      <c r="B8" s="6">
        <v>10</v>
      </c>
      <c r="C8" s="26">
        <f>IF(預測IC!C17&gt;預測IC!C$27,1,0)</f>
        <v>0</v>
      </c>
      <c r="D8" s="26">
        <f>IF(預測IC!D17&gt;預測IC!D$27,1,0)</f>
        <v>1</v>
      </c>
      <c r="E8" s="26">
        <f>IF(預測IC!E17&gt;預測IC!E$27,1,0)</f>
        <v>0</v>
      </c>
      <c r="F8" s="26">
        <f>IF(預測IC!F17&gt;預測IC!F$27,1,0)</f>
        <v>1</v>
      </c>
      <c r="G8" s="26">
        <f>IF(預測IC!G17&gt;預測IC!G$27,1,0)</f>
        <v>0</v>
      </c>
      <c r="H8" s="26">
        <f>IF(預測IC!H17&gt;預測IC!H$27,1,0)</f>
        <v>0</v>
      </c>
      <c r="I8" s="26">
        <f>IF(預測IC!I17&gt;預測IC!I$27,1,0)</f>
        <v>1</v>
      </c>
      <c r="J8" s="26">
        <f>IF(預測IC!J17&gt;預測IC!J$27,1,0)</f>
        <v>1</v>
      </c>
      <c r="K8" s="26">
        <f>IF(預測IC!K17&gt;預測IC!K$27,1,0)</f>
        <v>1</v>
      </c>
      <c r="L8" s="26">
        <f>IF(預測IC!L17&gt;預測IC!L$27,1,0)</f>
        <v>1</v>
      </c>
      <c r="M8" s="26">
        <f>IF(預測IC!M17&gt;預測IC!M$27,1,0)</f>
        <v>0</v>
      </c>
      <c r="N8" s="26">
        <f>IF(預測IC!N17&gt;預測IC!N$27,1,0)</f>
        <v>0</v>
      </c>
      <c r="O8" s="26">
        <f>IF(預測IC!O17&gt;預測IC!O$27,1,0)</f>
        <v>0</v>
      </c>
      <c r="P8" s="26">
        <f>IF(預測IC!P17&gt;預測IC!P$27,1,0)</f>
        <v>0</v>
      </c>
      <c r="Q8" s="26">
        <f>IF(預測IC!Q17&gt;預測IC!Q$27,1,0)</f>
        <v>1</v>
      </c>
      <c r="R8" s="26">
        <f>IF(預測IC!R17&gt;預測IC!R$27,1,0)</f>
        <v>0</v>
      </c>
      <c r="S8" s="26">
        <f>IF(預測IC!S17&gt;預測IC!S$27,1,0)</f>
        <v>1</v>
      </c>
      <c r="T8" s="26">
        <f>IF(預測IC!T17&gt;預測IC!T$27,1,0)</f>
        <v>1</v>
      </c>
      <c r="U8" s="26">
        <f>IF(預測IC!U17&gt;預測IC!U$27,1,0)</f>
        <v>1</v>
      </c>
      <c r="V8" s="26">
        <f>IF(預測IC!V17&gt;預測IC!V$27,1,0)</f>
        <v>1</v>
      </c>
      <c r="W8" s="26">
        <f>IF(預測IC!W17&gt;預測IC!W$27,1,0)</f>
        <v>0</v>
      </c>
      <c r="X8" s="26">
        <f>IF(預測IC!X17&gt;預測IC!X$27,1,0)</f>
        <v>0</v>
      </c>
      <c r="Y8" s="26">
        <f>IF(預測IC!Y17&gt;預測IC!Y$27,1,0)</f>
        <v>0</v>
      </c>
      <c r="Z8" s="26">
        <f>IF(預測IC!Z17&gt;預測IC!Z$27,1,0)</f>
        <v>1</v>
      </c>
      <c r="AA8" s="26">
        <f>IF(預測IC!AA17&gt;預測IC!AA$27,1,0)</f>
        <v>0</v>
      </c>
      <c r="AB8" s="26">
        <f>IF(預測IC!AB17&gt;預測IC!AB$27,1,0)</f>
        <v>0</v>
      </c>
      <c r="AC8" s="26">
        <f>IF(預測IC!AC17&gt;預測IC!AC$27,1,0)</f>
        <v>0</v>
      </c>
      <c r="AD8" s="26">
        <f>IF(預測IC!AD17&gt;預測IC!AD$27,1,0)</f>
        <v>1</v>
      </c>
      <c r="AE8" s="26">
        <f>IF(預測IC!AE17&gt;預測IC!AE$27,1,0)</f>
        <v>0</v>
      </c>
      <c r="AF8" s="26">
        <f>IF(預測IC!AF17&gt;預測IC!AF$27,1,0)</f>
        <v>1</v>
      </c>
      <c r="AG8" s="26">
        <f>IF(預測IC!AG17&gt;預測IC!AG$27,1,0)</f>
        <v>0</v>
      </c>
      <c r="AH8" s="26">
        <f>IF(預測IC!AH17&gt;預測IC!AH$27,1,0)</f>
        <v>1</v>
      </c>
      <c r="AI8" s="26">
        <f>IF(預測IC!AI17&gt;預測IC!AI$27,1,0)</f>
        <v>1</v>
      </c>
      <c r="AJ8" s="26">
        <f>IF(預測IC!AJ17&gt;預測IC!AJ$27,1,0)</f>
        <v>1</v>
      </c>
      <c r="AK8" s="26">
        <f>IF(預測IC!AK17&gt;預測IC!AK$27,1,0)</f>
        <v>1</v>
      </c>
      <c r="AL8" s="26">
        <f>IF(預測IC!AL17&gt;預測IC!AL$27,1,0)</f>
        <v>1</v>
      </c>
      <c r="AM8" s="26">
        <f>IF(預測IC!AM17&gt;預測IC!AM$27,1,0)</f>
        <v>1</v>
      </c>
      <c r="AN8" s="26">
        <f>IF(預測IC!AN17&gt;預測IC!AN$27,1,0)</f>
        <v>0</v>
      </c>
      <c r="AO8" s="26">
        <f>IF(預測IC!AO17&gt;預測IC!AO$27,1,0)</f>
        <v>1</v>
      </c>
      <c r="AP8" s="26">
        <f>IF(預測IC!AP17&gt;預測IC!AP$27,1,0)</f>
        <v>0</v>
      </c>
      <c r="AQ8" s="26">
        <f>IF(預測IC!AQ17&gt;預測IC!AQ$27,1,0)</f>
        <v>0</v>
      </c>
      <c r="AR8" s="26">
        <f>IF(預測IC!AR17&gt;預測IC!AR$27,1,0)</f>
        <v>0</v>
      </c>
      <c r="AS8" s="26">
        <f>IF(預測IC!AS17&gt;預測IC!AS$27,1,0)</f>
        <v>1</v>
      </c>
      <c r="AT8" s="26">
        <f>IF(預測IC!AT17&gt;預測IC!AT$27,1,0)</f>
        <v>0</v>
      </c>
      <c r="AU8" s="26">
        <f>IF(預測IC!AU17&gt;預測IC!AU$27,1,0)</f>
        <v>1</v>
      </c>
      <c r="AV8" s="26">
        <f>IF(預測IC!AV17&gt;預測IC!AV$27,1,0)</f>
        <v>0</v>
      </c>
      <c r="AW8" s="26">
        <f>IF(預測IC!AW17&gt;預測IC!AW$27,1,0)</f>
        <v>0</v>
      </c>
      <c r="AX8" s="26">
        <f>IF(預測IC!AX17&gt;預測IC!AX$27,1,0)</f>
        <v>0</v>
      </c>
      <c r="AY8" s="26">
        <f>IF(預測IC!AY17&gt;預測IC!AY$27,1,0)</f>
        <v>1</v>
      </c>
      <c r="AZ8" s="26">
        <f>IF(預測IC!AZ17&gt;預測IC!AZ$27,1,0)</f>
        <v>1</v>
      </c>
      <c r="BA8" s="26">
        <f>IF(預測IC!BA17&gt;預測IC!BA$27,1,0)</f>
        <v>1</v>
      </c>
      <c r="BB8" s="26">
        <f>IF(預測IC!BB17&gt;預測IC!BB$27,1,0)</f>
        <v>1</v>
      </c>
      <c r="BC8" s="26">
        <f>IF(預測IC!BC17&gt;預測IC!BC$27,1,0)</f>
        <v>0</v>
      </c>
      <c r="BD8" s="26">
        <f>IF(預測IC!BD17&gt;預測IC!BD$27,1,0)</f>
        <v>1</v>
      </c>
      <c r="BE8" s="26">
        <f>IF(預測IC!BE17&gt;預測IC!BE$27,1,0)</f>
        <v>1</v>
      </c>
      <c r="BF8" s="26">
        <f>IF(預測IC!BF17&gt;預測IC!BF$27,1,0)</f>
        <v>1</v>
      </c>
      <c r="BG8" s="26">
        <f>IF(預測IC!BG17&gt;預測IC!BG$27,1,0)</f>
        <v>1</v>
      </c>
      <c r="BH8" s="26">
        <f>IF(預測IC!BH17&gt;預測IC!BH$27,1,0)</f>
        <v>1</v>
      </c>
      <c r="BI8" s="26">
        <f>IF(預測IC!BI17&gt;預測IC!BI$27,1,0)</f>
        <v>1</v>
      </c>
      <c r="BJ8" s="26">
        <f>IF(預測IC!BJ17&gt;預測IC!BJ$27,1,0)</f>
        <v>0</v>
      </c>
      <c r="BK8" s="26">
        <f>IF(預測IC!BK17&gt;預測IC!BK$27,1,0)</f>
        <v>1</v>
      </c>
      <c r="BL8" s="26">
        <f>IF(預測IC!BL17&gt;預測IC!BL$27,1,0)</f>
        <v>0</v>
      </c>
      <c r="BM8" s="26">
        <f>IF(預測IC!BM17&gt;預測IC!BM$27,1,0)</f>
        <v>0</v>
      </c>
      <c r="BN8" s="26">
        <f>IF(預測IC!BN17&gt;預測IC!BN$27,1,0)</f>
        <v>0</v>
      </c>
      <c r="BO8" s="26">
        <f>IF(預測IC!BO17&gt;預測IC!BO$27,1,0)</f>
        <v>1</v>
      </c>
      <c r="BP8" s="26">
        <f>IF(預測IC!BP17&gt;預測IC!BP$27,1,0)</f>
        <v>0</v>
      </c>
      <c r="BQ8" s="26">
        <f>IF(預測IC!BQ17&gt;預測IC!BQ$27,1,0)</f>
        <v>1</v>
      </c>
      <c r="BR8" s="26">
        <f>IF(預測IC!BR17&gt;預測IC!BR$27,1,0)</f>
        <v>0</v>
      </c>
      <c r="BS8" s="26">
        <f>IF(預測IC!BS17&gt;預測IC!BS$27,1,0)</f>
        <v>0</v>
      </c>
      <c r="BT8" s="26">
        <f>IF(預測IC!BT17&gt;預測IC!BT$27,1,0)</f>
        <v>1</v>
      </c>
      <c r="BU8" s="26">
        <f>IF(預測IC!BU17&gt;預測IC!BU$27,1,0)</f>
        <v>0</v>
      </c>
      <c r="BV8" s="26">
        <f>IF(預測IC!BV17&gt;預測IC!BV$27,1,0)</f>
        <v>1</v>
      </c>
      <c r="BW8" s="26">
        <f>IF(預測IC!BW17&gt;預測IC!BW$27,1,0)</f>
        <v>1</v>
      </c>
      <c r="BX8" s="26">
        <f>IF(預測IC!BX17&gt;預測IC!BX$27,1,0)</f>
        <v>1</v>
      </c>
      <c r="BY8" s="26">
        <f>IF(預測IC!BY17&gt;預測IC!BY$27,1,0)</f>
        <v>1</v>
      </c>
      <c r="BZ8" s="26">
        <f>IF(預測IC!BZ17&gt;預測IC!BZ$27,1,0)</f>
        <v>0</v>
      </c>
      <c r="CA8" s="26">
        <f>IF(預測IC!CA17&gt;預測IC!CA$27,1,0)</f>
        <v>0</v>
      </c>
      <c r="CB8" s="26">
        <f>IF(預測IC!CB17&gt;預測IC!CB$27,1,0)</f>
        <v>1</v>
      </c>
      <c r="CC8" s="26">
        <f>IF(預測IC!CC17&gt;預測IC!CC$27,1,0)</f>
        <v>0</v>
      </c>
      <c r="CD8" s="26">
        <f>IF(預測IC!CD17&gt;預測IC!CD$27,1,0)</f>
        <v>0</v>
      </c>
      <c r="CE8" s="26">
        <f>IF(預測IC!CE17&gt;預測IC!CE$27,1,0)</f>
        <v>1</v>
      </c>
      <c r="CF8" s="26">
        <f>IF(預測IC!CF17&gt;預測IC!CF$27,1,0)</f>
        <v>1</v>
      </c>
      <c r="CG8" s="26">
        <f>IF(預測IC!CG17&gt;預測IC!CG$27,1,0)</f>
        <v>0</v>
      </c>
      <c r="CH8" s="26">
        <f>IF(預測IC!CH17&gt;預測IC!CH$27,1,0)</f>
        <v>0</v>
      </c>
      <c r="CI8" s="26">
        <f>IF(預測IC!CI17&gt;預測IC!CI$27,1,0)</f>
        <v>0</v>
      </c>
      <c r="CJ8" s="26">
        <f>IF(預測IC!CJ17&gt;預測IC!CJ$27,1,0)</f>
        <v>0</v>
      </c>
      <c r="CK8" s="26">
        <f>IF(預測IC!CK17&gt;預測IC!CK$27,1,0)</f>
        <v>1</v>
      </c>
      <c r="CL8" s="26">
        <f>IF(預測IC!CL17&gt;預測IC!CL$27,1,0)</f>
        <v>1</v>
      </c>
      <c r="CM8" s="26">
        <f>IF(預測IC!CM17&gt;預測IC!CM$27,1,0)</f>
        <v>0</v>
      </c>
      <c r="CN8" s="26">
        <f>IF(預測IC!CN17&gt;預測IC!CN$27,1,0)</f>
        <v>1</v>
      </c>
      <c r="CO8" s="26">
        <f>IF(預測IC!CO17&gt;預測IC!CO$27,1,0)</f>
        <v>0</v>
      </c>
      <c r="CP8" s="26">
        <f>IF(預測IC!CP17&gt;預測IC!CP$27,1,0)</f>
        <v>1</v>
      </c>
      <c r="CQ8" s="26">
        <f>IF(預測IC!CQ17&gt;預測IC!CQ$27,1,0)</f>
        <v>0</v>
      </c>
      <c r="CR8" s="26">
        <f>IF(預測IC!CR17&gt;預測IC!CR$27,1,0)</f>
        <v>0</v>
      </c>
      <c r="CS8" s="26">
        <f>IF(預測IC!CS17&gt;預測IC!CS$27,1,0)</f>
        <v>1</v>
      </c>
      <c r="CT8" s="26">
        <f>IF(預測IC!CT17&gt;預測IC!CT$27,1,0)</f>
        <v>0</v>
      </c>
      <c r="CU8" s="26">
        <f>IF(預測IC!CU17&gt;預測IC!CU$27,1,0)</f>
        <v>0</v>
      </c>
      <c r="CV8" s="26">
        <f>IF(預測IC!CV17&gt;預測IC!CV$27,1,0)</f>
        <v>1</v>
      </c>
      <c r="CW8" s="26">
        <f>IF(預測IC!CW17&gt;預測IC!CW$27,1,0)</f>
        <v>1</v>
      </c>
      <c r="CX8" s="26">
        <f>IF(預測IC!CX17&gt;預測IC!CX$27,1,0)</f>
        <v>0</v>
      </c>
      <c r="CY8" s="26">
        <f>IF(預測IC!CY17&gt;預測IC!CY$27,1,0)</f>
        <v>1</v>
      </c>
      <c r="CZ8" s="26">
        <f>IF(預測IC!CZ17&gt;預測IC!CZ$27,1,0)</f>
        <v>1</v>
      </c>
      <c r="DA8" s="26">
        <f>IF(預測IC!DA17&gt;預測IC!DA$27,1,0)</f>
        <v>1</v>
      </c>
      <c r="DB8" s="26">
        <f>IF(預測IC!DB17&gt;預測IC!DB$27,1,0)</f>
        <v>1</v>
      </c>
      <c r="DC8" s="26">
        <f>IF(預測IC!DC17&gt;預測IC!DC$27,1,0)</f>
        <v>1</v>
      </c>
      <c r="DD8" s="26">
        <f>IF(預測IC!DD17&gt;預測IC!DD$27,1,0)</f>
        <v>1</v>
      </c>
      <c r="DE8" s="26">
        <f>IF(預測IC!DE17&gt;預測IC!DE$27,1,0)</f>
        <v>0</v>
      </c>
      <c r="DF8" s="26">
        <f>IF(預測IC!DF17&gt;預測IC!DF$27,1,0)</f>
        <v>1</v>
      </c>
      <c r="DG8" s="26">
        <f>IF(預測IC!DG17&gt;預測IC!DG$27,1,0)</f>
        <v>0</v>
      </c>
      <c r="DH8" s="26">
        <f>IF(預測IC!DH17&gt;預測IC!DH$27,1,0)</f>
        <v>0</v>
      </c>
      <c r="DI8" s="26">
        <f>IF(預測IC!DI17&gt;預測IC!DI$27,1,0)</f>
        <v>0</v>
      </c>
      <c r="DJ8" s="26">
        <f>IF(預測IC!DJ17&gt;預測IC!DJ$27,1,0)</f>
        <v>1</v>
      </c>
      <c r="DK8" s="26">
        <f>IF(預測IC!DK17&gt;預測IC!DK$27,1,0)</f>
        <v>1</v>
      </c>
      <c r="DL8" s="26">
        <f>IF(預測IC!DL17&gt;預測IC!DL$27,1,0)</f>
        <v>0</v>
      </c>
      <c r="DM8" s="26">
        <f>IF(預測IC!DM17&gt;預測IC!DM$27,1,0)</f>
        <v>0</v>
      </c>
      <c r="DN8" s="26">
        <f>IF(預測IC!DN17&gt;預測IC!DN$27,1,0)</f>
        <v>1</v>
      </c>
      <c r="DO8" s="26">
        <f>IF(預測IC!DO17&gt;預測IC!DO$27,1,0)</f>
        <v>1</v>
      </c>
      <c r="DP8" s="26">
        <f>IF(預測IC!DP17&gt;預測IC!DP$27,1,0)</f>
        <v>0</v>
      </c>
      <c r="DQ8" s="26">
        <f>IF(預測IC!DQ17&gt;預測IC!DQ$27,1,0)</f>
        <v>0</v>
      </c>
      <c r="DR8" s="26">
        <f>IF(預測IC!DR17&gt;預測IC!DR$27,1,0)</f>
        <v>1</v>
      </c>
      <c r="DS8" s="26">
        <f>IF(預測IC!DS17&gt;預測IC!DS$27,1,0)</f>
        <v>1</v>
      </c>
      <c r="DT8" s="26">
        <f>IF(預測IC!DT17&gt;預測IC!DT$27,1,0)</f>
        <v>0</v>
      </c>
      <c r="DU8" s="26">
        <f>IF(預測IC!DU17&gt;預測IC!DU$27,1,0)</f>
        <v>1</v>
      </c>
      <c r="DV8" s="26">
        <f>IF(預測IC!DV17&gt;預測IC!DV$27,1,0)</f>
        <v>0</v>
      </c>
      <c r="DW8" s="26">
        <f>IF(預測IC!DW17&gt;預測IC!DW$27,1,0)</f>
        <v>0</v>
      </c>
      <c r="DX8" s="26">
        <f>IF(預測IC!DX17&gt;預測IC!DX$27,1,0)</f>
        <v>0</v>
      </c>
      <c r="DY8" s="26">
        <f>IF(預測IC!DY17&gt;預測IC!DY$27,1,0)</f>
        <v>1</v>
      </c>
      <c r="DZ8" s="26">
        <f>IF(預測IC!DZ17&gt;預測IC!DZ$27,1,0)</f>
        <v>0</v>
      </c>
      <c r="EA8" s="26">
        <f>IF(預測IC!EA17&gt;預測IC!EA$27,1,0)</f>
        <v>0</v>
      </c>
      <c r="EB8" s="26">
        <f>IF(預測IC!EB17&gt;預測IC!EB$27,1,0)</f>
        <v>1</v>
      </c>
      <c r="EC8" s="26">
        <f>IF(預測IC!EC17&gt;預測IC!EC$27,1,0)</f>
        <v>1</v>
      </c>
      <c r="ED8" s="26">
        <f>IF(預測IC!ED17&gt;預測IC!ED$27,1,0)</f>
        <v>1</v>
      </c>
      <c r="EE8" s="26">
        <f>IF(預測IC!EE17&gt;預測IC!EE$27,1,0)</f>
        <v>0</v>
      </c>
      <c r="EF8" s="26">
        <f>IF(預測IC!EF17&gt;預測IC!EF$27,1,0)</f>
        <v>0</v>
      </c>
      <c r="EG8" s="1">
        <f t="shared" si="0"/>
        <v>69</v>
      </c>
      <c r="EH8" s="61">
        <f t="shared" si="1"/>
        <v>0.5149253731343284</v>
      </c>
    </row>
    <row r="9" spans="1:138" s="3" customFormat="1" ht="16">
      <c r="A9" s="6">
        <v>107</v>
      </c>
      <c r="B9" s="6">
        <v>9</v>
      </c>
      <c r="C9" s="26">
        <f>IF(預測IC!C18&gt;預測IC!C$27,1,0)</f>
        <v>0</v>
      </c>
      <c r="D9" s="26">
        <f>IF(預測IC!D18&gt;預測IC!D$27,1,0)</f>
        <v>1</v>
      </c>
      <c r="E9" s="26">
        <f>IF(預測IC!E18&gt;預測IC!E$27,1,0)</f>
        <v>0</v>
      </c>
      <c r="F9" s="26">
        <f>IF(預測IC!F18&gt;預測IC!F$27,1,0)</f>
        <v>1</v>
      </c>
      <c r="G9" s="26">
        <f>IF(預測IC!G18&gt;預測IC!G$27,1,0)</f>
        <v>0</v>
      </c>
      <c r="H9" s="26">
        <f>IF(預測IC!H18&gt;預測IC!H$27,1,0)</f>
        <v>0</v>
      </c>
      <c r="I9" s="26">
        <f>IF(預測IC!I18&gt;預測IC!I$27,1,0)</f>
        <v>1</v>
      </c>
      <c r="J9" s="26">
        <f>IF(預測IC!J18&gt;預測IC!J$27,1,0)</f>
        <v>1</v>
      </c>
      <c r="K9" s="26">
        <f>IF(預測IC!K18&gt;預測IC!K$27,1,0)</f>
        <v>1</v>
      </c>
      <c r="L9" s="26">
        <f>IF(預測IC!L18&gt;預測IC!L$27,1,0)</f>
        <v>1</v>
      </c>
      <c r="M9" s="26">
        <f>IF(預測IC!M18&gt;預測IC!M$27,1,0)</f>
        <v>0</v>
      </c>
      <c r="N9" s="26">
        <f>IF(預測IC!N18&gt;預測IC!N$27,1,0)</f>
        <v>0</v>
      </c>
      <c r="O9" s="26">
        <f>IF(預測IC!O18&gt;預測IC!O$27,1,0)</f>
        <v>0</v>
      </c>
      <c r="P9" s="26">
        <f>IF(預測IC!P18&gt;預測IC!P$27,1,0)</f>
        <v>0</v>
      </c>
      <c r="Q9" s="26">
        <f>IF(預測IC!Q18&gt;預測IC!Q$27,1,0)</f>
        <v>1</v>
      </c>
      <c r="R9" s="26">
        <f>IF(預測IC!R18&gt;預測IC!R$27,1,0)</f>
        <v>0</v>
      </c>
      <c r="S9" s="26">
        <f>IF(預測IC!S18&gt;預測IC!S$27,1,0)</f>
        <v>1</v>
      </c>
      <c r="T9" s="26">
        <f>IF(預測IC!T18&gt;預測IC!T$27,1,0)</f>
        <v>1</v>
      </c>
      <c r="U9" s="26">
        <f>IF(預測IC!U18&gt;預測IC!U$27,1,0)</f>
        <v>1</v>
      </c>
      <c r="V9" s="26">
        <f>IF(預測IC!V18&gt;預測IC!V$27,1,0)</f>
        <v>1</v>
      </c>
      <c r="W9" s="26">
        <f>IF(預測IC!W18&gt;預測IC!W$27,1,0)</f>
        <v>1</v>
      </c>
      <c r="X9" s="26">
        <f>IF(預測IC!X18&gt;預測IC!X$27,1,0)</f>
        <v>0</v>
      </c>
      <c r="Y9" s="26">
        <f>IF(預測IC!Y18&gt;預測IC!Y$27,1,0)</f>
        <v>0</v>
      </c>
      <c r="Z9" s="26">
        <f>IF(預測IC!Z18&gt;預測IC!Z$27,1,0)</f>
        <v>1</v>
      </c>
      <c r="AA9" s="26">
        <f>IF(預測IC!AA18&gt;預測IC!AA$27,1,0)</f>
        <v>0</v>
      </c>
      <c r="AB9" s="26">
        <f>IF(預測IC!AB18&gt;預測IC!AB$27,1,0)</f>
        <v>0</v>
      </c>
      <c r="AC9" s="26">
        <f>IF(預測IC!AC18&gt;預測IC!AC$27,1,0)</f>
        <v>0</v>
      </c>
      <c r="AD9" s="26">
        <f>IF(預測IC!AD18&gt;預測IC!AD$27,1,0)</f>
        <v>1</v>
      </c>
      <c r="AE9" s="26">
        <f>IF(預測IC!AE18&gt;預測IC!AE$27,1,0)</f>
        <v>1</v>
      </c>
      <c r="AF9" s="26">
        <f>IF(預測IC!AF18&gt;預測IC!AF$27,1,0)</f>
        <v>1</v>
      </c>
      <c r="AG9" s="26">
        <f>IF(預測IC!AG18&gt;預測IC!AG$27,1,0)</f>
        <v>0</v>
      </c>
      <c r="AH9" s="26">
        <f>IF(預測IC!AH18&gt;預測IC!AH$27,1,0)</f>
        <v>1</v>
      </c>
      <c r="AI9" s="26">
        <f>IF(預測IC!AI18&gt;預測IC!AI$27,1,0)</f>
        <v>1</v>
      </c>
      <c r="AJ9" s="26">
        <f>IF(預測IC!AJ18&gt;預測IC!AJ$27,1,0)</f>
        <v>1</v>
      </c>
      <c r="AK9" s="26">
        <f>IF(預測IC!AK18&gt;預測IC!AK$27,1,0)</f>
        <v>1</v>
      </c>
      <c r="AL9" s="26">
        <f>IF(預測IC!AL18&gt;預測IC!AL$27,1,0)</f>
        <v>1</v>
      </c>
      <c r="AM9" s="26">
        <f>IF(預測IC!AM18&gt;預測IC!AM$27,1,0)</f>
        <v>1</v>
      </c>
      <c r="AN9" s="26">
        <f>IF(預測IC!AN18&gt;預測IC!AN$27,1,0)</f>
        <v>0</v>
      </c>
      <c r="AO9" s="26">
        <f>IF(預測IC!AO18&gt;預測IC!AO$27,1,0)</f>
        <v>1</v>
      </c>
      <c r="AP9" s="26">
        <f>IF(預測IC!AP18&gt;預測IC!AP$27,1,0)</f>
        <v>0</v>
      </c>
      <c r="AQ9" s="26">
        <f>IF(預測IC!AQ18&gt;預測IC!AQ$27,1,0)</f>
        <v>0</v>
      </c>
      <c r="AR9" s="26">
        <f>IF(預測IC!AR18&gt;預測IC!AR$27,1,0)</f>
        <v>0</v>
      </c>
      <c r="AS9" s="26">
        <f>IF(預測IC!AS18&gt;預測IC!AS$27,1,0)</f>
        <v>1</v>
      </c>
      <c r="AT9" s="26">
        <f>IF(預測IC!AT18&gt;預測IC!AT$27,1,0)</f>
        <v>0</v>
      </c>
      <c r="AU9" s="26">
        <f>IF(預測IC!AU18&gt;預測IC!AU$27,1,0)</f>
        <v>1</v>
      </c>
      <c r="AV9" s="26">
        <f>IF(預測IC!AV18&gt;預測IC!AV$27,1,0)</f>
        <v>0</v>
      </c>
      <c r="AW9" s="26">
        <f>IF(預測IC!AW18&gt;預測IC!AW$27,1,0)</f>
        <v>1</v>
      </c>
      <c r="AX9" s="26">
        <f>IF(預測IC!AX18&gt;預測IC!AX$27,1,0)</f>
        <v>0</v>
      </c>
      <c r="AY9" s="26">
        <f>IF(預測IC!AY18&gt;預測IC!AY$27,1,0)</f>
        <v>1</v>
      </c>
      <c r="AZ9" s="26">
        <f>IF(預測IC!AZ18&gt;預測IC!AZ$27,1,0)</f>
        <v>1</v>
      </c>
      <c r="BA9" s="26">
        <f>IF(預測IC!BA18&gt;預測IC!BA$27,1,0)</f>
        <v>1</v>
      </c>
      <c r="BB9" s="26">
        <f>IF(預測IC!BB18&gt;預測IC!BB$27,1,0)</f>
        <v>1</v>
      </c>
      <c r="BC9" s="26">
        <f>IF(預測IC!BC18&gt;預測IC!BC$27,1,0)</f>
        <v>0</v>
      </c>
      <c r="BD9" s="26">
        <f>IF(預測IC!BD18&gt;預測IC!BD$27,1,0)</f>
        <v>1</v>
      </c>
      <c r="BE9" s="26">
        <f>IF(預測IC!BE18&gt;預測IC!BE$27,1,0)</f>
        <v>1</v>
      </c>
      <c r="BF9" s="26">
        <f>IF(預測IC!BF18&gt;預測IC!BF$27,1,0)</f>
        <v>1</v>
      </c>
      <c r="BG9" s="26">
        <f>IF(預測IC!BG18&gt;預測IC!BG$27,1,0)</f>
        <v>1</v>
      </c>
      <c r="BH9" s="26">
        <f>IF(預測IC!BH18&gt;預測IC!BH$27,1,0)</f>
        <v>1</v>
      </c>
      <c r="BI9" s="26">
        <f>IF(預測IC!BI18&gt;預測IC!BI$27,1,0)</f>
        <v>1</v>
      </c>
      <c r="BJ9" s="26">
        <f>IF(預測IC!BJ18&gt;預測IC!BJ$27,1,0)</f>
        <v>0</v>
      </c>
      <c r="BK9" s="26">
        <f>IF(預測IC!BK18&gt;預測IC!BK$27,1,0)</f>
        <v>0</v>
      </c>
      <c r="BL9" s="26">
        <f>IF(預測IC!BL18&gt;預測IC!BL$27,1,0)</f>
        <v>0</v>
      </c>
      <c r="BM9" s="26">
        <f>IF(預測IC!BM18&gt;預測IC!BM$27,1,0)</f>
        <v>0</v>
      </c>
      <c r="BN9" s="26">
        <f>IF(預測IC!BN18&gt;預測IC!BN$27,1,0)</f>
        <v>0</v>
      </c>
      <c r="BO9" s="26">
        <f>IF(預測IC!BO18&gt;預測IC!BO$27,1,0)</f>
        <v>1</v>
      </c>
      <c r="BP9" s="26">
        <f>IF(預測IC!BP18&gt;預測IC!BP$27,1,0)</f>
        <v>0</v>
      </c>
      <c r="BQ9" s="26">
        <f>IF(預測IC!BQ18&gt;預測IC!BQ$27,1,0)</f>
        <v>1</v>
      </c>
      <c r="BR9" s="26">
        <f>IF(預測IC!BR18&gt;預測IC!BR$27,1,0)</f>
        <v>0</v>
      </c>
      <c r="BS9" s="26">
        <f>IF(預測IC!BS18&gt;預測IC!BS$27,1,0)</f>
        <v>0</v>
      </c>
      <c r="BT9" s="26">
        <f>IF(預測IC!BT18&gt;預測IC!BT$27,1,0)</f>
        <v>1</v>
      </c>
      <c r="BU9" s="26">
        <f>IF(預測IC!BU18&gt;預測IC!BU$27,1,0)</f>
        <v>0</v>
      </c>
      <c r="BV9" s="26">
        <f>IF(預測IC!BV18&gt;預測IC!BV$27,1,0)</f>
        <v>1</v>
      </c>
      <c r="BW9" s="26">
        <f>IF(預測IC!BW18&gt;預測IC!BW$27,1,0)</f>
        <v>1</v>
      </c>
      <c r="BX9" s="26">
        <f>IF(預測IC!BX18&gt;預測IC!BX$27,1,0)</f>
        <v>1</v>
      </c>
      <c r="BY9" s="26">
        <f>IF(預測IC!BY18&gt;預測IC!BY$27,1,0)</f>
        <v>1</v>
      </c>
      <c r="BZ9" s="26">
        <f>IF(預測IC!BZ18&gt;預測IC!BZ$27,1,0)</f>
        <v>0</v>
      </c>
      <c r="CA9" s="26">
        <f>IF(預測IC!CA18&gt;預測IC!CA$27,1,0)</f>
        <v>0</v>
      </c>
      <c r="CB9" s="26">
        <f>IF(預測IC!CB18&gt;預測IC!CB$27,1,0)</f>
        <v>1</v>
      </c>
      <c r="CC9" s="26">
        <f>IF(預測IC!CC18&gt;預測IC!CC$27,1,0)</f>
        <v>0</v>
      </c>
      <c r="CD9" s="26">
        <f>IF(預測IC!CD18&gt;預測IC!CD$27,1,0)</f>
        <v>0</v>
      </c>
      <c r="CE9" s="26">
        <f>IF(預測IC!CE18&gt;預測IC!CE$27,1,0)</f>
        <v>1</v>
      </c>
      <c r="CF9" s="26">
        <f>IF(預測IC!CF18&gt;預測IC!CF$27,1,0)</f>
        <v>0</v>
      </c>
      <c r="CG9" s="26">
        <f>IF(預測IC!CG18&gt;預測IC!CG$27,1,0)</f>
        <v>0</v>
      </c>
      <c r="CH9" s="26">
        <f>IF(預測IC!CH18&gt;預測IC!CH$27,1,0)</f>
        <v>0</v>
      </c>
      <c r="CI9" s="26">
        <f>IF(預測IC!CI18&gt;預測IC!CI$27,1,0)</f>
        <v>0</v>
      </c>
      <c r="CJ9" s="26">
        <f>IF(預測IC!CJ18&gt;預測IC!CJ$27,1,0)</f>
        <v>0</v>
      </c>
      <c r="CK9" s="26">
        <f>IF(預測IC!CK18&gt;預測IC!CK$27,1,0)</f>
        <v>1</v>
      </c>
      <c r="CL9" s="26">
        <f>IF(預測IC!CL18&gt;預測IC!CL$27,1,0)</f>
        <v>1</v>
      </c>
      <c r="CM9" s="26">
        <f>IF(預測IC!CM18&gt;預測IC!CM$27,1,0)</f>
        <v>1</v>
      </c>
      <c r="CN9" s="26">
        <f>IF(預測IC!CN18&gt;預測IC!CN$27,1,0)</f>
        <v>1</v>
      </c>
      <c r="CO9" s="26">
        <f>IF(預測IC!CO18&gt;預測IC!CO$27,1,0)</f>
        <v>0</v>
      </c>
      <c r="CP9" s="26">
        <f>IF(預測IC!CP18&gt;預測IC!CP$27,1,0)</f>
        <v>1</v>
      </c>
      <c r="CQ9" s="26">
        <f>IF(預測IC!CQ18&gt;預測IC!CQ$27,1,0)</f>
        <v>0</v>
      </c>
      <c r="CR9" s="26">
        <f>IF(預測IC!CR18&gt;預測IC!CR$27,1,0)</f>
        <v>0</v>
      </c>
      <c r="CS9" s="26">
        <f>IF(預測IC!CS18&gt;預測IC!CS$27,1,0)</f>
        <v>1</v>
      </c>
      <c r="CT9" s="26">
        <f>IF(預測IC!CT18&gt;預測IC!CT$27,1,0)</f>
        <v>0</v>
      </c>
      <c r="CU9" s="26">
        <f>IF(預測IC!CU18&gt;預測IC!CU$27,1,0)</f>
        <v>0</v>
      </c>
      <c r="CV9" s="26">
        <f>IF(預測IC!CV18&gt;預測IC!CV$27,1,0)</f>
        <v>1</v>
      </c>
      <c r="CW9" s="26">
        <f>IF(預測IC!CW18&gt;預測IC!CW$27,1,0)</f>
        <v>1</v>
      </c>
      <c r="CX9" s="26">
        <f>IF(預測IC!CX18&gt;預測IC!CX$27,1,0)</f>
        <v>0</v>
      </c>
      <c r="CY9" s="26">
        <f>IF(預測IC!CY18&gt;預測IC!CY$27,1,0)</f>
        <v>1</v>
      </c>
      <c r="CZ9" s="26">
        <f>IF(預測IC!CZ18&gt;預測IC!CZ$27,1,0)</f>
        <v>1</v>
      </c>
      <c r="DA9" s="26">
        <f>IF(預測IC!DA18&gt;預測IC!DA$27,1,0)</f>
        <v>1</v>
      </c>
      <c r="DB9" s="26">
        <f>IF(預測IC!DB18&gt;預測IC!DB$27,1,0)</f>
        <v>1</v>
      </c>
      <c r="DC9" s="26">
        <f>IF(預測IC!DC18&gt;預測IC!DC$27,1,0)</f>
        <v>1</v>
      </c>
      <c r="DD9" s="26">
        <f>IF(預測IC!DD18&gt;預測IC!DD$27,1,0)</f>
        <v>1</v>
      </c>
      <c r="DE9" s="26">
        <f>IF(預測IC!DE18&gt;預測IC!DE$27,1,0)</f>
        <v>0</v>
      </c>
      <c r="DF9" s="26">
        <f>IF(預測IC!DF18&gt;預測IC!DF$27,1,0)</f>
        <v>1</v>
      </c>
      <c r="DG9" s="26">
        <f>IF(預測IC!DG18&gt;預測IC!DG$27,1,0)</f>
        <v>0</v>
      </c>
      <c r="DH9" s="26">
        <f>IF(預測IC!DH18&gt;預測IC!DH$27,1,0)</f>
        <v>0</v>
      </c>
      <c r="DI9" s="26">
        <f>IF(預測IC!DI18&gt;預測IC!DI$27,1,0)</f>
        <v>0</v>
      </c>
      <c r="DJ9" s="26">
        <f>IF(預測IC!DJ18&gt;預測IC!DJ$27,1,0)</f>
        <v>1</v>
      </c>
      <c r="DK9" s="26">
        <f>IF(預測IC!DK18&gt;預測IC!DK$27,1,0)</f>
        <v>1</v>
      </c>
      <c r="DL9" s="26">
        <f>IF(預測IC!DL18&gt;預測IC!DL$27,1,0)</f>
        <v>0</v>
      </c>
      <c r="DM9" s="26">
        <f>IF(預測IC!DM18&gt;預測IC!DM$27,1,0)</f>
        <v>0</v>
      </c>
      <c r="DN9" s="26">
        <f>IF(預測IC!DN18&gt;預測IC!DN$27,1,0)</f>
        <v>1</v>
      </c>
      <c r="DO9" s="26">
        <f>IF(預測IC!DO18&gt;預測IC!DO$27,1,0)</f>
        <v>1</v>
      </c>
      <c r="DP9" s="26">
        <f>IF(預測IC!DP18&gt;預測IC!DP$27,1,0)</f>
        <v>0</v>
      </c>
      <c r="DQ9" s="26">
        <f>IF(預測IC!DQ18&gt;預測IC!DQ$27,1,0)</f>
        <v>0</v>
      </c>
      <c r="DR9" s="26">
        <f>IF(預測IC!DR18&gt;預測IC!DR$27,1,0)</f>
        <v>1</v>
      </c>
      <c r="DS9" s="26">
        <f>IF(預測IC!DS18&gt;預測IC!DS$27,1,0)</f>
        <v>0</v>
      </c>
      <c r="DT9" s="26">
        <f>IF(預測IC!DT18&gt;預測IC!DT$27,1,0)</f>
        <v>1</v>
      </c>
      <c r="DU9" s="26">
        <f>IF(預測IC!DU18&gt;預測IC!DU$27,1,0)</f>
        <v>1</v>
      </c>
      <c r="DV9" s="26">
        <f>IF(預測IC!DV18&gt;預測IC!DV$27,1,0)</f>
        <v>0</v>
      </c>
      <c r="DW9" s="26">
        <f>IF(預測IC!DW18&gt;預測IC!DW$27,1,0)</f>
        <v>1</v>
      </c>
      <c r="DX9" s="26">
        <f>IF(預測IC!DX18&gt;預測IC!DX$27,1,0)</f>
        <v>0</v>
      </c>
      <c r="DY9" s="26">
        <f>IF(預測IC!DY18&gt;預測IC!DY$27,1,0)</f>
        <v>1</v>
      </c>
      <c r="DZ9" s="26">
        <f>IF(預測IC!DZ18&gt;預測IC!DZ$27,1,0)</f>
        <v>0</v>
      </c>
      <c r="EA9" s="26">
        <f>IF(預測IC!EA18&gt;預測IC!EA$27,1,0)</f>
        <v>1</v>
      </c>
      <c r="EB9" s="26">
        <f>IF(預測IC!EB18&gt;預測IC!EB$27,1,0)</f>
        <v>1</v>
      </c>
      <c r="EC9" s="26">
        <f>IF(預測IC!EC18&gt;預測IC!EC$27,1,0)</f>
        <v>1</v>
      </c>
      <c r="ED9" s="26">
        <f>IF(預測IC!ED18&gt;預測IC!ED$27,1,0)</f>
        <v>1</v>
      </c>
      <c r="EE9" s="26">
        <f>IF(預測IC!EE18&gt;預測IC!EE$27,1,0)</f>
        <v>0</v>
      </c>
      <c r="EF9" s="26">
        <f>IF(預測IC!EF18&gt;預測IC!EF$27,1,0)</f>
        <v>0</v>
      </c>
      <c r="EG9" s="1">
        <f t="shared" si="0"/>
        <v>73</v>
      </c>
      <c r="EH9" s="61">
        <f t="shared" si="1"/>
        <v>0.54477611940298509</v>
      </c>
    </row>
    <row r="10" spans="1:138" s="3" customFormat="1" ht="16">
      <c r="A10" s="6">
        <v>120</v>
      </c>
      <c r="B10" s="6">
        <v>8</v>
      </c>
      <c r="C10" s="26">
        <f>IF(預測IC!C19&gt;預測IC!C$27,1,0)</f>
        <v>0</v>
      </c>
      <c r="D10" s="26">
        <f>IF(預測IC!D19&gt;預測IC!D$27,1,0)</f>
        <v>1</v>
      </c>
      <c r="E10" s="26">
        <f>IF(預測IC!E19&gt;預測IC!E$27,1,0)</f>
        <v>0</v>
      </c>
      <c r="F10" s="26">
        <f>IF(預測IC!F19&gt;預測IC!F$27,1,0)</f>
        <v>1</v>
      </c>
      <c r="G10" s="26">
        <f>IF(預測IC!G19&gt;預測IC!G$27,1,0)</f>
        <v>0</v>
      </c>
      <c r="H10" s="26">
        <f>IF(預測IC!H19&gt;預測IC!H$27,1,0)</f>
        <v>0</v>
      </c>
      <c r="I10" s="26">
        <f>IF(預測IC!I19&gt;預測IC!I$27,1,0)</f>
        <v>1</v>
      </c>
      <c r="J10" s="26">
        <f>IF(預測IC!J19&gt;預測IC!J$27,1,0)</f>
        <v>1</v>
      </c>
      <c r="K10" s="26">
        <f>IF(預測IC!K19&gt;預測IC!K$27,1,0)</f>
        <v>1</v>
      </c>
      <c r="L10" s="26">
        <f>IF(預測IC!L19&gt;預測IC!L$27,1,0)</f>
        <v>1</v>
      </c>
      <c r="M10" s="26">
        <f>IF(預測IC!M19&gt;預測IC!M$27,1,0)</f>
        <v>0</v>
      </c>
      <c r="N10" s="26">
        <f>IF(預測IC!N19&gt;預測IC!N$27,1,0)</f>
        <v>0</v>
      </c>
      <c r="O10" s="26">
        <f>IF(預測IC!O19&gt;預測IC!O$27,1,0)</f>
        <v>0</v>
      </c>
      <c r="P10" s="26">
        <f>IF(預測IC!P19&gt;預測IC!P$27,1,0)</f>
        <v>0</v>
      </c>
      <c r="Q10" s="26">
        <f>IF(預測IC!Q19&gt;預測IC!Q$27,1,0)</f>
        <v>1</v>
      </c>
      <c r="R10" s="26">
        <f>IF(預測IC!R19&gt;預測IC!R$27,1,0)</f>
        <v>0</v>
      </c>
      <c r="S10" s="26">
        <f>IF(預測IC!S19&gt;預測IC!S$27,1,0)</f>
        <v>1</v>
      </c>
      <c r="T10" s="26">
        <f>IF(預測IC!T19&gt;預測IC!T$27,1,0)</f>
        <v>1</v>
      </c>
      <c r="U10" s="26">
        <f>IF(預測IC!U19&gt;預測IC!U$27,1,0)</f>
        <v>1</v>
      </c>
      <c r="V10" s="26">
        <f>IF(預測IC!V19&gt;預測IC!V$27,1,0)</f>
        <v>0</v>
      </c>
      <c r="W10" s="26">
        <f>IF(預測IC!W19&gt;預測IC!W$27,1,0)</f>
        <v>1</v>
      </c>
      <c r="X10" s="26">
        <f>IF(預測IC!X19&gt;預測IC!X$27,1,0)</f>
        <v>0</v>
      </c>
      <c r="Y10" s="26">
        <f>IF(預測IC!Y19&gt;預測IC!Y$27,1,0)</f>
        <v>0</v>
      </c>
      <c r="Z10" s="26">
        <f>IF(預測IC!Z19&gt;預測IC!Z$27,1,0)</f>
        <v>1</v>
      </c>
      <c r="AA10" s="26">
        <f>IF(預測IC!AA19&gt;預測IC!AA$27,1,0)</f>
        <v>0</v>
      </c>
      <c r="AB10" s="26">
        <f>IF(預測IC!AB19&gt;預測IC!AB$27,1,0)</f>
        <v>0</v>
      </c>
      <c r="AC10" s="26">
        <f>IF(預測IC!AC19&gt;預測IC!AC$27,1,0)</f>
        <v>0</v>
      </c>
      <c r="AD10" s="26">
        <f>IF(預測IC!AD19&gt;預測IC!AD$27,1,0)</f>
        <v>1</v>
      </c>
      <c r="AE10" s="26">
        <f>IF(預測IC!AE19&gt;預測IC!AE$27,1,0)</f>
        <v>1</v>
      </c>
      <c r="AF10" s="26">
        <f>IF(預測IC!AF19&gt;預測IC!AF$27,1,0)</f>
        <v>1</v>
      </c>
      <c r="AG10" s="26">
        <f>IF(預測IC!AG19&gt;預測IC!AG$27,1,0)</f>
        <v>0</v>
      </c>
      <c r="AH10" s="26">
        <f>IF(預測IC!AH19&gt;預測IC!AH$27,1,0)</f>
        <v>1</v>
      </c>
      <c r="AI10" s="26">
        <f>IF(預測IC!AI19&gt;預測IC!AI$27,1,0)</f>
        <v>1</v>
      </c>
      <c r="AJ10" s="26">
        <f>IF(預測IC!AJ19&gt;預測IC!AJ$27,1,0)</f>
        <v>1</v>
      </c>
      <c r="AK10" s="26">
        <f>IF(預測IC!AK19&gt;預測IC!AK$27,1,0)</f>
        <v>1</v>
      </c>
      <c r="AL10" s="26">
        <f>IF(預測IC!AL19&gt;預測IC!AL$27,1,0)</f>
        <v>1</v>
      </c>
      <c r="AM10" s="26">
        <f>IF(預測IC!AM19&gt;預測IC!AM$27,1,0)</f>
        <v>1</v>
      </c>
      <c r="AN10" s="26">
        <f>IF(預測IC!AN19&gt;預測IC!AN$27,1,0)</f>
        <v>0</v>
      </c>
      <c r="AO10" s="26">
        <f>IF(預測IC!AO19&gt;預測IC!AO$27,1,0)</f>
        <v>1</v>
      </c>
      <c r="AP10" s="26">
        <f>IF(預測IC!AP19&gt;預測IC!AP$27,1,0)</f>
        <v>0</v>
      </c>
      <c r="AQ10" s="26">
        <f>IF(預測IC!AQ19&gt;預測IC!AQ$27,1,0)</f>
        <v>0</v>
      </c>
      <c r="AR10" s="26">
        <f>IF(預測IC!AR19&gt;預測IC!AR$27,1,0)</f>
        <v>0</v>
      </c>
      <c r="AS10" s="26">
        <f>IF(預測IC!AS19&gt;預測IC!AS$27,1,0)</f>
        <v>1</v>
      </c>
      <c r="AT10" s="26">
        <f>IF(預測IC!AT19&gt;預測IC!AT$27,1,0)</f>
        <v>0</v>
      </c>
      <c r="AU10" s="26">
        <f>IF(預測IC!AU19&gt;預測IC!AU$27,1,0)</f>
        <v>1</v>
      </c>
      <c r="AV10" s="26">
        <f>IF(預測IC!AV19&gt;預測IC!AV$27,1,0)</f>
        <v>0</v>
      </c>
      <c r="AW10" s="26">
        <f>IF(預測IC!AW19&gt;預測IC!AW$27,1,0)</f>
        <v>1</v>
      </c>
      <c r="AX10" s="26">
        <f>IF(預測IC!AX19&gt;預測IC!AX$27,1,0)</f>
        <v>0</v>
      </c>
      <c r="AY10" s="26">
        <f>IF(預測IC!AY19&gt;預測IC!AY$27,1,0)</f>
        <v>1</v>
      </c>
      <c r="AZ10" s="26">
        <f>IF(預測IC!AZ19&gt;預測IC!AZ$27,1,0)</f>
        <v>1</v>
      </c>
      <c r="BA10" s="26">
        <f>IF(預測IC!BA19&gt;預測IC!BA$27,1,0)</f>
        <v>1</v>
      </c>
      <c r="BB10" s="26">
        <f>IF(預測IC!BB19&gt;預測IC!BB$27,1,0)</f>
        <v>1</v>
      </c>
      <c r="BC10" s="26">
        <f>IF(預測IC!BC19&gt;預測IC!BC$27,1,0)</f>
        <v>0</v>
      </c>
      <c r="BD10" s="26">
        <f>IF(預測IC!BD19&gt;預測IC!BD$27,1,0)</f>
        <v>1</v>
      </c>
      <c r="BE10" s="26">
        <f>IF(預測IC!BE19&gt;預測IC!BE$27,1,0)</f>
        <v>1</v>
      </c>
      <c r="BF10" s="26">
        <f>IF(預測IC!BF19&gt;預測IC!BF$27,1,0)</f>
        <v>1</v>
      </c>
      <c r="BG10" s="26">
        <f>IF(預測IC!BG19&gt;預測IC!BG$27,1,0)</f>
        <v>1</v>
      </c>
      <c r="BH10" s="26">
        <f>IF(預測IC!BH19&gt;預測IC!BH$27,1,0)</f>
        <v>1</v>
      </c>
      <c r="BI10" s="26">
        <f>IF(預測IC!BI19&gt;預測IC!BI$27,1,0)</f>
        <v>1</v>
      </c>
      <c r="BJ10" s="26">
        <f>IF(預測IC!BJ19&gt;預測IC!BJ$27,1,0)</f>
        <v>0</v>
      </c>
      <c r="BK10" s="26">
        <f>IF(預測IC!BK19&gt;預測IC!BK$27,1,0)</f>
        <v>0</v>
      </c>
      <c r="BL10" s="26">
        <f>IF(預測IC!BL19&gt;預測IC!BL$27,1,0)</f>
        <v>0</v>
      </c>
      <c r="BM10" s="26">
        <f>IF(預測IC!BM19&gt;預測IC!BM$27,1,0)</f>
        <v>0</v>
      </c>
      <c r="BN10" s="26">
        <f>IF(預測IC!BN19&gt;預測IC!BN$27,1,0)</f>
        <v>0</v>
      </c>
      <c r="BO10" s="26">
        <f>IF(預測IC!BO19&gt;預測IC!BO$27,1,0)</f>
        <v>1</v>
      </c>
      <c r="BP10" s="26">
        <f>IF(預測IC!BP19&gt;預測IC!BP$27,1,0)</f>
        <v>0</v>
      </c>
      <c r="BQ10" s="26">
        <f>IF(預測IC!BQ19&gt;預測IC!BQ$27,1,0)</f>
        <v>1</v>
      </c>
      <c r="BR10" s="26">
        <f>IF(預測IC!BR19&gt;預測IC!BR$27,1,0)</f>
        <v>0</v>
      </c>
      <c r="BS10" s="26">
        <f>IF(預測IC!BS19&gt;預測IC!BS$27,1,0)</f>
        <v>1</v>
      </c>
      <c r="BT10" s="26">
        <f>IF(預測IC!BT19&gt;預測IC!BT$27,1,0)</f>
        <v>1</v>
      </c>
      <c r="BU10" s="26">
        <f>IF(預測IC!BU19&gt;預測IC!BU$27,1,0)</f>
        <v>0</v>
      </c>
      <c r="BV10" s="26">
        <f>IF(預測IC!BV19&gt;預測IC!BV$27,1,0)</f>
        <v>1</v>
      </c>
      <c r="BW10" s="26">
        <f>IF(預測IC!BW19&gt;預測IC!BW$27,1,0)</f>
        <v>0</v>
      </c>
      <c r="BX10" s="26">
        <f>IF(預測IC!BX19&gt;預測IC!BX$27,1,0)</f>
        <v>1</v>
      </c>
      <c r="BY10" s="26">
        <f>IF(預測IC!BY19&gt;預測IC!BY$27,1,0)</f>
        <v>1</v>
      </c>
      <c r="BZ10" s="26">
        <f>IF(預測IC!BZ19&gt;預測IC!BZ$27,1,0)</f>
        <v>0</v>
      </c>
      <c r="CA10" s="26">
        <f>IF(預測IC!CA19&gt;預測IC!CA$27,1,0)</f>
        <v>0</v>
      </c>
      <c r="CB10" s="26">
        <f>IF(預測IC!CB19&gt;預測IC!CB$27,1,0)</f>
        <v>1</v>
      </c>
      <c r="CC10" s="26">
        <f>IF(預測IC!CC19&gt;預測IC!CC$27,1,0)</f>
        <v>0</v>
      </c>
      <c r="CD10" s="26">
        <f>IF(預測IC!CD19&gt;預測IC!CD$27,1,0)</f>
        <v>0</v>
      </c>
      <c r="CE10" s="26">
        <f>IF(預測IC!CE19&gt;預測IC!CE$27,1,0)</f>
        <v>1</v>
      </c>
      <c r="CF10" s="26">
        <f>IF(預測IC!CF19&gt;預測IC!CF$27,1,0)</f>
        <v>0</v>
      </c>
      <c r="CG10" s="26">
        <f>IF(預測IC!CG19&gt;預測IC!CG$27,1,0)</f>
        <v>0</v>
      </c>
      <c r="CH10" s="26">
        <f>IF(預測IC!CH19&gt;預測IC!CH$27,1,0)</f>
        <v>0</v>
      </c>
      <c r="CI10" s="26">
        <f>IF(預測IC!CI19&gt;預測IC!CI$27,1,0)</f>
        <v>0</v>
      </c>
      <c r="CJ10" s="26">
        <f>IF(預測IC!CJ19&gt;預測IC!CJ$27,1,0)</f>
        <v>0</v>
      </c>
      <c r="CK10" s="26">
        <f>IF(預測IC!CK19&gt;預測IC!CK$27,1,0)</f>
        <v>1</v>
      </c>
      <c r="CL10" s="26">
        <f>IF(預測IC!CL19&gt;預測IC!CL$27,1,0)</f>
        <v>1</v>
      </c>
      <c r="CM10" s="26">
        <f>IF(預測IC!CM19&gt;預測IC!CM$27,1,0)</f>
        <v>1</v>
      </c>
      <c r="CN10" s="26">
        <f>IF(預測IC!CN19&gt;預測IC!CN$27,1,0)</f>
        <v>1</v>
      </c>
      <c r="CO10" s="26">
        <f>IF(預測IC!CO19&gt;預測IC!CO$27,1,0)</f>
        <v>0</v>
      </c>
      <c r="CP10" s="26">
        <f>IF(預測IC!CP19&gt;預測IC!CP$27,1,0)</f>
        <v>1</v>
      </c>
      <c r="CQ10" s="26">
        <f>IF(預測IC!CQ19&gt;預測IC!CQ$27,1,0)</f>
        <v>0</v>
      </c>
      <c r="CR10" s="26">
        <f>IF(預測IC!CR19&gt;預測IC!CR$27,1,0)</f>
        <v>0</v>
      </c>
      <c r="CS10" s="26">
        <f>IF(預測IC!CS19&gt;預測IC!CS$27,1,0)</f>
        <v>1</v>
      </c>
      <c r="CT10" s="26">
        <f>IF(預測IC!CT19&gt;預測IC!CT$27,1,0)</f>
        <v>0</v>
      </c>
      <c r="CU10" s="26">
        <f>IF(預測IC!CU19&gt;預測IC!CU$27,1,0)</f>
        <v>0</v>
      </c>
      <c r="CV10" s="26">
        <f>IF(預測IC!CV19&gt;預測IC!CV$27,1,0)</f>
        <v>1</v>
      </c>
      <c r="CW10" s="26">
        <f>IF(預測IC!CW19&gt;預測IC!CW$27,1,0)</f>
        <v>1</v>
      </c>
      <c r="CX10" s="26">
        <f>IF(預測IC!CX19&gt;預測IC!CX$27,1,0)</f>
        <v>0</v>
      </c>
      <c r="CY10" s="26">
        <f>IF(預測IC!CY19&gt;預測IC!CY$27,1,0)</f>
        <v>1</v>
      </c>
      <c r="CZ10" s="26">
        <f>IF(預測IC!CZ19&gt;預測IC!CZ$27,1,0)</f>
        <v>1</v>
      </c>
      <c r="DA10" s="26">
        <f>IF(預測IC!DA19&gt;預測IC!DA$27,1,0)</f>
        <v>1</v>
      </c>
      <c r="DB10" s="26">
        <f>IF(預測IC!DB19&gt;預測IC!DB$27,1,0)</f>
        <v>1</v>
      </c>
      <c r="DC10" s="26">
        <f>IF(預測IC!DC19&gt;預測IC!DC$27,1,0)</f>
        <v>1</v>
      </c>
      <c r="DD10" s="26">
        <f>IF(預測IC!DD19&gt;預測IC!DD$27,1,0)</f>
        <v>1</v>
      </c>
      <c r="DE10" s="26">
        <f>IF(預測IC!DE19&gt;預測IC!DE$27,1,0)</f>
        <v>0</v>
      </c>
      <c r="DF10" s="26">
        <f>IF(預測IC!DF19&gt;預測IC!DF$27,1,0)</f>
        <v>1</v>
      </c>
      <c r="DG10" s="26">
        <f>IF(預測IC!DG19&gt;預測IC!DG$27,1,0)</f>
        <v>0</v>
      </c>
      <c r="DH10" s="26">
        <f>IF(預測IC!DH19&gt;預測IC!DH$27,1,0)</f>
        <v>0</v>
      </c>
      <c r="DI10" s="26">
        <f>IF(預測IC!DI19&gt;預測IC!DI$27,1,0)</f>
        <v>0</v>
      </c>
      <c r="DJ10" s="26">
        <f>IF(預測IC!DJ19&gt;預測IC!DJ$27,1,0)</f>
        <v>1</v>
      </c>
      <c r="DK10" s="26">
        <f>IF(預測IC!DK19&gt;預測IC!DK$27,1,0)</f>
        <v>1</v>
      </c>
      <c r="DL10" s="26">
        <f>IF(預測IC!DL19&gt;預測IC!DL$27,1,0)</f>
        <v>0</v>
      </c>
      <c r="DM10" s="26">
        <f>IF(預測IC!DM19&gt;預測IC!DM$27,1,0)</f>
        <v>0</v>
      </c>
      <c r="DN10" s="26">
        <f>IF(預測IC!DN19&gt;預測IC!DN$27,1,0)</f>
        <v>1</v>
      </c>
      <c r="DO10" s="26">
        <f>IF(預測IC!DO19&gt;預測IC!DO$27,1,0)</f>
        <v>1</v>
      </c>
      <c r="DP10" s="26">
        <f>IF(預測IC!DP19&gt;預測IC!DP$27,1,0)</f>
        <v>0</v>
      </c>
      <c r="DQ10" s="26">
        <f>IF(預測IC!DQ19&gt;預測IC!DQ$27,1,0)</f>
        <v>0</v>
      </c>
      <c r="DR10" s="26">
        <f>IF(預測IC!DR19&gt;預測IC!DR$27,1,0)</f>
        <v>1</v>
      </c>
      <c r="DS10" s="26">
        <f>IF(預測IC!DS19&gt;預測IC!DS$27,1,0)</f>
        <v>0</v>
      </c>
      <c r="DT10" s="26">
        <f>IF(預測IC!DT19&gt;預測IC!DT$27,1,0)</f>
        <v>1</v>
      </c>
      <c r="DU10" s="26">
        <f>IF(預測IC!DU19&gt;預測IC!DU$27,1,0)</f>
        <v>1</v>
      </c>
      <c r="DV10" s="26">
        <f>IF(預測IC!DV19&gt;預測IC!DV$27,1,0)</f>
        <v>0</v>
      </c>
      <c r="DW10" s="26">
        <f>IF(預測IC!DW19&gt;預測IC!DW$27,1,0)</f>
        <v>1</v>
      </c>
      <c r="DX10" s="26">
        <f>IF(預測IC!DX19&gt;預測IC!DX$27,1,0)</f>
        <v>0</v>
      </c>
      <c r="DY10" s="26">
        <f>IF(預測IC!DY19&gt;預測IC!DY$27,1,0)</f>
        <v>1</v>
      </c>
      <c r="DZ10" s="26">
        <f>IF(預測IC!DZ19&gt;預測IC!DZ$27,1,0)</f>
        <v>0</v>
      </c>
      <c r="EA10" s="26">
        <f>IF(預測IC!EA19&gt;預測IC!EA$27,1,0)</f>
        <v>1</v>
      </c>
      <c r="EB10" s="26">
        <f>IF(預測IC!EB19&gt;預測IC!EB$27,1,0)</f>
        <v>1</v>
      </c>
      <c r="EC10" s="26">
        <f>IF(預測IC!EC19&gt;預測IC!EC$27,1,0)</f>
        <v>1</v>
      </c>
      <c r="ED10" s="26">
        <f>IF(預測IC!ED19&gt;預測IC!ED$27,1,0)</f>
        <v>1</v>
      </c>
      <c r="EE10" s="26">
        <f>IF(預測IC!EE19&gt;預測IC!EE$27,1,0)</f>
        <v>0</v>
      </c>
      <c r="EF10" s="26">
        <f>IF(預測IC!EF19&gt;預測IC!EF$27,1,0)</f>
        <v>0</v>
      </c>
      <c r="EG10" s="1">
        <f t="shared" si="0"/>
        <v>72</v>
      </c>
      <c r="EH10" s="61">
        <f t="shared" si="1"/>
        <v>0.53731343283582089</v>
      </c>
    </row>
    <row r="11" spans="1:138" ht="16">
      <c r="A11" s="6">
        <v>137</v>
      </c>
      <c r="B11" s="6">
        <v>7</v>
      </c>
      <c r="C11" s="26">
        <f>IF(預測IC!C20&gt;預測IC!C$27,1,0)</f>
        <v>0</v>
      </c>
      <c r="D11" s="26">
        <f>IF(預測IC!D20&gt;預測IC!D$27,1,0)</f>
        <v>1</v>
      </c>
      <c r="E11" s="26">
        <f>IF(預測IC!E20&gt;預測IC!E$27,1,0)</f>
        <v>0</v>
      </c>
      <c r="F11" s="26">
        <f>IF(預測IC!F20&gt;預測IC!F$27,1,0)</f>
        <v>1</v>
      </c>
      <c r="G11" s="26">
        <f>IF(預測IC!G20&gt;預測IC!G$27,1,0)</f>
        <v>0</v>
      </c>
      <c r="H11" s="26">
        <f>IF(預測IC!H20&gt;預測IC!H$27,1,0)</f>
        <v>0</v>
      </c>
      <c r="I11" s="26">
        <f>IF(預測IC!I20&gt;預測IC!I$27,1,0)</f>
        <v>1</v>
      </c>
      <c r="J11" s="26">
        <f>IF(預測IC!J20&gt;預測IC!J$27,1,0)</f>
        <v>1</v>
      </c>
      <c r="K11" s="26">
        <f>IF(預測IC!K20&gt;預測IC!K$27,1,0)</f>
        <v>1</v>
      </c>
      <c r="L11" s="26">
        <f>IF(預測IC!L20&gt;預測IC!L$27,1,0)</f>
        <v>1</v>
      </c>
      <c r="M11" s="26">
        <f>IF(預測IC!M20&gt;預測IC!M$27,1,0)</f>
        <v>1</v>
      </c>
      <c r="N11" s="26">
        <f>IF(預測IC!N20&gt;預測IC!N$27,1,0)</f>
        <v>0</v>
      </c>
      <c r="O11" s="26">
        <f>IF(預測IC!O20&gt;預測IC!O$27,1,0)</f>
        <v>1</v>
      </c>
      <c r="P11" s="26">
        <f>IF(預測IC!P20&gt;預測IC!P$27,1,0)</f>
        <v>0</v>
      </c>
      <c r="Q11" s="26">
        <f>IF(預測IC!Q20&gt;預測IC!Q$27,1,0)</f>
        <v>1</v>
      </c>
      <c r="R11" s="26">
        <f>IF(預測IC!R20&gt;預測IC!R$27,1,0)</f>
        <v>0</v>
      </c>
      <c r="S11" s="26">
        <f>IF(預測IC!S20&gt;預測IC!S$27,1,0)</f>
        <v>1</v>
      </c>
      <c r="T11" s="26">
        <f>IF(預測IC!T20&gt;預測IC!T$27,1,0)</f>
        <v>0</v>
      </c>
      <c r="U11" s="26">
        <f>IF(預測IC!U20&gt;預測IC!U$27,1,0)</f>
        <v>1</v>
      </c>
      <c r="V11" s="26">
        <f>IF(預測IC!V20&gt;預測IC!V$27,1,0)</f>
        <v>0</v>
      </c>
      <c r="W11" s="26">
        <f>IF(預測IC!W20&gt;預測IC!W$27,1,0)</f>
        <v>1</v>
      </c>
      <c r="X11" s="26">
        <f>IF(預測IC!X20&gt;預測IC!X$27,1,0)</f>
        <v>0</v>
      </c>
      <c r="Y11" s="26">
        <f>IF(預測IC!Y20&gt;預測IC!Y$27,1,0)</f>
        <v>0</v>
      </c>
      <c r="Z11" s="26">
        <f>IF(預測IC!Z20&gt;預測IC!Z$27,1,0)</f>
        <v>1</v>
      </c>
      <c r="AA11" s="26">
        <f>IF(預測IC!AA20&gt;預測IC!AA$27,1,0)</f>
        <v>0</v>
      </c>
      <c r="AB11" s="26">
        <f>IF(預測IC!AB20&gt;預測IC!AB$27,1,0)</f>
        <v>0</v>
      </c>
      <c r="AC11" s="26">
        <f>IF(預測IC!AC20&gt;預測IC!AC$27,1,0)</f>
        <v>0</v>
      </c>
      <c r="AD11" s="26">
        <f>IF(預測IC!AD20&gt;預測IC!AD$27,1,0)</f>
        <v>1</v>
      </c>
      <c r="AE11" s="26">
        <f>IF(預測IC!AE20&gt;預測IC!AE$27,1,0)</f>
        <v>1</v>
      </c>
      <c r="AF11" s="26">
        <f>IF(預測IC!AF20&gt;預測IC!AF$27,1,0)</f>
        <v>1</v>
      </c>
      <c r="AG11" s="26">
        <f>IF(預測IC!AG20&gt;預測IC!AG$27,1,0)</f>
        <v>0</v>
      </c>
      <c r="AH11" s="26">
        <f>IF(預測IC!AH20&gt;預測IC!AH$27,1,0)</f>
        <v>1</v>
      </c>
      <c r="AI11" s="26">
        <f>IF(預測IC!AI20&gt;預測IC!AI$27,1,0)</f>
        <v>1</v>
      </c>
      <c r="AJ11" s="26">
        <f>IF(預測IC!AJ20&gt;預測IC!AJ$27,1,0)</f>
        <v>1</v>
      </c>
      <c r="AK11" s="26">
        <f>IF(預測IC!AK20&gt;預測IC!AK$27,1,0)</f>
        <v>1</v>
      </c>
      <c r="AL11" s="26">
        <f>IF(預測IC!AL20&gt;預測IC!AL$27,1,0)</f>
        <v>1</v>
      </c>
      <c r="AM11" s="26">
        <f>IF(預測IC!AM20&gt;預測IC!AM$27,1,0)</f>
        <v>1</v>
      </c>
      <c r="AN11" s="26">
        <f>IF(預測IC!AN20&gt;預測IC!AN$27,1,0)</f>
        <v>0</v>
      </c>
      <c r="AO11" s="26">
        <f>IF(預測IC!AO20&gt;預測IC!AO$27,1,0)</f>
        <v>0</v>
      </c>
      <c r="AP11" s="26">
        <f>IF(預測IC!AP20&gt;預測IC!AP$27,1,0)</f>
        <v>0</v>
      </c>
      <c r="AQ11" s="26">
        <f>IF(預測IC!AQ20&gt;預測IC!AQ$27,1,0)</f>
        <v>0</v>
      </c>
      <c r="AR11" s="26">
        <f>IF(預測IC!AR20&gt;預測IC!AR$27,1,0)</f>
        <v>0</v>
      </c>
      <c r="AS11" s="26">
        <f>IF(預測IC!AS20&gt;預測IC!AS$27,1,0)</f>
        <v>1</v>
      </c>
      <c r="AT11" s="26">
        <f>IF(預測IC!AT20&gt;預測IC!AT$27,1,0)</f>
        <v>0</v>
      </c>
      <c r="AU11" s="26">
        <f>IF(預測IC!AU20&gt;預測IC!AU$27,1,0)</f>
        <v>1</v>
      </c>
      <c r="AV11" s="26">
        <f>IF(預測IC!AV20&gt;預測IC!AV$27,1,0)</f>
        <v>0</v>
      </c>
      <c r="AW11" s="26">
        <f>IF(預測IC!AW20&gt;預測IC!AW$27,1,0)</f>
        <v>1</v>
      </c>
      <c r="AX11" s="26">
        <f>IF(預測IC!AX20&gt;預測IC!AX$27,1,0)</f>
        <v>0</v>
      </c>
      <c r="AY11" s="26">
        <f>IF(預測IC!AY20&gt;預測IC!AY$27,1,0)</f>
        <v>1</v>
      </c>
      <c r="AZ11" s="26">
        <f>IF(預測IC!AZ20&gt;預測IC!AZ$27,1,0)</f>
        <v>1</v>
      </c>
      <c r="BA11" s="26">
        <f>IF(預測IC!BA20&gt;預測IC!BA$27,1,0)</f>
        <v>1</v>
      </c>
      <c r="BB11" s="26">
        <f>IF(預測IC!BB20&gt;預測IC!BB$27,1,0)</f>
        <v>1</v>
      </c>
      <c r="BC11" s="26">
        <f>IF(預測IC!BC20&gt;預測IC!BC$27,1,0)</f>
        <v>1</v>
      </c>
      <c r="BD11" s="26">
        <f>IF(預測IC!BD20&gt;預測IC!BD$27,1,0)</f>
        <v>1</v>
      </c>
      <c r="BE11" s="26">
        <f>IF(預測IC!BE20&gt;預測IC!BE$27,1,0)</f>
        <v>1</v>
      </c>
      <c r="BF11" s="26">
        <f>IF(預測IC!BF20&gt;預測IC!BF$27,1,0)</f>
        <v>1</v>
      </c>
      <c r="BG11" s="26">
        <f>IF(預測IC!BG20&gt;預測IC!BG$27,1,0)</f>
        <v>1</v>
      </c>
      <c r="BH11" s="26">
        <f>IF(預測IC!BH20&gt;預測IC!BH$27,1,0)</f>
        <v>1</v>
      </c>
      <c r="BI11" s="26">
        <f>IF(預測IC!BI20&gt;預測IC!BI$27,1,0)</f>
        <v>1</v>
      </c>
      <c r="BJ11" s="26">
        <f>IF(預測IC!BJ20&gt;預測IC!BJ$27,1,0)</f>
        <v>0</v>
      </c>
      <c r="BK11" s="26">
        <f>IF(預測IC!BK20&gt;預測IC!BK$27,1,0)</f>
        <v>0</v>
      </c>
      <c r="BL11" s="26">
        <f>IF(預測IC!BL20&gt;預測IC!BL$27,1,0)</f>
        <v>0</v>
      </c>
      <c r="BM11" s="26">
        <f>IF(預測IC!BM20&gt;預測IC!BM$27,1,0)</f>
        <v>0</v>
      </c>
      <c r="BN11" s="26">
        <f>IF(預測IC!BN20&gt;預測IC!BN$27,1,0)</f>
        <v>0</v>
      </c>
      <c r="BO11" s="26">
        <f>IF(預測IC!BO20&gt;預測IC!BO$27,1,0)</f>
        <v>1</v>
      </c>
      <c r="BP11" s="26">
        <f>IF(預測IC!BP20&gt;預測IC!BP$27,1,0)</f>
        <v>0</v>
      </c>
      <c r="BQ11" s="26">
        <f>IF(預測IC!BQ20&gt;預測IC!BQ$27,1,0)</f>
        <v>1</v>
      </c>
      <c r="BR11" s="26">
        <f>IF(預測IC!BR20&gt;預測IC!BR$27,1,0)</f>
        <v>0</v>
      </c>
      <c r="BS11" s="26">
        <f>IF(預測IC!BS20&gt;預測IC!BS$27,1,0)</f>
        <v>1</v>
      </c>
      <c r="BT11" s="26">
        <f>IF(預測IC!BT20&gt;預測IC!BT$27,1,0)</f>
        <v>1</v>
      </c>
      <c r="BU11" s="26">
        <f>IF(預測IC!BU20&gt;預測IC!BU$27,1,0)</f>
        <v>0</v>
      </c>
      <c r="BV11" s="26">
        <f>IF(預測IC!BV20&gt;預測IC!BV$27,1,0)</f>
        <v>1</v>
      </c>
      <c r="BW11" s="26">
        <f>IF(預測IC!BW20&gt;預測IC!BW$27,1,0)</f>
        <v>0</v>
      </c>
      <c r="BX11" s="26">
        <f>IF(預測IC!BX20&gt;預測IC!BX$27,1,0)</f>
        <v>1</v>
      </c>
      <c r="BY11" s="26">
        <f>IF(預測IC!BY20&gt;預測IC!BY$27,1,0)</f>
        <v>1</v>
      </c>
      <c r="BZ11" s="26">
        <f>IF(預測IC!BZ20&gt;預測IC!BZ$27,1,0)</f>
        <v>0</v>
      </c>
      <c r="CA11" s="26">
        <f>IF(預測IC!CA20&gt;預測IC!CA$27,1,0)</f>
        <v>0</v>
      </c>
      <c r="CB11" s="26">
        <f>IF(預測IC!CB20&gt;預測IC!CB$27,1,0)</f>
        <v>1</v>
      </c>
      <c r="CC11" s="26">
        <f>IF(預測IC!CC20&gt;預測IC!CC$27,1,0)</f>
        <v>0</v>
      </c>
      <c r="CD11" s="26">
        <f>IF(預測IC!CD20&gt;預測IC!CD$27,1,0)</f>
        <v>0</v>
      </c>
      <c r="CE11" s="26">
        <f>IF(預測IC!CE20&gt;預測IC!CE$27,1,0)</f>
        <v>1</v>
      </c>
      <c r="CF11" s="26">
        <f>IF(預測IC!CF20&gt;預測IC!CF$27,1,0)</f>
        <v>1</v>
      </c>
      <c r="CG11" s="26">
        <f>IF(預測IC!CG20&gt;預測IC!CG$27,1,0)</f>
        <v>0</v>
      </c>
      <c r="CH11" s="26">
        <f>IF(預測IC!CH20&gt;預測IC!CH$27,1,0)</f>
        <v>0</v>
      </c>
      <c r="CI11" s="26">
        <f>IF(預測IC!CI20&gt;預測IC!CI$27,1,0)</f>
        <v>0</v>
      </c>
      <c r="CJ11" s="26">
        <f>IF(預測IC!CJ20&gt;預測IC!CJ$27,1,0)</f>
        <v>0</v>
      </c>
      <c r="CK11" s="26">
        <f>IF(預測IC!CK20&gt;預測IC!CK$27,1,0)</f>
        <v>1</v>
      </c>
      <c r="CL11" s="26">
        <f>IF(預測IC!CL20&gt;預測IC!CL$27,1,0)</f>
        <v>1</v>
      </c>
      <c r="CM11" s="26">
        <f>IF(預測IC!CM20&gt;預測IC!CM$27,1,0)</f>
        <v>1</v>
      </c>
      <c r="CN11" s="26">
        <f>IF(預測IC!CN20&gt;預測IC!CN$27,1,0)</f>
        <v>1</v>
      </c>
      <c r="CO11" s="26">
        <f>IF(預測IC!CO20&gt;預測IC!CO$27,1,0)</f>
        <v>0</v>
      </c>
      <c r="CP11" s="26">
        <f>IF(預測IC!CP20&gt;預測IC!CP$27,1,0)</f>
        <v>1</v>
      </c>
      <c r="CQ11" s="26">
        <f>IF(預測IC!CQ20&gt;預測IC!CQ$27,1,0)</f>
        <v>0</v>
      </c>
      <c r="CR11" s="26">
        <f>IF(預測IC!CR20&gt;預測IC!CR$27,1,0)</f>
        <v>0</v>
      </c>
      <c r="CS11" s="26">
        <f>IF(預測IC!CS20&gt;預測IC!CS$27,1,0)</f>
        <v>0</v>
      </c>
      <c r="CT11" s="26">
        <f>IF(預測IC!CT20&gt;預測IC!CT$27,1,0)</f>
        <v>0</v>
      </c>
      <c r="CU11" s="26">
        <f>IF(預測IC!CU20&gt;預測IC!CU$27,1,0)</f>
        <v>0</v>
      </c>
      <c r="CV11" s="26">
        <f>IF(預測IC!CV20&gt;預測IC!CV$27,1,0)</f>
        <v>1</v>
      </c>
      <c r="CW11" s="26">
        <f>IF(預測IC!CW20&gt;預測IC!CW$27,1,0)</f>
        <v>1</v>
      </c>
      <c r="CX11" s="26">
        <f>IF(預測IC!CX20&gt;預測IC!CX$27,1,0)</f>
        <v>0</v>
      </c>
      <c r="CY11" s="26">
        <f>IF(預測IC!CY20&gt;預測IC!CY$27,1,0)</f>
        <v>1</v>
      </c>
      <c r="CZ11" s="26">
        <f>IF(預測IC!CZ20&gt;預測IC!CZ$27,1,0)</f>
        <v>1</v>
      </c>
      <c r="DA11" s="26">
        <f>IF(預測IC!DA20&gt;預測IC!DA$27,1,0)</f>
        <v>1</v>
      </c>
      <c r="DB11" s="26">
        <f>IF(預測IC!DB20&gt;預測IC!DB$27,1,0)</f>
        <v>1</v>
      </c>
      <c r="DC11" s="26">
        <f>IF(預測IC!DC20&gt;預測IC!DC$27,1,0)</f>
        <v>1</v>
      </c>
      <c r="DD11" s="26">
        <f>IF(預測IC!DD20&gt;預測IC!DD$27,1,0)</f>
        <v>1</v>
      </c>
      <c r="DE11" s="26">
        <f>IF(預測IC!DE20&gt;預測IC!DE$27,1,0)</f>
        <v>0</v>
      </c>
      <c r="DF11" s="26">
        <f>IF(預測IC!DF20&gt;預測IC!DF$27,1,0)</f>
        <v>1</v>
      </c>
      <c r="DG11" s="26">
        <f>IF(預測IC!DG20&gt;預測IC!DG$27,1,0)</f>
        <v>0</v>
      </c>
      <c r="DH11" s="26">
        <f>IF(預測IC!DH20&gt;預測IC!DH$27,1,0)</f>
        <v>0</v>
      </c>
      <c r="DI11" s="26">
        <f>IF(預測IC!DI20&gt;預測IC!DI$27,1,0)</f>
        <v>0</v>
      </c>
      <c r="DJ11" s="26">
        <f>IF(預測IC!DJ20&gt;預測IC!DJ$27,1,0)</f>
        <v>1</v>
      </c>
      <c r="DK11" s="26">
        <f>IF(預測IC!DK20&gt;預測IC!DK$27,1,0)</f>
        <v>1</v>
      </c>
      <c r="DL11" s="26">
        <f>IF(預測IC!DL20&gt;預測IC!DL$27,1,0)</f>
        <v>0</v>
      </c>
      <c r="DM11" s="26">
        <f>IF(預測IC!DM20&gt;預測IC!DM$27,1,0)</f>
        <v>0</v>
      </c>
      <c r="DN11" s="26">
        <f>IF(預測IC!DN20&gt;預測IC!DN$27,1,0)</f>
        <v>1</v>
      </c>
      <c r="DO11" s="26">
        <f>IF(預測IC!DO20&gt;預測IC!DO$27,1,0)</f>
        <v>1</v>
      </c>
      <c r="DP11" s="26">
        <f>IF(預測IC!DP20&gt;預測IC!DP$27,1,0)</f>
        <v>0</v>
      </c>
      <c r="DQ11" s="26">
        <f>IF(預測IC!DQ20&gt;預測IC!DQ$27,1,0)</f>
        <v>0</v>
      </c>
      <c r="DR11" s="26">
        <f>IF(預測IC!DR20&gt;預測IC!DR$27,1,0)</f>
        <v>1</v>
      </c>
      <c r="DS11" s="26">
        <f>IF(預測IC!DS20&gt;預測IC!DS$27,1,0)</f>
        <v>0</v>
      </c>
      <c r="DT11" s="26">
        <f>IF(預測IC!DT20&gt;預測IC!DT$27,1,0)</f>
        <v>0</v>
      </c>
      <c r="DU11" s="26">
        <f>IF(預測IC!DU20&gt;預測IC!DU$27,1,0)</f>
        <v>1</v>
      </c>
      <c r="DV11" s="26">
        <f>IF(預測IC!DV20&gt;預測IC!DV$27,1,0)</f>
        <v>0</v>
      </c>
      <c r="DW11" s="26">
        <f>IF(預測IC!DW20&gt;預測IC!DW$27,1,0)</f>
        <v>0</v>
      </c>
      <c r="DX11" s="26">
        <f>IF(預測IC!DX20&gt;預測IC!DX$27,1,0)</f>
        <v>0</v>
      </c>
      <c r="DY11" s="26">
        <f>IF(預測IC!DY20&gt;預測IC!DY$27,1,0)</f>
        <v>0</v>
      </c>
      <c r="DZ11" s="26">
        <f>IF(預測IC!DZ20&gt;預測IC!DZ$27,1,0)</f>
        <v>0</v>
      </c>
      <c r="EA11" s="26">
        <f>IF(預測IC!EA20&gt;預測IC!EA$27,1,0)</f>
        <v>1</v>
      </c>
      <c r="EB11" s="26">
        <f>IF(預測IC!EB20&gt;預測IC!EB$27,1,0)</f>
        <v>1</v>
      </c>
      <c r="EC11" s="26">
        <f>IF(預測IC!EC20&gt;預測IC!EC$27,1,0)</f>
        <v>1</v>
      </c>
      <c r="ED11" s="26">
        <f>IF(預測IC!ED20&gt;預測IC!ED$27,1,0)</f>
        <v>1</v>
      </c>
      <c r="EE11" s="26">
        <f>IF(預測IC!EE20&gt;預測IC!EE$27,1,0)</f>
        <v>0</v>
      </c>
      <c r="EF11" s="26">
        <f>IF(預測IC!EF20&gt;預測IC!EF$27,1,0)</f>
        <v>0</v>
      </c>
      <c r="EG11" s="1">
        <f t="shared" si="0"/>
        <v>70</v>
      </c>
      <c r="EH11" s="61">
        <f t="shared" si="1"/>
        <v>0.52238805970149249</v>
      </c>
    </row>
    <row r="12" spans="1:138" ht="16">
      <c r="A12" s="6">
        <v>160</v>
      </c>
      <c r="B12" s="6">
        <v>6</v>
      </c>
      <c r="C12" s="26">
        <f>IF(預測IC!C21&gt;預測IC!C$27,1,0)</f>
        <v>0</v>
      </c>
      <c r="D12" s="26">
        <f>IF(預測IC!D21&gt;預測IC!D$27,1,0)</f>
        <v>1</v>
      </c>
      <c r="E12" s="26">
        <f>IF(預測IC!E21&gt;預測IC!E$27,1,0)</f>
        <v>0</v>
      </c>
      <c r="F12" s="26">
        <f>IF(預測IC!F21&gt;預測IC!F$27,1,0)</f>
        <v>1</v>
      </c>
      <c r="G12" s="26">
        <f>IF(預測IC!G21&gt;預測IC!G$27,1,0)</f>
        <v>0</v>
      </c>
      <c r="H12" s="26">
        <f>IF(預測IC!H21&gt;預測IC!H$27,1,0)</f>
        <v>0</v>
      </c>
      <c r="I12" s="26">
        <f>IF(預測IC!I21&gt;預測IC!I$27,1,0)</f>
        <v>1</v>
      </c>
      <c r="J12" s="26">
        <f>IF(預測IC!J21&gt;預測IC!J$27,1,0)</f>
        <v>1</v>
      </c>
      <c r="K12" s="26">
        <f>IF(預測IC!K21&gt;預測IC!K$27,1,0)</f>
        <v>1</v>
      </c>
      <c r="L12" s="26">
        <f>IF(預測IC!L21&gt;預測IC!L$27,1,0)</f>
        <v>1</v>
      </c>
      <c r="M12" s="26">
        <f>IF(預測IC!M21&gt;預測IC!M$27,1,0)</f>
        <v>0</v>
      </c>
      <c r="N12" s="26">
        <f>IF(預測IC!N21&gt;預測IC!N$27,1,0)</f>
        <v>0</v>
      </c>
      <c r="O12" s="26">
        <f>IF(預測IC!O21&gt;預測IC!O$27,1,0)</f>
        <v>1</v>
      </c>
      <c r="P12" s="26">
        <f>IF(預測IC!P21&gt;預測IC!P$27,1,0)</f>
        <v>0</v>
      </c>
      <c r="Q12" s="26">
        <f>IF(預測IC!Q21&gt;預測IC!Q$27,1,0)</f>
        <v>1</v>
      </c>
      <c r="R12" s="26">
        <f>IF(預測IC!R21&gt;預測IC!R$27,1,0)</f>
        <v>0</v>
      </c>
      <c r="S12" s="26">
        <f>IF(預測IC!S21&gt;預測IC!S$27,1,0)</f>
        <v>1</v>
      </c>
      <c r="T12" s="26">
        <f>IF(預測IC!T21&gt;預測IC!T$27,1,0)</f>
        <v>0</v>
      </c>
      <c r="U12" s="26">
        <f>IF(預測IC!U21&gt;預測IC!U$27,1,0)</f>
        <v>1</v>
      </c>
      <c r="V12" s="26">
        <f>IF(預測IC!V21&gt;預測IC!V$27,1,0)</f>
        <v>0</v>
      </c>
      <c r="W12" s="26">
        <f>IF(預測IC!W21&gt;預測IC!W$27,1,0)</f>
        <v>1</v>
      </c>
      <c r="X12" s="26">
        <f>IF(預測IC!X21&gt;預測IC!X$27,1,0)</f>
        <v>0</v>
      </c>
      <c r="Y12" s="26">
        <f>IF(預測IC!Y21&gt;預測IC!Y$27,1,0)</f>
        <v>0</v>
      </c>
      <c r="Z12" s="26">
        <f>IF(預測IC!Z21&gt;預測IC!Z$27,1,0)</f>
        <v>1</v>
      </c>
      <c r="AA12" s="26">
        <f>IF(預測IC!AA21&gt;預測IC!AA$27,1,0)</f>
        <v>0</v>
      </c>
      <c r="AB12" s="26">
        <f>IF(預測IC!AB21&gt;預測IC!AB$27,1,0)</f>
        <v>0</v>
      </c>
      <c r="AC12" s="26">
        <f>IF(預測IC!AC21&gt;預測IC!AC$27,1,0)</f>
        <v>0</v>
      </c>
      <c r="AD12" s="26">
        <f>IF(預測IC!AD21&gt;預測IC!AD$27,1,0)</f>
        <v>1</v>
      </c>
      <c r="AE12" s="26">
        <f>IF(預測IC!AE21&gt;預測IC!AE$27,1,0)</f>
        <v>1</v>
      </c>
      <c r="AF12" s="26">
        <f>IF(預測IC!AF21&gt;預測IC!AF$27,1,0)</f>
        <v>1</v>
      </c>
      <c r="AG12" s="26">
        <f>IF(預測IC!AG21&gt;預測IC!AG$27,1,0)</f>
        <v>0</v>
      </c>
      <c r="AH12" s="26">
        <f>IF(預測IC!AH21&gt;預測IC!AH$27,1,0)</f>
        <v>1</v>
      </c>
      <c r="AI12" s="26">
        <f>IF(預測IC!AI21&gt;預測IC!AI$27,1,0)</f>
        <v>1</v>
      </c>
      <c r="AJ12" s="26">
        <f>IF(預測IC!AJ21&gt;預測IC!AJ$27,1,0)</f>
        <v>1</v>
      </c>
      <c r="AK12" s="26">
        <f>IF(預測IC!AK21&gt;預測IC!AK$27,1,0)</f>
        <v>1</v>
      </c>
      <c r="AL12" s="26">
        <f>IF(預測IC!AL21&gt;預測IC!AL$27,1,0)</f>
        <v>1</v>
      </c>
      <c r="AM12" s="26">
        <f>IF(預測IC!AM21&gt;預測IC!AM$27,1,0)</f>
        <v>1</v>
      </c>
      <c r="AN12" s="26">
        <f>IF(預測IC!AN21&gt;預測IC!AN$27,1,0)</f>
        <v>0</v>
      </c>
      <c r="AO12" s="26">
        <f>IF(預測IC!AO21&gt;預測IC!AO$27,1,0)</f>
        <v>0</v>
      </c>
      <c r="AP12" s="26">
        <f>IF(預測IC!AP21&gt;預測IC!AP$27,1,0)</f>
        <v>0</v>
      </c>
      <c r="AQ12" s="26">
        <f>IF(預測IC!AQ21&gt;預測IC!AQ$27,1,0)</f>
        <v>0</v>
      </c>
      <c r="AR12" s="26">
        <f>IF(預測IC!AR21&gt;預測IC!AR$27,1,0)</f>
        <v>1</v>
      </c>
      <c r="AS12" s="26">
        <f>IF(預測IC!AS21&gt;預測IC!AS$27,1,0)</f>
        <v>1</v>
      </c>
      <c r="AT12" s="26">
        <f>IF(預測IC!AT21&gt;預測IC!AT$27,1,0)</f>
        <v>0</v>
      </c>
      <c r="AU12" s="26">
        <f>IF(預測IC!AU21&gt;預測IC!AU$27,1,0)</f>
        <v>1</v>
      </c>
      <c r="AV12" s="26">
        <f>IF(預測IC!AV21&gt;預測IC!AV$27,1,0)</f>
        <v>0</v>
      </c>
      <c r="AW12" s="26">
        <f>IF(預測IC!AW21&gt;預測IC!AW$27,1,0)</f>
        <v>0</v>
      </c>
      <c r="AX12" s="26">
        <f>IF(預測IC!AX21&gt;預測IC!AX$27,1,0)</f>
        <v>0</v>
      </c>
      <c r="AY12" s="26">
        <f>IF(預測IC!AY21&gt;預測IC!AY$27,1,0)</f>
        <v>1</v>
      </c>
      <c r="AZ12" s="26">
        <f>IF(預測IC!AZ21&gt;預測IC!AZ$27,1,0)</f>
        <v>1</v>
      </c>
      <c r="BA12" s="26">
        <f>IF(預測IC!BA21&gt;預測IC!BA$27,1,0)</f>
        <v>1</v>
      </c>
      <c r="BB12" s="26">
        <f>IF(預測IC!BB21&gt;預測IC!BB$27,1,0)</f>
        <v>1</v>
      </c>
      <c r="BC12" s="26">
        <f>IF(預測IC!BC21&gt;預測IC!BC$27,1,0)</f>
        <v>1</v>
      </c>
      <c r="BD12" s="26">
        <f>IF(預測IC!BD21&gt;預測IC!BD$27,1,0)</f>
        <v>1</v>
      </c>
      <c r="BE12" s="26">
        <f>IF(預測IC!BE21&gt;預測IC!BE$27,1,0)</f>
        <v>1</v>
      </c>
      <c r="BF12" s="26">
        <f>IF(預測IC!BF21&gt;預測IC!BF$27,1,0)</f>
        <v>1</v>
      </c>
      <c r="BG12" s="26">
        <f>IF(預測IC!BG21&gt;預測IC!BG$27,1,0)</f>
        <v>1</v>
      </c>
      <c r="BH12" s="26">
        <f>IF(預測IC!BH21&gt;預測IC!BH$27,1,0)</f>
        <v>1</v>
      </c>
      <c r="BI12" s="26">
        <f>IF(預測IC!BI21&gt;預測IC!BI$27,1,0)</f>
        <v>1</v>
      </c>
      <c r="BJ12" s="26">
        <f>IF(預測IC!BJ21&gt;預測IC!BJ$27,1,0)</f>
        <v>0</v>
      </c>
      <c r="BK12" s="26">
        <f>IF(預測IC!BK21&gt;預測IC!BK$27,1,0)</f>
        <v>0</v>
      </c>
      <c r="BL12" s="26">
        <f>IF(預測IC!BL21&gt;預測IC!BL$27,1,0)</f>
        <v>0</v>
      </c>
      <c r="BM12" s="26">
        <f>IF(預測IC!BM21&gt;預測IC!BM$27,1,0)</f>
        <v>0</v>
      </c>
      <c r="BN12" s="26">
        <f>IF(預測IC!BN21&gt;預測IC!BN$27,1,0)</f>
        <v>0</v>
      </c>
      <c r="BO12" s="26">
        <f>IF(預測IC!BO21&gt;預測IC!BO$27,1,0)</f>
        <v>1</v>
      </c>
      <c r="BP12" s="26">
        <f>IF(預測IC!BP21&gt;預測IC!BP$27,1,0)</f>
        <v>0</v>
      </c>
      <c r="BQ12" s="26">
        <f>IF(預測IC!BQ21&gt;預測IC!BQ$27,1,0)</f>
        <v>1</v>
      </c>
      <c r="BR12" s="26">
        <f>IF(預測IC!BR21&gt;預測IC!BR$27,1,0)</f>
        <v>0</v>
      </c>
      <c r="BS12" s="26">
        <f>IF(預測IC!BS21&gt;預測IC!BS$27,1,0)</f>
        <v>1</v>
      </c>
      <c r="BT12" s="26">
        <f>IF(預測IC!BT21&gt;預測IC!BT$27,1,0)</f>
        <v>1</v>
      </c>
      <c r="BU12" s="26">
        <f>IF(預測IC!BU21&gt;預測IC!BU$27,1,0)</f>
        <v>0</v>
      </c>
      <c r="BV12" s="26">
        <f>IF(預測IC!BV21&gt;預測IC!BV$27,1,0)</f>
        <v>1</v>
      </c>
      <c r="BW12" s="26">
        <f>IF(預測IC!BW21&gt;預測IC!BW$27,1,0)</f>
        <v>0</v>
      </c>
      <c r="BX12" s="26">
        <f>IF(預測IC!BX21&gt;預測IC!BX$27,1,0)</f>
        <v>1</v>
      </c>
      <c r="BY12" s="26">
        <f>IF(預測IC!BY21&gt;預測IC!BY$27,1,0)</f>
        <v>1</v>
      </c>
      <c r="BZ12" s="26">
        <f>IF(預測IC!BZ21&gt;預測IC!BZ$27,1,0)</f>
        <v>0</v>
      </c>
      <c r="CA12" s="26">
        <f>IF(預測IC!CA21&gt;預測IC!CA$27,1,0)</f>
        <v>0</v>
      </c>
      <c r="CB12" s="26">
        <f>IF(預測IC!CB21&gt;預測IC!CB$27,1,0)</f>
        <v>1</v>
      </c>
      <c r="CC12" s="26">
        <f>IF(預測IC!CC21&gt;預測IC!CC$27,1,0)</f>
        <v>0</v>
      </c>
      <c r="CD12" s="26">
        <f>IF(預測IC!CD21&gt;預測IC!CD$27,1,0)</f>
        <v>0</v>
      </c>
      <c r="CE12" s="26">
        <f>IF(預測IC!CE21&gt;預測IC!CE$27,1,0)</f>
        <v>1</v>
      </c>
      <c r="CF12" s="26">
        <f>IF(預測IC!CF21&gt;預測IC!CF$27,1,0)</f>
        <v>1</v>
      </c>
      <c r="CG12" s="26">
        <f>IF(預測IC!CG21&gt;預測IC!CG$27,1,0)</f>
        <v>0</v>
      </c>
      <c r="CH12" s="26">
        <f>IF(預測IC!CH21&gt;預測IC!CH$27,1,0)</f>
        <v>0</v>
      </c>
      <c r="CI12" s="26">
        <f>IF(預測IC!CI21&gt;預測IC!CI$27,1,0)</f>
        <v>0</v>
      </c>
      <c r="CJ12" s="26">
        <f>IF(預測IC!CJ21&gt;預測IC!CJ$27,1,0)</f>
        <v>0</v>
      </c>
      <c r="CK12" s="26">
        <f>IF(預測IC!CK21&gt;預測IC!CK$27,1,0)</f>
        <v>1</v>
      </c>
      <c r="CL12" s="26">
        <f>IF(預測IC!CL21&gt;預測IC!CL$27,1,0)</f>
        <v>1</v>
      </c>
      <c r="CM12" s="26">
        <f>IF(預測IC!CM21&gt;預測IC!CM$27,1,0)</f>
        <v>1</v>
      </c>
      <c r="CN12" s="26">
        <f>IF(預測IC!CN21&gt;預測IC!CN$27,1,0)</f>
        <v>1</v>
      </c>
      <c r="CO12" s="26">
        <f>IF(預測IC!CO21&gt;預測IC!CO$27,1,0)</f>
        <v>0</v>
      </c>
      <c r="CP12" s="26">
        <f>IF(預測IC!CP21&gt;預測IC!CP$27,1,0)</f>
        <v>1</v>
      </c>
      <c r="CQ12" s="26">
        <f>IF(預測IC!CQ21&gt;預測IC!CQ$27,1,0)</f>
        <v>0</v>
      </c>
      <c r="CR12" s="26">
        <f>IF(預測IC!CR21&gt;預測IC!CR$27,1,0)</f>
        <v>0</v>
      </c>
      <c r="CS12" s="26">
        <f>IF(預測IC!CS21&gt;預測IC!CS$27,1,0)</f>
        <v>0</v>
      </c>
      <c r="CT12" s="26">
        <f>IF(預測IC!CT21&gt;預測IC!CT$27,1,0)</f>
        <v>0</v>
      </c>
      <c r="CU12" s="26">
        <f>IF(預測IC!CU21&gt;預測IC!CU$27,1,0)</f>
        <v>0</v>
      </c>
      <c r="CV12" s="26">
        <f>IF(預測IC!CV21&gt;預測IC!CV$27,1,0)</f>
        <v>1</v>
      </c>
      <c r="CW12" s="26">
        <f>IF(預測IC!CW21&gt;預測IC!CW$27,1,0)</f>
        <v>1</v>
      </c>
      <c r="CX12" s="26">
        <f>IF(預測IC!CX21&gt;預測IC!CX$27,1,0)</f>
        <v>0</v>
      </c>
      <c r="CY12" s="26">
        <f>IF(預測IC!CY21&gt;預測IC!CY$27,1,0)</f>
        <v>1</v>
      </c>
      <c r="CZ12" s="26">
        <f>IF(預測IC!CZ21&gt;預測IC!CZ$27,1,0)</f>
        <v>1</v>
      </c>
      <c r="DA12" s="26">
        <f>IF(預測IC!DA21&gt;預測IC!DA$27,1,0)</f>
        <v>1</v>
      </c>
      <c r="DB12" s="26">
        <f>IF(預測IC!DB21&gt;預測IC!DB$27,1,0)</f>
        <v>1</v>
      </c>
      <c r="DC12" s="26">
        <f>IF(預測IC!DC21&gt;預測IC!DC$27,1,0)</f>
        <v>1</v>
      </c>
      <c r="DD12" s="26">
        <f>IF(預測IC!DD21&gt;預測IC!DD$27,1,0)</f>
        <v>1</v>
      </c>
      <c r="DE12" s="26">
        <f>IF(預測IC!DE21&gt;預測IC!DE$27,1,0)</f>
        <v>0</v>
      </c>
      <c r="DF12" s="26">
        <f>IF(預測IC!DF21&gt;預測IC!DF$27,1,0)</f>
        <v>1</v>
      </c>
      <c r="DG12" s="26">
        <f>IF(預測IC!DG21&gt;預測IC!DG$27,1,0)</f>
        <v>0</v>
      </c>
      <c r="DH12" s="26">
        <f>IF(預測IC!DH21&gt;預測IC!DH$27,1,0)</f>
        <v>0</v>
      </c>
      <c r="DI12" s="26">
        <f>IF(預測IC!DI21&gt;預測IC!DI$27,1,0)</f>
        <v>0</v>
      </c>
      <c r="DJ12" s="26">
        <f>IF(預測IC!DJ21&gt;預測IC!DJ$27,1,0)</f>
        <v>1</v>
      </c>
      <c r="DK12" s="26">
        <f>IF(預測IC!DK21&gt;預測IC!DK$27,1,0)</f>
        <v>1</v>
      </c>
      <c r="DL12" s="26">
        <f>IF(預測IC!DL21&gt;預測IC!DL$27,1,0)</f>
        <v>0</v>
      </c>
      <c r="DM12" s="26">
        <f>IF(預測IC!DM21&gt;預測IC!DM$27,1,0)</f>
        <v>0</v>
      </c>
      <c r="DN12" s="26">
        <f>IF(預測IC!DN21&gt;預測IC!DN$27,1,0)</f>
        <v>1</v>
      </c>
      <c r="DO12" s="26">
        <f>IF(預測IC!DO21&gt;預測IC!DO$27,1,0)</f>
        <v>1</v>
      </c>
      <c r="DP12" s="26">
        <f>IF(預測IC!DP21&gt;預測IC!DP$27,1,0)</f>
        <v>1</v>
      </c>
      <c r="DQ12" s="26">
        <f>IF(預測IC!DQ21&gt;預測IC!DQ$27,1,0)</f>
        <v>0</v>
      </c>
      <c r="DR12" s="26">
        <f>IF(預測IC!DR21&gt;預測IC!DR$27,1,0)</f>
        <v>1</v>
      </c>
      <c r="DS12" s="26">
        <f>IF(預測IC!DS21&gt;預測IC!DS$27,1,0)</f>
        <v>0</v>
      </c>
      <c r="DT12" s="26">
        <f>IF(預測IC!DT21&gt;預測IC!DT$27,1,0)</f>
        <v>0</v>
      </c>
      <c r="DU12" s="26">
        <f>IF(預測IC!DU21&gt;預測IC!DU$27,1,0)</f>
        <v>1</v>
      </c>
      <c r="DV12" s="26">
        <f>IF(預測IC!DV21&gt;預測IC!DV$27,1,0)</f>
        <v>0</v>
      </c>
      <c r="DW12" s="26">
        <f>IF(預測IC!DW21&gt;預測IC!DW$27,1,0)</f>
        <v>1</v>
      </c>
      <c r="DX12" s="26">
        <f>IF(預測IC!DX21&gt;預測IC!DX$27,1,0)</f>
        <v>0</v>
      </c>
      <c r="DY12" s="26">
        <f>IF(預測IC!DY21&gt;預測IC!DY$27,1,0)</f>
        <v>0</v>
      </c>
      <c r="DZ12" s="26">
        <f>IF(預測IC!DZ21&gt;預測IC!DZ$27,1,0)</f>
        <v>0</v>
      </c>
      <c r="EA12" s="26">
        <f>IF(預測IC!EA21&gt;預測IC!EA$27,1,0)</f>
        <v>0</v>
      </c>
      <c r="EB12" s="26">
        <f>IF(預測IC!EB21&gt;預測IC!EB$27,1,0)</f>
        <v>1</v>
      </c>
      <c r="EC12" s="26">
        <f>IF(預測IC!EC21&gt;預測IC!EC$27,1,0)</f>
        <v>1</v>
      </c>
      <c r="ED12" s="26">
        <f>IF(預測IC!ED21&gt;預測IC!ED$27,1,0)</f>
        <v>1</v>
      </c>
      <c r="EE12" s="26">
        <f>IF(預測IC!EE21&gt;預測IC!EE$27,1,0)</f>
        <v>0</v>
      </c>
      <c r="EF12" s="26">
        <f>IF(預測IC!EF21&gt;預測IC!EF$27,1,0)</f>
        <v>0</v>
      </c>
      <c r="EG12" s="1">
        <f t="shared" si="0"/>
        <v>70</v>
      </c>
      <c r="EH12" s="61">
        <f t="shared" si="1"/>
        <v>0.52238805970149249</v>
      </c>
    </row>
    <row r="13" spans="1:138" ht="16">
      <c r="A13" s="6">
        <v>192</v>
      </c>
      <c r="B13" s="6">
        <v>5</v>
      </c>
      <c r="C13" s="26">
        <f>IF(預測IC!C22&gt;預測IC!C$27,1,0)</f>
        <v>1</v>
      </c>
      <c r="D13" s="26">
        <f>IF(預測IC!D22&gt;預測IC!D$27,1,0)</f>
        <v>1</v>
      </c>
      <c r="E13" s="26">
        <f>IF(預測IC!E22&gt;預測IC!E$27,1,0)</f>
        <v>0</v>
      </c>
      <c r="F13" s="26">
        <f>IF(預測IC!F22&gt;預測IC!F$27,1,0)</f>
        <v>1</v>
      </c>
      <c r="G13" s="26">
        <f>IF(預測IC!G22&gt;預測IC!G$27,1,0)</f>
        <v>0</v>
      </c>
      <c r="H13" s="26">
        <f>IF(預測IC!H22&gt;預測IC!H$27,1,0)</f>
        <v>0</v>
      </c>
      <c r="I13" s="26">
        <f>IF(預測IC!I22&gt;預測IC!I$27,1,0)</f>
        <v>1</v>
      </c>
      <c r="J13" s="26">
        <f>IF(預測IC!J22&gt;預測IC!J$27,1,0)</f>
        <v>1</v>
      </c>
      <c r="K13" s="26">
        <f>IF(預測IC!K22&gt;預測IC!K$27,1,0)</f>
        <v>1</v>
      </c>
      <c r="L13" s="26">
        <f>IF(預測IC!L22&gt;預測IC!L$27,1,0)</f>
        <v>1</v>
      </c>
      <c r="M13" s="26">
        <f>IF(預測IC!M22&gt;預測IC!M$27,1,0)</f>
        <v>0</v>
      </c>
      <c r="N13" s="26">
        <f>IF(預測IC!N22&gt;預測IC!N$27,1,0)</f>
        <v>0</v>
      </c>
      <c r="O13" s="26">
        <f>IF(預測IC!O22&gt;預測IC!O$27,1,0)</f>
        <v>1</v>
      </c>
      <c r="P13" s="26">
        <f>IF(預測IC!P22&gt;預測IC!P$27,1,0)</f>
        <v>0</v>
      </c>
      <c r="Q13" s="26">
        <f>IF(預測IC!Q22&gt;預測IC!Q$27,1,0)</f>
        <v>1</v>
      </c>
      <c r="R13" s="26">
        <f>IF(預測IC!R22&gt;預測IC!R$27,1,0)</f>
        <v>0</v>
      </c>
      <c r="S13" s="26">
        <f>IF(預測IC!S22&gt;預測IC!S$27,1,0)</f>
        <v>1</v>
      </c>
      <c r="T13" s="26">
        <f>IF(預測IC!T22&gt;預測IC!T$27,1,0)</f>
        <v>0</v>
      </c>
      <c r="U13" s="26">
        <f>IF(預測IC!U22&gt;預測IC!U$27,1,0)</f>
        <v>1</v>
      </c>
      <c r="V13" s="26">
        <f>IF(預測IC!V22&gt;預測IC!V$27,1,0)</f>
        <v>0</v>
      </c>
      <c r="W13" s="26">
        <f>IF(預測IC!W22&gt;預測IC!W$27,1,0)</f>
        <v>1</v>
      </c>
      <c r="X13" s="26">
        <f>IF(預測IC!X22&gt;預測IC!X$27,1,0)</f>
        <v>0</v>
      </c>
      <c r="Y13" s="26">
        <f>IF(預測IC!Y22&gt;預測IC!Y$27,1,0)</f>
        <v>0</v>
      </c>
      <c r="Z13" s="26">
        <f>IF(預測IC!Z22&gt;預測IC!Z$27,1,0)</f>
        <v>1</v>
      </c>
      <c r="AA13" s="26">
        <f>IF(預測IC!AA22&gt;預測IC!AA$27,1,0)</f>
        <v>0</v>
      </c>
      <c r="AB13" s="26">
        <f>IF(預測IC!AB22&gt;預測IC!AB$27,1,0)</f>
        <v>0</v>
      </c>
      <c r="AC13" s="26">
        <f>IF(預測IC!AC22&gt;預測IC!AC$27,1,0)</f>
        <v>1</v>
      </c>
      <c r="AD13" s="26">
        <f>IF(預測IC!AD22&gt;預測IC!AD$27,1,0)</f>
        <v>1</v>
      </c>
      <c r="AE13" s="26">
        <f>IF(預測IC!AE22&gt;預測IC!AE$27,1,0)</f>
        <v>1</v>
      </c>
      <c r="AF13" s="26">
        <f>IF(預測IC!AF22&gt;預測IC!AF$27,1,0)</f>
        <v>1</v>
      </c>
      <c r="AG13" s="26">
        <f>IF(預測IC!AG22&gt;預測IC!AG$27,1,0)</f>
        <v>0</v>
      </c>
      <c r="AH13" s="26">
        <f>IF(預測IC!AH22&gt;預測IC!AH$27,1,0)</f>
        <v>1</v>
      </c>
      <c r="AI13" s="26">
        <f>IF(預測IC!AI22&gt;預測IC!AI$27,1,0)</f>
        <v>1</v>
      </c>
      <c r="AJ13" s="26">
        <f>IF(預測IC!AJ22&gt;預測IC!AJ$27,1,0)</f>
        <v>1</v>
      </c>
      <c r="AK13" s="26">
        <f>IF(預測IC!AK22&gt;預測IC!AK$27,1,0)</f>
        <v>1</v>
      </c>
      <c r="AL13" s="26">
        <f>IF(預測IC!AL22&gt;預測IC!AL$27,1,0)</f>
        <v>1</v>
      </c>
      <c r="AM13" s="26">
        <f>IF(預測IC!AM22&gt;預測IC!AM$27,1,0)</f>
        <v>0</v>
      </c>
      <c r="AN13" s="26">
        <f>IF(預測IC!AN22&gt;預測IC!AN$27,1,0)</f>
        <v>0</v>
      </c>
      <c r="AO13" s="26">
        <f>IF(預測IC!AO22&gt;預測IC!AO$27,1,0)</f>
        <v>0</v>
      </c>
      <c r="AP13" s="26">
        <f>IF(預測IC!AP22&gt;預測IC!AP$27,1,0)</f>
        <v>0</v>
      </c>
      <c r="AQ13" s="26">
        <f>IF(預測IC!AQ22&gt;預測IC!AQ$27,1,0)</f>
        <v>0</v>
      </c>
      <c r="AR13" s="26">
        <f>IF(預測IC!AR22&gt;預測IC!AR$27,1,0)</f>
        <v>0</v>
      </c>
      <c r="AS13" s="26">
        <f>IF(預測IC!AS22&gt;預測IC!AS$27,1,0)</f>
        <v>1</v>
      </c>
      <c r="AT13" s="26">
        <f>IF(預測IC!AT22&gt;預測IC!AT$27,1,0)</f>
        <v>0</v>
      </c>
      <c r="AU13" s="26">
        <f>IF(預測IC!AU22&gt;預測IC!AU$27,1,0)</f>
        <v>1</v>
      </c>
      <c r="AV13" s="26">
        <f>IF(預測IC!AV22&gt;預測IC!AV$27,1,0)</f>
        <v>0</v>
      </c>
      <c r="AW13" s="26">
        <f>IF(預測IC!AW22&gt;預測IC!AW$27,1,0)</f>
        <v>0</v>
      </c>
      <c r="AX13" s="26">
        <f>IF(預測IC!AX22&gt;預測IC!AX$27,1,0)</f>
        <v>0</v>
      </c>
      <c r="AY13" s="26">
        <f>IF(預測IC!AY22&gt;預測IC!AY$27,1,0)</f>
        <v>1</v>
      </c>
      <c r="AZ13" s="26">
        <f>IF(預測IC!AZ22&gt;預測IC!AZ$27,1,0)</f>
        <v>0</v>
      </c>
      <c r="BA13" s="26">
        <f>IF(預測IC!BA22&gt;預測IC!BA$27,1,0)</f>
        <v>1</v>
      </c>
      <c r="BB13" s="26">
        <f>IF(預測IC!BB22&gt;預測IC!BB$27,1,0)</f>
        <v>1</v>
      </c>
      <c r="BC13" s="26">
        <f>IF(預測IC!BC22&gt;預測IC!BC$27,1,0)</f>
        <v>1</v>
      </c>
      <c r="BD13" s="26">
        <f>IF(預測IC!BD22&gt;預測IC!BD$27,1,0)</f>
        <v>1</v>
      </c>
      <c r="BE13" s="26">
        <f>IF(預測IC!BE22&gt;預測IC!BE$27,1,0)</f>
        <v>0</v>
      </c>
      <c r="BF13" s="26">
        <f>IF(預測IC!BF22&gt;預測IC!BF$27,1,0)</f>
        <v>1</v>
      </c>
      <c r="BG13" s="26">
        <f>IF(預測IC!BG22&gt;預測IC!BG$27,1,0)</f>
        <v>1</v>
      </c>
      <c r="BH13" s="26">
        <f>IF(預測IC!BH22&gt;預測IC!BH$27,1,0)</f>
        <v>1</v>
      </c>
      <c r="BI13" s="26">
        <f>IF(預測IC!BI22&gt;預測IC!BI$27,1,0)</f>
        <v>1</v>
      </c>
      <c r="BJ13" s="26">
        <f>IF(預測IC!BJ22&gt;預測IC!BJ$27,1,0)</f>
        <v>0</v>
      </c>
      <c r="BK13" s="26">
        <f>IF(預測IC!BK22&gt;預測IC!BK$27,1,0)</f>
        <v>0</v>
      </c>
      <c r="BL13" s="26">
        <f>IF(預測IC!BL22&gt;預測IC!BL$27,1,0)</f>
        <v>0</v>
      </c>
      <c r="BM13" s="26">
        <f>IF(預測IC!BM22&gt;預測IC!BM$27,1,0)</f>
        <v>0</v>
      </c>
      <c r="BN13" s="26">
        <f>IF(預測IC!BN22&gt;預測IC!BN$27,1,0)</f>
        <v>0</v>
      </c>
      <c r="BO13" s="26">
        <f>IF(預測IC!BO22&gt;預測IC!BO$27,1,0)</f>
        <v>0</v>
      </c>
      <c r="BP13" s="26">
        <f>IF(預測IC!BP22&gt;預測IC!BP$27,1,0)</f>
        <v>0</v>
      </c>
      <c r="BQ13" s="26">
        <f>IF(預測IC!BQ22&gt;預測IC!BQ$27,1,0)</f>
        <v>1</v>
      </c>
      <c r="BR13" s="26">
        <f>IF(預測IC!BR22&gt;預測IC!BR$27,1,0)</f>
        <v>0</v>
      </c>
      <c r="BS13" s="26">
        <f>IF(預測IC!BS22&gt;預測IC!BS$27,1,0)</f>
        <v>0</v>
      </c>
      <c r="BT13" s="26">
        <f>IF(預測IC!BT22&gt;預測IC!BT$27,1,0)</f>
        <v>1</v>
      </c>
      <c r="BU13" s="26">
        <f>IF(預測IC!BU22&gt;預測IC!BU$27,1,0)</f>
        <v>0</v>
      </c>
      <c r="BV13" s="26">
        <f>IF(預測IC!BV22&gt;預測IC!BV$27,1,0)</f>
        <v>1</v>
      </c>
      <c r="BW13" s="26">
        <f>IF(預測IC!BW22&gt;預測IC!BW$27,1,0)</f>
        <v>0</v>
      </c>
      <c r="BX13" s="26">
        <f>IF(預測IC!BX22&gt;預測IC!BX$27,1,0)</f>
        <v>1</v>
      </c>
      <c r="BY13" s="26">
        <f>IF(預測IC!BY22&gt;預測IC!BY$27,1,0)</f>
        <v>1</v>
      </c>
      <c r="BZ13" s="26">
        <f>IF(預測IC!BZ22&gt;預測IC!BZ$27,1,0)</f>
        <v>0</v>
      </c>
      <c r="CA13" s="26">
        <f>IF(預測IC!CA22&gt;預測IC!CA$27,1,0)</f>
        <v>0</v>
      </c>
      <c r="CB13" s="26">
        <f>IF(預測IC!CB22&gt;預測IC!CB$27,1,0)</f>
        <v>1</v>
      </c>
      <c r="CC13" s="26">
        <f>IF(預測IC!CC22&gt;預測IC!CC$27,1,0)</f>
        <v>0</v>
      </c>
      <c r="CD13" s="26">
        <f>IF(預測IC!CD22&gt;預測IC!CD$27,1,0)</f>
        <v>0</v>
      </c>
      <c r="CE13" s="26">
        <f>IF(預測IC!CE22&gt;預測IC!CE$27,1,0)</f>
        <v>1</v>
      </c>
      <c r="CF13" s="26">
        <f>IF(預測IC!CF22&gt;預測IC!CF$27,1,0)</f>
        <v>1</v>
      </c>
      <c r="CG13" s="26">
        <f>IF(預測IC!CG22&gt;預測IC!CG$27,1,0)</f>
        <v>0</v>
      </c>
      <c r="CH13" s="26">
        <f>IF(預測IC!CH22&gt;預測IC!CH$27,1,0)</f>
        <v>0</v>
      </c>
      <c r="CI13" s="26">
        <f>IF(預測IC!CI22&gt;預測IC!CI$27,1,0)</f>
        <v>0</v>
      </c>
      <c r="CJ13" s="26">
        <f>IF(預測IC!CJ22&gt;預測IC!CJ$27,1,0)</f>
        <v>0</v>
      </c>
      <c r="CK13" s="26">
        <f>IF(預測IC!CK22&gt;預測IC!CK$27,1,0)</f>
        <v>1</v>
      </c>
      <c r="CL13" s="26">
        <f>IF(預測IC!CL22&gt;預測IC!CL$27,1,0)</f>
        <v>1</v>
      </c>
      <c r="CM13" s="26">
        <f>IF(預測IC!CM22&gt;預測IC!CM$27,1,0)</f>
        <v>1</v>
      </c>
      <c r="CN13" s="26">
        <f>IF(預測IC!CN22&gt;預測IC!CN$27,1,0)</f>
        <v>1</v>
      </c>
      <c r="CO13" s="26">
        <f>IF(預測IC!CO22&gt;預測IC!CO$27,1,0)</f>
        <v>0</v>
      </c>
      <c r="CP13" s="26">
        <f>IF(預測IC!CP22&gt;預測IC!CP$27,1,0)</f>
        <v>1</v>
      </c>
      <c r="CQ13" s="26">
        <f>IF(預測IC!CQ22&gt;預測IC!CQ$27,1,0)</f>
        <v>0</v>
      </c>
      <c r="CR13" s="26">
        <f>IF(預測IC!CR22&gt;預測IC!CR$27,1,0)</f>
        <v>0</v>
      </c>
      <c r="CS13" s="26">
        <f>IF(預測IC!CS22&gt;預測IC!CS$27,1,0)</f>
        <v>0</v>
      </c>
      <c r="CT13" s="26">
        <f>IF(預測IC!CT22&gt;預測IC!CT$27,1,0)</f>
        <v>0</v>
      </c>
      <c r="CU13" s="26">
        <f>IF(預測IC!CU22&gt;預測IC!CU$27,1,0)</f>
        <v>0</v>
      </c>
      <c r="CV13" s="26">
        <f>IF(預測IC!CV22&gt;預測IC!CV$27,1,0)</f>
        <v>1</v>
      </c>
      <c r="CW13" s="26">
        <f>IF(預測IC!CW22&gt;預測IC!CW$27,1,0)</f>
        <v>1</v>
      </c>
      <c r="CX13" s="26">
        <f>IF(預測IC!CX22&gt;預測IC!CX$27,1,0)</f>
        <v>0</v>
      </c>
      <c r="CY13" s="26">
        <f>IF(預測IC!CY22&gt;預測IC!CY$27,1,0)</f>
        <v>1</v>
      </c>
      <c r="CZ13" s="26">
        <f>IF(預測IC!CZ22&gt;預測IC!CZ$27,1,0)</f>
        <v>1</v>
      </c>
      <c r="DA13" s="26">
        <f>IF(預測IC!DA22&gt;預測IC!DA$27,1,0)</f>
        <v>1</v>
      </c>
      <c r="DB13" s="26">
        <f>IF(預測IC!DB22&gt;預測IC!DB$27,1,0)</f>
        <v>1</v>
      </c>
      <c r="DC13" s="26">
        <f>IF(預測IC!DC22&gt;預測IC!DC$27,1,0)</f>
        <v>1</v>
      </c>
      <c r="DD13" s="26">
        <f>IF(預測IC!DD22&gt;預測IC!DD$27,1,0)</f>
        <v>1</v>
      </c>
      <c r="DE13" s="26">
        <f>IF(預測IC!DE22&gt;預測IC!DE$27,1,0)</f>
        <v>0</v>
      </c>
      <c r="DF13" s="26">
        <f>IF(預測IC!DF22&gt;預測IC!DF$27,1,0)</f>
        <v>1</v>
      </c>
      <c r="DG13" s="26">
        <f>IF(預測IC!DG22&gt;預測IC!DG$27,1,0)</f>
        <v>0</v>
      </c>
      <c r="DH13" s="26">
        <f>IF(預測IC!DH22&gt;預測IC!DH$27,1,0)</f>
        <v>0</v>
      </c>
      <c r="DI13" s="26">
        <f>IF(預測IC!DI22&gt;預測IC!DI$27,1,0)</f>
        <v>0</v>
      </c>
      <c r="DJ13" s="26">
        <f>IF(預測IC!DJ22&gt;預測IC!DJ$27,1,0)</f>
        <v>1</v>
      </c>
      <c r="DK13" s="26">
        <f>IF(預測IC!DK22&gt;預測IC!DK$27,1,0)</f>
        <v>1</v>
      </c>
      <c r="DL13" s="26">
        <f>IF(預測IC!DL22&gt;預測IC!DL$27,1,0)</f>
        <v>0</v>
      </c>
      <c r="DM13" s="26">
        <f>IF(預測IC!DM22&gt;預測IC!DM$27,1,0)</f>
        <v>0</v>
      </c>
      <c r="DN13" s="26">
        <f>IF(預測IC!DN22&gt;預測IC!DN$27,1,0)</f>
        <v>1</v>
      </c>
      <c r="DO13" s="26">
        <f>IF(預測IC!DO22&gt;預測IC!DO$27,1,0)</f>
        <v>1</v>
      </c>
      <c r="DP13" s="26">
        <f>IF(預測IC!DP22&gt;預測IC!DP$27,1,0)</f>
        <v>0</v>
      </c>
      <c r="DQ13" s="26">
        <f>IF(預測IC!DQ22&gt;預測IC!DQ$27,1,0)</f>
        <v>0</v>
      </c>
      <c r="DR13" s="26">
        <f>IF(預測IC!DR22&gt;預測IC!DR$27,1,0)</f>
        <v>1</v>
      </c>
      <c r="DS13" s="26">
        <f>IF(預測IC!DS22&gt;預測IC!DS$27,1,0)</f>
        <v>1</v>
      </c>
      <c r="DT13" s="26">
        <f>IF(預測IC!DT22&gt;預測IC!DT$27,1,0)</f>
        <v>0</v>
      </c>
      <c r="DU13" s="26">
        <f>IF(預測IC!DU22&gt;預測IC!DU$27,1,0)</f>
        <v>1</v>
      </c>
      <c r="DV13" s="26">
        <f>IF(預測IC!DV22&gt;預測IC!DV$27,1,0)</f>
        <v>0</v>
      </c>
      <c r="DW13" s="26">
        <f>IF(預測IC!DW22&gt;預測IC!DW$27,1,0)</f>
        <v>1</v>
      </c>
      <c r="DX13" s="26">
        <f>IF(預測IC!DX22&gt;預測IC!DX$27,1,0)</f>
        <v>0</v>
      </c>
      <c r="DY13" s="26">
        <f>IF(預測IC!DY22&gt;預測IC!DY$27,1,0)</f>
        <v>1</v>
      </c>
      <c r="DZ13" s="26">
        <f>IF(預測IC!DZ22&gt;預測IC!DZ$27,1,0)</f>
        <v>0</v>
      </c>
      <c r="EA13" s="26">
        <f>IF(預測IC!EA22&gt;預測IC!EA$27,1,0)</f>
        <v>1</v>
      </c>
      <c r="EB13" s="26">
        <f>IF(預測IC!EB22&gt;預測IC!EB$27,1,0)</f>
        <v>1</v>
      </c>
      <c r="EC13" s="26">
        <f>IF(預測IC!EC22&gt;預測IC!EC$27,1,0)</f>
        <v>1</v>
      </c>
      <c r="ED13" s="26">
        <f>IF(預測IC!ED22&gt;預測IC!ED$27,1,0)</f>
        <v>1</v>
      </c>
      <c r="EE13" s="26">
        <f>IF(預測IC!EE22&gt;預測IC!EE$27,1,0)</f>
        <v>0</v>
      </c>
      <c r="EF13" s="26">
        <f>IF(預測IC!EF22&gt;預測IC!EF$27,1,0)</f>
        <v>0</v>
      </c>
      <c r="EG13" s="1">
        <f t="shared" si="0"/>
        <v>68</v>
      </c>
      <c r="EH13" s="61">
        <f t="shared" si="1"/>
        <v>0.5074626865671642</v>
      </c>
    </row>
    <row r="14" spans="1:138" ht="16">
      <c r="A14" s="6">
        <v>241</v>
      </c>
      <c r="B14" s="6">
        <v>4</v>
      </c>
      <c r="C14" s="26">
        <f>IF(預測IC!C23&gt;預測IC!C$27,1,0)</f>
        <v>1</v>
      </c>
      <c r="D14" s="26">
        <f>IF(預測IC!D23&gt;預測IC!D$27,1,0)</f>
        <v>1</v>
      </c>
      <c r="E14" s="26">
        <f>IF(預測IC!E23&gt;預測IC!E$27,1,0)</f>
        <v>0</v>
      </c>
      <c r="F14" s="26">
        <f>IF(預測IC!F23&gt;預測IC!F$27,1,0)</f>
        <v>1</v>
      </c>
      <c r="G14" s="26">
        <f>IF(預測IC!G23&gt;預測IC!G$27,1,0)</f>
        <v>0</v>
      </c>
      <c r="H14" s="26">
        <f>IF(預測IC!H23&gt;預測IC!H$27,1,0)</f>
        <v>0</v>
      </c>
      <c r="I14" s="26">
        <f>IF(預測IC!I23&gt;預測IC!I$27,1,0)</f>
        <v>1</v>
      </c>
      <c r="J14" s="26">
        <f>IF(預測IC!J23&gt;預測IC!J$27,1,0)</f>
        <v>1</v>
      </c>
      <c r="K14" s="26">
        <f>IF(預測IC!K23&gt;預測IC!K$27,1,0)</f>
        <v>1</v>
      </c>
      <c r="L14" s="26">
        <f>IF(預測IC!L23&gt;預測IC!L$27,1,0)</f>
        <v>1</v>
      </c>
      <c r="M14" s="26">
        <f>IF(預測IC!M23&gt;預測IC!M$27,1,0)</f>
        <v>0</v>
      </c>
      <c r="N14" s="26">
        <f>IF(預測IC!N23&gt;預測IC!N$27,1,0)</f>
        <v>0</v>
      </c>
      <c r="O14" s="26">
        <f>IF(預測IC!O23&gt;預測IC!O$27,1,0)</f>
        <v>1</v>
      </c>
      <c r="P14" s="26">
        <f>IF(預測IC!P23&gt;預測IC!P$27,1,0)</f>
        <v>0</v>
      </c>
      <c r="Q14" s="26">
        <f>IF(預測IC!Q23&gt;預測IC!Q$27,1,0)</f>
        <v>1</v>
      </c>
      <c r="R14" s="26">
        <f>IF(預測IC!R23&gt;預測IC!R$27,1,0)</f>
        <v>0</v>
      </c>
      <c r="S14" s="26">
        <f>IF(預測IC!S23&gt;預測IC!S$27,1,0)</f>
        <v>1</v>
      </c>
      <c r="T14" s="26">
        <f>IF(預測IC!T23&gt;預測IC!T$27,1,0)</f>
        <v>0</v>
      </c>
      <c r="U14" s="26">
        <f>IF(預測IC!U23&gt;預測IC!U$27,1,0)</f>
        <v>1</v>
      </c>
      <c r="V14" s="26">
        <f>IF(預測IC!V23&gt;預測IC!V$27,1,0)</f>
        <v>0</v>
      </c>
      <c r="W14" s="26">
        <f>IF(預測IC!W23&gt;預測IC!W$27,1,0)</f>
        <v>0</v>
      </c>
      <c r="X14" s="26">
        <f>IF(預測IC!X23&gt;預測IC!X$27,1,0)</f>
        <v>0</v>
      </c>
      <c r="Y14" s="26">
        <f>IF(預測IC!Y23&gt;預測IC!Y$27,1,0)</f>
        <v>0</v>
      </c>
      <c r="Z14" s="26">
        <f>IF(預測IC!Z23&gt;預測IC!Z$27,1,0)</f>
        <v>1</v>
      </c>
      <c r="AA14" s="26">
        <f>IF(預測IC!AA23&gt;預測IC!AA$27,1,0)</f>
        <v>0</v>
      </c>
      <c r="AB14" s="26">
        <f>IF(預測IC!AB23&gt;預測IC!AB$27,1,0)</f>
        <v>0</v>
      </c>
      <c r="AC14" s="26">
        <f>IF(預測IC!AC23&gt;預測IC!AC$27,1,0)</f>
        <v>0</v>
      </c>
      <c r="AD14" s="26">
        <f>IF(預測IC!AD23&gt;預測IC!AD$27,1,0)</f>
        <v>1</v>
      </c>
      <c r="AE14" s="26">
        <f>IF(預測IC!AE23&gt;預測IC!AE$27,1,0)</f>
        <v>1</v>
      </c>
      <c r="AF14" s="26">
        <f>IF(預測IC!AF23&gt;預測IC!AF$27,1,0)</f>
        <v>1</v>
      </c>
      <c r="AG14" s="26">
        <f>IF(預測IC!AG23&gt;預測IC!AG$27,1,0)</f>
        <v>0</v>
      </c>
      <c r="AH14" s="26">
        <f>IF(預測IC!AH23&gt;預測IC!AH$27,1,0)</f>
        <v>1</v>
      </c>
      <c r="AI14" s="26">
        <f>IF(預測IC!AI23&gt;預測IC!AI$27,1,0)</f>
        <v>1</v>
      </c>
      <c r="AJ14" s="26">
        <f>IF(預測IC!AJ23&gt;預測IC!AJ$27,1,0)</f>
        <v>1</v>
      </c>
      <c r="AK14" s="26">
        <f>IF(預測IC!AK23&gt;預測IC!AK$27,1,0)</f>
        <v>1</v>
      </c>
      <c r="AL14" s="26">
        <f>IF(預測IC!AL23&gt;預測IC!AL$27,1,0)</f>
        <v>1</v>
      </c>
      <c r="AM14" s="26">
        <f>IF(預測IC!AM23&gt;預測IC!AM$27,1,0)</f>
        <v>0</v>
      </c>
      <c r="AN14" s="26">
        <f>IF(預測IC!AN23&gt;預測IC!AN$27,1,0)</f>
        <v>0</v>
      </c>
      <c r="AO14" s="26">
        <f>IF(預測IC!AO23&gt;預測IC!AO$27,1,0)</f>
        <v>0</v>
      </c>
      <c r="AP14" s="26">
        <f>IF(預測IC!AP23&gt;預測IC!AP$27,1,0)</f>
        <v>0</v>
      </c>
      <c r="AQ14" s="26">
        <f>IF(預測IC!AQ23&gt;預測IC!AQ$27,1,0)</f>
        <v>0</v>
      </c>
      <c r="AR14" s="26">
        <f>IF(預測IC!AR23&gt;預測IC!AR$27,1,0)</f>
        <v>0</v>
      </c>
      <c r="AS14" s="26">
        <f>IF(預測IC!AS23&gt;預測IC!AS$27,1,0)</f>
        <v>1</v>
      </c>
      <c r="AT14" s="26">
        <f>IF(預測IC!AT23&gt;預測IC!AT$27,1,0)</f>
        <v>0</v>
      </c>
      <c r="AU14" s="26">
        <f>IF(預測IC!AU23&gt;預測IC!AU$27,1,0)</f>
        <v>1</v>
      </c>
      <c r="AV14" s="26">
        <f>IF(預測IC!AV23&gt;預測IC!AV$27,1,0)</f>
        <v>0</v>
      </c>
      <c r="AW14" s="26">
        <f>IF(預測IC!AW23&gt;預測IC!AW$27,1,0)</f>
        <v>1</v>
      </c>
      <c r="AX14" s="26">
        <f>IF(預測IC!AX23&gt;預測IC!AX$27,1,0)</f>
        <v>0</v>
      </c>
      <c r="AY14" s="26">
        <f>IF(預測IC!AY23&gt;預測IC!AY$27,1,0)</f>
        <v>1</v>
      </c>
      <c r="AZ14" s="26">
        <f>IF(預測IC!AZ23&gt;預測IC!AZ$27,1,0)</f>
        <v>1</v>
      </c>
      <c r="BA14" s="26">
        <f>IF(預測IC!BA23&gt;預測IC!BA$27,1,0)</f>
        <v>1</v>
      </c>
      <c r="BB14" s="26">
        <f>IF(預測IC!BB23&gt;預測IC!BB$27,1,0)</f>
        <v>1</v>
      </c>
      <c r="BC14" s="26">
        <f>IF(預測IC!BC23&gt;預測IC!BC$27,1,0)</f>
        <v>1</v>
      </c>
      <c r="BD14" s="26">
        <f>IF(預測IC!BD23&gt;預測IC!BD$27,1,0)</f>
        <v>1</v>
      </c>
      <c r="BE14" s="26">
        <f>IF(預測IC!BE23&gt;預測IC!BE$27,1,0)</f>
        <v>0</v>
      </c>
      <c r="BF14" s="26">
        <f>IF(預測IC!BF23&gt;預測IC!BF$27,1,0)</f>
        <v>0</v>
      </c>
      <c r="BG14" s="26">
        <f>IF(預測IC!BG23&gt;預測IC!BG$27,1,0)</f>
        <v>1</v>
      </c>
      <c r="BH14" s="26">
        <f>IF(預測IC!BH23&gt;預測IC!BH$27,1,0)</f>
        <v>1</v>
      </c>
      <c r="BI14" s="26">
        <f>IF(預測IC!BI23&gt;預測IC!BI$27,1,0)</f>
        <v>1</v>
      </c>
      <c r="BJ14" s="26">
        <f>IF(預測IC!BJ23&gt;預測IC!BJ$27,1,0)</f>
        <v>0</v>
      </c>
      <c r="BK14" s="26">
        <f>IF(預測IC!BK23&gt;預測IC!BK$27,1,0)</f>
        <v>1</v>
      </c>
      <c r="BL14" s="26">
        <f>IF(預測IC!BL23&gt;預測IC!BL$27,1,0)</f>
        <v>0</v>
      </c>
      <c r="BM14" s="26">
        <f>IF(預測IC!BM23&gt;預測IC!BM$27,1,0)</f>
        <v>0</v>
      </c>
      <c r="BN14" s="26">
        <f>IF(預測IC!BN23&gt;預測IC!BN$27,1,0)</f>
        <v>0</v>
      </c>
      <c r="BO14" s="26">
        <f>IF(預測IC!BO23&gt;預測IC!BO$27,1,0)</f>
        <v>0</v>
      </c>
      <c r="BP14" s="26">
        <f>IF(預測IC!BP23&gt;預測IC!BP$27,1,0)</f>
        <v>0</v>
      </c>
      <c r="BQ14" s="26">
        <f>IF(預測IC!BQ23&gt;預測IC!BQ$27,1,0)</f>
        <v>1</v>
      </c>
      <c r="BR14" s="26">
        <f>IF(預測IC!BR23&gt;預測IC!BR$27,1,0)</f>
        <v>0</v>
      </c>
      <c r="BS14" s="26">
        <f>IF(預測IC!BS23&gt;預測IC!BS$27,1,0)</f>
        <v>0</v>
      </c>
      <c r="BT14" s="26">
        <f>IF(預測IC!BT23&gt;預測IC!BT$27,1,0)</f>
        <v>0</v>
      </c>
      <c r="BU14" s="26">
        <f>IF(預測IC!BU23&gt;預測IC!BU$27,1,0)</f>
        <v>0</v>
      </c>
      <c r="BV14" s="26">
        <f>IF(預測IC!BV23&gt;預測IC!BV$27,1,0)</f>
        <v>1</v>
      </c>
      <c r="BW14" s="26">
        <f>IF(預測IC!BW23&gt;預測IC!BW$27,1,0)</f>
        <v>1</v>
      </c>
      <c r="BX14" s="26">
        <f>IF(預測IC!BX23&gt;預測IC!BX$27,1,0)</f>
        <v>0</v>
      </c>
      <c r="BY14" s="26">
        <f>IF(預測IC!BY23&gt;預測IC!BY$27,1,0)</f>
        <v>1</v>
      </c>
      <c r="BZ14" s="26">
        <f>IF(預測IC!BZ23&gt;預測IC!BZ$27,1,0)</f>
        <v>0</v>
      </c>
      <c r="CA14" s="26">
        <f>IF(預測IC!CA23&gt;預測IC!CA$27,1,0)</f>
        <v>1</v>
      </c>
      <c r="CB14" s="26">
        <f>IF(預測IC!CB23&gt;預測IC!CB$27,1,0)</f>
        <v>1</v>
      </c>
      <c r="CC14" s="26">
        <f>IF(預測IC!CC23&gt;預測IC!CC$27,1,0)</f>
        <v>0</v>
      </c>
      <c r="CD14" s="26">
        <f>IF(預測IC!CD23&gt;預測IC!CD$27,1,0)</f>
        <v>0</v>
      </c>
      <c r="CE14" s="26">
        <f>IF(預測IC!CE23&gt;預測IC!CE$27,1,0)</f>
        <v>1</v>
      </c>
      <c r="CF14" s="26">
        <f>IF(預測IC!CF23&gt;預測IC!CF$27,1,0)</f>
        <v>1</v>
      </c>
      <c r="CG14" s="26">
        <f>IF(預測IC!CG23&gt;預測IC!CG$27,1,0)</f>
        <v>0</v>
      </c>
      <c r="CH14" s="26">
        <f>IF(預測IC!CH23&gt;預測IC!CH$27,1,0)</f>
        <v>0</v>
      </c>
      <c r="CI14" s="26">
        <f>IF(預測IC!CI23&gt;預測IC!CI$27,1,0)</f>
        <v>0</v>
      </c>
      <c r="CJ14" s="26">
        <f>IF(預測IC!CJ23&gt;預測IC!CJ$27,1,0)</f>
        <v>0</v>
      </c>
      <c r="CK14" s="26">
        <f>IF(預測IC!CK23&gt;預測IC!CK$27,1,0)</f>
        <v>1</v>
      </c>
      <c r="CL14" s="26">
        <f>IF(預測IC!CL23&gt;預測IC!CL$27,1,0)</f>
        <v>1</v>
      </c>
      <c r="CM14" s="26">
        <f>IF(預測IC!CM23&gt;預測IC!CM$27,1,0)</f>
        <v>1</v>
      </c>
      <c r="CN14" s="26">
        <f>IF(預測IC!CN23&gt;預測IC!CN$27,1,0)</f>
        <v>1</v>
      </c>
      <c r="CO14" s="26">
        <f>IF(預測IC!CO23&gt;預測IC!CO$27,1,0)</f>
        <v>0</v>
      </c>
      <c r="CP14" s="26">
        <f>IF(預測IC!CP23&gt;預測IC!CP$27,1,0)</f>
        <v>1</v>
      </c>
      <c r="CQ14" s="26">
        <f>IF(預測IC!CQ23&gt;預測IC!CQ$27,1,0)</f>
        <v>0</v>
      </c>
      <c r="CR14" s="26">
        <f>IF(預測IC!CR23&gt;預測IC!CR$27,1,0)</f>
        <v>0</v>
      </c>
      <c r="CS14" s="26">
        <f>IF(預測IC!CS23&gt;預測IC!CS$27,1,0)</f>
        <v>0</v>
      </c>
      <c r="CT14" s="26">
        <f>IF(預測IC!CT23&gt;預測IC!CT$27,1,0)</f>
        <v>0</v>
      </c>
      <c r="CU14" s="26">
        <f>IF(預測IC!CU23&gt;預測IC!CU$27,1,0)</f>
        <v>0</v>
      </c>
      <c r="CV14" s="26">
        <f>IF(預測IC!CV23&gt;預測IC!CV$27,1,0)</f>
        <v>1</v>
      </c>
      <c r="CW14" s="26">
        <f>IF(預測IC!CW23&gt;預測IC!CW$27,1,0)</f>
        <v>1</v>
      </c>
      <c r="CX14" s="26">
        <f>IF(預測IC!CX23&gt;預測IC!CX$27,1,0)</f>
        <v>0</v>
      </c>
      <c r="CY14" s="26">
        <f>IF(預測IC!CY23&gt;預測IC!CY$27,1,0)</f>
        <v>1</v>
      </c>
      <c r="CZ14" s="26">
        <f>IF(預測IC!CZ23&gt;預測IC!CZ$27,1,0)</f>
        <v>1</v>
      </c>
      <c r="DA14" s="26">
        <f>IF(預測IC!DA23&gt;預測IC!DA$27,1,0)</f>
        <v>1</v>
      </c>
      <c r="DB14" s="26">
        <f>IF(預測IC!DB23&gt;預測IC!DB$27,1,0)</f>
        <v>1</v>
      </c>
      <c r="DC14" s="26">
        <f>IF(預測IC!DC23&gt;預測IC!DC$27,1,0)</f>
        <v>0</v>
      </c>
      <c r="DD14" s="26">
        <f>IF(預測IC!DD23&gt;預測IC!DD$27,1,0)</f>
        <v>1</v>
      </c>
      <c r="DE14" s="26">
        <f>IF(預測IC!DE23&gt;預測IC!DE$27,1,0)</f>
        <v>0</v>
      </c>
      <c r="DF14" s="26">
        <f>IF(預測IC!DF23&gt;預測IC!DF$27,1,0)</f>
        <v>1</v>
      </c>
      <c r="DG14" s="26">
        <f>IF(預測IC!DG23&gt;預測IC!DG$27,1,0)</f>
        <v>0</v>
      </c>
      <c r="DH14" s="26">
        <f>IF(預測IC!DH23&gt;預測IC!DH$27,1,0)</f>
        <v>0</v>
      </c>
      <c r="DI14" s="26">
        <f>IF(預測IC!DI23&gt;預測IC!DI$27,1,0)</f>
        <v>0</v>
      </c>
      <c r="DJ14" s="26">
        <f>IF(預測IC!DJ23&gt;預測IC!DJ$27,1,0)</f>
        <v>1</v>
      </c>
      <c r="DK14" s="26">
        <f>IF(預測IC!DK23&gt;預測IC!DK$27,1,0)</f>
        <v>0</v>
      </c>
      <c r="DL14" s="26">
        <f>IF(預測IC!DL23&gt;預測IC!DL$27,1,0)</f>
        <v>0</v>
      </c>
      <c r="DM14" s="26">
        <f>IF(預測IC!DM23&gt;預測IC!DM$27,1,0)</f>
        <v>1</v>
      </c>
      <c r="DN14" s="26">
        <f>IF(預測IC!DN23&gt;預測IC!DN$27,1,0)</f>
        <v>1</v>
      </c>
      <c r="DO14" s="26">
        <f>IF(預測IC!DO23&gt;預測IC!DO$27,1,0)</f>
        <v>1</v>
      </c>
      <c r="DP14" s="26">
        <f>IF(預測IC!DP23&gt;預測IC!DP$27,1,0)</f>
        <v>0</v>
      </c>
      <c r="DQ14" s="26">
        <f>IF(預測IC!DQ23&gt;預測IC!DQ$27,1,0)</f>
        <v>0</v>
      </c>
      <c r="DR14" s="26">
        <f>IF(預測IC!DR23&gt;預測IC!DR$27,1,0)</f>
        <v>1</v>
      </c>
      <c r="DS14" s="26">
        <f>IF(預測IC!DS23&gt;預測IC!DS$27,1,0)</f>
        <v>1</v>
      </c>
      <c r="DT14" s="26">
        <f>IF(預測IC!DT23&gt;預測IC!DT$27,1,0)</f>
        <v>0</v>
      </c>
      <c r="DU14" s="26">
        <f>IF(預測IC!DU23&gt;預測IC!DU$27,1,0)</f>
        <v>1</v>
      </c>
      <c r="DV14" s="26">
        <f>IF(預測IC!DV23&gt;預測IC!DV$27,1,0)</f>
        <v>0</v>
      </c>
      <c r="DW14" s="26">
        <f>IF(預測IC!DW23&gt;預測IC!DW$27,1,0)</f>
        <v>1</v>
      </c>
      <c r="DX14" s="26">
        <f>IF(預測IC!DX23&gt;預測IC!DX$27,1,0)</f>
        <v>0</v>
      </c>
      <c r="DY14" s="26">
        <f>IF(預測IC!DY23&gt;預測IC!DY$27,1,0)</f>
        <v>1</v>
      </c>
      <c r="DZ14" s="26">
        <f>IF(預測IC!DZ23&gt;預測IC!DZ$27,1,0)</f>
        <v>0</v>
      </c>
      <c r="EA14" s="26">
        <f>IF(預測IC!EA23&gt;預測IC!EA$27,1,0)</f>
        <v>1</v>
      </c>
      <c r="EB14" s="26">
        <f>IF(預測IC!EB23&gt;預測IC!EB$27,1,0)</f>
        <v>1</v>
      </c>
      <c r="EC14" s="26">
        <f>IF(預測IC!EC23&gt;預測IC!EC$27,1,0)</f>
        <v>1</v>
      </c>
      <c r="ED14" s="26">
        <f>IF(預測IC!ED23&gt;預測IC!ED$27,1,0)</f>
        <v>0</v>
      </c>
      <c r="EE14" s="26">
        <f>IF(預測IC!EE23&gt;預測IC!EE$27,1,0)</f>
        <v>0</v>
      </c>
      <c r="EF14" s="26">
        <f>IF(預測IC!EF23&gt;預測IC!EF$27,1,0)</f>
        <v>0</v>
      </c>
      <c r="EG14" s="1">
        <f t="shared" si="0"/>
        <v>66</v>
      </c>
      <c r="EH14" s="2">
        <f t="shared" si="1"/>
        <v>0.4925373134328358</v>
      </c>
    </row>
    <row r="15" spans="1:138" ht="16">
      <c r="A15" s="6">
        <v>321</v>
      </c>
      <c r="B15" s="6">
        <v>3</v>
      </c>
      <c r="C15" s="26">
        <f>IF(預測IC!C24&gt;預測IC!C$27,1,0)</f>
        <v>1</v>
      </c>
      <c r="D15" s="26">
        <f>IF(預測IC!D24&gt;預測IC!D$27,1,0)</f>
        <v>1</v>
      </c>
      <c r="E15" s="26">
        <f>IF(預測IC!E24&gt;預測IC!E$27,1,0)</f>
        <v>0</v>
      </c>
      <c r="F15" s="26">
        <f>IF(預測IC!F24&gt;預測IC!F$27,1,0)</f>
        <v>1</v>
      </c>
      <c r="G15" s="26">
        <f>IF(預測IC!G24&gt;預測IC!G$27,1,0)</f>
        <v>0</v>
      </c>
      <c r="H15" s="26">
        <f>IF(預測IC!H24&gt;預測IC!H$27,1,0)</f>
        <v>0</v>
      </c>
      <c r="I15" s="26">
        <f>IF(預測IC!I24&gt;預測IC!I$27,1,0)</f>
        <v>1</v>
      </c>
      <c r="J15" s="26">
        <f>IF(預測IC!J24&gt;預測IC!J$27,1,0)</f>
        <v>1</v>
      </c>
      <c r="K15" s="26">
        <f>IF(預測IC!K24&gt;預測IC!K$27,1,0)</f>
        <v>1</v>
      </c>
      <c r="L15" s="26">
        <f>IF(預測IC!L24&gt;預測IC!L$27,1,0)</f>
        <v>1</v>
      </c>
      <c r="M15" s="26">
        <f>IF(預測IC!M24&gt;預測IC!M$27,1,0)</f>
        <v>0</v>
      </c>
      <c r="N15" s="26">
        <f>IF(預測IC!N24&gt;預測IC!N$27,1,0)</f>
        <v>0</v>
      </c>
      <c r="O15" s="26">
        <f>IF(預測IC!O24&gt;預測IC!O$27,1,0)</f>
        <v>0</v>
      </c>
      <c r="P15" s="26">
        <f>IF(預測IC!P24&gt;預測IC!P$27,1,0)</f>
        <v>0</v>
      </c>
      <c r="Q15" s="26">
        <f>IF(預測IC!Q24&gt;預測IC!Q$27,1,0)</f>
        <v>1</v>
      </c>
      <c r="R15" s="26">
        <f>IF(預測IC!R24&gt;預測IC!R$27,1,0)</f>
        <v>0</v>
      </c>
      <c r="S15" s="26">
        <f>IF(預測IC!S24&gt;預測IC!S$27,1,0)</f>
        <v>1</v>
      </c>
      <c r="T15" s="26">
        <f>IF(預測IC!T24&gt;預測IC!T$27,1,0)</f>
        <v>0</v>
      </c>
      <c r="U15" s="26">
        <f>IF(預測IC!U24&gt;預測IC!U$27,1,0)</f>
        <v>1</v>
      </c>
      <c r="V15" s="26">
        <f>IF(預測IC!V24&gt;預測IC!V$27,1,0)</f>
        <v>0</v>
      </c>
      <c r="W15" s="26">
        <f>IF(預測IC!W24&gt;預測IC!W$27,1,0)</f>
        <v>0</v>
      </c>
      <c r="X15" s="26">
        <f>IF(預測IC!X24&gt;預測IC!X$27,1,0)</f>
        <v>0</v>
      </c>
      <c r="Y15" s="26">
        <f>IF(預測IC!Y24&gt;預測IC!Y$27,1,0)</f>
        <v>0</v>
      </c>
      <c r="Z15" s="26">
        <f>IF(預測IC!Z24&gt;預測IC!Z$27,1,0)</f>
        <v>1</v>
      </c>
      <c r="AA15" s="26">
        <f>IF(預測IC!AA24&gt;預測IC!AA$27,1,0)</f>
        <v>0</v>
      </c>
      <c r="AB15" s="26">
        <f>IF(預測IC!AB24&gt;預測IC!AB$27,1,0)</f>
        <v>0</v>
      </c>
      <c r="AC15" s="26">
        <f>IF(預測IC!AC24&gt;預測IC!AC$27,1,0)</f>
        <v>1</v>
      </c>
      <c r="AD15" s="26">
        <f>IF(預測IC!AD24&gt;預測IC!AD$27,1,0)</f>
        <v>1</v>
      </c>
      <c r="AE15" s="26">
        <f>IF(預測IC!AE24&gt;預測IC!AE$27,1,0)</f>
        <v>1</v>
      </c>
      <c r="AF15" s="26">
        <f>IF(預測IC!AF24&gt;預測IC!AF$27,1,0)</f>
        <v>1</v>
      </c>
      <c r="AG15" s="26">
        <f>IF(預測IC!AG24&gt;預測IC!AG$27,1,0)</f>
        <v>0</v>
      </c>
      <c r="AH15" s="26">
        <f>IF(預測IC!AH24&gt;預測IC!AH$27,1,0)</f>
        <v>1</v>
      </c>
      <c r="AI15" s="26">
        <f>IF(預測IC!AI24&gt;預測IC!AI$27,1,0)</f>
        <v>1</v>
      </c>
      <c r="AJ15" s="26">
        <f>IF(預測IC!AJ24&gt;預測IC!AJ$27,1,0)</f>
        <v>0</v>
      </c>
      <c r="AK15" s="26">
        <f>IF(預測IC!AK24&gt;預測IC!AK$27,1,0)</f>
        <v>1</v>
      </c>
      <c r="AL15" s="26">
        <f>IF(預測IC!AL24&gt;預測IC!AL$27,1,0)</f>
        <v>0</v>
      </c>
      <c r="AM15" s="26">
        <f>IF(預測IC!AM24&gt;預測IC!AM$27,1,0)</f>
        <v>0</v>
      </c>
      <c r="AN15" s="26">
        <f>IF(預測IC!AN24&gt;預測IC!AN$27,1,0)</f>
        <v>0</v>
      </c>
      <c r="AO15" s="26">
        <f>IF(預測IC!AO24&gt;預測IC!AO$27,1,0)</f>
        <v>0</v>
      </c>
      <c r="AP15" s="26">
        <f>IF(預測IC!AP24&gt;預測IC!AP$27,1,0)</f>
        <v>0</v>
      </c>
      <c r="AQ15" s="26">
        <f>IF(預測IC!AQ24&gt;預測IC!AQ$27,1,0)</f>
        <v>1</v>
      </c>
      <c r="AR15" s="26">
        <f>IF(預測IC!AR24&gt;預測IC!AR$27,1,0)</f>
        <v>1</v>
      </c>
      <c r="AS15" s="26">
        <f>IF(預測IC!AS24&gt;預測IC!AS$27,1,0)</f>
        <v>0</v>
      </c>
      <c r="AT15" s="26">
        <f>IF(預測IC!AT24&gt;預測IC!AT$27,1,0)</f>
        <v>0</v>
      </c>
      <c r="AU15" s="26">
        <f>IF(預測IC!AU24&gt;預測IC!AU$27,1,0)</f>
        <v>1</v>
      </c>
      <c r="AV15" s="26">
        <f>IF(預測IC!AV24&gt;預測IC!AV$27,1,0)</f>
        <v>0</v>
      </c>
      <c r="AW15" s="26">
        <f>IF(預測IC!AW24&gt;預測IC!AW$27,1,0)</f>
        <v>1</v>
      </c>
      <c r="AX15" s="26">
        <f>IF(預測IC!AX24&gt;預測IC!AX$27,1,0)</f>
        <v>0</v>
      </c>
      <c r="AY15" s="26">
        <f>IF(預測IC!AY24&gt;預測IC!AY$27,1,0)</f>
        <v>1</v>
      </c>
      <c r="AZ15" s="26">
        <f>IF(預測IC!AZ24&gt;預測IC!AZ$27,1,0)</f>
        <v>0</v>
      </c>
      <c r="BA15" s="26">
        <f>IF(預測IC!BA24&gt;預測IC!BA$27,1,0)</f>
        <v>1</v>
      </c>
      <c r="BB15" s="26">
        <f>IF(預測IC!BB24&gt;預測IC!BB$27,1,0)</f>
        <v>1</v>
      </c>
      <c r="BC15" s="26">
        <f>IF(預測IC!BC24&gt;預測IC!BC$27,1,0)</f>
        <v>1</v>
      </c>
      <c r="BD15" s="26">
        <f>IF(預測IC!BD24&gt;預測IC!BD$27,1,0)</f>
        <v>0</v>
      </c>
      <c r="BE15" s="26">
        <f>IF(預測IC!BE24&gt;預測IC!BE$27,1,0)</f>
        <v>0</v>
      </c>
      <c r="BF15" s="26">
        <f>IF(預測IC!BF24&gt;預測IC!BF$27,1,0)</f>
        <v>0</v>
      </c>
      <c r="BG15" s="26">
        <f>IF(預測IC!BG24&gt;預測IC!BG$27,1,0)</f>
        <v>1</v>
      </c>
      <c r="BH15" s="26">
        <f>IF(預測IC!BH24&gt;預測IC!BH$27,1,0)</f>
        <v>1</v>
      </c>
      <c r="BI15" s="26">
        <f>IF(預測IC!BI24&gt;預測IC!BI$27,1,0)</f>
        <v>1</v>
      </c>
      <c r="BJ15" s="26">
        <f>IF(預測IC!BJ24&gt;預測IC!BJ$27,1,0)</f>
        <v>1</v>
      </c>
      <c r="BK15" s="26">
        <f>IF(預測IC!BK24&gt;預測IC!BK$27,1,0)</f>
        <v>1</v>
      </c>
      <c r="BL15" s="26">
        <f>IF(預測IC!BL24&gt;預測IC!BL$27,1,0)</f>
        <v>0</v>
      </c>
      <c r="BM15" s="26">
        <f>IF(預測IC!BM24&gt;預測IC!BM$27,1,0)</f>
        <v>1</v>
      </c>
      <c r="BN15" s="26">
        <f>IF(預測IC!BN24&gt;預測IC!BN$27,1,0)</f>
        <v>0</v>
      </c>
      <c r="BO15" s="26">
        <f>IF(預測IC!BO24&gt;預測IC!BO$27,1,0)</f>
        <v>0</v>
      </c>
      <c r="BP15" s="26">
        <f>IF(預測IC!BP24&gt;預測IC!BP$27,1,0)</f>
        <v>0</v>
      </c>
      <c r="BQ15" s="26">
        <f>IF(預測IC!BQ24&gt;預測IC!BQ$27,1,0)</f>
        <v>1</v>
      </c>
      <c r="BR15" s="26">
        <f>IF(預測IC!BR24&gt;預測IC!BR$27,1,0)</f>
        <v>0</v>
      </c>
      <c r="BS15" s="26">
        <f>IF(預測IC!BS24&gt;預測IC!BS$27,1,0)</f>
        <v>0</v>
      </c>
      <c r="BT15" s="26">
        <f>IF(預測IC!BT24&gt;預測IC!BT$27,1,0)</f>
        <v>0</v>
      </c>
      <c r="BU15" s="26">
        <f>IF(預測IC!BU24&gt;預測IC!BU$27,1,0)</f>
        <v>0</v>
      </c>
      <c r="BV15" s="26">
        <f>IF(預測IC!BV24&gt;預測IC!BV$27,1,0)</f>
        <v>1</v>
      </c>
      <c r="BW15" s="26">
        <f>IF(預測IC!BW24&gt;預測IC!BW$27,1,0)</f>
        <v>1</v>
      </c>
      <c r="BX15" s="26">
        <f>IF(預測IC!BX24&gt;預測IC!BX$27,1,0)</f>
        <v>1</v>
      </c>
      <c r="BY15" s="26">
        <f>IF(預測IC!BY24&gt;預測IC!BY$27,1,0)</f>
        <v>1</v>
      </c>
      <c r="BZ15" s="26">
        <f>IF(預測IC!BZ24&gt;預測IC!BZ$27,1,0)</f>
        <v>1</v>
      </c>
      <c r="CA15" s="26">
        <f>IF(預測IC!CA24&gt;預測IC!CA$27,1,0)</f>
        <v>1</v>
      </c>
      <c r="CB15" s="26">
        <f>IF(預測IC!CB24&gt;預測IC!CB$27,1,0)</f>
        <v>1</v>
      </c>
      <c r="CC15" s="26">
        <f>IF(預測IC!CC24&gt;預測IC!CC$27,1,0)</f>
        <v>0</v>
      </c>
      <c r="CD15" s="26">
        <f>IF(預測IC!CD24&gt;預測IC!CD$27,1,0)</f>
        <v>0</v>
      </c>
      <c r="CE15" s="26">
        <f>IF(預測IC!CE24&gt;預測IC!CE$27,1,0)</f>
        <v>1</v>
      </c>
      <c r="CF15" s="26">
        <f>IF(預測IC!CF24&gt;預測IC!CF$27,1,0)</f>
        <v>1</v>
      </c>
      <c r="CG15" s="26">
        <f>IF(預測IC!CG24&gt;預測IC!CG$27,1,0)</f>
        <v>0</v>
      </c>
      <c r="CH15" s="26">
        <f>IF(預測IC!CH24&gt;預測IC!CH$27,1,0)</f>
        <v>0</v>
      </c>
      <c r="CI15" s="26">
        <f>IF(預測IC!CI24&gt;預測IC!CI$27,1,0)</f>
        <v>0</v>
      </c>
      <c r="CJ15" s="26">
        <f>IF(預測IC!CJ24&gt;預測IC!CJ$27,1,0)</f>
        <v>0</v>
      </c>
      <c r="CK15" s="26">
        <f>IF(預測IC!CK24&gt;預測IC!CK$27,1,0)</f>
        <v>1</v>
      </c>
      <c r="CL15" s="26">
        <f>IF(預測IC!CL24&gt;預測IC!CL$27,1,0)</f>
        <v>1</v>
      </c>
      <c r="CM15" s="26">
        <f>IF(預測IC!CM24&gt;預測IC!CM$27,1,0)</f>
        <v>1</v>
      </c>
      <c r="CN15" s="26">
        <f>IF(預測IC!CN24&gt;預測IC!CN$27,1,0)</f>
        <v>1</v>
      </c>
      <c r="CO15" s="26">
        <f>IF(預測IC!CO24&gt;預測IC!CO$27,1,0)</f>
        <v>0</v>
      </c>
      <c r="CP15" s="26">
        <f>IF(預測IC!CP24&gt;預測IC!CP$27,1,0)</f>
        <v>1</v>
      </c>
      <c r="CQ15" s="26">
        <f>IF(預測IC!CQ24&gt;預測IC!CQ$27,1,0)</f>
        <v>0</v>
      </c>
      <c r="CR15" s="26">
        <f>IF(預測IC!CR24&gt;預測IC!CR$27,1,0)</f>
        <v>0</v>
      </c>
      <c r="CS15" s="26">
        <f>IF(預測IC!CS24&gt;預測IC!CS$27,1,0)</f>
        <v>0</v>
      </c>
      <c r="CT15" s="26">
        <f>IF(預測IC!CT24&gt;預測IC!CT$27,1,0)</f>
        <v>0</v>
      </c>
      <c r="CU15" s="26">
        <f>IF(預測IC!CU24&gt;預測IC!CU$27,1,0)</f>
        <v>0</v>
      </c>
      <c r="CV15" s="26">
        <f>IF(預測IC!CV24&gt;預測IC!CV$27,1,0)</f>
        <v>1</v>
      </c>
      <c r="CW15" s="26">
        <f>IF(預測IC!CW24&gt;預測IC!CW$27,1,0)</f>
        <v>1</v>
      </c>
      <c r="CX15" s="26">
        <f>IF(預測IC!CX24&gt;預測IC!CX$27,1,0)</f>
        <v>1</v>
      </c>
      <c r="CY15" s="26">
        <f>IF(預測IC!CY24&gt;預測IC!CY$27,1,0)</f>
        <v>1</v>
      </c>
      <c r="CZ15" s="26">
        <f>IF(預測IC!CZ24&gt;預測IC!CZ$27,1,0)</f>
        <v>1</v>
      </c>
      <c r="DA15" s="26">
        <f>IF(預測IC!DA24&gt;預測IC!DA$27,1,0)</f>
        <v>1</v>
      </c>
      <c r="DB15" s="26">
        <f>IF(預測IC!DB24&gt;預測IC!DB$27,1,0)</f>
        <v>1</v>
      </c>
      <c r="DC15" s="26">
        <f>IF(預測IC!DC24&gt;預測IC!DC$27,1,0)</f>
        <v>0</v>
      </c>
      <c r="DD15" s="26">
        <f>IF(預測IC!DD24&gt;預測IC!DD$27,1,0)</f>
        <v>1</v>
      </c>
      <c r="DE15" s="26">
        <f>IF(預測IC!DE24&gt;預測IC!DE$27,1,0)</f>
        <v>0</v>
      </c>
      <c r="DF15" s="26">
        <f>IF(預測IC!DF24&gt;預測IC!DF$27,1,0)</f>
        <v>1</v>
      </c>
      <c r="DG15" s="26">
        <f>IF(預測IC!DG24&gt;預測IC!DG$27,1,0)</f>
        <v>0</v>
      </c>
      <c r="DH15" s="26">
        <f>IF(預測IC!DH24&gt;預測IC!DH$27,1,0)</f>
        <v>0</v>
      </c>
      <c r="DI15" s="26">
        <f>IF(預測IC!DI24&gt;預測IC!DI$27,1,0)</f>
        <v>0</v>
      </c>
      <c r="DJ15" s="26">
        <f>IF(預測IC!DJ24&gt;預測IC!DJ$27,1,0)</f>
        <v>1</v>
      </c>
      <c r="DK15" s="26">
        <f>IF(預測IC!DK24&gt;預測IC!DK$27,1,0)</f>
        <v>0</v>
      </c>
      <c r="DL15" s="26">
        <f>IF(預測IC!DL24&gt;預測IC!DL$27,1,0)</f>
        <v>0</v>
      </c>
      <c r="DM15" s="26">
        <f>IF(預測IC!DM24&gt;預測IC!DM$27,1,0)</f>
        <v>1</v>
      </c>
      <c r="DN15" s="26">
        <f>IF(預測IC!DN24&gt;預測IC!DN$27,1,0)</f>
        <v>1</v>
      </c>
      <c r="DO15" s="26">
        <f>IF(預測IC!DO24&gt;預測IC!DO$27,1,0)</f>
        <v>1</v>
      </c>
      <c r="DP15" s="26">
        <f>IF(預測IC!DP24&gt;預測IC!DP$27,1,0)</f>
        <v>1</v>
      </c>
      <c r="DQ15" s="26">
        <f>IF(預測IC!DQ24&gt;預測IC!DQ$27,1,0)</f>
        <v>0</v>
      </c>
      <c r="DR15" s="26">
        <f>IF(預測IC!DR24&gt;預測IC!DR$27,1,0)</f>
        <v>1</v>
      </c>
      <c r="DS15" s="26">
        <f>IF(預測IC!DS24&gt;預測IC!DS$27,1,0)</f>
        <v>1</v>
      </c>
      <c r="DT15" s="26">
        <f>IF(預測IC!DT24&gt;預測IC!DT$27,1,0)</f>
        <v>0</v>
      </c>
      <c r="DU15" s="26">
        <f>IF(預測IC!DU24&gt;預測IC!DU$27,1,0)</f>
        <v>1</v>
      </c>
      <c r="DV15" s="26">
        <f>IF(預測IC!DV24&gt;預測IC!DV$27,1,0)</f>
        <v>0</v>
      </c>
      <c r="DW15" s="26">
        <f>IF(預測IC!DW24&gt;預測IC!DW$27,1,0)</f>
        <v>0</v>
      </c>
      <c r="DX15" s="26">
        <f>IF(預測IC!DX24&gt;預測IC!DX$27,1,0)</f>
        <v>0</v>
      </c>
      <c r="DY15" s="26">
        <f>IF(預測IC!DY24&gt;預測IC!DY$27,1,0)</f>
        <v>1</v>
      </c>
      <c r="DZ15" s="26">
        <f>IF(預測IC!DZ24&gt;預測IC!DZ$27,1,0)</f>
        <v>0</v>
      </c>
      <c r="EA15" s="26">
        <f>IF(預測IC!EA24&gt;預測IC!EA$27,1,0)</f>
        <v>1</v>
      </c>
      <c r="EB15" s="26">
        <f>IF(預測IC!EB24&gt;預測IC!EB$27,1,0)</f>
        <v>1</v>
      </c>
      <c r="EC15" s="26">
        <f>IF(預測IC!EC24&gt;預測IC!EC$27,1,0)</f>
        <v>0</v>
      </c>
      <c r="ED15" s="26">
        <f>IF(預測IC!ED24&gt;預測IC!ED$27,1,0)</f>
        <v>0</v>
      </c>
      <c r="EE15" s="26">
        <f>IF(預測IC!EE24&gt;預測IC!EE$27,1,0)</f>
        <v>1</v>
      </c>
      <c r="EF15" s="26">
        <f>IF(預測IC!EF24&gt;預測IC!EF$27,1,0)</f>
        <v>0</v>
      </c>
      <c r="EG15" s="1">
        <f t="shared" si="0"/>
        <v>68</v>
      </c>
      <c r="EH15" s="61">
        <f t="shared" si="1"/>
        <v>0.5074626865671642</v>
      </c>
    </row>
    <row r="16" spans="1:138" ht="16">
      <c r="A16" s="6">
        <v>482</v>
      </c>
      <c r="B16" s="6">
        <v>2</v>
      </c>
      <c r="C16" s="26">
        <f>IF(預測IC!C25&gt;預測IC!C$27,1,0)</f>
        <v>1</v>
      </c>
      <c r="D16" s="26">
        <f>IF(預測IC!D25&gt;預測IC!D$27,1,0)</f>
        <v>0</v>
      </c>
      <c r="E16" s="26">
        <f>IF(預測IC!E25&gt;預測IC!E$27,1,0)</f>
        <v>0</v>
      </c>
      <c r="F16" s="26">
        <f>IF(預測IC!F25&gt;預測IC!F$27,1,0)</f>
        <v>0</v>
      </c>
      <c r="G16" s="26">
        <f>IF(預測IC!G25&gt;預測IC!G$27,1,0)</f>
        <v>0</v>
      </c>
      <c r="H16" s="26">
        <f>IF(預測IC!H25&gt;預測IC!H$27,1,0)</f>
        <v>0</v>
      </c>
      <c r="I16" s="26">
        <f>IF(預測IC!I25&gt;預測IC!I$27,1,0)</f>
        <v>1</v>
      </c>
      <c r="J16" s="26">
        <f>IF(預測IC!J25&gt;預測IC!J$27,1,0)</f>
        <v>1</v>
      </c>
      <c r="K16" s="26">
        <f>IF(預測IC!K25&gt;預測IC!K$27,1,0)</f>
        <v>1</v>
      </c>
      <c r="L16" s="26">
        <f>IF(預測IC!L25&gt;預測IC!L$27,1,0)</f>
        <v>1</v>
      </c>
      <c r="M16" s="26">
        <f>IF(預測IC!M25&gt;預測IC!M$27,1,0)</f>
        <v>0</v>
      </c>
      <c r="N16" s="26">
        <f>IF(預測IC!N25&gt;預測IC!N$27,1,0)</f>
        <v>0</v>
      </c>
      <c r="O16" s="26">
        <f>IF(預測IC!O25&gt;預測IC!O$27,1,0)</f>
        <v>0</v>
      </c>
      <c r="P16" s="26">
        <f>IF(預測IC!P25&gt;預測IC!P$27,1,0)</f>
        <v>0</v>
      </c>
      <c r="Q16" s="26">
        <f>IF(預測IC!Q25&gt;預測IC!Q$27,1,0)</f>
        <v>1</v>
      </c>
      <c r="R16" s="26">
        <f>IF(預測IC!R25&gt;預測IC!R$27,1,0)</f>
        <v>0</v>
      </c>
      <c r="S16" s="26">
        <f>IF(預測IC!S25&gt;預測IC!S$27,1,0)</f>
        <v>1</v>
      </c>
      <c r="T16" s="26">
        <f>IF(預測IC!T25&gt;預測IC!T$27,1,0)</f>
        <v>1</v>
      </c>
      <c r="U16" s="26">
        <f>IF(預測IC!U25&gt;預測IC!U$27,1,0)</f>
        <v>1</v>
      </c>
      <c r="V16" s="26">
        <f>IF(預測IC!V25&gt;預測IC!V$27,1,0)</f>
        <v>1</v>
      </c>
      <c r="W16" s="26">
        <f>IF(預測IC!W25&gt;預測IC!W$27,1,0)</f>
        <v>0</v>
      </c>
      <c r="X16" s="26">
        <f>IF(預測IC!X25&gt;預測IC!X$27,1,0)</f>
        <v>0</v>
      </c>
      <c r="Y16" s="26">
        <f>IF(預測IC!Y25&gt;預測IC!Y$27,1,0)</f>
        <v>0</v>
      </c>
      <c r="Z16" s="26">
        <f>IF(預測IC!Z25&gt;預測IC!Z$27,1,0)</f>
        <v>1</v>
      </c>
      <c r="AA16" s="26">
        <f>IF(預測IC!AA25&gt;預測IC!AA$27,1,0)</f>
        <v>1</v>
      </c>
      <c r="AB16" s="26">
        <f>IF(預測IC!AB25&gt;預測IC!AB$27,1,0)</f>
        <v>0</v>
      </c>
      <c r="AC16" s="26">
        <f>IF(預測IC!AC25&gt;預測IC!AC$27,1,0)</f>
        <v>1</v>
      </c>
      <c r="AD16" s="26">
        <f>IF(預測IC!AD25&gt;預測IC!AD$27,1,0)</f>
        <v>1</v>
      </c>
      <c r="AE16" s="26">
        <f>IF(預測IC!AE25&gt;預測IC!AE$27,1,0)</f>
        <v>1</v>
      </c>
      <c r="AF16" s="26">
        <f>IF(預測IC!AF25&gt;預測IC!AF$27,1,0)</f>
        <v>1</v>
      </c>
      <c r="AG16" s="26">
        <f>IF(預測IC!AG25&gt;預測IC!AG$27,1,0)</f>
        <v>1</v>
      </c>
      <c r="AH16" s="26">
        <f>IF(預測IC!AH25&gt;預測IC!AH$27,1,0)</f>
        <v>0</v>
      </c>
      <c r="AI16" s="26">
        <f>IF(預測IC!AI25&gt;預測IC!AI$27,1,0)</f>
        <v>1</v>
      </c>
      <c r="AJ16" s="26">
        <f>IF(預測IC!AJ25&gt;預測IC!AJ$27,1,0)</f>
        <v>1</v>
      </c>
      <c r="AK16" s="26">
        <f>IF(預測IC!AK25&gt;預測IC!AK$27,1,0)</f>
        <v>1</v>
      </c>
      <c r="AL16" s="26">
        <f>IF(預測IC!AL25&gt;預測IC!AL$27,1,0)</f>
        <v>1</v>
      </c>
      <c r="AM16" s="26">
        <f>IF(預測IC!AM25&gt;預測IC!AM$27,1,0)</f>
        <v>1</v>
      </c>
      <c r="AN16" s="26">
        <f>IF(預測IC!AN25&gt;預測IC!AN$27,1,0)</f>
        <v>0</v>
      </c>
      <c r="AO16" s="26">
        <f>IF(預測IC!AO25&gt;預測IC!AO$27,1,0)</f>
        <v>0</v>
      </c>
      <c r="AP16" s="26">
        <f>IF(預測IC!AP25&gt;預測IC!AP$27,1,0)</f>
        <v>1</v>
      </c>
      <c r="AQ16" s="26">
        <f>IF(預測IC!AQ25&gt;預測IC!AQ$27,1,0)</f>
        <v>0</v>
      </c>
      <c r="AR16" s="26">
        <f>IF(預測IC!AR25&gt;預測IC!AR$27,1,0)</f>
        <v>1</v>
      </c>
      <c r="AS16" s="26">
        <f>IF(預測IC!AS25&gt;預測IC!AS$27,1,0)</f>
        <v>0</v>
      </c>
      <c r="AT16" s="26">
        <f>IF(預測IC!AT25&gt;預測IC!AT$27,1,0)</f>
        <v>0</v>
      </c>
      <c r="AU16" s="26">
        <f>IF(預測IC!AU25&gt;預測IC!AU$27,1,0)</f>
        <v>1</v>
      </c>
      <c r="AV16" s="26">
        <f>IF(預測IC!AV25&gt;預測IC!AV$27,1,0)</f>
        <v>0</v>
      </c>
      <c r="AW16" s="26">
        <f>IF(預測IC!AW25&gt;預測IC!AW$27,1,0)</f>
        <v>1</v>
      </c>
      <c r="AX16" s="26">
        <f>IF(預測IC!AX25&gt;預測IC!AX$27,1,0)</f>
        <v>0</v>
      </c>
      <c r="AY16" s="26">
        <f>IF(預測IC!AY25&gt;預測IC!AY$27,1,0)</f>
        <v>1</v>
      </c>
      <c r="AZ16" s="26">
        <f>IF(預測IC!AZ25&gt;預測IC!AZ$27,1,0)</f>
        <v>0</v>
      </c>
      <c r="BA16" s="26">
        <f>IF(預測IC!BA25&gt;預測IC!BA$27,1,0)</f>
        <v>1</v>
      </c>
      <c r="BB16" s="26">
        <f>IF(預測IC!BB25&gt;預測IC!BB$27,1,0)</f>
        <v>1</v>
      </c>
      <c r="BC16" s="26">
        <f>IF(預測IC!BC25&gt;預測IC!BC$27,1,0)</f>
        <v>1</v>
      </c>
      <c r="BD16" s="26">
        <f>IF(預測IC!BD25&gt;預測IC!BD$27,1,0)</f>
        <v>0</v>
      </c>
      <c r="BE16" s="26">
        <f>IF(預測IC!BE25&gt;預測IC!BE$27,1,0)</f>
        <v>1</v>
      </c>
      <c r="BF16" s="26">
        <f>IF(預測IC!BF25&gt;預測IC!BF$27,1,0)</f>
        <v>0</v>
      </c>
      <c r="BG16" s="26">
        <f>IF(預測IC!BG25&gt;預測IC!BG$27,1,0)</f>
        <v>1</v>
      </c>
      <c r="BH16" s="26">
        <f>IF(預測IC!BH25&gt;預測IC!BH$27,1,0)</f>
        <v>1</v>
      </c>
      <c r="BI16" s="26">
        <f>IF(預測IC!BI25&gt;預測IC!BI$27,1,0)</f>
        <v>0</v>
      </c>
      <c r="BJ16" s="26">
        <f>IF(預測IC!BJ25&gt;預測IC!BJ$27,1,0)</f>
        <v>0</v>
      </c>
      <c r="BK16" s="26">
        <f>IF(預測IC!BK25&gt;預測IC!BK$27,1,0)</f>
        <v>1</v>
      </c>
      <c r="BL16" s="26">
        <f>IF(預測IC!BL25&gt;預測IC!BL$27,1,0)</f>
        <v>0</v>
      </c>
      <c r="BM16" s="26">
        <f>IF(預測IC!BM25&gt;預測IC!BM$27,1,0)</f>
        <v>0</v>
      </c>
      <c r="BN16" s="26">
        <f>IF(預測IC!BN25&gt;預測IC!BN$27,1,0)</f>
        <v>0</v>
      </c>
      <c r="BO16" s="26">
        <f>IF(預測IC!BO25&gt;預測IC!BO$27,1,0)</f>
        <v>1</v>
      </c>
      <c r="BP16" s="26">
        <f>IF(預測IC!BP25&gt;預測IC!BP$27,1,0)</f>
        <v>0</v>
      </c>
      <c r="BQ16" s="26">
        <f>IF(預測IC!BQ25&gt;預測IC!BQ$27,1,0)</f>
        <v>0</v>
      </c>
      <c r="BR16" s="26">
        <f>IF(預測IC!BR25&gt;預測IC!BR$27,1,0)</f>
        <v>0</v>
      </c>
      <c r="BS16" s="26">
        <f>IF(預測IC!BS25&gt;預測IC!BS$27,1,0)</f>
        <v>0</v>
      </c>
      <c r="BT16" s="26">
        <f>IF(預測IC!BT25&gt;預測IC!BT$27,1,0)</f>
        <v>0</v>
      </c>
      <c r="BU16" s="26">
        <f>IF(預測IC!BU25&gt;預測IC!BU$27,1,0)</f>
        <v>0</v>
      </c>
      <c r="BV16" s="26">
        <f>IF(預測IC!BV25&gt;預測IC!BV$27,1,0)</f>
        <v>1</v>
      </c>
      <c r="BW16" s="26">
        <f>IF(預測IC!BW25&gt;預測IC!BW$27,1,0)</f>
        <v>0</v>
      </c>
      <c r="BX16" s="26">
        <f>IF(預測IC!BX25&gt;預測IC!BX$27,1,0)</f>
        <v>0</v>
      </c>
      <c r="BY16" s="26">
        <f>IF(預測IC!BY25&gt;預測IC!BY$27,1,0)</f>
        <v>1</v>
      </c>
      <c r="BZ16" s="26">
        <f>IF(預測IC!BZ25&gt;預測IC!BZ$27,1,0)</f>
        <v>1</v>
      </c>
      <c r="CA16" s="26">
        <f>IF(預測IC!CA25&gt;預測IC!CA$27,1,0)</f>
        <v>0</v>
      </c>
      <c r="CB16" s="26">
        <f>IF(預測IC!CB25&gt;預測IC!CB$27,1,0)</f>
        <v>1</v>
      </c>
      <c r="CC16" s="26">
        <f>IF(預測IC!CC25&gt;預測IC!CC$27,1,0)</f>
        <v>0</v>
      </c>
      <c r="CD16" s="26">
        <f>IF(預測IC!CD25&gt;預測IC!CD$27,1,0)</f>
        <v>0</v>
      </c>
      <c r="CE16" s="26">
        <f>IF(預測IC!CE25&gt;預測IC!CE$27,1,0)</f>
        <v>1</v>
      </c>
      <c r="CF16" s="26">
        <f>IF(預測IC!CF25&gt;預測IC!CF$27,1,0)</f>
        <v>1</v>
      </c>
      <c r="CG16" s="26">
        <f>IF(預測IC!CG25&gt;預測IC!CG$27,1,0)</f>
        <v>0</v>
      </c>
      <c r="CH16" s="26">
        <f>IF(預測IC!CH25&gt;預測IC!CH$27,1,0)</f>
        <v>0</v>
      </c>
      <c r="CI16" s="26">
        <f>IF(預測IC!CI25&gt;預測IC!CI$27,1,0)</f>
        <v>0</v>
      </c>
      <c r="CJ16" s="26">
        <f>IF(預測IC!CJ25&gt;預測IC!CJ$27,1,0)</f>
        <v>0</v>
      </c>
      <c r="CK16" s="26">
        <f>IF(預測IC!CK25&gt;預測IC!CK$27,1,0)</f>
        <v>1</v>
      </c>
      <c r="CL16" s="26">
        <f>IF(預測IC!CL25&gt;預測IC!CL$27,1,0)</f>
        <v>1</v>
      </c>
      <c r="CM16" s="26">
        <f>IF(預測IC!CM25&gt;預測IC!CM$27,1,0)</f>
        <v>1</v>
      </c>
      <c r="CN16" s="26">
        <f>IF(預測IC!CN25&gt;預測IC!CN$27,1,0)</f>
        <v>1</v>
      </c>
      <c r="CO16" s="26">
        <f>IF(預測IC!CO25&gt;預測IC!CO$27,1,0)</f>
        <v>0</v>
      </c>
      <c r="CP16" s="26">
        <f>IF(預測IC!CP25&gt;預測IC!CP$27,1,0)</f>
        <v>1</v>
      </c>
      <c r="CQ16" s="26">
        <f>IF(預測IC!CQ25&gt;預測IC!CQ$27,1,0)</f>
        <v>0</v>
      </c>
      <c r="CR16" s="26">
        <f>IF(預測IC!CR25&gt;預測IC!CR$27,1,0)</f>
        <v>0</v>
      </c>
      <c r="CS16" s="26">
        <f>IF(預測IC!CS25&gt;預測IC!CS$27,1,0)</f>
        <v>0</v>
      </c>
      <c r="CT16" s="26">
        <f>IF(預測IC!CT25&gt;預測IC!CT$27,1,0)</f>
        <v>0</v>
      </c>
      <c r="CU16" s="26">
        <f>IF(預測IC!CU25&gt;預測IC!CU$27,1,0)</f>
        <v>0</v>
      </c>
      <c r="CV16" s="26">
        <f>IF(預測IC!CV25&gt;預測IC!CV$27,1,0)</f>
        <v>1</v>
      </c>
      <c r="CW16" s="26">
        <f>IF(預測IC!CW25&gt;預測IC!CW$27,1,0)</f>
        <v>0</v>
      </c>
      <c r="CX16" s="26">
        <f>IF(預測IC!CX25&gt;預測IC!CX$27,1,0)</f>
        <v>1</v>
      </c>
      <c r="CY16" s="26">
        <f>IF(預測IC!CY25&gt;預測IC!CY$27,1,0)</f>
        <v>1</v>
      </c>
      <c r="CZ16" s="26">
        <f>IF(預測IC!CZ25&gt;預測IC!CZ$27,1,0)</f>
        <v>1</v>
      </c>
      <c r="DA16" s="26">
        <f>IF(預測IC!DA25&gt;預測IC!DA$27,1,0)</f>
        <v>1</v>
      </c>
      <c r="DB16" s="26">
        <f>IF(預測IC!DB25&gt;預測IC!DB$27,1,0)</f>
        <v>1</v>
      </c>
      <c r="DC16" s="26">
        <f>IF(預測IC!DC25&gt;預測IC!DC$27,1,0)</f>
        <v>0</v>
      </c>
      <c r="DD16" s="26">
        <f>IF(預測IC!DD25&gt;預測IC!DD$27,1,0)</f>
        <v>1</v>
      </c>
      <c r="DE16" s="26">
        <f>IF(預測IC!DE25&gt;預測IC!DE$27,1,0)</f>
        <v>0</v>
      </c>
      <c r="DF16" s="26">
        <f>IF(預測IC!DF25&gt;預測IC!DF$27,1,0)</f>
        <v>1</v>
      </c>
      <c r="DG16" s="26">
        <f>IF(預測IC!DG25&gt;預測IC!DG$27,1,0)</f>
        <v>0</v>
      </c>
      <c r="DH16" s="26">
        <f>IF(預測IC!DH25&gt;預測IC!DH$27,1,0)</f>
        <v>0</v>
      </c>
      <c r="DI16" s="26">
        <f>IF(預測IC!DI25&gt;預測IC!DI$27,1,0)</f>
        <v>0</v>
      </c>
      <c r="DJ16" s="26">
        <f>IF(預測IC!DJ25&gt;預測IC!DJ$27,1,0)</f>
        <v>1</v>
      </c>
      <c r="DK16" s="26">
        <f>IF(預測IC!DK25&gt;預測IC!DK$27,1,0)</f>
        <v>0</v>
      </c>
      <c r="DL16" s="26">
        <f>IF(預測IC!DL25&gt;預測IC!DL$27,1,0)</f>
        <v>0</v>
      </c>
      <c r="DM16" s="26">
        <f>IF(預測IC!DM25&gt;預測IC!DM$27,1,0)</f>
        <v>1</v>
      </c>
      <c r="DN16" s="26">
        <f>IF(預測IC!DN25&gt;預測IC!DN$27,1,0)</f>
        <v>1</v>
      </c>
      <c r="DO16" s="26">
        <f>IF(預測IC!DO25&gt;預測IC!DO$27,1,0)</f>
        <v>1</v>
      </c>
      <c r="DP16" s="26">
        <f>IF(預測IC!DP25&gt;預測IC!DP$27,1,0)</f>
        <v>1</v>
      </c>
      <c r="DQ16" s="26">
        <f>IF(預測IC!DQ25&gt;預測IC!DQ$27,1,0)</f>
        <v>0</v>
      </c>
      <c r="DR16" s="26">
        <f>IF(預測IC!DR25&gt;預測IC!DR$27,1,0)</f>
        <v>1</v>
      </c>
      <c r="DS16" s="26">
        <f>IF(預測IC!DS25&gt;預測IC!DS$27,1,0)</f>
        <v>1</v>
      </c>
      <c r="DT16" s="26">
        <f>IF(預測IC!DT25&gt;預測IC!DT$27,1,0)</f>
        <v>0</v>
      </c>
      <c r="DU16" s="26">
        <f>IF(預測IC!DU25&gt;預測IC!DU$27,1,0)</f>
        <v>1</v>
      </c>
      <c r="DV16" s="26">
        <f>IF(預測IC!DV25&gt;預測IC!DV$27,1,0)</f>
        <v>0</v>
      </c>
      <c r="DW16" s="26">
        <f>IF(預測IC!DW25&gt;預測IC!DW$27,1,0)</f>
        <v>0</v>
      </c>
      <c r="DX16" s="26">
        <f>IF(預測IC!DX25&gt;預測IC!DX$27,1,0)</f>
        <v>0</v>
      </c>
      <c r="DY16" s="26">
        <f>IF(預測IC!DY25&gt;預測IC!DY$27,1,0)</f>
        <v>1</v>
      </c>
      <c r="DZ16" s="26">
        <f>IF(預測IC!DZ25&gt;預測IC!DZ$27,1,0)</f>
        <v>0</v>
      </c>
      <c r="EA16" s="26">
        <f>IF(預測IC!EA25&gt;預測IC!EA$27,1,0)</f>
        <v>1</v>
      </c>
      <c r="EB16" s="26">
        <f>IF(預測IC!EB25&gt;預測IC!EB$27,1,0)</f>
        <v>1</v>
      </c>
      <c r="EC16" s="26">
        <f>IF(預測IC!EC25&gt;預測IC!EC$27,1,0)</f>
        <v>0</v>
      </c>
      <c r="ED16" s="26">
        <f>IF(預測IC!ED25&gt;預測IC!ED$27,1,0)</f>
        <v>0</v>
      </c>
      <c r="EE16" s="26">
        <f>IF(預測IC!EE25&gt;預測IC!EE$27,1,0)</f>
        <v>1</v>
      </c>
      <c r="EF16" s="26">
        <f>IF(預測IC!EF25&gt;預測IC!EF$27,1,0)</f>
        <v>0</v>
      </c>
      <c r="EG16" s="1">
        <f t="shared" si="0"/>
        <v>66</v>
      </c>
      <c r="EH16" s="2">
        <f t="shared" si="1"/>
        <v>0.4925373134328358</v>
      </c>
    </row>
    <row r="17" spans="1:138" ht="16">
      <c r="A17" s="6">
        <v>964</v>
      </c>
      <c r="B17" s="6">
        <v>1</v>
      </c>
      <c r="C17" s="26">
        <f>IF(預測IC!C26&gt;預測IC!C$27,1,0)</f>
        <v>1</v>
      </c>
      <c r="D17" s="26">
        <f>IF(預測IC!D26&gt;預測IC!D$27,1,0)</f>
        <v>0</v>
      </c>
      <c r="E17" s="26">
        <f>IF(預測IC!E26&gt;預測IC!E$27,1,0)</f>
        <v>1</v>
      </c>
      <c r="F17" s="26">
        <f>IF(預測IC!F26&gt;預測IC!F$27,1,0)</f>
        <v>0</v>
      </c>
      <c r="G17" s="26">
        <f>IF(預測IC!G26&gt;預測IC!G$27,1,0)</f>
        <v>0</v>
      </c>
      <c r="H17" s="26">
        <f>IF(預測IC!H26&gt;預測IC!H$27,1,0)</f>
        <v>0</v>
      </c>
      <c r="I17" s="26">
        <f>IF(預測IC!I26&gt;預測IC!I$27,1,0)</f>
        <v>1</v>
      </c>
      <c r="J17" s="26">
        <f>IF(預測IC!J26&gt;預測IC!J$27,1,0)</f>
        <v>0</v>
      </c>
      <c r="K17" s="26">
        <f>IF(預測IC!K26&gt;預測IC!K$27,1,0)</f>
        <v>1</v>
      </c>
      <c r="L17" s="26">
        <f>IF(預測IC!L26&gt;預測IC!L$27,1,0)</f>
        <v>1</v>
      </c>
      <c r="M17" s="26">
        <f>IF(預測IC!M26&gt;預測IC!M$27,1,0)</f>
        <v>0</v>
      </c>
      <c r="N17" s="26">
        <f>IF(預測IC!N26&gt;預測IC!N$27,1,0)</f>
        <v>0</v>
      </c>
      <c r="O17" s="26">
        <f>IF(預測IC!O26&gt;預測IC!O$27,1,0)</f>
        <v>1</v>
      </c>
      <c r="P17" s="26">
        <f>IF(預測IC!P26&gt;預測IC!P$27,1,0)</f>
        <v>0</v>
      </c>
      <c r="Q17" s="26">
        <f>IF(預測IC!Q26&gt;預測IC!Q$27,1,0)</f>
        <v>0</v>
      </c>
      <c r="R17" s="26">
        <f>IF(預測IC!R26&gt;預測IC!R$27,1,0)</f>
        <v>0</v>
      </c>
      <c r="S17" s="26">
        <f>IF(預測IC!S26&gt;預測IC!S$27,1,0)</f>
        <v>1</v>
      </c>
      <c r="T17" s="26">
        <f>IF(預測IC!T26&gt;預測IC!T$27,1,0)</f>
        <v>1</v>
      </c>
      <c r="U17" s="26">
        <f>IF(預測IC!U26&gt;預測IC!U$27,1,0)</f>
        <v>1</v>
      </c>
      <c r="V17" s="26">
        <f>IF(預測IC!V26&gt;預測IC!V$27,1,0)</f>
        <v>1</v>
      </c>
      <c r="W17" s="26">
        <f>IF(預測IC!W26&gt;預測IC!W$27,1,0)</f>
        <v>0</v>
      </c>
      <c r="X17" s="26">
        <f>IF(預測IC!X26&gt;預測IC!X$27,1,0)</f>
        <v>0</v>
      </c>
      <c r="Y17" s="26">
        <f>IF(預測IC!Y26&gt;預測IC!Y$27,1,0)</f>
        <v>1</v>
      </c>
      <c r="Z17" s="26">
        <f>IF(預測IC!Z26&gt;預測IC!Z$27,1,0)</f>
        <v>1</v>
      </c>
      <c r="AA17" s="26">
        <f>IF(預測IC!AA26&gt;預測IC!AA$27,1,0)</f>
        <v>0</v>
      </c>
      <c r="AB17" s="26">
        <f>IF(預測IC!AB26&gt;預測IC!AB$27,1,0)</f>
        <v>1</v>
      </c>
      <c r="AC17" s="26">
        <f>IF(預測IC!AC26&gt;預測IC!AC$27,1,0)</f>
        <v>1</v>
      </c>
      <c r="AD17" s="26">
        <f>IF(預測IC!AD26&gt;預測IC!AD$27,1,0)</f>
        <v>0</v>
      </c>
      <c r="AE17" s="26">
        <f>IF(預測IC!AE26&gt;預測IC!AE$27,1,0)</f>
        <v>0</v>
      </c>
      <c r="AF17" s="26">
        <f>IF(預測IC!AF26&gt;預測IC!AF$27,1,0)</f>
        <v>1</v>
      </c>
      <c r="AG17" s="26">
        <f>IF(預測IC!AG26&gt;預測IC!AG$27,1,0)</f>
        <v>1</v>
      </c>
      <c r="AH17" s="26">
        <f>IF(預測IC!AH26&gt;預測IC!AH$27,1,0)</f>
        <v>0</v>
      </c>
      <c r="AI17" s="26">
        <f>IF(預測IC!AI26&gt;預測IC!AI$27,1,0)</f>
        <v>1</v>
      </c>
      <c r="AJ17" s="26">
        <f>IF(預測IC!AJ26&gt;預測IC!AJ$27,1,0)</f>
        <v>0</v>
      </c>
      <c r="AK17" s="26">
        <f>IF(預測IC!AK26&gt;預測IC!AK$27,1,0)</f>
        <v>1</v>
      </c>
      <c r="AL17" s="26">
        <f>IF(預測IC!AL26&gt;預測IC!AL$27,1,0)</f>
        <v>1</v>
      </c>
      <c r="AM17" s="26">
        <f>IF(預測IC!AM26&gt;預測IC!AM$27,1,0)</f>
        <v>0</v>
      </c>
      <c r="AN17" s="26">
        <f>IF(預測IC!AN26&gt;預測IC!AN$27,1,0)</f>
        <v>0</v>
      </c>
      <c r="AO17" s="26">
        <f>IF(預測IC!AO26&gt;預測IC!AO$27,1,0)</f>
        <v>0</v>
      </c>
      <c r="AP17" s="26">
        <f>IF(預測IC!AP26&gt;預測IC!AP$27,1,0)</f>
        <v>1</v>
      </c>
      <c r="AQ17" s="26">
        <f>IF(預測IC!AQ26&gt;預測IC!AQ$27,1,0)</f>
        <v>0</v>
      </c>
      <c r="AR17" s="26">
        <f>IF(預測IC!AR26&gt;預測IC!AR$27,1,0)</f>
        <v>0</v>
      </c>
      <c r="AS17" s="26">
        <f>IF(預測IC!AS26&gt;預測IC!AS$27,1,0)</f>
        <v>0</v>
      </c>
      <c r="AT17" s="26">
        <f>IF(預測IC!AT26&gt;預測IC!AT$27,1,0)</f>
        <v>0</v>
      </c>
      <c r="AU17" s="26">
        <f>IF(預測IC!AU26&gt;預測IC!AU$27,1,0)</f>
        <v>1</v>
      </c>
      <c r="AV17" s="26">
        <f>IF(預測IC!AV26&gt;預測IC!AV$27,1,0)</f>
        <v>0</v>
      </c>
      <c r="AW17" s="26">
        <f>IF(預測IC!AW26&gt;預測IC!AW$27,1,0)</f>
        <v>1</v>
      </c>
      <c r="AX17" s="26">
        <f>IF(預測IC!AX26&gt;預測IC!AX$27,1,0)</f>
        <v>0</v>
      </c>
      <c r="AY17" s="26">
        <f>IF(預測IC!AY26&gt;預測IC!AY$27,1,0)</f>
        <v>0</v>
      </c>
      <c r="AZ17" s="26">
        <f>IF(預測IC!AZ26&gt;預測IC!AZ$27,1,0)</f>
        <v>0</v>
      </c>
      <c r="BA17" s="26">
        <f>IF(預測IC!BA26&gt;預測IC!BA$27,1,0)</f>
        <v>1</v>
      </c>
      <c r="BB17" s="26">
        <f>IF(預測IC!BB26&gt;預測IC!BB$27,1,0)</f>
        <v>1</v>
      </c>
      <c r="BC17" s="26">
        <f>IF(預測IC!BC26&gt;預測IC!BC$27,1,0)</f>
        <v>0</v>
      </c>
      <c r="BD17" s="26">
        <f>IF(預測IC!BD26&gt;預測IC!BD$27,1,0)</f>
        <v>0</v>
      </c>
      <c r="BE17" s="26">
        <f>IF(預測IC!BE26&gt;預測IC!BE$27,1,0)</f>
        <v>0</v>
      </c>
      <c r="BF17" s="26">
        <f>IF(預測IC!BF26&gt;預測IC!BF$27,1,0)</f>
        <v>1</v>
      </c>
      <c r="BG17" s="26">
        <f>IF(預測IC!BG26&gt;預測IC!BG$27,1,0)</f>
        <v>1</v>
      </c>
      <c r="BH17" s="26">
        <f>IF(預測IC!BH26&gt;預測IC!BH$27,1,0)</f>
        <v>1</v>
      </c>
      <c r="BI17" s="26">
        <f>IF(預測IC!BI26&gt;預測IC!BI$27,1,0)</f>
        <v>1</v>
      </c>
      <c r="BJ17" s="26">
        <f>IF(預測IC!BJ26&gt;預測IC!BJ$27,1,0)</f>
        <v>1</v>
      </c>
      <c r="BK17" s="26">
        <f>IF(預測IC!BK26&gt;預測IC!BK$27,1,0)</f>
        <v>1</v>
      </c>
      <c r="BL17" s="26">
        <f>IF(預測IC!BL26&gt;預測IC!BL$27,1,0)</f>
        <v>0</v>
      </c>
      <c r="BM17" s="26">
        <f>IF(預測IC!BM26&gt;預測IC!BM$27,1,0)</f>
        <v>0</v>
      </c>
      <c r="BN17" s="26">
        <f>IF(預測IC!BN26&gt;預測IC!BN$27,1,0)</f>
        <v>0</v>
      </c>
      <c r="BO17" s="26">
        <f>IF(預測IC!BO26&gt;預測IC!BO$27,1,0)</f>
        <v>1</v>
      </c>
      <c r="BP17" s="26">
        <f>IF(預測IC!BP26&gt;預測IC!BP$27,1,0)</f>
        <v>0</v>
      </c>
      <c r="BQ17" s="26">
        <f>IF(預測IC!BQ26&gt;預測IC!BQ$27,1,0)</f>
        <v>0</v>
      </c>
      <c r="BR17" s="26">
        <f>IF(預測IC!BR26&gt;預測IC!BR$27,1,0)</f>
        <v>0</v>
      </c>
      <c r="BS17" s="26">
        <f>IF(預測IC!BS26&gt;預測IC!BS$27,1,0)</f>
        <v>0</v>
      </c>
      <c r="BT17" s="26">
        <f>IF(預測IC!BT26&gt;預測IC!BT$27,1,0)</f>
        <v>0</v>
      </c>
      <c r="BU17" s="26">
        <f>IF(預測IC!BU26&gt;預測IC!BU$27,1,0)</f>
        <v>0</v>
      </c>
      <c r="BV17" s="26">
        <f>IF(預測IC!BV26&gt;預測IC!BV$27,1,0)</f>
        <v>1</v>
      </c>
      <c r="BW17" s="26">
        <f>IF(預測IC!BW26&gt;預測IC!BW$27,1,0)</f>
        <v>0</v>
      </c>
      <c r="BX17" s="26">
        <f>IF(預測IC!BX26&gt;預測IC!BX$27,1,0)</f>
        <v>0</v>
      </c>
      <c r="BY17" s="26">
        <f>IF(預測IC!BY26&gt;預測IC!BY$27,1,0)</f>
        <v>1</v>
      </c>
      <c r="BZ17" s="26">
        <f>IF(預測IC!BZ26&gt;預測IC!BZ$27,1,0)</f>
        <v>1</v>
      </c>
      <c r="CA17" s="26">
        <f>IF(預測IC!CA26&gt;預測IC!CA$27,1,0)</f>
        <v>0</v>
      </c>
      <c r="CB17" s="26">
        <f>IF(預測IC!CB26&gt;預測IC!CB$27,1,0)</f>
        <v>1</v>
      </c>
      <c r="CC17" s="26">
        <f>IF(預測IC!CC26&gt;預測IC!CC$27,1,0)</f>
        <v>0</v>
      </c>
      <c r="CD17" s="26">
        <f>IF(預測IC!CD26&gt;預測IC!CD$27,1,0)</f>
        <v>0</v>
      </c>
      <c r="CE17" s="26">
        <f>IF(預測IC!CE26&gt;預測IC!CE$27,1,0)</f>
        <v>0</v>
      </c>
      <c r="CF17" s="26">
        <f>IF(預測IC!CF26&gt;預測IC!CF$27,1,0)</f>
        <v>0</v>
      </c>
      <c r="CG17" s="26">
        <f>IF(預測IC!CG26&gt;預測IC!CG$27,1,0)</f>
        <v>0</v>
      </c>
      <c r="CH17" s="26">
        <f>IF(預測IC!CH26&gt;預測IC!CH$27,1,0)</f>
        <v>1</v>
      </c>
      <c r="CI17" s="26">
        <f>IF(預測IC!CI26&gt;預測IC!CI$27,1,0)</f>
        <v>0</v>
      </c>
      <c r="CJ17" s="26">
        <f>IF(預測IC!CJ26&gt;預測IC!CJ$27,1,0)</f>
        <v>1</v>
      </c>
      <c r="CK17" s="26">
        <f>IF(預測IC!CK26&gt;預測IC!CK$27,1,0)</f>
        <v>1</v>
      </c>
      <c r="CL17" s="26">
        <f>IF(預測IC!CL26&gt;預測IC!CL$27,1,0)</f>
        <v>1</v>
      </c>
      <c r="CM17" s="26">
        <f>IF(預測IC!CM26&gt;預測IC!CM$27,1,0)</f>
        <v>1</v>
      </c>
      <c r="CN17" s="26">
        <f>IF(預測IC!CN26&gt;預測IC!CN$27,1,0)</f>
        <v>1</v>
      </c>
      <c r="CO17" s="26">
        <f>IF(預測IC!CO26&gt;預測IC!CO$27,1,0)</f>
        <v>0</v>
      </c>
      <c r="CP17" s="26">
        <f>IF(預測IC!CP26&gt;預測IC!CP$27,1,0)</f>
        <v>0</v>
      </c>
      <c r="CQ17" s="26">
        <f>IF(預測IC!CQ26&gt;預測IC!CQ$27,1,0)</f>
        <v>1</v>
      </c>
      <c r="CR17" s="26">
        <f>IF(預測IC!CR26&gt;預測IC!CR$27,1,0)</f>
        <v>0</v>
      </c>
      <c r="CS17" s="26">
        <f>IF(預測IC!CS26&gt;預測IC!CS$27,1,0)</f>
        <v>1</v>
      </c>
      <c r="CT17" s="26">
        <f>IF(預測IC!CT26&gt;預測IC!CT$27,1,0)</f>
        <v>0</v>
      </c>
      <c r="CU17" s="26">
        <f>IF(預測IC!CU26&gt;預測IC!CU$27,1,0)</f>
        <v>0</v>
      </c>
      <c r="CV17" s="26">
        <f>IF(預測IC!CV26&gt;預測IC!CV$27,1,0)</f>
        <v>1</v>
      </c>
      <c r="CW17" s="26">
        <f>IF(預測IC!CW26&gt;預測IC!CW$27,1,0)</f>
        <v>0</v>
      </c>
      <c r="CX17" s="26">
        <f>IF(預測IC!CX26&gt;預測IC!CX$27,1,0)</f>
        <v>0</v>
      </c>
      <c r="CY17" s="26">
        <f>IF(預測IC!CY26&gt;預測IC!CY$27,1,0)</f>
        <v>1</v>
      </c>
      <c r="CZ17" s="26">
        <f>IF(預測IC!CZ26&gt;預測IC!CZ$27,1,0)</f>
        <v>1</v>
      </c>
      <c r="DA17" s="26">
        <f>IF(預測IC!DA26&gt;預測IC!DA$27,1,0)</f>
        <v>1</v>
      </c>
      <c r="DB17" s="26">
        <f>IF(預測IC!DB26&gt;預測IC!DB$27,1,0)</f>
        <v>1</v>
      </c>
      <c r="DC17" s="26">
        <f>IF(預測IC!DC26&gt;預測IC!DC$27,1,0)</f>
        <v>0</v>
      </c>
      <c r="DD17" s="26">
        <f>IF(預測IC!DD26&gt;預測IC!DD$27,1,0)</f>
        <v>1</v>
      </c>
      <c r="DE17" s="26">
        <f>IF(預測IC!DE26&gt;預測IC!DE$27,1,0)</f>
        <v>0</v>
      </c>
      <c r="DF17" s="26">
        <f>IF(預測IC!DF26&gt;預測IC!DF$27,1,0)</f>
        <v>1</v>
      </c>
      <c r="DG17" s="26">
        <f>IF(預測IC!DG26&gt;預測IC!DG$27,1,0)</f>
        <v>0</v>
      </c>
      <c r="DH17" s="26">
        <f>IF(預測IC!DH26&gt;預測IC!DH$27,1,0)</f>
        <v>0</v>
      </c>
      <c r="DI17" s="26">
        <f>IF(預測IC!DI26&gt;預測IC!DI$27,1,0)</f>
        <v>0</v>
      </c>
      <c r="DJ17" s="26">
        <f>IF(預測IC!DJ26&gt;預測IC!DJ$27,1,0)</f>
        <v>1</v>
      </c>
      <c r="DK17" s="26">
        <f>IF(預測IC!DK26&gt;預測IC!DK$27,1,0)</f>
        <v>1</v>
      </c>
      <c r="DL17" s="26">
        <f>IF(預測IC!DL26&gt;預測IC!DL$27,1,0)</f>
        <v>0</v>
      </c>
      <c r="DM17" s="26">
        <f>IF(預測IC!DM26&gt;預測IC!DM$27,1,0)</f>
        <v>0</v>
      </c>
      <c r="DN17" s="26">
        <f>IF(預測IC!DN26&gt;預測IC!DN$27,1,0)</f>
        <v>1</v>
      </c>
      <c r="DO17" s="26">
        <f>IF(預測IC!DO26&gt;預測IC!DO$27,1,0)</f>
        <v>1</v>
      </c>
      <c r="DP17" s="26">
        <f>IF(預測IC!DP26&gt;預測IC!DP$27,1,0)</f>
        <v>1</v>
      </c>
      <c r="DQ17" s="26">
        <f>IF(預測IC!DQ26&gt;預測IC!DQ$27,1,0)</f>
        <v>0</v>
      </c>
      <c r="DR17" s="26">
        <f>IF(預測IC!DR26&gt;預測IC!DR$27,1,0)</f>
        <v>1</v>
      </c>
      <c r="DS17" s="26">
        <f>IF(預測IC!DS26&gt;預測IC!DS$27,1,0)</f>
        <v>1</v>
      </c>
      <c r="DT17" s="26">
        <f>IF(預測IC!DT26&gt;預測IC!DT$27,1,0)</f>
        <v>0</v>
      </c>
      <c r="DU17" s="26">
        <f>IF(預測IC!DU26&gt;預測IC!DU$27,1,0)</f>
        <v>1</v>
      </c>
      <c r="DV17" s="26">
        <f>IF(預測IC!DV26&gt;預測IC!DV$27,1,0)</f>
        <v>0</v>
      </c>
      <c r="DW17" s="26">
        <f>IF(預測IC!DW26&gt;預測IC!DW$27,1,0)</f>
        <v>0</v>
      </c>
      <c r="DX17" s="26">
        <f>IF(預測IC!DX26&gt;預測IC!DX$27,1,0)</f>
        <v>0</v>
      </c>
      <c r="DY17" s="26">
        <f>IF(預測IC!DY26&gt;預測IC!DY$27,1,0)</f>
        <v>1</v>
      </c>
      <c r="DZ17" s="26">
        <f>IF(預測IC!DZ26&gt;預測IC!DZ$27,1,0)</f>
        <v>1</v>
      </c>
      <c r="EA17" s="26">
        <f>IF(預測IC!EA26&gt;預測IC!EA$27,1,0)</f>
        <v>1</v>
      </c>
      <c r="EB17" s="26">
        <f>IF(預測IC!EB26&gt;預測IC!EB$27,1,0)</f>
        <v>1</v>
      </c>
      <c r="EC17" s="26">
        <f>IF(預測IC!EC26&gt;預測IC!EC$27,1,0)</f>
        <v>0</v>
      </c>
      <c r="ED17" s="26">
        <f>IF(預測IC!ED26&gt;預測IC!ED$27,1,0)</f>
        <v>0</v>
      </c>
      <c r="EE17" s="26">
        <f>IF(預測IC!EE26&gt;預測IC!EE$27,1,0)</f>
        <v>0</v>
      </c>
      <c r="EF17" s="26">
        <f>IF(預測IC!EF26&gt;預測IC!EF$27,1,0)</f>
        <v>0</v>
      </c>
      <c r="EG17" s="1">
        <f t="shared" si="0"/>
        <v>62</v>
      </c>
      <c r="EH17" s="2">
        <f t="shared" si="1"/>
        <v>0.46268656716417911</v>
      </c>
    </row>
    <row r="18" spans="1:138" ht="16">
      <c r="A18" s="6" t="s">
        <v>141</v>
      </c>
      <c r="B18" s="6" t="s">
        <v>142</v>
      </c>
      <c r="C18" s="22">
        <v>-1.7446770539390338E-2</v>
      </c>
      <c r="D18" s="22">
        <v>2.070106053181563E-2</v>
      </c>
      <c r="E18" s="22">
        <v>2.3982129254766709E-2</v>
      </c>
      <c r="F18" s="22">
        <v>-6.557578972823077E-3</v>
      </c>
      <c r="G18" s="22">
        <v>3.1845129800519692E-2</v>
      </c>
      <c r="H18" s="22">
        <v>3.4348532736990518E-2</v>
      </c>
      <c r="I18" s="22">
        <v>-8.2549327813252367E-3</v>
      </c>
      <c r="J18" s="22">
        <v>1.2843524394052759E-2</v>
      </c>
      <c r="K18" s="22">
        <v>-5.1018524626790823E-2</v>
      </c>
      <c r="L18" s="22">
        <v>8.7394274103658827E-4</v>
      </c>
      <c r="M18" s="22">
        <v>2.3389575505495919E-2</v>
      </c>
      <c r="N18" s="22">
        <v>1.2988972200332851E-2</v>
      </c>
      <c r="O18" s="22">
        <v>5.8545887256348812E-3</v>
      </c>
      <c r="P18" s="22">
        <v>2.7413206571790558E-2</v>
      </c>
      <c r="Q18" s="22">
        <v>-3.7129361176928542E-3</v>
      </c>
      <c r="R18" s="22">
        <v>2.4076614047823328E-2</v>
      </c>
      <c r="S18" s="22">
        <v>-1.219002529903996E-2</v>
      </c>
      <c r="T18" s="22">
        <v>-3.9749578159589592E-2</v>
      </c>
      <c r="U18" s="22">
        <v>-7.3155449831649552E-2</v>
      </c>
      <c r="V18" s="22">
        <v>-5.8260229910114661E-2</v>
      </c>
      <c r="W18" s="22">
        <v>7.7279756550837221E-4</v>
      </c>
      <c r="X18" s="22">
        <v>4.459152113521897E-2</v>
      </c>
      <c r="Y18" s="22">
        <v>-2.7699680050213091E-2</v>
      </c>
      <c r="Z18" s="22">
        <v>2.0950059497436462E-3</v>
      </c>
      <c r="AA18" s="22">
        <v>-2.340055099256411E-2</v>
      </c>
      <c r="AB18" s="22">
        <v>3.2129371097322189E-2</v>
      </c>
      <c r="AC18" s="22">
        <v>3.890327309406643E-2</v>
      </c>
      <c r="AD18" s="22">
        <v>-4.286538217110427E-2</v>
      </c>
      <c r="AE18" s="22">
        <v>1.8647194550152159E-2</v>
      </c>
      <c r="AF18" s="22">
        <v>1.5229768322528949E-2</v>
      </c>
      <c r="AG18" s="22">
        <v>3.6016603778892417E-2</v>
      </c>
      <c r="AH18" s="22">
        <v>9.3546113853161701E-3</v>
      </c>
      <c r="AI18" s="22">
        <v>1.0748251336838139E-2</v>
      </c>
      <c r="AJ18" s="22">
        <v>1.335775405308097E-2</v>
      </c>
      <c r="AK18" s="22">
        <v>-5.3327473290953921E-3</v>
      </c>
      <c r="AL18" s="22">
        <v>1.383135807261675E-3</v>
      </c>
      <c r="AM18" s="22">
        <v>2.079592842007446E-2</v>
      </c>
      <c r="AN18" s="22">
        <v>3.1517702220390638E-2</v>
      </c>
      <c r="AO18" s="22">
        <v>6.2417165333294418E-3</v>
      </c>
      <c r="AP18" s="22">
        <v>6.1452616535713897E-3</v>
      </c>
      <c r="AQ18" s="22">
        <v>1.694635767669651E-2</v>
      </c>
      <c r="AR18" s="22">
        <v>3.4682830454308228E-2</v>
      </c>
      <c r="AS18" s="22">
        <v>3.0985886171969678E-3</v>
      </c>
      <c r="AT18" s="22">
        <v>1.508134714348611E-2</v>
      </c>
      <c r="AU18" s="22">
        <v>-1.9251209229863991E-2</v>
      </c>
      <c r="AV18" s="22">
        <v>3.8711513387631437E-2</v>
      </c>
      <c r="AW18" s="22">
        <v>-2.1856951135736599E-2</v>
      </c>
      <c r="AX18" s="22">
        <v>7.7743007097896798E-3</v>
      </c>
      <c r="AY18" s="22">
        <v>4.2397246695325942E-2</v>
      </c>
      <c r="AZ18" s="22">
        <v>-2.630897486115975E-2</v>
      </c>
      <c r="BA18" s="22">
        <v>9.5717493087162323E-3</v>
      </c>
      <c r="BB18" s="22">
        <v>-2.424974126627483E-2</v>
      </c>
      <c r="BC18" s="22">
        <v>2.0163374143915822E-2</v>
      </c>
      <c r="BD18" s="22">
        <v>-3.5049987821160239E-3</v>
      </c>
      <c r="BE18" s="22">
        <v>2.0151935098542271E-2</v>
      </c>
      <c r="BF18" s="22">
        <v>5.8133623077027128E-4</v>
      </c>
      <c r="BG18" s="22">
        <v>-5.2197009532526043E-3</v>
      </c>
      <c r="BH18" s="22">
        <v>-0.11587176140213</v>
      </c>
      <c r="BI18" s="22">
        <v>8.7252256924373536E-3</v>
      </c>
      <c r="BJ18" s="22">
        <v>-1.6377260977822151E-2</v>
      </c>
      <c r="BK18" s="22">
        <v>2.0840371600260421E-2</v>
      </c>
      <c r="BL18" s="22">
        <v>4.4975872102114713E-2</v>
      </c>
      <c r="BM18" s="22">
        <v>2.3954306081863871E-2</v>
      </c>
      <c r="BN18" s="22">
        <v>3.0239101391442601E-2</v>
      </c>
      <c r="BO18" s="22">
        <v>-4.372588759108751E-2</v>
      </c>
      <c r="BP18" s="22">
        <v>2.1889469568198618E-2</v>
      </c>
      <c r="BQ18" s="22">
        <v>8.6274302635084028E-3</v>
      </c>
      <c r="BR18" s="22">
        <v>-1.9192953994658781E-2</v>
      </c>
      <c r="BS18" s="22">
        <v>1.973512988813305E-2</v>
      </c>
      <c r="BT18" s="22">
        <v>4.7694337483699438E-2</v>
      </c>
      <c r="BU18" s="22">
        <v>1.145481680658339E-2</v>
      </c>
      <c r="BV18" s="22">
        <v>4.3228620735213191E-2</v>
      </c>
      <c r="BW18" s="22">
        <v>-4.2747430436922793E-2</v>
      </c>
      <c r="BX18" s="22">
        <v>-1.781129242779457E-2</v>
      </c>
      <c r="BY18" s="22">
        <v>-0.1511530968690756</v>
      </c>
      <c r="BZ18" s="22">
        <v>0.12422400361957529</v>
      </c>
      <c r="CA18" s="22">
        <v>-4.5572538445296431E-3</v>
      </c>
      <c r="CB18" s="22">
        <v>6.0211240204911178E-2</v>
      </c>
      <c r="CC18" s="22">
        <v>8.5992033482502284E-2</v>
      </c>
      <c r="CD18" s="22">
        <v>-5.8084795823660634E-3</v>
      </c>
      <c r="CE18" s="22">
        <v>-6.0413469889680736E-3</v>
      </c>
      <c r="CF18" s="22">
        <v>2.4523243722520739E-3</v>
      </c>
      <c r="CG18" s="22">
        <v>8.963625193702289E-2</v>
      </c>
      <c r="CH18" s="22">
        <v>7.099273252675789E-2</v>
      </c>
      <c r="CI18" s="22">
        <v>2.7170642901783448E-2</v>
      </c>
      <c r="CJ18" s="22">
        <v>5.2468428425330033E-2</v>
      </c>
      <c r="CK18" s="22">
        <v>2.9480660943049509E-2</v>
      </c>
      <c r="CL18" s="22">
        <v>6.6825081060201283E-2</v>
      </c>
      <c r="CM18" s="22">
        <v>-2.8772229019816971E-2</v>
      </c>
      <c r="CN18" s="22">
        <v>3.9462515901637851E-2</v>
      </c>
      <c r="CO18" s="22">
        <v>-2.9031086977359909E-2</v>
      </c>
      <c r="CP18" s="22">
        <v>1.3983882519467901E-2</v>
      </c>
      <c r="CQ18" s="22">
        <v>-3.2276964959333833E-2</v>
      </c>
      <c r="CR18" s="22">
        <v>3.1035766128940231E-3</v>
      </c>
      <c r="CS18" s="22">
        <v>2.5591855767083171E-2</v>
      </c>
      <c r="CT18" s="22">
        <v>4.4391886287193302E-2</v>
      </c>
      <c r="CU18" s="22">
        <v>-3.0338958549577438E-2</v>
      </c>
      <c r="CV18" s="22">
        <v>-1.2579764545717069E-3</v>
      </c>
      <c r="CW18" s="22">
        <v>2.336356455857952E-3</v>
      </c>
      <c r="CX18" s="22">
        <v>-6.4264144925906069E-2</v>
      </c>
      <c r="CY18" s="22">
        <v>1.2909779458992439E-2</v>
      </c>
      <c r="CZ18" s="22">
        <v>-0.12547709467085871</v>
      </c>
      <c r="DA18" s="22">
        <v>1.1690682939792569E-2</v>
      </c>
      <c r="DB18" s="22">
        <v>6.3378437007417512E-3</v>
      </c>
      <c r="DC18" s="22">
        <v>-0.1173053564693855</v>
      </c>
      <c r="DD18" s="22">
        <v>-3.6010872049446613E-2</v>
      </c>
      <c r="DE18" s="22">
        <v>0.1389113040722679</v>
      </c>
      <c r="DF18" s="22">
        <v>-5.1143506226105737E-2</v>
      </c>
      <c r="DG18" s="22">
        <v>7.6731447181969059E-2</v>
      </c>
      <c r="DH18" s="22">
        <v>1.550878219700816E-2</v>
      </c>
      <c r="DI18" s="22">
        <v>2.3223773674755831E-2</v>
      </c>
      <c r="DJ18" s="22">
        <v>-1.8372876361227891E-2</v>
      </c>
      <c r="DK18" s="22">
        <v>6.2199014085099431E-2</v>
      </c>
      <c r="DL18" s="22">
        <v>2.0098304486957191E-2</v>
      </c>
      <c r="DM18" s="22">
        <v>1.349893974806809E-2</v>
      </c>
      <c r="DN18" s="22">
        <v>-3.025221272842088E-2</v>
      </c>
      <c r="DO18" s="22">
        <v>-1.7022835708053841E-2</v>
      </c>
      <c r="DP18" s="22">
        <v>-2.1788523272461981E-2</v>
      </c>
      <c r="DQ18" s="22">
        <v>8.5745624585137223E-2</v>
      </c>
      <c r="DR18" s="22">
        <v>2.8106743604973752E-2</v>
      </c>
      <c r="DS18" s="22">
        <v>-2.3031598073594501E-3</v>
      </c>
      <c r="DT18" s="22">
        <v>5.8471198131487503E-2</v>
      </c>
      <c r="DU18" s="22">
        <v>6.7658949048647651E-2</v>
      </c>
      <c r="DV18" s="22">
        <v>5.0207706404322644E-3</v>
      </c>
      <c r="DW18" s="22">
        <v>3.7416183675207063E-2</v>
      </c>
      <c r="DX18" s="22">
        <v>8.4111003746042121E-2</v>
      </c>
      <c r="DY18" s="22">
        <v>-3.6832398544012837E-2</v>
      </c>
      <c r="DZ18" s="22">
        <v>3.0917028169369942E-3</v>
      </c>
      <c r="EA18" s="22">
        <v>-1.957628214294549E-3</v>
      </c>
      <c r="EB18" s="22">
        <v>2.6459103603519739E-2</v>
      </c>
      <c r="EC18" s="22">
        <v>-2.4752538760690269E-2</v>
      </c>
      <c r="ED18" s="22">
        <v>3.4115490982559941E-2</v>
      </c>
      <c r="EE18" s="22">
        <v>2.1061973989032982E-2</v>
      </c>
      <c r="EF18" s="22">
        <v>-2.0277392706005919E-2</v>
      </c>
    </row>
    <row r="27" spans="1:138">
      <c r="EG27" s="3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H27"/>
  <sheetViews>
    <sheetView zoomScale="108" workbookViewId="0">
      <selection activeCell="EA23" sqref="EA23"/>
    </sheetView>
  </sheetViews>
  <sheetFormatPr baseColWidth="10" defaultColWidth="8.83203125" defaultRowHeight="15"/>
  <cols>
    <col min="1" max="1" width="8.33203125" style="23" customWidth="1"/>
    <col min="2" max="3" width="9.33203125" style="23" customWidth="1"/>
    <col min="11" max="11" width="8.1640625" style="23" customWidth="1"/>
    <col min="64" max="64" width="8.33203125" customWidth="1"/>
  </cols>
  <sheetData>
    <row r="1" spans="1:138" s="3" customFormat="1" ht="16">
      <c r="A1" s="16" t="s">
        <v>258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38" s="3" customFormat="1">
      <c r="A2" s="23"/>
      <c r="B2" s="23"/>
      <c r="C2" s="23"/>
      <c r="D2"/>
      <c r="E2"/>
      <c r="F2"/>
      <c r="G2"/>
      <c r="H2"/>
      <c r="I2"/>
      <c r="J2"/>
      <c r="K2" s="23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</row>
    <row r="3" spans="1:138" s="3" customFormat="1">
      <c r="A3" s="23"/>
      <c r="B3" s="23"/>
      <c r="C3" s="23"/>
      <c r="D3"/>
      <c r="E3"/>
      <c r="F3"/>
      <c r="G3"/>
      <c r="H3"/>
      <c r="I3"/>
      <c r="J3"/>
      <c r="K3" s="2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</row>
    <row r="4" spans="1:138" s="3" customFormat="1" ht="16">
      <c r="A4" s="6" t="s">
        <v>138</v>
      </c>
      <c r="B4" s="6" t="s">
        <v>139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12" t="s">
        <v>12</v>
      </c>
      <c r="M4" s="12" t="s">
        <v>13</v>
      </c>
      <c r="N4" s="12" t="s">
        <v>14</v>
      </c>
      <c r="O4" s="12" t="s">
        <v>15</v>
      </c>
      <c r="P4" s="12" t="s">
        <v>16</v>
      </c>
      <c r="Q4" s="12" t="s">
        <v>17</v>
      </c>
      <c r="R4" s="12" t="s">
        <v>18</v>
      </c>
      <c r="S4" s="12" t="s">
        <v>19</v>
      </c>
      <c r="T4" s="12" t="s">
        <v>20</v>
      </c>
      <c r="U4" s="12" t="s">
        <v>21</v>
      </c>
      <c r="V4" s="12" t="s">
        <v>22</v>
      </c>
      <c r="W4" s="12" t="s">
        <v>23</v>
      </c>
      <c r="X4" s="12" t="s">
        <v>24</v>
      </c>
      <c r="Y4" s="12" t="s">
        <v>25</v>
      </c>
      <c r="Z4" s="12" t="s">
        <v>26</v>
      </c>
      <c r="AA4" s="12" t="s">
        <v>27</v>
      </c>
      <c r="AB4" s="12" t="s">
        <v>28</v>
      </c>
      <c r="AC4" s="12" t="s">
        <v>29</v>
      </c>
      <c r="AD4" s="12" t="s">
        <v>30</v>
      </c>
      <c r="AE4" s="12" t="s">
        <v>31</v>
      </c>
      <c r="AF4" s="12" t="s">
        <v>32</v>
      </c>
      <c r="AG4" s="12" t="s">
        <v>33</v>
      </c>
      <c r="AH4" s="12" t="s">
        <v>34</v>
      </c>
      <c r="AI4" s="12" t="s">
        <v>35</v>
      </c>
      <c r="AJ4" s="12" t="s">
        <v>36</v>
      </c>
      <c r="AK4" s="12" t="s">
        <v>37</v>
      </c>
      <c r="AL4" s="12" t="s">
        <v>38</v>
      </c>
      <c r="AM4" s="12" t="s">
        <v>39</v>
      </c>
      <c r="AN4" s="12" t="s">
        <v>40</v>
      </c>
      <c r="AO4" s="12" t="s">
        <v>41</v>
      </c>
      <c r="AP4" s="12" t="s">
        <v>42</v>
      </c>
      <c r="AQ4" s="12" t="s">
        <v>43</v>
      </c>
      <c r="AR4" s="12" t="s">
        <v>44</v>
      </c>
      <c r="AS4" s="12" t="s">
        <v>45</v>
      </c>
      <c r="AT4" s="12" t="s">
        <v>46</v>
      </c>
      <c r="AU4" s="12" t="s">
        <v>47</v>
      </c>
      <c r="AV4" s="12" t="s">
        <v>48</v>
      </c>
      <c r="AW4" s="12" t="s">
        <v>49</v>
      </c>
      <c r="AX4" s="12" t="s">
        <v>50</v>
      </c>
      <c r="AY4" s="12" t="s">
        <v>51</v>
      </c>
      <c r="AZ4" s="12" t="s">
        <v>52</v>
      </c>
      <c r="BA4" s="12" t="s">
        <v>53</v>
      </c>
      <c r="BB4" s="12" t="s">
        <v>54</v>
      </c>
      <c r="BC4" s="12" t="s">
        <v>55</v>
      </c>
      <c r="BD4" s="12" t="s">
        <v>56</v>
      </c>
      <c r="BE4" s="12" t="s">
        <v>57</v>
      </c>
      <c r="BF4" s="12" t="s">
        <v>58</v>
      </c>
      <c r="BG4" s="12" t="s">
        <v>59</v>
      </c>
      <c r="BH4" s="12" t="s">
        <v>60</v>
      </c>
      <c r="BI4" s="12" t="s">
        <v>61</v>
      </c>
      <c r="BJ4" s="12" t="s">
        <v>62</v>
      </c>
      <c r="BK4" s="12" t="s">
        <v>63</v>
      </c>
      <c r="BL4" s="12" t="s">
        <v>64</v>
      </c>
      <c r="BM4" s="12" t="s">
        <v>65</v>
      </c>
      <c r="BN4" s="12" t="s">
        <v>66</v>
      </c>
      <c r="BO4" s="12" t="s">
        <v>67</v>
      </c>
      <c r="BP4" s="12" t="s">
        <v>68</v>
      </c>
      <c r="BQ4" s="12" t="s">
        <v>69</v>
      </c>
      <c r="BR4" s="12" t="s">
        <v>70</v>
      </c>
      <c r="BS4" s="12" t="s">
        <v>71</v>
      </c>
      <c r="BT4" s="12" t="s">
        <v>72</v>
      </c>
      <c r="BU4" s="12" t="s">
        <v>73</v>
      </c>
      <c r="BV4" s="12" t="s">
        <v>74</v>
      </c>
      <c r="BW4" s="12" t="s">
        <v>75</v>
      </c>
      <c r="BX4" s="12" t="s">
        <v>76</v>
      </c>
      <c r="BY4" s="12" t="s">
        <v>77</v>
      </c>
      <c r="BZ4" s="12" t="s">
        <v>78</v>
      </c>
      <c r="CA4" s="12" t="s">
        <v>79</v>
      </c>
      <c r="CB4" s="12" t="s">
        <v>80</v>
      </c>
      <c r="CC4" s="12" t="s">
        <v>81</v>
      </c>
      <c r="CD4" s="12" t="s">
        <v>82</v>
      </c>
      <c r="CE4" s="12" t="s">
        <v>83</v>
      </c>
      <c r="CF4" s="12" t="s">
        <v>84</v>
      </c>
      <c r="CG4" s="12" t="s">
        <v>85</v>
      </c>
      <c r="CH4" s="12" t="s">
        <v>86</v>
      </c>
      <c r="CI4" s="12" t="s">
        <v>87</v>
      </c>
      <c r="CJ4" s="12" t="s">
        <v>88</v>
      </c>
      <c r="CK4" s="12" t="s">
        <v>89</v>
      </c>
      <c r="CL4" s="12" t="s">
        <v>90</v>
      </c>
      <c r="CM4" s="12" t="s">
        <v>91</v>
      </c>
      <c r="CN4" s="12" t="s">
        <v>92</v>
      </c>
      <c r="CO4" s="12" t="s">
        <v>93</v>
      </c>
      <c r="CP4" s="12" t="s">
        <v>94</v>
      </c>
      <c r="CQ4" s="12" t="s">
        <v>95</v>
      </c>
      <c r="CR4" s="12" t="s">
        <v>96</v>
      </c>
      <c r="CS4" s="12" t="s">
        <v>97</v>
      </c>
      <c r="CT4" s="12" t="s">
        <v>98</v>
      </c>
      <c r="CU4" s="12" t="s">
        <v>99</v>
      </c>
      <c r="CV4" s="12" t="s">
        <v>100</v>
      </c>
      <c r="CW4" s="12" t="s">
        <v>101</v>
      </c>
      <c r="CX4" s="12" t="s">
        <v>102</v>
      </c>
      <c r="CY4" s="12" t="s">
        <v>103</v>
      </c>
      <c r="CZ4" s="12" t="s">
        <v>104</v>
      </c>
      <c r="DA4" s="12" t="s">
        <v>105</v>
      </c>
      <c r="DB4" s="12" t="s">
        <v>106</v>
      </c>
      <c r="DC4" s="12" t="s">
        <v>107</v>
      </c>
      <c r="DD4" s="12" t="s">
        <v>108</v>
      </c>
      <c r="DE4" s="12" t="s">
        <v>109</v>
      </c>
      <c r="DF4" s="12" t="s">
        <v>110</v>
      </c>
      <c r="DG4" s="12" t="s">
        <v>111</v>
      </c>
      <c r="DH4" s="12" t="s">
        <v>112</v>
      </c>
      <c r="DI4" s="12" t="s">
        <v>113</v>
      </c>
      <c r="DJ4" s="12" t="s">
        <v>114</v>
      </c>
      <c r="DK4" s="12" t="s">
        <v>115</v>
      </c>
      <c r="DL4" s="12" t="s">
        <v>116</v>
      </c>
      <c r="DM4" s="12" t="s">
        <v>117</v>
      </c>
      <c r="DN4" s="12" t="s">
        <v>118</v>
      </c>
      <c r="DO4" s="12" t="s">
        <v>119</v>
      </c>
      <c r="DP4" s="12" t="s">
        <v>120</v>
      </c>
      <c r="DQ4" s="12" t="s">
        <v>121</v>
      </c>
      <c r="DR4" s="12" t="s">
        <v>122</v>
      </c>
      <c r="DS4" s="12" t="s">
        <v>123</v>
      </c>
      <c r="DT4" s="12" t="s">
        <v>124</v>
      </c>
      <c r="DU4" s="12" t="s">
        <v>125</v>
      </c>
      <c r="DV4" s="12" t="s">
        <v>126</v>
      </c>
      <c r="DW4" s="12" t="s">
        <v>127</v>
      </c>
      <c r="DX4" s="12" t="s">
        <v>128</v>
      </c>
      <c r="DY4" s="12" t="s">
        <v>129</v>
      </c>
      <c r="DZ4" s="12" t="s">
        <v>130</v>
      </c>
      <c r="EA4" s="12" t="s">
        <v>131</v>
      </c>
      <c r="EB4" s="12" t="s">
        <v>132</v>
      </c>
      <c r="EC4" s="12" t="s">
        <v>133</v>
      </c>
      <c r="ED4" s="12" t="s">
        <v>134</v>
      </c>
      <c r="EE4" s="12" t="s">
        <v>140</v>
      </c>
      <c r="EF4" s="12" t="s">
        <v>144</v>
      </c>
      <c r="EG4" s="12" t="s">
        <v>145</v>
      </c>
      <c r="EH4" s="12" t="s">
        <v>146</v>
      </c>
    </row>
    <row r="5" spans="1:138" s="3" customFormat="1" ht="16">
      <c r="A5" s="6">
        <v>10</v>
      </c>
      <c r="B5" s="6">
        <v>96</v>
      </c>
      <c r="C5" s="11">
        <f>IF(真實IC!C14&gt;真實IC!C$27,1,0)</f>
        <v>1</v>
      </c>
      <c r="D5" s="11">
        <f>IF(真實IC!D14&gt;真實IC!D$27,1,0)</f>
        <v>0</v>
      </c>
      <c r="E5" s="11">
        <f>IF(真實IC!E14&gt;真實IC!E$27,1,0)</f>
        <v>0</v>
      </c>
      <c r="F5" s="11">
        <f>IF(真實IC!F14&gt;真實IC!F$27,1,0)</f>
        <v>0</v>
      </c>
      <c r="G5" s="11">
        <f>IF(真實IC!G14&gt;真實IC!G$27,1,0)</f>
        <v>1</v>
      </c>
      <c r="H5" s="11">
        <f>IF(真實IC!H14&gt;真實IC!H$27,1,0)</f>
        <v>0</v>
      </c>
      <c r="I5" s="11">
        <f>IF(真實IC!I14&gt;真實IC!I$27,1,0)</f>
        <v>1</v>
      </c>
      <c r="J5" s="11">
        <f>IF(真實IC!J14&gt;真實IC!J$27,1,0)</f>
        <v>1</v>
      </c>
      <c r="K5" s="11">
        <f>IF(真實IC!K14&gt;真實IC!K$27,1,0)</f>
        <v>1</v>
      </c>
      <c r="L5" s="11">
        <f>IF(真實IC!L14&gt;真實IC!L$27,1,0)</f>
        <v>1</v>
      </c>
      <c r="M5" s="11">
        <f>IF(真實IC!M14&gt;真實IC!M$27,1,0)</f>
        <v>0</v>
      </c>
      <c r="N5" s="11">
        <f>IF(真實IC!N14&gt;真實IC!N$27,1,0)</f>
        <v>1</v>
      </c>
      <c r="O5" s="11">
        <f>IF(真實IC!O14&gt;真實IC!O$27,1,0)</f>
        <v>1</v>
      </c>
      <c r="P5" s="11">
        <f>IF(真實IC!P14&gt;真實IC!P$27,1,0)</f>
        <v>0</v>
      </c>
      <c r="Q5" s="11">
        <f>IF(真實IC!Q14&gt;真實IC!Q$27,1,0)</f>
        <v>1</v>
      </c>
      <c r="R5" s="11">
        <f>IF(真實IC!R14&gt;真實IC!R$27,1,0)</f>
        <v>1</v>
      </c>
      <c r="S5" s="11">
        <f>IF(真實IC!S14&gt;真實IC!S$27,1,0)</f>
        <v>1</v>
      </c>
      <c r="T5" s="11">
        <f>IF(真實IC!T14&gt;真實IC!T$27,1,0)</f>
        <v>1</v>
      </c>
      <c r="U5" s="11">
        <f>IF(真實IC!U14&gt;真實IC!U$27,1,0)</f>
        <v>1</v>
      </c>
      <c r="V5" s="11">
        <f>IF(真實IC!V14&gt;真實IC!V$27,1,0)</f>
        <v>1</v>
      </c>
      <c r="W5" s="11">
        <f>IF(真實IC!W14&gt;真實IC!W$27,1,0)</f>
        <v>1</v>
      </c>
      <c r="X5" s="11">
        <f>IF(真實IC!X14&gt;真實IC!X$27,1,0)</f>
        <v>1</v>
      </c>
      <c r="Y5" s="11">
        <f>IF(真實IC!Y14&gt;真實IC!Y$27,1,0)</f>
        <v>1</v>
      </c>
      <c r="Z5" s="11">
        <f>IF(真實IC!Z14&gt;真實IC!Z$27,1,0)</f>
        <v>1</v>
      </c>
      <c r="AA5" s="11">
        <f>IF(真實IC!AA14&gt;真實IC!AA$27,1,0)</f>
        <v>1</v>
      </c>
      <c r="AB5" s="11">
        <f>IF(真實IC!AB14&gt;真實IC!AB$27,1,0)</f>
        <v>0</v>
      </c>
      <c r="AC5" s="11">
        <f>IF(真實IC!AC14&gt;真實IC!AC$27,1,0)</f>
        <v>0</v>
      </c>
      <c r="AD5" s="11">
        <f>IF(真實IC!AD14&gt;真實IC!AD$27,1,0)</f>
        <v>1</v>
      </c>
      <c r="AE5" s="11">
        <f>IF(真實IC!AE14&gt;真實IC!AE$27,1,0)</f>
        <v>1</v>
      </c>
      <c r="AF5" s="11">
        <f>IF(真實IC!AF14&gt;真實IC!AF$27,1,0)</f>
        <v>1</v>
      </c>
      <c r="AG5" s="11">
        <f>IF(真實IC!AG14&gt;真實IC!AG$27,1,0)</f>
        <v>0</v>
      </c>
      <c r="AH5" s="11">
        <f>IF(真實IC!AH14&gt;真實IC!AH$27,1,0)</f>
        <v>1</v>
      </c>
      <c r="AI5" s="11">
        <f>IF(真實IC!AI14&gt;真實IC!AI$27,1,0)</f>
        <v>0</v>
      </c>
      <c r="AJ5" s="11">
        <f>IF(真實IC!AJ14&gt;真實IC!AJ$27,1,0)</f>
        <v>1</v>
      </c>
      <c r="AK5" s="11">
        <f>IF(真實IC!AK14&gt;真實IC!AK$27,1,0)</f>
        <v>1</v>
      </c>
      <c r="AL5" s="11">
        <f>IF(真實IC!AL14&gt;真實IC!AL$27,1,0)</f>
        <v>1</v>
      </c>
      <c r="AM5" s="11">
        <f>IF(真實IC!AM14&gt;真實IC!AM$27,1,0)</f>
        <v>1</v>
      </c>
      <c r="AN5" s="11">
        <f>IF(真實IC!AN14&gt;真實IC!AN$27,1,0)</f>
        <v>0</v>
      </c>
      <c r="AO5" s="11">
        <f>IF(真實IC!AO14&gt;真實IC!AO$27,1,0)</f>
        <v>0</v>
      </c>
      <c r="AP5" s="11">
        <f>IF(真實IC!AP14&gt;真實IC!AP$27,1,0)</f>
        <v>1</v>
      </c>
      <c r="AQ5" s="11">
        <f>IF(真實IC!AQ14&gt;真實IC!AQ$27,1,0)</f>
        <v>0</v>
      </c>
      <c r="AR5" s="11">
        <f>IF(真實IC!AR14&gt;真實IC!AR$27,1,0)</f>
        <v>0</v>
      </c>
      <c r="AS5" s="11">
        <f>IF(真實IC!AS14&gt;真實IC!AS$27,1,0)</f>
        <v>1</v>
      </c>
      <c r="AT5" s="11">
        <f>IF(真實IC!AT14&gt;真實IC!AT$27,1,0)</f>
        <v>1</v>
      </c>
      <c r="AU5" s="11">
        <f>IF(真實IC!AU14&gt;真實IC!AU$27,1,0)</f>
        <v>1</v>
      </c>
      <c r="AV5" s="11">
        <f>IF(真實IC!AV14&gt;真實IC!AV$27,1,0)</f>
        <v>1</v>
      </c>
      <c r="AW5" s="11">
        <f>IF(真實IC!AW14&gt;真實IC!AW$27,1,0)</f>
        <v>1</v>
      </c>
      <c r="AX5" s="11">
        <f>IF(真實IC!AX14&gt;真實IC!AX$27,1,0)</f>
        <v>1</v>
      </c>
      <c r="AY5" s="11">
        <f>IF(真實IC!AY14&gt;真實IC!AY$27,1,0)</f>
        <v>1</v>
      </c>
      <c r="AZ5" s="11">
        <f>IF(真實IC!AZ14&gt;真實IC!AZ$27,1,0)</f>
        <v>1</v>
      </c>
      <c r="BA5" s="11">
        <f>IF(真實IC!BA14&gt;真實IC!BA$27,1,0)</f>
        <v>1</v>
      </c>
      <c r="BB5" s="11">
        <f>IF(真實IC!BB14&gt;真實IC!BB$27,1,0)</f>
        <v>1</v>
      </c>
      <c r="BC5" s="11">
        <f>IF(真實IC!BC14&gt;真實IC!BC$27,1,0)</f>
        <v>1</v>
      </c>
      <c r="BD5" s="11">
        <f>IF(真實IC!BD14&gt;真實IC!BD$27,1,0)</f>
        <v>1</v>
      </c>
      <c r="BE5" s="11">
        <f>IF(真實IC!BE14&gt;真實IC!BE$27,1,0)</f>
        <v>0</v>
      </c>
      <c r="BF5" s="11">
        <f>IF(真實IC!BF14&gt;真實IC!BF$27,1,0)</f>
        <v>1</v>
      </c>
      <c r="BG5" s="11">
        <f>IF(真實IC!BG14&gt;真實IC!BG$27,1,0)</f>
        <v>1</v>
      </c>
      <c r="BH5" s="11">
        <f>IF(真實IC!BH14&gt;真實IC!BH$27,1,0)</f>
        <v>1</v>
      </c>
      <c r="BI5" s="11">
        <f>IF(真實IC!BI14&gt;真實IC!BI$27,1,0)</f>
        <v>1</v>
      </c>
      <c r="BJ5" s="11">
        <f>IF(真實IC!BJ14&gt;真實IC!BJ$27,1,0)</f>
        <v>1</v>
      </c>
      <c r="BK5" s="11">
        <f>IF(真實IC!BK14&gt;真實IC!BK$27,1,0)</f>
        <v>0</v>
      </c>
      <c r="BL5" s="11">
        <f>IF(真實IC!BL14&gt;真實IC!BL$27,1,0)</f>
        <v>1</v>
      </c>
      <c r="BM5" s="11">
        <f>IF(真實IC!BM14&gt;真實IC!BM$27,1,0)</f>
        <v>0</v>
      </c>
      <c r="BN5" s="11">
        <f>IF(真實IC!BN14&gt;真實IC!BN$27,1,0)</f>
        <v>0</v>
      </c>
      <c r="BO5" s="11">
        <f>IF(真實IC!BO14&gt;真實IC!BO$27,1,0)</f>
        <v>1</v>
      </c>
      <c r="BP5" s="11">
        <f>IF(真實IC!BP14&gt;真實IC!BP$27,1,0)</f>
        <v>1</v>
      </c>
      <c r="BQ5" s="11">
        <f>IF(真實IC!BQ14&gt;真實IC!BQ$27,1,0)</f>
        <v>1</v>
      </c>
      <c r="BR5" s="11">
        <f>IF(真實IC!BR14&gt;真實IC!BR$27,1,0)</f>
        <v>1</v>
      </c>
      <c r="BS5" s="11">
        <f>IF(真實IC!BS14&gt;真實IC!BS$27,1,0)</f>
        <v>1</v>
      </c>
      <c r="BT5" s="11">
        <f>IF(真實IC!BT14&gt;真實IC!BT$27,1,0)</f>
        <v>0</v>
      </c>
      <c r="BU5" s="11">
        <f>IF(真實IC!BU14&gt;真實IC!BU$27,1,0)</f>
        <v>1</v>
      </c>
      <c r="BV5" s="11">
        <f>IF(真實IC!BV14&gt;真實IC!BV$27,1,0)</f>
        <v>0</v>
      </c>
      <c r="BW5" s="11">
        <f>IF(真實IC!BW14&gt;真實IC!BW$27,1,0)</f>
        <v>1</v>
      </c>
      <c r="BX5" s="11">
        <f>IF(真實IC!BX14&gt;真實IC!BX$27,1,0)</f>
        <v>1</v>
      </c>
      <c r="BY5" s="11">
        <f>IF(真實IC!BY14&gt;真實IC!BY$27,1,0)</f>
        <v>1</v>
      </c>
      <c r="BZ5" s="11">
        <f>IF(真實IC!BZ14&gt;真實IC!BZ$27,1,0)</f>
        <v>0</v>
      </c>
      <c r="CA5" s="11">
        <f>IF(真實IC!CA14&gt;真實IC!CA$27,1,0)</f>
        <v>1</v>
      </c>
      <c r="CB5" s="11">
        <f>IF(真實IC!CB14&gt;真實IC!CB$27,1,0)</f>
        <v>0</v>
      </c>
      <c r="CC5" s="11">
        <f>IF(真實IC!CC14&gt;真實IC!CC$27,1,0)</f>
        <v>0</v>
      </c>
      <c r="CD5" s="11">
        <f>IF(真實IC!CD14&gt;真實IC!CD$27,1,0)</f>
        <v>1</v>
      </c>
      <c r="CE5" s="11">
        <f>IF(真實IC!CE14&gt;真實IC!CE$27,1,0)</f>
        <v>1</v>
      </c>
      <c r="CF5" s="11">
        <f>IF(真實IC!CF14&gt;真實IC!CF$27,1,0)</f>
        <v>1</v>
      </c>
      <c r="CG5" s="11">
        <f>IF(真實IC!CG14&gt;真實IC!CG$27,1,0)</f>
        <v>0</v>
      </c>
      <c r="CH5" s="11">
        <f>IF(真實IC!CH14&gt;真實IC!CH$27,1,0)</f>
        <v>0</v>
      </c>
      <c r="CI5" s="11">
        <f>IF(真實IC!CI14&gt;真實IC!CI$27,1,0)</f>
        <v>1</v>
      </c>
      <c r="CJ5" s="11">
        <f>IF(真實IC!CJ14&gt;真實IC!CJ$27,1,0)</f>
        <v>1</v>
      </c>
      <c r="CK5" s="11">
        <f>IF(真實IC!CK14&gt;真實IC!CK$27,1,0)</f>
        <v>1</v>
      </c>
      <c r="CL5" s="11">
        <f>IF(真實IC!CL14&gt;真實IC!CL$27,1,0)</f>
        <v>1</v>
      </c>
      <c r="CM5" s="11">
        <f>IF(真實IC!CM14&gt;真實IC!CM$27,1,0)</f>
        <v>1</v>
      </c>
      <c r="CN5" s="11">
        <f>IF(真實IC!CN14&gt;真實IC!CN$27,1,0)</f>
        <v>1</v>
      </c>
      <c r="CO5" s="11">
        <f>IF(真實IC!CO14&gt;真實IC!CO$27,1,0)</f>
        <v>1</v>
      </c>
      <c r="CP5" s="11">
        <f>IF(真實IC!CP14&gt;真實IC!CP$27,1,0)</f>
        <v>0</v>
      </c>
      <c r="CQ5" s="11">
        <f>IF(真實IC!CQ14&gt;真實IC!CQ$27,1,0)</f>
        <v>1</v>
      </c>
      <c r="CR5" s="11">
        <f>IF(真實IC!CR14&gt;真實IC!CR$27,1,0)</f>
        <v>1</v>
      </c>
      <c r="CS5" s="11">
        <f>IF(真實IC!CS14&gt;真實IC!CS$27,1,0)</f>
        <v>0</v>
      </c>
      <c r="CT5" s="11">
        <f>IF(真實IC!CT14&gt;真實IC!CT$27,1,0)</f>
        <v>1</v>
      </c>
      <c r="CU5" s="11">
        <f>IF(真實IC!CU14&gt;真實IC!CU$27,1,0)</f>
        <v>1</v>
      </c>
      <c r="CV5" s="11">
        <f>IF(真實IC!CV14&gt;真實IC!CV$27,1,0)</f>
        <v>1</v>
      </c>
      <c r="CW5" s="11">
        <f>IF(真實IC!CW14&gt;真實IC!CW$27,1,0)</f>
        <v>1</v>
      </c>
      <c r="CX5" s="11">
        <f>IF(真實IC!CX14&gt;真實IC!CX$27,1,0)</f>
        <v>1</v>
      </c>
      <c r="CY5" s="11">
        <f>IF(真實IC!CY14&gt;真實IC!CY$27,1,0)</f>
        <v>0</v>
      </c>
      <c r="CZ5" s="11">
        <f>IF(真實IC!CZ14&gt;真實IC!CZ$27,1,0)</f>
        <v>1</v>
      </c>
      <c r="DA5" s="11">
        <f>IF(真實IC!DA14&gt;真實IC!DA$27,1,0)</f>
        <v>1</v>
      </c>
      <c r="DB5" s="11">
        <f>IF(真實IC!DB14&gt;真實IC!DB$27,1,0)</f>
        <v>0</v>
      </c>
      <c r="DC5" s="11">
        <f>IF(真實IC!DC14&gt;真實IC!DC$27,1,0)</f>
        <v>1</v>
      </c>
      <c r="DD5" s="11">
        <f>IF(真實IC!DD14&gt;真實IC!DD$27,1,0)</f>
        <v>1</v>
      </c>
      <c r="DE5" s="11">
        <f>IF(真實IC!DE14&gt;真實IC!DE$27,1,0)</f>
        <v>0</v>
      </c>
      <c r="DF5" s="11">
        <f>IF(真實IC!DF14&gt;真實IC!DF$27,1,0)</f>
        <v>1</v>
      </c>
      <c r="DG5" s="11">
        <f>IF(真實IC!DG14&gt;真實IC!DG$27,1,0)</f>
        <v>0</v>
      </c>
      <c r="DH5" s="11">
        <f>IF(真實IC!DH14&gt;真實IC!DH$27,1,0)</f>
        <v>0</v>
      </c>
      <c r="DI5" s="11">
        <f>IF(真實IC!DI14&gt;真實IC!DI$27,1,0)</f>
        <v>0</v>
      </c>
      <c r="DJ5" s="11">
        <f>IF(真實IC!DJ14&gt;真實IC!DJ$27,1,0)</f>
        <v>1</v>
      </c>
      <c r="DK5" s="11">
        <f>IF(真實IC!DK14&gt;真實IC!DK$27,1,0)</f>
        <v>0</v>
      </c>
      <c r="DL5" s="11">
        <f>IF(真實IC!DL14&gt;真實IC!DL$27,1,0)</f>
        <v>0</v>
      </c>
      <c r="DM5" s="11">
        <f>IF(真實IC!DM14&gt;真實IC!DM$27,1,0)</f>
        <v>1</v>
      </c>
      <c r="DN5" s="11">
        <f>IF(真實IC!DN14&gt;真實IC!DN$27,1,0)</f>
        <v>1</v>
      </c>
      <c r="DO5" s="11">
        <f>IF(真實IC!DO14&gt;真實IC!DO$27,1,0)</f>
        <v>1</v>
      </c>
      <c r="DP5" s="11">
        <f>IF(真實IC!DP14&gt;真實IC!DP$27,1,0)</f>
        <v>1</v>
      </c>
      <c r="DQ5" s="11">
        <f>IF(真實IC!DQ14&gt;真實IC!DQ$27,1,0)</f>
        <v>0</v>
      </c>
      <c r="DR5" s="11">
        <f>IF(真實IC!DR14&gt;真實IC!DR$27,1,0)</f>
        <v>0</v>
      </c>
      <c r="DS5" s="11">
        <f>IF(真實IC!DS14&gt;真實IC!DS$27,1,0)</f>
        <v>0</v>
      </c>
      <c r="DT5" s="11">
        <f>IF(真實IC!DT14&gt;真實IC!DT$27,1,0)</f>
        <v>0</v>
      </c>
      <c r="DU5" s="11">
        <f>IF(真實IC!DU14&gt;真實IC!DU$27,1,0)</f>
        <v>0</v>
      </c>
      <c r="DV5" s="11">
        <f>IF(真實IC!DV14&gt;真實IC!DV$27,1,0)</f>
        <v>0</v>
      </c>
      <c r="DW5" s="11">
        <f>IF(真實IC!DW14&gt;真實IC!DW$27,1,0)</f>
        <v>1</v>
      </c>
      <c r="DX5" s="11">
        <f>IF(真實IC!DX14&gt;真實IC!DX$27,1,0)</f>
        <v>0</v>
      </c>
      <c r="DY5" s="11">
        <f>IF(真實IC!DY14&gt;真實IC!DY$27,1,0)</f>
        <v>0</v>
      </c>
      <c r="DZ5" s="11">
        <f>IF(真實IC!DZ14&gt;真實IC!DZ$27,1,0)</f>
        <v>1</v>
      </c>
      <c r="EA5" s="11">
        <f>IF(真實IC!EA14&gt;真實IC!EA$27,1,0)</f>
        <v>1</v>
      </c>
      <c r="EB5" s="11">
        <f>IF(真實IC!EB14&gt;真實IC!EB$27,1,0)</f>
        <v>1</v>
      </c>
      <c r="EC5" s="11">
        <f>IF(真實IC!EC14&gt;真實IC!EC$27,1,0)</f>
        <v>1</v>
      </c>
      <c r="ED5" s="11">
        <f>IF(真實IC!ED14&gt;真實IC!ED$27,1,0)</f>
        <v>0</v>
      </c>
      <c r="EE5" s="11">
        <f>IF(真實IC!EE14&gt;真實IC!EE$27,1,0)</f>
        <v>0</v>
      </c>
      <c r="EF5" s="11">
        <f>IF(真實IC!EF14&gt;真實IC!EF$27,1,0)</f>
        <v>0</v>
      </c>
      <c r="EG5" s="1">
        <f t="shared" ref="EG5:EG17" si="0">SUM(C5:EF5)</f>
        <v>88</v>
      </c>
      <c r="EH5" s="61">
        <f t="shared" ref="EH5:EH17" si="1">SUM(C5:EF5)/134</f>
        <v>0.65671641791044777</v>
      </c>
    </row>
    <row r="6" spans="1:138" s="3" customFormat="1" ht="16">
      <c r="A6" s="6">
        <v>20</v>
      </c>
      <c r="B6" s="6">
        <v>48</v>
      </c>
      <c r="C6" s="11">
        <f>IF(真實IC!C15&gt;真實IC!C$27,1,0)</f>
        <v>1</v>
      </c>
      <c r="D6" s="11">
        <f>IF(真實IC!D15&gt;真實IC!D$27,1,0)</f>
        <v>0</v>
      </c>
      <c r="E6" s="11">
        <f>IF(真實IC!E15&gt;真實IC!E$27,1,0)</f>
        <v>0</v>
      </c>
      <c r="F6" s="11">
        <f>IF(真實IC!F15&gt;真實IC!F$27,1,0)</f>
        <v>0</v>
      </c>
      <c r="G6" s="11">
        <f>IF(真實IC!G15&gt;真實IC!G$27,1,0)</f>
        <v>0</v>
      </c>
      <c r="H6" s="11">
        <f>IF(真實IC!H15&gt;真實IC!H$27,1,0)</f>
        <v>0</v>
      </c>
      <c r="I6" s="11">
        <f>IF(真實IC!I15&gt;真實IC!I$27,1,0)</f>
        <v>1</v>
      </c>
      <c r="J6" s="11">
        <f>IF(真實IC!J15&gt;真實IC!J$27,1,0)</f>
        <v>1</v>
      </c>
      <c r="K6" s="11">
        <f>IF(真實IC!K15&gt;真實IC!K$27,1,0)</f>
        <v>1</v>
      </c>
      <c r="L6" s="11">
        <f>IF(真實IC!L15&gt;真實IC!L$27,1,0)</f>
        <v>1</v>
      </c>
      <c r="M6" s="11">
        <f>IF(真實IC!M15&gt;真實IC!M$27,1,0)</f>
        <v>0</v>
      </c>
      <c r="N6" s="11">
        <f>IF(真實IC!N15&gt;真實IC!N$27,1,0)</f>
        <v>1</v>
      </c>
      <c r="O6" s="11">
        <f>IF(真實IC!O15&gt;真實IC!O$27,1,0)</f>
        <v>1</v>
      </c>
      <c r="P6" s="11">
        <f>IF(真實IC!P15&gt;真實IC!P$27,1,0)</f>
        <v>0</v>
      </c>
      <c r="Q6" s="11">
        <f>IF(真實IC!Q15&gt;真實IC!Q$27,1,0)</f>
        <v>1</v>
      </c>
      <c r="R6" s="11">
        <f>IF(真實IC!R15&gt;真實IC!R$27,1,0)</f>
        <v>0</v>
      </c>
      <c r="S6" s="11">
        <f>IF(真實IC!S15&gt;真實IC!S$27,1,0)</f>
        <v>1</v>
      </c>
      <c r="T6" s="11">
        <f>IF(真實IC!T15&gt;真實IC!T$27,1,0)</f>
        <v>1</v>
      </c>
      <c r="U6" s="11">
        <f>IF(真實IC!U15&gt;真實IC!U$27,1,0)</f>
        <v>1</v>
      </c>
      <c r="V6" s="11">
        <f>IF(真實IC!V15&gt;真實IC!V$27,1,0)</f>
        <v>1</v>
      </c>
      <c r="W6" s="11">
        <f>IF(真實IC!W15&gt;真實IC!W$27,1,0)</f>
        <v>1</v>
      </c>
      <c r="X6" s="11">
        <f>IF(真實IC!X15&gt;真實IC!X$27,1,0)</f>
        <v>1</v>
      </c>
      <c r="Y6" s="11">
        <f>IF(真實IC!Y15&gt;真實IC!Y$27,1,0)</f>
        <v>1</v>
      </c>
      <c r="Z6" s="11">
        <f>IF(真實IC!Z15&gt;真實IC!Z$27,1,0)</f>
        <v>1</v>
      </c>
      <c r="AA6" s="11">
        <f>IF(真實IC!AA15&gt;真實IC!AA$27,1,0)</f>
        <v>1</v>
      </c>
      <c r="AB6" s="11">
        <f>IF(真實IC!AB15&gt;真實IC!AB$27,1,0)</f>
        <v>0</v>
      </c>
      <c r="AC6" s="11">
        <f>IF(真實IC!AC15&gt;真實IC!AC$27,1,0)</f>
        <v>1</v>
      </c>
      <c r="AD6" s="11">
        <f>IF(真實IC!AD15&gt;真實IC!AD$27,1,0)</f>
        <v>1</v>
      </c>
      <c r="AE6" s="11">
        <f>IF(真實IC!AE15&gt;真實IC!AE$27,1,0)</f>
        <v>1</v>
      </c>
      <c r="AF6" s="11">
        <f>IF(真實IC!AF15&gt;真實IC!AF$27,1,0)</f>
        <v>1</v>
      </c>
      <c r="AG6" s="11">
        <f>IF(真實IC!AG15&gt;真實IC!AG$27,1,0)</f>
        <v>0</v>
      </c>
      <c r="AH6" s="11">
        <f>IF(真實IC!AH15&gt;真實IC!AH$27,1,0)</f>
        <v>1</v>
      </c>
      <c r="AI6" s="11">
        <f>IF(真實IC!AI15&gt;真實IC!AI$27,1,0)</f>
        <v>0</v>
      </c>
      <c r="AJ6" s="11">
        <f>IF(真實IC!AJ15&gt;真實IC!AJ$27,1,0)</f>
        <v>0</v>
      </c>
      <c r="AK6" s="11">
        <f>IF(真實IC!AK15&gt;真實IC!AK$27,1,0)</f>
        <v>1</v>
      </c>
      <c r="AL6" s="11">
        <f>IF(真實IC!AL15&gt;真實IC!AL$27,1,0)</f>
        <v>1</v>
      </c>
      <c r="AM6" s="11">
        <f>IF(真實IC!AM15&gt;真實IC!AM$27,1,0)</f>
        <v>1</v>
      </c>
      <c r="AN6" s="11">
        <f>IF(真實IC!AN15&gt;真實IC!AN$27,1,0)</f>
        <v>0</v>
      </c>
      <c r="AO6" s="11">
        <f>IF(真實IC!AO15&gt;真實IC!AO$27,1,0)</f>
        <v>0</v>
      </c>
      <c r="AP6" s="11">
        <f>IF(真實IC!AP15&gt;真實IC!AP$27,1,0)</f>
        <v>1</v>
      </c>
      <c r="AQ6" s="11">
        <f>IF(真實IC!AQ15&gt;真實IC!AQ$27,1,0)</f>
        <v>1</v>
      </c>
      <c r="AR6" s="11">
        <f>IF(真實IC!AR15&gt;真實IC!AR$27,1,0)</f>
        <v>0</v>
      </c>
      <c r="AS6" s="11">
        <f>IF(真實IC!AS15&gt;真實IC!AS$27,1,0)</f>
        <v>1</v>
      </c>
      <c r="AT6" s="11">
        <f>IF(真實IC!AT15&gt;真實IC!AT$27,1,0)</f>
        <v>1</v>
      </c>
      <c r="AU6" s="11">
        <f>IF(真實IC!AU15&gt;真實IC!AU$27,1,0)</f>
        <v>1</v>
      </c>
      <c r="AV6" s="11">
        <f>IF(真實IC!AV15&gt;真實IC!AV$27,1,0)</f>
        <v>1</v>
      </c>
      <c r="AW6" s="11">
        <f>IF(真實IC!AW15&gt;真實IC!AW$27,1,0)</f>
        <v>1</v>
      </c>
      <c r="AX6" s="11">
        <f>IF(真實IC!AX15&gt;真實IC!AX$27,1,0)</f>
        <v>1</v>
      </c>
      <c r="AY6" s="11">
        <f>IF(真實IC!AY15&gt;真實IC!AY$27,1,0)</f>
        <v>1</v>
      </c>
      <c r="AZ6" s="11">
        <f>IF(真實IC!AZ15&gt;真實IC!AZ$27,1,0)</f>
        <v>1</v>
      </c>
      <c r="BA6" s="11">
        <f>IF(真實IC!BA15&gt;真實IC!BA$27,1,0)</f>
        <v>1</v>
      </c>
      <c r="BB6" s="11">
        <f>IF(真實IC!BB15&gt;真實IC!BB$27,1,0)</f>
        <v>1</v>
      </c>
      <c r="BC6" s="11">
        <f>IF(真實IC!BC15&gt;真實IC!BC$27,1,0)</f>
        <v>1</v>
      </c>
      <c r="BD6" s="11">
        <f>IF(真實IC!BD15&gt;真實IC!BD$27,1,0)</f>
        <v>1</v>
      </c>
      <c r="BE6" s="11">
        <f>IF(真實IC!BE15&gt;真實IC!BE$27,1,0)</f>
        <v>0</v>
      </c>
      <c r="BF6" s="11">
        <f>IF(真實IC!BF15&gt;真實IC!BF$27,1,0)</f>
        <v>1</v>
      </c>
      <c r="BG6" s="11">
        <f>IF(真實IC!BG15&gt;真實IC!BG$27,1,0)</f>
        <v>1</v>
      </c>
      <c r="BH6" s="11">
        <f>IF(真實IC!BH15&gt;真實IC!BH$27,1,0)</f>
        <v>1</v>
      </c>
      <c r="BI6" s="11">
        <f>IF(真實IC!BI15&gt;真實IC!BI$27,1,0)</f>
        <v>1</v>
      </c>
      <c r="BJ6" s="11">
        <f>IF(真實IC!BJ15&gt;真實IC!BJ$27,1,0)</f>
        <v>1</v>
      </c>
      <c r="BK6" s="11">
        <f>IF(真實IC!BK15&gt;真實IC!BK$27,1,0)</f>
        <v>0</v>
      </c>
      <c r="BL6" s="11">
        <f>IF(真實IC!BL15&gt;真實IC!BL$27,1,0)</f>
        <v>0</v>
      </c>
      <c r="BM6" s="11">
        <f>IF(真實IC!BM15&gt;真實IC!BM$27,1,0)</f>
        <v>1</v>
      </c>
      <c r="BN6" s="11">
        <f>IF(真實IC!BN15&gt;真實IC!BN$27,1,0)</f>
        <v>0</v>
      </c>
      <c r="BO6" s="11">
        <f>IF(真實IC!BO15&gt;真實IC!BO$27,1,0)</f>
        <v>1</v>
      </c>
      <c r="BP6" s="11">
        <f>IF(真實IC!BP15&gt;真實IC!BP$27,1,0)</f>
        <v>1</v>
      </c>
      <c r="BQ6" s="11">
        <f>IF(真實IC!BQ15&gt;真實IC!BQ$27,1,0)</f>
        <v>1</v>
      </c>
      <c r="BR6" s="11">
        <f>IF(真實IC!BR15&gt;真實IC!BR$27,1,0)</f>
        <v>1</v>
      </c>
      <c r="BS6" s="11">
        <f>IF(真實IC!BS15&gt;真實IC!BS$27,1,0)</f>
        <v>1</v>
      </c>
      <c r="BT6" s="11">
        <f>IF(真實IC!BT15&gt;真實IC!BT$27,1,0)</f>
        <v>0</v>
      </c>
      <c r="BU6" s="11">
        <f>IF(真實IC!BU15&gt;真實IC!BU$27,1,0)</f>
        <v>1</v>
      </c>
      <c r="BV6" s="11">
        <f>IF(真實IC!BV15&gt;真實IC!BV$27,1,0)</f>
        <v>1</v>
      </c>
      <c r="BW6" s="11">
        <f>IF(真實IC!BW15&gt;真實IC!BW$27,1,0)</f>
        <v>1</v>
      </c>
      <c r="BX6" s="11">
        <f>IF(真實IC!BX15&gt;真實IC!BX$27,1,0)</f>
        <v>1</v>
      </c>
      <c r="BY6" s="11">
        <f>IF(真實IC!BY15&gt;真實IC!BY$27,1,0)</f>
        <v>1</v>
      </c>
      <c r="BZ6" s="11">
        <f>IF(真實IC!BZ15&gt;真實IC!BZ$27,1,0)</f>
        <v>0</v>
      </c>
      <c r="CA6" s="11">
        <f>IF(真實IC!CA15&gt;真實IC!CA$27,1,0)</f>
        <v>0</v>
      </c>
      <c r="CB6" s="11">
        <f>IF(真實IC!CB15&gt;真實IC!CB$27,1,0)</f>
        <v>0</v>
      </c>
      <c r="CC6" s="11">
        <f>IF(真實IC!CC15&gt;真實IC!CC$27,1,0)</f>
        <v>0</v>
      </c>
      <c r="CD6" s="11">
        <f>IF(真實IC!CD15&gt;真實IC!CD$27,1,0)</f>
        <v>1</v>
      </c>
      <c r="CE6" s="11">
        <f>IF(真實IC!CE15&gt;真實IC!CE$27,1,0)</f>
        <v>1</v>
      </c>
      <c r="CF6" s="11">
        <f>IF(真實IC!CF15&gt;真實IC!CF$27,1,0)</f>
        <v>1</v>
      </c>
      <c r="CG6" s="11">
        <f>IF(真實IC!CG15&gt;真實IC!CG$27,1,0)</f>
        <v>0</v>
      </c>
      <c r="CH6" s="11">
        <f>IF(真實IC!CH15&gt;真實IC!CH$27,1,0)</f>
        <v>0</v>
      </c>
      <c r="CI6" s="11">
        <f>IF(真實IC!CI15&gt;真實IC!CI$27,1,0)</f>
        <v>1</v>
      </c>
      <c r="CJ6" s="11">
        <f>IF(真實IC!CJ15&gt;真實IC!CJ$27,1,0)</f>
        <v>1</v>
      </c>
      <c r="CK6" s="11">
        <f>IF(真實IC!CK15&gt;真實IC!CK$27,1,0)</f>
        <v>1</v>
      </c>
      <c r="CL6" s="11">
        <f>IF(真實IC!CL15&gt;真實IC!CL$27,1,0)</f>
        <v>1</v>
      </c>
      <c r="CM6" s="11">
        <f>IF(真實IC!CM15&gt;真實IC!CM$27,1,0)</f>
        <v>1</v>
      </c>
      <c r="CN6" s="11">
        <f>IF(真實IC!CN15&gt;真實IC!CN$27,1,0)</f>
        <v>1</v>
      </c>
      <c r="CO6" s="11">
        <f>IF(真實IC!CO15&gt;真實IC!CO$27,1,0)</f>
        <v>1</v>
      </c>
      <c r="CP6" s="11">
        <f>IF(真實IC!CP15&gt;真實IC!CP$27,1,0)</f>
        <v>1</v>
      </c>
      <c r="CQ6" s="11">
        <f>IF(真實IC!CQ15&gt;真實IC!CQ$27,1,0)</f>
        <v>1</v>
      </c>
      <c r="CR6" s="11">
        <f>IF(真實IC!CR15&gt;真實IC!CR$27,1,0)</f>
        <v>1</v>
      </c>
      <c r="CS6" s="11">
        <f>IF(真實IC!CS15&gt;真實IC!CS$27,1,0)</f>
        <v>0</v>
      </c>
      <c r="CT6" s="11">
        <f>IF(真實IC!CT15&gt;真實IC!CT$27,1,0)</f>
        <v>1</v>
      </c>
      <c r="CU6" s="11">
        <f>IF(真實IC!CU15&gt;真實IC!CU$27,1,0)</f>
        <v>1</v>
      </c>
      <c r="CV6" s="11">
        <f>IF(真實IC!CV15&gt;真實IC!CV$27,1,0)</f>
        <v>1</v>
      </c>
      <c r="CW6" s="11">
        <f>IF(真實IC!CW15&gt;真實IC!CW$27,1,0)</f>
        <v>1</v>
      </c>
      <c r="CX6" s="11">
        <f>IF(真實IC!CX15&gt;真實IC!CX$27,1,0)</f>
        <v>1</v>
      </c>
      <c r="CY6" s="11">
        <f>IF(真實IC!CY15&gt;真實IC!CY$27,1,0)</f>
        <v>0</v>
      </c>
      <c r="CZ6" s="11">
        <f>IF(真實IC!CZ15&gt;真實IC!CZ$27,1,0)</f>
        <v>1</v>
      </c>
      <c r="DA6" s="11">
        <f>IF(真實IC!DA15&gt;真實IC!DA$27,1,0)</f>
        <v>1</v>
      </c>
      <c r="DB6" s="11">
        <f>IF(真實IC!DB15&gt;真實IC!DB$27,1,0)</f>
        <v>0</v>
      </c>
      <c r="DC6" s="11">
        <f>IF(真實IC!DC15&gt;真實IC!DC$27,1,0)</f>
        <v>1</v>
      </c>
      <c r="DD6" s="11">
        <f>IF(真實IC!DD15&gt;真實IC!DD$27,1,0)</f>
        <v>1</v>
      </c>
      <c r="DE6" s="11">
        <f>IF(真實IC!DE15&gt;真實IC!DE$27,1,0)</f>
        <v>0</v>
      </c>
      <c r="DF6" s="11">
        <f>IF(真實IC!DF15&gt;真實IC!DF$27,1,0)</f>
        <v>1</v>
      </c>
      <c r="DG6" s="11">
        <f>IF(真實IC!DG15&gt;真實IC!DG$27,1,0)</f>
        <v>0</v>
      </c>
      <c r="DH6" s="11">
        <f>IF(真實IC!DH15&gt;真實IC!DH$27,1,0)</f>
        <v>0</v>
      </c>
      <c r="DI6" s="11">
        <f>IF(真實IC!DI15&gt;真實IC!DI$27,1,0)</f>
        <v>0</v>
      </c>
      <c r="DJ6" s="11">
        <f>IF(真實IC!DJ15&gt;真實IC!DJ$27,1,0)</f>
        <v>1</v>
      </c>
      <c r="DK6" s="11">
        <f>IF(真實IC!DK15&gt;真實IC!DK$27,1,0)</f>
        <v>0</v>
      </c>
      <c r="DL6" s="11">
        <f>IF(真實IC!DL15&gt;真實IC!DL$27,1,0)</f>
        <v>0</v>
      </c>
      <c r="DM6" s="11">
        <f>IF(真實IC!DM15&gt;真實IC!DM$27,1,0)</f>
        <v>1</v>
      </c>
      <c r="DN6" s="11">
        <f>IF(真實IC!DN15&gt;真實IC!DN$27,1,0)</f>
        <v>1</v>
      </c>
      <c r="DO6" s="11">
        <f>IF(真實IC!DO15&gt;真實IC!DO$27,1,0)</f>
        <v>1</v>
      </c>
      <c r="DP6" s="11">
        <f>IF(真實IC!DP15&gt;真實IC!DP$27,1,0)</f>
        <v>1</v>
      </c>
      <c r="DQ6" s="11">
        <f>IF(真實IC!DQ15&gt;真實IC!DQ$27,1,0)</f>
        <v>0</v>
      </c>
      <c r="DR6" s="11">
        <f>IF(真實IC!DR15&gt;真實IC!DR$27,1,0)</f>
        <v>0</v>
      </c>
      <c r="DS6" s="11">
        <f>IF(真實IC!DS15&gt;真實IC!DS$27,1,0)</f>
        <v>0</v>
      </c>
      <c r="DT6" s="11">
        <f>IF(真實IC!DT15&gt;真實IC!DT$27,1,0)</f>
        <v>0</v>
      </c>
      <c r="DU6" s="11">
        <f>IF(真實IC!DU15&gt;真實IC!DU$27,1,0)</f>
        <v>0</v>
      </c>
      <c r="DV6" s="11">
        <f>IF(真實IC!DV15&gt;真實IC!DV$27,1,0)</f>
        <v>0</v>
      </c>
      <c r="DW6" s="11">
        <f>IF(真實IC!DW15&gt;真實IC!DW$27,1,0)</f>
        <v>1</v>
      </c>
      <c r="DX6" s="11">
        <f>IF(真實IC!DX15&gt;真實IC!DX$27,1,0)</f>
        <v>0</v>
      </c>
      <c r="DY6" s="11">
        <f>IF(真實IC!DY15&gt;真實IC!DY$27,1,0)</f>
        <v>1</v>
      </c>
      <c r="DZ6" s="11">
        <f>IF(真實IC!DZ15&gt;真實IC!DZ$27,1,0)</f>
        <v>1</v>
      </c>
      <c r="EA6" s="11">
        <f>IF(真實IC!EA15&gt;真實IC!EA$27,1,0)</f>
        <v>1</v>
      </c>
      <c r="EB6" s="11">
        <f>IF(真實IC!EB15&gt;真實IC!EB$27,1,0)</f>
        <v>1</v>
      </c>
      <c r="EC6" s="11">
        <f>IF(真實IC!EC15&gt;真實IC!EC$27,1,0)</f>
        <v>1</v>
      </c>
      <c r="ED6" s="11">
        <f>IF(真實IC!ED15&gt;真實IC!ED$27,1,0)</f>
        <v>0</v>
      </c>
      <c r="EE6" s="11">
        <f>IF(真實IC!EE15&gt;真實IC!EE$27,1,0)</f>
        <v>0</v>
      </c>
      <c r="EF6" s="11">
        <f>IF(真實IC!EF15&gt;真實IC!EF$27,1,0)</f>
        <v>0</v>
      </c>
      <c r="EG6" s="1">
        <f t="shared" si="0"/>
        <v>89</v>
      </c>
      <c r="EH6" s="61">
        <f t="shared" si="1"/>
        <v>0.66417910447761197</v>
      </c>
    </row>
    <row r="7" spans="1:138" s="3" customFormat="1" ht="16">
      <c r="A7" s="6">
        <v>50</v>
      </c>
      <c r="B7" s="6">
        <v>19</v>
      </c>
      <c r="C7" s="11">
        <f>IF(真實IC!C16&gt;真實IC!C$27,1,0)</f>
        <v>0</v>
      </c>
      <c r="D7" s="11">
        <f>IF(真實IC!D16&gt;真實IC!D$27,1,0)</f>
        <v>1</v>
      </c>
      <c r="E7" s="11">
        <f>IF(真實IC!E16&gt;真實IC!E$27,1,0)</f>
        <v>1</v>
      </c>
      <c r="F7" s="11">
        <f>IF(真實IC!F16&gt;真實IC!F$27,1,0)</f>
        <v>0</v>
      </c>
      <c r="G7" s="11">
        <f>IF(真實IC!G16&gt;真實IC!G$27,1,0)</f>
        <v>0</v>
      </c>
      <c r="H7" s="11">
        <f>IF(真實IC!H16&gt;真實IC!H$27,1,0)</f>
        <v>0</v>
      </c>
      <c r="I7" s="11">
        <f>IF(真實IC!I16&gt;真實IC!I$27,1,0)</f>
        <v>1</v>
      </c>
      <c r="J7" s="11">
        <f>IF(真實IC!J16&gt;真實IC!J$27,1,0)</f>
        <v>1</v>
      </c>
      <c r="K7" s="11">
        <f>IF(真實IC!K16&gt;真實IC!K$27,1,0)</f>
        <v>1</v>
      </c>
      <c r="L7" s="11">
        <f>IF(真實IC!L16&gt;真實IC!L$27,1,0)</f>
        <v>1</v>
      </c>
      <c r="M7" s="11">
        <f>IF(真實IC!M16&gt;真實IC!M$27,1,0)</f>
        <v>0</v>
      </c>
      <c r="N7" s="11">
        <f>IF(真實IC!N16&gt;真實IC!N$27,1,0)</f>
        <v>1</v>
      </c>
      <c r="O7" s="11">
        <f>IF(真實IC!O16&gt;真實IC!O$27,1,0)</f>
        <v>1</v>
      </c>
      <c r="P7" s="11">
        <f>IF(真實IC!P16&gt;真實IC!P$27,1,0)</f>
        <v>0</v>
      </c>
      <c r="Q7" s="11">
        <f>IF(真實IC!Q16&gt;真實IC!Q$27,1,0)</f>
        <v>1</v>
      </c>
      <c r="R7" s="11">
        <f>IF(真實IC!R16&gt;真實IC!R$27,1,0)</f>
        <v>0</v>
      </c>
      <c r="S7" s="11">
        <f>IF(真實IC!S16&gt;真實IC!S$27,1,0)</f>
        <v>1</v>
      </c>
      <c r="T7" s="11">
        <f>IF(真實IC!T16&gt;真實IC!T$27,1,0)</f>
        <v>1</v>
      </c>
      <c r="U7" s="11">
        <f>IF(真實IC!U16&gt;真實IC!U$27,1,0)</f>
        <v>1</v>
      </c>
      <c r="V7" s="11">
        <f>IF(真實IC!V16&gt;真實IC!V$27,1,0)</f>
        <v>1</v>
      </c>
      <c r="W7" s="11">
        <f>IF(真實IC!W16&gt;真實IC!W$27,1,0)</f>
        <v>1</v>
      </c>
      <c r="X7" s="11">
        <f>IF(真實IC!X16&gt;真實IC!X$27,1,0)</f>
        <v>1</v>
      </c>
      <c r="Y7" s="11">
        <f>IF(真實IC!Y16&gt;真實IC!Y$27,1,0)</f>
        <v>1</v>
      </c>
      <c r="Z7" s="11">
        <f>IF(真實IC!Z16&gt;真實IC!Z$27,1,0)</f>
        <v>1</v>
      </c>
      <c r="AA7" s="11">
        <f>IF(真實IC!AA16&gt;真實IC!AA$27,1,0)</f>
        <v>1</v>
      </c>
      <c r="AB7" s="11">
        <f>IF(真實IC!AB16&gt;真實IC!AB$27,1,0)</f>
        <v>1</v>
      </c>
      <c r="AC7" s="11">
        <f>IF(真實IC!AC16&gt;真實IC!AC$27,1,0)</f>
        <v>1</v>
      </c>
      <c r="AD7" s="11">
        <f>IF(真實IC!AD16&gt;真實IC!AD$27,1,0)</f>
        <v>1</v>
      </c>
      <c r="AE7" s="11">
        <f>IF(真實IC!AE16&gt;真實IC!AE$27,1,0)</f>
        <v>1</v>
      </c>
      <c r="AF7" s="11">
        <f>IF(真實IC!AF16&gt;真實IC!AF$27,1,0)</f>
        <v>1</v>
      </c>
      <c r="AG7" s="11">
        <f>IF(真實IC!AG16&gt;真實IC!AG$27,1,0)</f>
        <v>0</v>
      </c>
      <c r="AH7" s="11">
        <f>IF(真實IC!AH16&gt;真實IC!AH$27,1,0)</f>
        <v>1</v>
      </c>
      <c r="AI7" s="11">
        <f>IF(真實IC!AI16&gt;真實IC!AI$27,1,0)</f>
        <v>1</v>
      </c>
      <c r="AJ7" s="11">
        <f>IF(真實IC!AJ16&gt;真實IC!AJ$27,1,0)</f>
        <v>1</v>
      </c>
      <c r="AK7" s="11">
        <f>IF(真實IC!AK16&gt;真實IC!AK$27,1,0)</f>
        <v>1</v>
      </c>
      <c r="AL7" s="11">
        <f>IF(真實IC!AL16&gt;真實IC!AL$27,1,0)</f>
        <v>1</v>
      </c>
      <c r="AM7" s="11">
        <f>IF(真實IC!AM16&gt;真實IC!AM$27,1,0)</f>
        <v>1</v>
      </c>
      <c r="AN7" s="11">
        <f>IF(真實IC!AN16&gt;真實IC!AN$27,1,0)</f>
        <v>0</v>
      </c>
      <c r="AO7" s="11">
        <f>IF(真實IC!AO16&gt;真實IC!AO$27,1,0)</f>
        <v>1</v>
      </c>
      <c r="AP7" s="11">
        <f>IF(真實IC!AP16&gt;真實IC!AP$27,1,0)</f>
        <v>1</v>
      </c>
      <c r="AQ7" s="11">
        <f>IF(真實IC!AQ16&gt;真實IC!AQ$27,1,0)</f>
        <v>1</v>
      </c>
      <c r="AR7" s="11">
        <f>IF(真實IC!AR16&gt;真實IC!AR$27,1,0)</f>
        <v>0</v>
      </c>
      <c r="AS7" s="11">
        <f>IF(真實IC!AS16&gt;真實IC!AS$27,1,0)</f>
        <v>1</v>
      </c>
      <c r="AT7" s="11">
        <f>IF(真實IC!AT16&gt;真實IC!AT$27,1,0)</f>
        <v>1</v>
      </c>
      <c r="AU7" s="11">
        <f>IF(真實IC!AU16&gt;真實IC!AU$27,1,0)</f>
        <v>1</v>
      </c>
      <c r="AV7" s="11">
        <f>IF(真實IC!AV16&gt;真實IC!AV$27,1,0)</f>
        <v>0</v>
      </c>
      <c r="AW7" s="11">
        <f>IF(真實IC!AW16&gt;真實IC!AW$27,1,0)</f>
        <v>1</v>
      </c>
      <c r="AX7" s="11">
        <f>IF(真實IC!AX16&gt;真實IC!AX$27,1,0)</f>
        <v>1</v>
      </c>
      <c r="AY7" s="11">
        <f>IF(真實IC!AY16&gt;真實IC!AY$27,1,0)</f>
        <v>1</v>
      </c>
      <c r="AZ7" s="11">
        <f>IF(真實IC!AZ16&gt;真實IC!AZ$27,1,0)</f>
        <v>1</v>
      </c>
      <c r="BA7" s="11">
        <f>IF(真實IC!BA16&gt;真實IC!BA$27,1,0)</f>
        <v>1</v>
      </c>
      <c r="BB7" s="11">
        <f>IF(真實IC!BB16&gt;真實IC!BB$27,1,0)</f>
        <v>1</v>
      </c>
      <c r="BC7" s="11">
        <f>IF(真實IC!BC16&gt;真實IC!BC$27,1,0)</f>
        <v>1</v>
      </c>
      <c r="BD7" s="11">
        <f>IF(真實IC!BD16&gt;真實IC!BD$27,1,0)</f>
        <v>1</v>
      </c>
      <c r="BE7" s="11">
        <f>IF(真實IC!BE16&gt;真實IC!BE$27,1,0)</f>
        <v>0</v>
      </c>
      <c r="BF7" s="11">
        <f>IF(真實IC!BF16&gt;真實IC!BF$27,1,0)</f>
        <v>1</v>
      </c>
      <c r="BG7" s="11">
        <f>IF(真實IC!BG16&gt;真實IC!BG$27,1,0)</f>
        <v>1</v>
      </c>
      <c r="BH7" s="11">
        <f>IF(真實IC!BH16&gt;真實IC!BH$27,1,0)</f>
        <v>1</v>
      </c>
      <c r="BI7" s="11">
        <f>IF(真實IC!BI16&gt;真實IC!BI$27,1,0)</f>
        <v>1</v>
      </c>
      <c r="BJ7" s="11">
        <f>IF(真實IC!BJ16&gt;真實IC!BJ$27,1,0)</f>
        <v>1</v>
      </c>
      <c r="BK7" s="11">
        <f>IF(真實IC!BK16&gt;真實IC!BK$27,1,0)</f>
        <v>0</v>
      </c>
      <c r="BL7" s="11">
        <f>IF(真實IC!BL16&gt;真實IC!BL$27,1,0)</f>
        <v>0</v>
      </c>
      <c r="BM7" s="11">
        <f>IF(真實IC!BM16&gt;真實IC!BM$27,1,0)</f>
        <v>0</v>
      </c>
      <c r="BN7" s="11">
        <f>IF(真實IC!BN16&gt;真實IC!BN$27,1,0)</f>
        <v>1</v>
      </c>
      <c r="BO7" s="11">
        <f>IF(真實IC!BO16&gt;真實IC!BO$27,1,0)</f>
        <v>1</v>
      </c>
      <c r="BP7" s="11">
        <f>IF(真實IC!BP16&gt;真實IC!BP$27,1,0)</f>
        <v>1</v>
      </c>
      <c r="BQ7" s="11">
        <f>IF(真實IC!BQ16&gt;真實IC!BQ$27,1,0)</f>
        <v>1</v>
      </c>
      <c r="BR7" s="11">
        <f>IF(真實IC!BR16&gt;真實IC!BR$27,1,0)</f>
        <v>1</v>
      </c>
      <c r="BS7" s="11">
        <f>IF(真實IC!BS16&gt;真實IC!BS$27,1,0)</f>
        <v>1</v>
      </c>
      <c r="BT7" s="11">
        <f>IF(真實IC!BT16&gt;真實IC!BT$27,1,0)</f>
        <v>0</v>
      </c>
      <c r="BU7" s="11">
        <f>IF(真實IC!BU16&gt;真實IC!BU$27,1,0)</f>
        <v>1</v>
      </c>
      <c r="BV7" s="11">
        <f>IF(真實IC!BV16&gt;真實IC!BV$27,1,0)</f>
        <v>1</v>
      </c>
      <c r="BW7" s="11">
        <f>IF(真實IC!BW16&gt;真實IC!BW$27,1,0)</f>
        <v>1</v>
      </c>
      <c r="BX7" s="11">
        <f>IF(真實IC!BX16&gt;真實IC!BX$27,1,0)</f>
        <v>1</v>
      </c>
      <c r="BY7" s="11">
        <f>IF(真實IC!BY16&gt;真實IC!BY$27,1,0)</f>
        <v>1</v>
      </c>
      <c r="BZ7" s="11">
        <f>IF(真實IC!BZ16&gt;真實IC!BZ$27,1,0)</f>
        <v>0</v>
      </c>
      <c r="CA7" s="11">
        <f>IF(真實IC!CA16&gt;真實IC!CA$27,1,0)</f>
        <v>0</v>
      </c>
      <c r="CB7" s="11">
        <f>IF(真實IC!CB16&gt;真實IC!CB$27,1,0)</f>
        <v>0</v>
      </c>
      <c r="CC7" s="11">
        <f>IF(真實IC!CC16&gt;真實IC!CC$27,1,0)</f>
        <v>0</v>
      </c>
      <c r="CD7" s="11">
        <f>IF(真實IC!CD16&gt;真實IC!CD$27,1,0)</f>
        <v>1</v>
      </c>
      <c r="CE7" s="11">
        <f>IF(真實IC!CE16&gt;真實IC!CE$27,1,0)</f>
        <v>1</v>
      </c>
      <c r="CF7" s="11">
        <f>IF(真實IC!CF16&gt;真實IC!CF$27,1,0)</f>
        <v>1</v>
      </c>
      <c r="CG7" s="11">
        <f>IF(真實IC!CG16&gt;真實IC!CG$27,1,0)</f>
        <v>0</v>
      </c>
      <c r="CH7" s="11">
        <f>IF(真實IC!CH16&gt;真實IC!CH$27,1,0)</f>
        <v>0</v>
      </c>
      <c r="CI7" s="11">
        <f>IF(真實IC!CI16&gt;真實IC!CI$27,1,0)</f>
        <v>1</v>
      </c>
      <c r="CJ7" s="11">
        <f>IF(真實IC!CJ16&gt;真實IC!CJ$27,1,0)</f>
        <v>1</v>
      </c>
      <c r="CK7" s="11">
        <f>IF(真實IC!CK16&gt;真實IC!CK$27,1,0)</f>
        <v>1</v>
      </c>
      <c r="CL7" s="11">
        <f>IF(真實IC!CL16&gt;真實IC!CL$27,1,0)</f>
        <v>0</v>
      </c>
      <c r="CM7" s="11">
        <f>IF(真實IC!CM16&gt;真實IC!CM$27,1,0)</f>
        <v>1</v>
      </c>
      <c r="CN7" s="11">
        <f>IF(真實IC!CN16&gt;真實IC!CN$27,1,0)</f>
        <v>1</v>
      </c>
      <c r="CO7" s="11">
        <f>IF(真實IC!CO16&gt;真實IC!CO$27,1,0)</f>
        <v>1</v>
      </c>
      <c r="CP7" s="11">
        <f>IF(真實IC!CP16&gt;真實IC!CP$27,1,0)</f>
        <v>1</v>
      </c>
      <c r="CQ7" s="11">
        <f>IF(真實IC!CQ16&gt;真實IC!CQ$27,1,0)</f>
        <v>1</v>
      </c>
      <c r="CR7" s="11">
        <f>IF(真實IC!CR16&gt;真實IC!CR$27,1,0)</f>
        <v>1</v>
      </c>
      <c r="CS7" s="11">
        <f>IF(真實IC!CS16&gt;真實IC!CS$27,1,0)</f>
        <v>0</v>
      </c>
      <c r="CT7" s="11">
        <f>IF(真實IC!CT16&gt;真實IC!CT$27,1,0)</f>
        <v>1</v>
      </c>
      <c r="CU7" s="11">
        <f>IF(真實IC!CU16&gt;真實IC!CU$27,1,0)</f>
        <v>1</v>
      </c>
      <c r="CV7" s="11">
        <f>IF(真實IC!CV16&gt;真實IC!CV$27,1,0)</f>
        <v>1</v>
      </c>
      <c r="CW7" s="11">
        <f>IF(真實IC!CW16&gt;真實IC!CW$27,1,0)</f>
        <v>0</v>
      </c>
      <c r="CX7" s="11">
        <f>IF(真實IC!CX16&gt;真實IC!CX$27,1,0)</f>
        <v>1</v>
      </c>
      <c r="CY7" s="11">
        <f>IF(真實IC!CY16&gt;真實IC!CY$27,1,0)</f>
        <v>0</v>
      </c>
      <c r="CZ7" s="11">
        <f>IF(真實IC!CZ16&gt;真實IC!CZ$27,1,0)</f>
        <v>1</v>
      </c>
      <c r="DA7" s="11">
        <f>IF(真實IC!DA16&gt;真實IC!DA$27,1,0)</f>
        <v>1</v>
      </c>
      <c r="DB7" s="11">
        <f>IF(真實IC!DB16&gt;真實IC!DB$27,1,0)</f>
        <v>0</v>
      </c>
      <c r="DC7" s="11">
        <f>IF(真實IC!DC16&gt;真實IC!DC$27,1,0)</f>
        <v>1</v>
      </c>
      <c r="DD7" s="11">
        <f>IF(真實IC!DD16&gt;真實IC!DD$27,1,0)</f>
        <v>1</v>
      </c>
      <c r="DE7" s="11">
        <f>IF(真實IC!DE16&gt;真實IC!DE$27,1,0)</f>
        <v>0</v>
      </c>
      <c r="DF7" s="11">
        <f>IF(真實IC!DF16&gt;真實IC!DF$27,1,0)</f>
        <v>0</v>
      </c>
      <c r="DG7" s="11">
        <f>IF(真實IC!DG16&gt;真實IC!DG$27,1,0)</f>
        <v>0</v>
      </c>
      <c r="DH7" s="11">
        <f>IF(真實IC!DH16&gt;真實IC!DH$27,1,0)</f>
        <v>0</v>
      </c>
      <c r="DI7" s="11">
        <f>IF(真實IC!DI16&gt;真實IC!DI$27,1,0)</f>
        <v>0</v>
      </c>
      <c r="DJ7" s="11">
        <f>IF(真實IC!DJ16&gt;真實IC!DJ$27,1,0)</f>
        <v>1</v>
      </c>
      <c r="DK7" s="11">
        <f>IF(真實IC!DK16&gt;真實IC!DK$27,1,0)</f>
        <v>0</v>
      </c>
      <c r="DL7" s="11">
        <f>IF(真實IC!DL16&gt;真實IC!DL$27,1,0)</f>
        <v>1</v>
      </c>
      <c r="DM7" s="11">
        <f>IF(真實IC!DM16&gt;真實IC!DM$27,1,0)</f>
        <v>0</v>
      </c>
      <c r="DN7" s="11">
        <f>IF(真實IC!DN16&gt;真實IC!DN$27,1,0)</f>
        <v>1</v>
      </c>
      <c r="DO7" s="11">
        <f>IF(真實IC!DO16&gt;真實IC!DO$27,1,0)</f>
        <v>1</v>
      </c>
      <c r="DP7" s="11">
        <f>IF(真實IC!DP16&gt;真實IC!DP$27,1,0)</f>
        <v>1</v>
      </c>
      <c r="DQ7" s="11">
        <f>IF(真實IC!DQ16&gt;真實IC!DQ$27,1,0)</f>
        <v>0</v>
      </c>
      <c r="DR7" s="11">
        <f>IF(真實IC!DR16&gt;真實IC!DR$27,1,0)</f>
        <v>0</v>
      </c>
      <c r="DS7" s="11">
        <f>IF(真實IC!DS16&gt;真實IC!DS$27,1,0)</f>
        <v>0</v>
      </c>
      <c r="DT7" s="11">
        <f>IF(真實IC!DT16&gt;真實IC!DT$27,1,0)</f>
        <v>0</v>
      </c>
      <c r="DU7" s="11">
        <f>IF(真實IC!DU16&gt;真實IC!DU$27,1,0)</f>
        <v>1</v>
      </c>
      <c r="DV7" s="11">
        <f>IF(真實IC!DV16&gt;真實IC!DV$27,1,0)</f>
        <v>0</v>
      </c>
      <c r="DW7" s="11">
        <f>IF(真實IC!DW16&gt;真實IC!DW$27,1,0)</f>
        <v>1</v>
      </c>
      <c r="DX7" s="11">
        <f>IF(真實IC!DX16&gt;真實IC!DX$27,1,0)</f>
        <v>0</v>
      </c>
      <c r="DY7" s="11">
        <f>IF(真實IC!DY16&gt;真實IC!DY$27,1,0)</f>
        <v>0</v>
      </c>
      <c r="DZ7" s="11">
        <f>IF(真實IC!DZ16&gt;真實IC!DZ$27,1,0)</f>
        <v>1</v>
      </c>
      <c r="EA7" s="11">
        <f>IF(真實IC!EA16&gt;真實IC!EA$27,1,0)</f>
        <v>1</v>
      </c>
      <c r="EB7" s="11">
        <f>IF(真實IC!EB16&gt;真實IC!EB$27,1,0)</f>
        <v>1</v>
      </c>
      <c r="EC7" s="11">
        <f>IF(真實IC!EC16&gt;真實IC!EC$27,1,0)</f>
        <v>1</v>
      </c>
      <c r="ED7" s="11">
        <f>IF(真實IC!ED16&gt;真實IC!ED$27,1,0)</f>
        <v>0</v>
      </c>
      <c r="EE7" s="11">
        <f>IF(真實IC!EE16&gt;真實IC!EE$27,1,0)</f>
        <v>0</v>
      </c>
      <c r="EF7" s="11">
        <f>IF(真實IC!EF16&gt;真實IC!EF$27,1,0)</f>
        <v>0</v>
      </c>
      <c r="EG7" s="1">
        <f t="shared" si="0"/>
        <v>90</v>
      </c>
      <c r="EH7" s="61">
        <f t="shared" si="1"/>
        <v>0.67164179104477617</v>
      </c>
    </row>
    <row r="8" spans="1:138" s="3" customFormat="1" ht="16">
      <c r="A8" s="6">
        <v>100</v>
      </c>
      <c r="B8" s="6">
        <v>10</v>
      </c>
      <c r="C8" s="11">
        <f>IF(真實IC!C17&gt;真實IC!C$27,1,0)</f>
        <v>0</v>
      </c>
      <c r="D8" s="11">
        <f>IF(真實IC!D17&gt;真實IC!D$27,1,0)</f>
        <v>1</v>
      </c>
      <c r="E8" s="11">
        <f>IF(真實IC!E17&gt;真實IC!E$27,1,0)</f>
        <v>1</v>
      </c>
      <c r="F8" s="11">
        <f>IF(真實IC!F17&gt;真實IC!F$27,1,0)</f>
        <v>1</v>
      </c>
      <c r="G8" s="11">
        <f>IF(真實IC!G17&gt;真實IC!G$27,1,0)</f>
        <v>1</v>
      </c>
      <c r="H8" s="11">
        <f>IF(真實IC!H17&gt;真實IC!H$27,1,0)</f>
        <v>0</v>
      </c>
      <c r="I8" s="11">
        <f>IF(真實IC!I17&gt;真實IC!I$27,1,0)</f>
        <v>1</v>
      </c>
      <c r="J8" s="11">
        <f>IF(真實IC!J17&gt;真實IC!J$27,1,0)</f>
        <v>1</v>
      </c>
      <c r="K8" s="11">
        <f>IF(真實IC!K17&gt;真實IC!K$27,1,0)</f>
        <v>1</v>
      </c>
      <c r="L8" s="11">
        <f>IF(真實IC!L17&gt;真實IC!L$27,1,0)</f>
        <v>1</v>
      </c>
      <c r="M8" s="11">
        <f>IF(真實IC!M17&gt;真實IC!M$27,1,0)</f>
        <v>1</v>
      </c>
      <c r="N8" s="11">
        <f>IF(真實IC!N17&gt;真實IC!N$27,1,0)</f>
        <v>1</v>
      </c>
      <c r="O8" s="11">
        <f>IF(真實IC!O17&gt;真實IC!O$27,1,0)</f>
        <v>0</v>
      </c>
      <c r="P8" s="11">
        <f>IF(真實IC!P17&gt;真實IC!P$27,1,0)</f>
        <v>0</v>
      </c>
      <c r="Q8" s="11">
        <f>IF(真實IC!Q17&gt;真實IC!Q$27,1,0)</f>
        <v>1</v>
      </c>
      <c r="R8" s="11">
        <f>IF(真實IC!R17&gt;真實IC!R$27,1,0)</f>
        <v>0</v>
      </c>
      <c r="S8" s="11">
        <f>IF(真實IC!S17&gt;真實IC!S$27,1,0)</f>
        <v>1</v>
      </c>
      <c r="T8" s="11">
        <f>IF(真實IC!T17&gt;真實IC!T$27,1,0)</f>
        <v>1</v>
      </c>
      <c r="U8" s="11">
        <f>IF(真實IC!U17&gt;真實IC!U$27,1,0)</f>
        <v>1</v>
      </c>
      <c r="V8" s="11">
        <f>IF(真實IC!V17&gt;真實IC!V$27,1,0)</f>
        <v>1</v>
      </c>
      <c r="W8" s="11">
        <f>IF(真實IC!W17&gt;真實IC!W$27,1,0)</f>
        <v>1</v>
      </c>
      <c r="X8" s="11">
        <f>IF(真實IC!X17&gt;真實IC!X$27,1,0)</f>
        <v>1</v>
      </c>
      <c r="Y8" s="11">
        <f>IF(真實IC!Y17&gt;真實IC!Y$27,1,0)</f>
        <v>1</v>
      </c>
      <c r="Z8" s="11">
        <f>IF(真實IC!Z17&gt;真實IC!Z$27,1,0)</f>
        <v>1</v>
      </c>
      <c r="AA8" s="11">
        <f>IF(真實IC!AA17&gt;真實IC!AA$27,1,0)</f>
        <v>1</v>
      </c>
      <c r="AB8" s="11">
        <f>IF(真實IC!AB17&gt;真實IC!AB$27,1,0)</f>
        <v>1</v>
      </c>
      <c r="AC8" s="11">
        <f>IF(真實IC!AC17&gt;真實IC!AC$27,1,0)</f>
        <v>1</v>
      </c>
      <c r="AD8" s="11">
        <f>IF(真實IC!AD17&gt;真實IC!AD$27,1,0)</f>
        <v>1</v>
      </c>
      <c r="AE8" s="11">
        <f>IF(真實IC!AE17&gt;真實IC!AE$27,1,0)</f>
        <v>1</v>
      </c>
      <c r="AF8" s="11">
        <f>IF(真實IC!AF17&gt;真實IC!AF$27,1,0)</f>
        <v>1</v>
      </c>
      <c r="AG8" s="11">
        <f>IF(真實IC!AG17&gt;真實IC!AG$27,1,0)</f>
        <v>0</v>
      </c>
      <c r="AH8" s="11">
        <f>IF(真實IC!AH17&gt;真實IC!AH$27,1,0)</f>
        <v>1</v>
      </c>
      <c r="AI8" s="11">
        <f>IF(真實IC!AI17&gt;真實IC!AI$27,1,0)</f>
        <v>1</v>
      </c>
      <c r="AJ8" s="11">
        <f>IF(真實IC!AJ17&gt;真實IC!AJ$27,1,0)</f>
        <v>1</v>
      </c>
      <c r="AK8" s="11">
        <f>IF(真實IC!AK17&gt;真實IC!AK$27,1,0)</f>
        <v>1</v>
      </c>
      <c r="AL8" s="11">
        <f>IF(真實IC!AL17&gt;真實IC!AL$27,1,0)</f>
        <v>1</v>
      </c>
      <c r="AM8" s="11">
        <f>IF(真實IC!AM17&gt;真實IC!AM$27,1,0)</f>
        <v>0</v>
      </c>
      <c r="AN8" s="11">
        <f>IF(真實IC!AN17&gt;真實IC!AN$27,1,0)</f>
        <v>0</v>
      </c>
      <c r="AO8" s="11">
        <f>IF(真實IC!AO17&gt;真實IC!AO$27,1,0)</f>
        <v>1</v>
      </c>
      <c r="AP8" s="11">
        <f>IF(真實IC!AP17&gt;真實IC!AP$27,1,0)</f>
        <v>1</v>
      </c>
      <c r="AQ8" s="11">
        <f>IF(真實IC!AQ17&gt;真實IC!AQ$27,1,0)</f>
        <v>1</v>
      </c>
      <c r="AR8" s="11">
        <f>IF(真實IC!AR17&gt;真實IC!AR$27,1,0)</f>
        <v>0</v>
      </c>
      <c r="AS8" s="11">
        <f>IF(真實IC!AS17&gt;真實IC!AS$27,1,0)</f>
        <v>0</v>
      </c>
      <c r="AT8" s="11">
        <f>IF(真實IC!AT17&gt;真實IC!AT$27,1,0)</f>
        <v>1</v>
      </c>
      <c r="AU8" s="11">
        <f>IF(真實IC!AU17&gt;真實IC!AU$27,1,0)</f>
        <v>1</v>
      </c>
      <c r="AV8" s="11">
        <f>IF(真實IC!AV17&gt;真實IC!AV$27,1,0)</f>
        <v>0</v>
      </c>
      <c r="AW8" s="11">
        <f>IF(真實IC!AW17&gt;真實IC!AW$27,1,0)</f>
        <v>1</v>
      </c>
      <c r="AX8" s="11">
        <f>IF(真實IC!AX17&gt;真實IC!AX$27,1,0)</f>
        <v>1</v>
      </c>
      <c r="AY8" s="11">
        <f>IF(真實IC!AY17&gt;真實IC!AY$27,1,0)</f>
        <v>1</v>
      </c>
      <c r="AZ8" s="11">
        <f>IF(真實IC!AZ17&gt;真實IC!AZ$27,1,0)</f>
        <v>1</v>
      </c>
      <c r="BA8" s="11">
        <f>IF(真實IC!BA17&gt;真實IC!BA$27,1,0)</f>
        <v>0</v>
      </c>
      <c r="BB8" s="11">
        <f>IF(真實IC!BB17&gt;真實IC!BB$27,1,0)</f>
        <v>1</v>
      </c>
      <c r="BC8" s="11">
        <f>IF(真實IC!BC17&gt;真實IC!BC$27,1,0)</f>
        <v>1</v>
      </c>
      <c r="BD8" s="11">
        <f>IF(真實IC!BD17&gt;真實IC!BD$27,1,0)</f>
        <v>1</v>
      </c>
      <c r="BE8" s="11">
        <f>IF(真實IC!BE17&gt;真實IC!BE$27,1,0)</f>
        <v>0</v>
      </c>
      <c r="BF8" s="11">
        <f>IF(真實IC!BF17&gt;真實IC!BF$27,1,0)</f>
        <v>1</v>
      </c>
      <c r="BG8" s="11">
        <f>IF(真實IC!BG17&gt;真實IC!BG$27,1,0)</f>
        <v>1</v>
      </c>
      <c r="BH8" s="11">
        <f>IF(真實IC!BH17&gt;真實IC!BH$27,1,0)</f>
        <v>1</v>
      </c>
      <c r="BI8" s="11">
        <f>IF(真實IC!BI17&gt;真實IC!BI$27,1,0)</f>
        <v>1</v>
      </c>
      <c r="BJ8" s="11">
        <f>IF(真實IC!BJ17&gt;真實IC!BJ$27,1,0)</f>
        <v>1</v>
      </c>
      <c r="BK8" s="11">
        <f>IF(真實IC!BK17&gt;真實IC!BK$27,1,0)</f>
        <v>1</v>
      </c>
      <c r="BL8" s="11">
        <f>IF(真實IC!BL17&gt;真實IC!BL$27,1,0)</f>
        <v>0</v>
      </c>
      <c r="BM8" s="11">
        <f>IF(真實IC!BM17&gt;真實IC!BM$27,1,0)</f>
        <v>0</v>
      </c>
      <c r="BN8" s="11">
        <f>IF(真實IC!BN17&gt;真實IC!BN$27,1,0)</f>
        <v>1</v>
      </c>
      <c r="BO8" s="11">
        <f>IF(真實IC!BO17&gt;真實IC!BO$27,1,0)</f>
        <v>1</v>
      </c>
      <c r="BP8" s="11">
        <f>IF(真實IC!BP17&gt;真實IC!BP$27,1,0)</f>
        <v>1</v>
      </c>
      <c r="BQ8" s="11">
        <f>IF(真實IC!BQ17&gt;真實IC!BQ$27,1,0)</f>
        <v>0</v>
      </c>
      <c r="BR8" s="11">
        <f>IF(真實IC!BR17&gt;真實IC!BR$27,1,0)</f>
        <v>1</v>
      </c>
      <c r="BS8" s="11">
        <f>IF(真實IC!BS17&gt;真實IC!BS$27,1,0)</f>
        <v>0</v>
      </c>
      <c r="BT8" s="11">
        <f>IF(真實IC!BT17&gt;真實IC!BT$27,1,0)</f>
        <v>0</v>
      </c>
      <c r="BU8" s="11">
        <f>IF(真實IC!BU17&gt;真實IC!BU$27,1,0)</f>
        <v>0</v>
      </c>
      <c r="BV8" s="11">
        <f>IF(真實IC!BV17&gt;真實IC!BV$27,1,0)</f>
        <v>1</v>
      </c>
      <c r="BW8" s="11">
        <f>IF(真實IC!BW17&gt;真實IC!BW$27,1,0)</f>
        <v>1</v>
      </c>
      <c r="BX8" s="11">
        <f>IF(真實IC!BX17&gt;真實IC!BX$27,1,0)</f>
        <v>1</v>
      </c>
      <c r="BY8" s="11">
        <f>IF(真實IC!BY17&gt;真實IC!BY$27,1,0)</f>
        <v>1</v>
      </c>
      <c r="BZ8" s="11">
        <f>IF(真實IC!BZ17&gt;真實IC!BZ$27,1,0)</f>
        <v>0</v>
      </c>
      <c r="CA8" s="11">
        <f>IF(真實IC!CA17&gt;真實IC!CA$27,1,0)</f>
        <v>0</v>
      </c>
      <c r="CB8" s="11">
        <f>IF(真實IC!CB17&gt;真實IC!CB$27,1,0)</f>
        <v>1</v>
      </c>
      <c r="CC8" s="11">
        <f>IF(真實IC!CC17&gt;真實IC!CC$27,1,0)</f>
        <v>0</v>
      </c>
      <c r="CD8" s="11">
        <f>IF(真實IC!CD17&gt;真實IC!CD$27,1,0)</f>
        <v>0</v>
      </c>
      <c r="CE8" s="11">
        <f>IF(真實IC!CE17&gt;真實IC!CE$27,1,0)</f>
        <v>1</v>
      </c>
      <c r="CF8" s="11">
        <f>IF(真實IC!CF17&gt;真實IC!CF$27,1,0)</f>
        <v>1</v>
      </c>
      <c r="CG8" s="11">
        <f>IF(真實IC!CG17&gt;真實IC!CG$27,1,0)</f>
        <v>0</v>
      </c>
      <c r="CH8" s="11">
        <f>IF(真實IC!CH17&gt;真實IC!CH$27,1,0)</f>
        <v>0</v>
      </c>
      <c r="CI8" s="11">
        <f>IF(真實IC!CI17&gt;真實IC!CI$27,1,0)</f>
        <v>1</v>
      </c>
      <c r="CJ8" s="11">
        <f>IF(真實IC!CJ17&gt;真實IC!CJ$27,1,0)</f>
        <v>1</v>
      </c>
      <c r="CK8" s="11">
        <f>IF(真實IC!CK17&gt;真實IC!CK$27,1,0)</f>
        <v>0</v>
      </c>
      <c r="CL8" s="11">
        <f>IF(真實IC!CL17&gt;真實IC!CL$27,1,0)</f>
        <v>0</v>
      </c>
      <c r="CM8" s="11">
        <f>IF(真實IC!CM17&gt;真實IC!CM$27,1,0)</f>
        <v>1</v>
      </c>
      <c r="CN8" s="11">
        <f>IF(真實IC!CN17&gt;真實IC!CN$27,1,0)</f>
        <v>1</v>
      </c>
      <c r="CO8" s="11">
        <f>IF(真實IC!CO17&gt;真實IC!CO$27,1,0)</f>
        <v>1</v>
      </c>
      <c r="CP8" s="11">
        <f>IF(真實IC!CP17&gt;真實IC!CP$27,1,0)</f>
        <v>1</v>
      </c>
      <c r="CQ8" s="11">
        <f>IF(真實IC!CQ17&gt;真實IC!CQ$27,1,0)</f>
        <v>1</v>
      </c>
      <c r="CR8" s="11">
        <f>IF(真實IC!CR17&gt;真實IC!CR$27,1,0)</f>
        <v>1</v>
      </c>
      <c r="CS8" s="11">
        <f>IF(真實IC!CS17&gt;真實IC!CS$27,1,0)</f>
        <v>0</v>
      </c>
      <c r="CT8" s="11">
        <f>IF(真實IC!CT17&gt;真實IC!CT$27,1,0)</f>
        <v>1</v>
      </c>
      <c r="CU8" s="11">
        <f>IF(真實IC!CU17&gt;真實IC!CU$27,1,0)</f>
        <v>1</v>
      </c>
      <c r="CV8" s="11">
        <f>IF(真實IC!CV17&gt;真實IC!CV$27,1,0)</f>
        <v>1</v>
      </c>
      <c r="CW8" s="11">
        <f>IF(真實IC!CW17&gt;真實IC!CW$27,1,0)</f>
        <v>1</v>
      </c>
      <c r="CX8" s="11">
        <f>IF(真實IC!CX17&gt;真實IC!CX$27,1,0)</f>
        <v>1</v>
      </c>
      <c r="CY8" s="11">
        <f>IF(真實IC!CY17&gt;真實IC!CY$27,1,0)</f>
        <v>0</v>
      </c>
      <c r="CZ8" s="11">
        <f>IF(真實IC!CZ17&gt;真實IC!CZ$27,1,0)</f>
        <v>1</v>
      </c>
      <c r="DA8" s="11">
        <f>IF(真實IC!DA17&gt;真實IC!DA$27,1,0)</f>
        <v>1</v>
      </c>
      <c r="DB8" s="11">
        <f>IF(真實IC!DB17&gt;真實IC!DB$27,1,0)</f>
        <v>0</v>
      </c>
      <c r="DC8" s="11">
        <f>IF(真實IC!DC17&gt;真實IC!DC$27,1,0)</f>
        <v>1</v>
      </c>
      <c r="DD8" s="11">
        <f>IF(真實IC!DD17&gt;真實IC!DD$27,1,0)</f>
        <v>1</v>
      </c>
      <c r="DE8" s="11">
        <f>IF(真實IC!DE17&gt;真實IC!DE$27,1,0)</f>
        <v>0</v>
      </c>
      <c r="DF8" s="11">
        <f>IF(真實IC!DF17&gt;真實IC!DF$27,1,0)</f>
        <v>1</v>
      </c>
      <c r="DG8" s="11">
        <f>IF(真實IC!DG17&gt;真實IC!DG$27,1,0)</f>
        <v>0</v>
      </c>
      <c r="DH8" s="11">
        <f>IF(真實IC!DH17&gt;真實IC!DH$27,1,0)</f>
        <v>0</v>
      </c>
      <c r="DI8" s="11">
        <f>IF(真實IC!DI17&gt;真實IC!DI$27,1,0)</f>
        <v>0</v>
      </c>
      <c r="DJ8" s="11">
        <f>IF(真實IC!DJ17&gt;真實IC!DJ$27,1,0)</f>
        <v>1</v>
      </c>
      <c r="DK8" s="11">
        <f>IF(真實IC!DK17&gt;真實IC!DK$27,1,0)</f>
        <v>0</v>
      </c>
      <c r="DL8" s="11">
        <f>IF(真實IC!DL17&gt;真實IC!DL$27,1,0)</f>
        <v>1</v>
      </c>
      <c r="DM8" s="11">
        <f>IF(真實IC!DM17&gt;真實IC!DM$27,1,0)</f>
        <v>0</v>
      </c>
      <c r="DN8" s="11">
        <f>IF(真實IC!DN17&gt;真實IC!DN$27,1,0)</f>
        <v>0</v>
      </c>
      <c r="DO8" s="11">
        <f>IF(真實IC!DO17&gt;真實IC!DO$27,1,0)</f>
        <v>1</v>
      </c>
      <c r="DP8" s="11">
        <f>IF(真實IC!DP17&gt;真實IC!DP$27,1,0)</f>
        <v>1</v>
      </c>
      <c r="DQ8" s="11">
        <f>IF(真實IC!DQ17&gt;真實IC!DQ$27,1,0)</f>
        <v>0</v>
      </c>
      <c r="DR8" s="11">
        <f>IF(真實IC!DR17&gt;真實IC!DR$27,1,0)</f>
        <v>0</v>
      </c>
      <c r="DS8" s="11">
        <f>IF(真實IC!DS17&gt;真實IC!DS$27,1,0)</f>
        <v>0</v>
      </c>
      <c r="DT8" s="11">
        <f>IF(真實IC!DT17&gt;真實IC!DT$27,1,0)</f>
        <v>0</v>
      </c>
      <c r="DU8" s="11">
        <f>IF(真實IC!DU17&gt;真實IC!DU$27,1,0)</f>
        <v>1</v>
      </c>
      <c r="DV8" s="11">
        <f>IF(真實IC!DV17&gt;真實IC!DV$27,1,0)</f>
        <v>1</v>
      </c>
      <c r="DW8" s="11">
        <f>IF(真實IC!DW17&gt;真實IC!DW$27,1,0)</f>
        <v>1</v>
      </c>
      <c r="DX8" s="11">
        <f>IF(真實IC!DX17&gt;真實IC!DX$27,1,0)</f>
        <v>1</v>
      </c>
      <c r="DY8" s="11">
        <f>IF(真實IC!DY17&gt;真實IC!DY$27,1,0)</f>
        <v>1</v>
      </c>
      <c r="DZ8" s="11">
        <f>IF(真實IC!DZ17&gt;真實IC!DZ$27,1,0)</f>
        <v>0</v>
      </c>
      <c r="EA8" s="11">
        <f>IF(真實IC!EA17&gt;真實IC!EA$27,1,0)</f>
        <v>1</v>
      </c>
      <c r="EB8" s="11">
        <f>IF(真實IC!EB17&gt;真實IC!EB$27,1,0)</f>
        <v>1</v>
      </c>
      <c r="EC8" s="11">
        <f>IF(真實IC!EC17&gt;真實IC!EC$27,1,0)</f>
        <v>1</v>
      </c>
      <c r="ED8" s="11">
        <f>IF(真實IC!ED17&gt;真實IC!ED$27,1,0)</f>
        <v>1</v>
      </c>
      <c r="EE8" s="11">
        <f>IF(真實IC!EE17&gt;真實IC!EE$27,1,0)</f>
        <v>0</v>
      </c>
      <c r="EF8" s="11">
        <f>IF(真實IC!EF17&gt;真實IC!EF$27,1,0)</f>
        <v>0</v>
      </c>
      <c r="EG8" s="1">
        <f t="shared" si="0"/>
        <v>90</v>
      </c>
      <c r="EH8" s="61">
        <f t="shared" si="1"/>
        <v>0.67164179104477617</v>
      </c>
    </row>
    <row r="9" spans="1:138" s="3" customFormat="1" ht="16">
      <c r="A9" s="6">
        <v>107</v>
      </c>
      <c r="B9" s="6">
        <v>9</v>
      </c>
      <c r="C9" s="11">
        <f>IF(真實IC!C18&gt;真實IC!C$27,1,0)</f>
        <v>0</v>
      </c>
      <c r="D9" s="11">
        <f>IF(真實IC!D18&gt;真實IC!D$27,1,0)</f>
        <v>1</v>
      </c>
      <c r="E9" s="11">
        <f>IF(真實IC!E18&gt;真實IC!E$27,1,0)</f>
        <v>1</v>
      </c>
      <c r="F9" s="11">
        <f>IF(真實IC!F18&gt;真實IC!F$27,1,0)</f>
        <v>1</v>
      </c>
      <c r="G9" s="11">
        <f>IF(真實IC!G18&gt;真實IC!G$27,1,0)</f>
        <v>1</v>
      </c>
      <c r="H9" s="11">
        <f>IF(真實IC!H18&gt;真實IC!H$27,1,0)</f>
        <v>0</v>
      </c>
      <c r="I9" s="11">
        <f>IF(真實IC!I18&gt;真實IC!I$27,1,0)</f>
        <v>1</v>
      </c>
      <c r="J9" s="11">
        <f>IF(真實IC!J18&gt;真實IC!J$27,1,0)</f>
        <v>1</v>
      </c>
      <c r="K9" s="11">
        <f>IF(真實IC!K18&gt;真實IC!K$27,1,0)</f>
        <v>1</v>
      </c>
      <c r="L9" s="11">
        <f>IF(真實IC!L18&gt;真實IC!L$27,1,0)</f>
        <v>1</v>
      </c>
      <c r="M9" s="11">
        <f>IF(真實IC!M18&gt;真實IC!M$27,1,0)</f>
        <v>1</v>
      </c>
      <c r="N9" s="11">
        <f>IF(真實IC!N18&gt;真實IC!N$27,1,0)</f>
        <v>1</v>
      </c>
      <c r="O9" s="11">
        <f>IF(真實IC!O18&gt;真實IC!O$27,1,0)</f>
        <v>0</v>
      </c>
      <c r="P9" s="11">
        <f>IF(真實IC!P18&gt;真實IC!P$27,1,0)</f>
        <v>0</v>
      </c>
      <c r="Q9" s="11">
        <f>IF(真實IC!Q18&gt;真實IC!Q$27,1,0)</f>
        <v>1</v>
      </c>
      <c r="R9" s="11">
        <f>IF(真實IC!R18&gt;真實IC!R$27,1,0)</f>
        <v>0</v>
      </c>
      <c r="S9" s="11">
        <f>IF(真實IC!S18&gt;真實IC!S$27,1,0)</f>
        <v>1</v>
      </c>
      <c r="T9" s="11">
        <f>IF(真實IC!T18&gt;真實IC!T$27,1,0)</f>
        <v>1</v>
      </c>
      <c r="U9" s="11">
        <f>IF(真實IC!U18&gt;真實IC!U$27,1,0)</f>
        <v>1</v>
      </c>
      <c r="V9" s="11">
        <f>IF(真實IC!V18&gt;真實IC!V$27,1,0)</f>
        <v>1</v>
      </c>
      <c r="W9" s="11">
        <f>IF(真實IC!W18&gt;真實IC!W$27,1,0)</f>
        <v>1</v>
      </c>
      <c r="X9" s="11">
        <f>IF(真實IC!X18&gt;真實IC!X$27,1,0)</f>
        <v>1</v>
      </c>
      <c r="Y9" s="11">
        <f>IF(真實IC!Y18&gt;真實IC!Y$27,1,0)</f>
        <v>1</v>
      </c>
      <c r="Z9" s="11">
        <f>IF(真實IC!Z18&gt;真實IC!Z$27,1,0)</f>
        <v>1</v>
      </c>
      <c r="AA9" s="11">
        <f>IF(真實IC!AA18&gt;真實IC!AA$27,1,0)</f>
        <v>1</v>
      </c>
      <c r="AB9" s="11">
        <f>IF(真實IC!AB18&gt;真實IC!AB$27,1,0)</f>
        <v>0</v>
      </c>
      <c r="AC9" s="11">
        <f>IF(真實IC!AC18&gt;真實IC!AC$27,1,0)</f>
        <v>1</v>
      </c>
      <c r="AD9" s="11">
        <f>IF(真實IC!AD18&gt;真實IC!AD$27,1,0)</f>
        <v>1</v>
      </c>
      <c r="AE9" s="11">
        <f>IF(真實IC!AE18&gt;真實IC!AE$27,1,0)</f>
        <v>1</v>
      </c>
      <c r="AF9" s="11">
        <f>IF(真實IC!AF18&gt;真實IC!AF$27,1,0)</f>
        <v>1</v>
      </c>
      <c r="AG9" s="11">
        <f>IF(真實IC!AG18&gt;真實IC!AG$27,1,0)</f>
        <v>0</v>
      </c>
      <c r="AH9" s="11">
        <f>IF(真實IC!AH18&gt;真實IC!AH$27,1,0)</f>
        <v>1</v>
      </c>
      <c r="AI9" s="11">
        <f>IF(真實IC!AI18&gt;真實IC!AI$27,1,0)</f>
        <v>1</v>
      </c>
      <c r="AJ9" s="11">
        <f>IF(真實IC!AJ18&gt;真實IC!AJ$27,1,0)</f>
        <v>1</v>
      </c>
      <c r="AK9" s="11">
        <f>IF(真實IC!AK18&gt;真實IC!AK$27,1,0)</f>
        <v>1</v>
      </c>
      <c r="AL9" s="11">
        <f>IF(真實IC!AL18&gt;真實IC!AL$27,1,0)</f>
        <v>1</v>
      </c>
      <c r="AM9" s="11">
        <f>IF(真實IC!AM18&gt;真實IC!AM$27,1,0)</f>
        <v>0</v>
      </c>
      <c r="AN9" s="11">
        <f>IF(真實IC!AN18&gt;真實IC!AN$27,1,0)</f>
        <v>0</v>
      </c>
      <c r="AO9" s="11">
        <f>IF(真實IC!AO18&gt;真實IC!AO$27,1,0)</f>
        <v>1</v>
      </c>
      <c r="AP9" s="11">
        <f>IF(真實IC!AP18&gt;真實IC!AP$27,1,0)</f>
        <v>1</v>
      </c>
      <c r="AQ9" s="11">
        <f>IF(真實IC!AQ18&gt;真實IC!AQ$27,1,0)</f>
        <v>1</v>
      </c>
      <c r="AR9" s="11">
        <f>IF(真實IC!AR18&gt;真實IC!AR$27,1,0)</f>
        <v>0</v>
      </c>
      <c r="AS9" s="11">
        <f>IF(真實IC!AS18&gt;真實IC!AS$27,1,0)</f>
        <v>0</v>
      </c>
      <c r="AT9" s="11">
        <f>IF(真實IC!AT18&gt;真實IC!AT$27,1,0)</f>
        <v>1</v>
      </c>
      <c r="AU9" s="11">
        <f>IF(真實IC!AU18&gt;真實IC!AU$27,1,0)</f>
        <v>1</v>
      </c>
      <c r="AV9" s="11">
        <f>IF(真實IC!AV18&gt;真實IC!AV$27,1,0)</f>
        <v>0</v>
      </c>
      <c r="AW9" s="11">
        <f>IF(真實IC!AW18&gt;真實IC!AW$27,1,0)</f>
        <v>1</v>
      </c>
      <c r="AX9" s="11">
        <f>IF(真實IC!AX18&gt;真實IC!AX$27,1,0)</f>
        <v>1</v>
      </c>
      <c r="AY9" s="11">
        <f>IF(真實IC!AY18&gt;真實IC!AY$27,1,0)</f>
        <v>1</v>
      </c>
      <c r="AZ9" s="11">
        <f>IF(真實IC!AZ18&gt;真實IC!AZ$27,1,0)</f>
        <v>1</v>
      </c>
      <c r="BA9" s="11">
        <f>IF(真實IC!BA18&gt;真實IC!BA$27,1,0)</f>
        <v>1</v>
      </c>
      <c r="BB9" s="11">
        <f>IF(真實IC!BB18&gt;真實IC!BB$27,1,0)</f>
        <v>1</v>
      </c>
      <c r="BC9" s="11">
        <f>IF(真實IC!BC18&gt;真實IC!BC$27,1,0)</f>
        <v>1</v>
      </c>
      <c r="BD9" s="11">
        <f>IF(真實IC!BD18&gt;真實IC!BD$27,1,0)</f>
        <v>0</v>
      </c>
      <c r="BE9" s="11">
        <f>IF(真實IC!BE18&gt;真實IC!BE$27,1,0)</f>
        <v>0</v>
      </c>
      <c r="BF9" s="11">
        <f>IF(真實IC!BF18&gt;真實IC!BF$27,1,0)</f>
        <v>1</v>
      </c>
      <c r="BG9" s="11">
        <f>IF(真實IC!BG18&gt;真實IC!BG$27,1,0)</f>
        <v>1</v>
      </c>
      <c r="BH9" s="11">
        <f>IF(真實IC!BH18&gt;真實IC!BH$27,1,0)</f>
        <v>1</v>
      </c>
      <c r="BI9" s="11">
        <f>IF(真實IC!BI18&gt;真實IC!BI$27,1,0)</f>
        <v>1</v>
      </c>
      <c r="BJ9" s="11">
        <f>IF(真實IC!BJ18&gt;真實IC!BJ$27,1,0)</f>
        <v>1</v>
      </c>
      <c r="BK9" s="11">
        <f>IF(真實IC!BK18&gt;真實IC!BK$27,1,0)</f>
        <v>1</v>
      </c>
      <c r="BL9" s="11">
        <f>IF(真實IC!BL18&gt;真實IC!BL$27,1,0)</f>
        <v>0</v>
      </c>
      <c r="BM9" s="11">
        <f>IF(真實IC!BM18&gt;真實IC!BM$27,1,0)</f>
        <v>0</v>
      </c>
      <c r="BN9" s="11">
        <f>IF(真實IC!BN18&gt;真實IC!BN$27,1,0)</f>
        <v>1</v>
      </c>
      <c r="BO9" s="11">
        <f>IF(真實IC!BO18&gt;真實IC!BO$27,1,0)</f>
        <v>1</v>
      </c>
      <c r="BP9" s="11">
        <f>IF(真實IC!BP18&gt;真實IC!BP$27,1,0)</f>
        <v>1</v>
      </c>
      <c r="BQ9" s="11">
        <f>IF(真實IC!BQ18&gt;真實IC!BQ$27,1,0)</f>
        <v>1</v>
      </c>
      <c r="BR9" s="11">
        <f>IF(真實IC!BR18&gt;真實IC!BR$27,1,0)</f>
        <v>1</v>
      </c>
      <c r="BS9" s="11">
        <f>IF(真實IC!BS18&gt;真實IC!BS$27,1,0)</f>
        <v>1</v>
      </c>
      <c r="BT9" s="11">
        <f>IF(真實IC!BT18&gt;真實IC!BT$27,1,0)</f>
        <v>0</v>
      </c>
      <c r="BU9" s="11">
        <f>IF(真實IC!BU18&gt;真實IC!BU$27,1,0)</f>
        <v>0</v>
      </c>
      <c r="BV9" s="11">
        <f>IF(真實IC!BV18&gt;真實IC!BV$27,1,0)</f>
        <v>1</v>
      </c>
      <c r="BW9" s="11">
        <f>IF(真實IC!BW18&gt;真實IC!BW$27,1,0)</f>
        <v>1</v>
      </c>
      <c r="BX9" s="11">
        <f>IF(真實IC!BX18&gt;真實IC!BX$27,1,0)</f>
        <v>1</v>
      </c>
      <c r="BY9" s="11">
        <f>IF(真實IC!BY18&gt;真實IC!BY$27,1,0)</f>
        <v>1</v>
      </c>
      <c r="BZ9" s="11">
        <f>IF(真實IC!BZ18&gt;真實IC!BZ$27,1,0)</f>
        <v>0</v>
      </c>
      <c r="CA9" s="11">
        <f>IF(真實IC!CA18&gt;真實IC!CA$27,1,0)</f>
        <v>0</v>
      </c>
      <c r="CB9" s="11">
        <f>IF(真實IC!CB18&gt;真實IC!CB$27,1,0)</f>
        <v>1</v>
      </c>
      <c r="CC9" s="11">
        <f>IF(真實IC!CC18&gt;真實IC!CC$27,1,0)</f>
        <v>0</v>
      </c>
      <c r="CD9" s="11">
        <f>IF(真實IC!CD18&gt;真實IC!CD$27,1,0)</f>
        <v>1</v>
      </c>
      <c r="CE9" s="11">
        <f>IF(真實IC!CE18&gt;真實IC!CE$27,1,0)</f>
        <v>1</v>
      </c>
      <c r="CF9" s="11">
        <f>IF(真實IC!CF18&gt;真實IC!CF$27,1,0)</f>
        <v>0</v>
      </c>
      <c r="CG9" s="11">
        <f>IF(真實IC!CG18&gt;真實IC!CG$27,1,0)</f>
        <v>0</v>
      </c>
      <c r="CH9" s="11">
        <f>IF(真實IC!CH18&gt;真實IC!CH$27,1,0)</f>
        <v>0</v>
      </c>
      <c r="CI9" s="11">
        <f>IF(真實IC!CI18&gt;真實IC!CI$27,1,0)</f>
        <v>1</v>
      </c>
      <c r="CJ9" s="11">
        <f>IF(真實IC!CJ18&gt;真實IC!CJ$27,1,0)</f>
        <v>1</v>
      </c>
      <c r="CK9" s="11">
        <f>IF(真實IC!CK18&gt;真實IC!CK$27,1,0)</f>
        <v>1</v>
      </c>
      <c r="CL9" s="11">
        <f>IF(真實IC!CL18&gt;真實IC!CL$27,1,0)</f>
        <v>1</v>
      </c>
      <c r="CM9" s="11">
        <f>IF(真實IC!CM18&gt;真實IC!CM$27,1,0)</f>
        <v>1</v>
      </c>
      <c r="CN9" s="11">
        <f>IF(真實IC!CN18&gt;真實IC!CN$27,1,0)</f>
        <v>1</v>
      </c>
      <c r="CO9" s="11">
        <f>IF(真實IC!CO18&gt;真實IC!CO$27,1,0)</f>
        <v>1</v>
      </c>
      <c r="CP9" s="11">
        <f>IF(真實IC!CP18&gt;真實IC!CP$27,1,0)</f>
        <v>1</v>
      </c>
      <c r="CQ9" s="11">
        <f>IF(真實IC!CQ18&gt;真實IC!CQ$27,1,0)</f>
        <v>1</v>
      </c>
      <c r="CR9" s="11">
        <f>IF(真實IC!CR18&gt;真實IC!CR$27,1,0)</f>
        <v>1</v>
      </c>
      <c r="CS9" s="11">
        <f>IF(真實IC!CS18&gt;真實IC!CS$27,1,0)</f>
        <v>0</v>
      </c>
      <c r="CT9" s="11">
        <f>IF(真實IC!CT18&gt;真實IC!CT$27,1,0)</f>
        <v>1</v>
      </c>
      <c r="CU9" s="11">
        <f>IF(真實IC!CU18&gt;真實IC!CU$27,1,0)</f>
        <v>1</v>
      </c>
      <c r="CV9" s="11">
        <f>IF(真實IC!CV18&gt;真實IC!CV$27,1,0)</f>
        <v>1</v>
      </c>
      <c r="CW9" s="11">
        <f>IF(真實IC!CW18&gt;真實IC!CW$27,1,0)</f>
        <v>1</v>
      </c>
      <c r="CX9" s="11">
        <f>IF(真實IC!CX18&gt;真實IC!CX$27,1,0)</f>
        <v>1</v>
      </c>
      <c r="CY9" s="11">
        <f>IF(真實IC!CY18&gt;真實IC!CY$27,1,0)</f>
        <v>0</v>
      </c>
      <c r="CZ9" s="11">
        <f>IF(真實IC!CZ18&gt;真實IC!CZ$27,1,0)</f>
        <v>1</v>
      </c>
      <c r="DA9" s="11">
        <f>IF(真實IC!DA18&gt;真實IC!DA$27,1,0)</f>
        <v>1</v>
      </c>
      <c r="DB9" s="11">
        <f>IF(真實IC!DB18&gt;真實IC!DB$27,1,0)</f>
        <v>0</v>
      </c>
      <c r="DC9" s="11">
        <f>IF(真實IC!DC18&gt;真實IC!DC$27,1,0)</f>
        <v>1</v>
      </c>
      <c r="DD9" s="11">
        <f>IF(真實IC!DD18&gt;真實IC!DD$27,1,0)</f>
        <v>1</v>
      </c>
      <c r="DE9" s="11">
        <f>IF(真實IC!DE18&gt;真實IC!DE$27,1,0)</f>
        <v>0</v>
      </c>
      <c r="DF9" s="11">
        <f>IF(真實IC!DF18&gt;真實IC!DF$27,1,0)</f>
        <v>1</v>
      </c>
      <c r="DG9" s="11">
        <f>IF(真實IC!DG18&gt;真實IC!DG$27,1,0)</f>
        <v>0</v>
      </c>
      <c r="DH9" s="11">
        <f>IF(真實IC!DH18&gt;真實IC!DH$27,1,0)</f>
        <v>0</v>
      </c>
      <c r="DI9" s="11">
        <f>IF(真實IC!DI18&gt;真實IC!DI$27,1,0)</f>
        <v>0</v>
      </c>
      <c r="DJ9" s="11">
        <f>IF(真實IC!DJ18&gt;真實IC!DJ$27,1,0)</f>
        <v>1</v>
      </c>
      <c r="DK9" s="11">
        <f>IF(真實IC!DK18&gt;真實IC!DK$27,1,0)</f>
        <v>0</v>
      </c>
      <c r="DL9" s="11">
        <f>IF(真實IC!DL18&gt;真實IC!DL$27,1,0)</f>
        <v>1</v>
      </c>
      <c r="DM9" s="11">
        <f>IF(真實IC!DM18&gt;真實IC!DM$27,1,0)</f>
        <v>0</v>
      </c>
      <c r="DN9" s="11">
        <f>IF(真實IC!DN18&gt;真實IC!DN$27,1,0)</f>
        <v>0</v>
      </c>
      <c r="DO9" s="11">
        <f>IF(真實IC!DO18&gt;真實IC!DO$27,1,0)</f>
        <v>1</v>
      </c>
      <c r="DP9" s="11">
        <f>IF(真實IC!DP18&gt;真實IC!DP$27,1,0)</f>
        <v>1</v>
      </c>
      <c r="DQ9" s="11">
        <f>IF(真實IC!DQ18&gt;真實IC!DQ$27,1,0)</f>
        <v>0</v>
      </c>
      <c r="DR9" s="11">
        <f>IF(真實IC!DR18&gt;真實IC!DR$27,1,0)</f>
        <v>0</v>
      </c>
      <c r="DS9" s="11">
        <f>IF(真實IC!DS18&gt;真實IC!DS$27,1,0)</f>
        <v>1</v>
      </c>
      <c r="DT9" s="11">
        <f>IF(真實IC!DT18&gt;真實IC!DT$27,1,0)</f>
        <v>0</v>
      </c>
      <c r="DU9" s="11">
        <f>IF(真實IC!DU18&gt;真實IC!DU$27,1,0)</f>
        <v>1</v>
      </c>
      <c r="DV9" s="11">
        <f>IF(真實IC!DV18&gt;真實IC!DV$27,1,0)</f>
        <v>1</v>
      </c>
      <c r="DW9" s="11">
        <f>IF(真實IC!DW18&gt;真實IC!DW$27,1,0)</f>
        <v>1</v>
      </c>
      <c r="DX9" s="11">
        <f>IF(真實IC!DX18&gt;真實IC!DX$27,1,0)</f>
        <v>1</v>
      </c>
      <c r="DY9" s="11">
        <f>IF(真實IC!DY18&gt;真實IC!DY$27,1,0)</f>
        <v>1</v>
      </c>
      <c r="DZ9" s="11">
        <f>IF(真實IC!DZ18&gt;真實IC!DZ$27,1,0)</f>
        <v>0</v>
      </c>
      <c r="EA9" s="11">
        <f>IF(真實IC!EA18&gt;真實IC!EA$27,1,0)</f>
        <v>1</v>
      </c>
      <c r="EB9" s="11">
        <f>IF(真實IC!EB18&gt;真實IC!EB$27,1,0)</f>
        <v>1</v>
      </c>
      <c r="EC9" s="11">
        <f>IF(真實IC!EC18&gt;真實IC!EC$27,1,0)</f>
        <v>1</v>
      </c>
      <c r="ED9" s="11">
        <f>IF(真實IC!ED18&gt;真實IC!ED$27,1,0)</f>
        <v>1</v>
      </c>
      <c r="EE9" s="11">
        <f>IF(真實IC!EE18&gt;真實IC!EE$27,1,0)</f>
        <v>0</v>
      </c>
      <c r="EF9" s="11">
        <f>IF(真實IC!EF18&gt;真實IC!EF$27,1,0)</f>
        <v>0</v>
      </c>
      <c r="EG9" s="1">
        <f t="shared" si="0"/>
        <v>94</v>
      </c>
      <c r="EH9" s="61">
        <f t="shared" si="1"/>
        <v>0.70149253731343286</v>
      </c>
    </row>
    <row r="10" spans="1:138" s="3" customFormat="1" ht="16">
      <c r="A10" s="6">
        <v>120</v>
      </c>
      <c r="B10" s="6">
        <v>8</v>
      </c>
      <c r="C10" s="11">
        <f>IF(真實IC!C19&gt;真實IC!C$27,1,0)</f>
        <v>0</v>
      </c>
      <c r="D10" s="11">
        <f>IF(真實IC!D19&gt;真實IC!D$27,1,0)</f>
        <v>1</v>
      </c>
      <c r="E10" s="11">
        <f>IF(真實IC!E19&gt;真實IC!E$27,1,0)</f>
        <v>1</v>
      </c>
      <c r="F10" s="11">
        <f>IF(真實IC!F19&gt;真實IC!F$27,1,0)</f>
        <v>1</v>
      </c>
      <c r="G10" s="11">
        <f>IF(真實IC!G19&gt;真實IC!G$27,1,0)</f>
        <v>1</v>
      </c>
      <c r="H10" s="11">
        <f>IF(真實IC!H19&gt;真實IC!H$27,1,0)</f>
        <v>0</v>
      </c>
      <c r="I10" s="11">
        <f>IF(真實IC!I19&gt;真實IC!I$27,1,0)</f>
        <v>1</v>
      </c>
      <c r="J10" s="11">
        <f>IF(真實IC!J19&gt;真實IC!J$27,1,0)</f>
        <v>1</v>
      </c>
      <c r="K10" s="11">
        <f>IF(真實IC!K19&gt;真實IC!K$27,1,0)</f>
        <v>1</v>
      </c>
      <c r="L10" s="11">
        <f>IF(真實IC!L19&gt;真實IC!L$27,1,0)</f>
        <v>1</v>
      </c>
      <c r="M10" s="11">
        <f>IF(真實IC!M19&gt;真實IC!M$27,1,0)</f>
        <v>1</v>
      </c>
      <c r="N10" s="11">
        <f>IF(真實IC!N19&gt;真實IC!N$27,1,0)</f>
        <v>1</v>
      </c>
      <c r="O10" s="11">
        <f>IF(真實IC!O19&gt;真實IC!O$27,1,0)</f>
        <v>0</v>
      </c>
      <c r="P10" s="11">
        <f>IF(真實IC!P19&gt;真實IC!P$27,1,0)</f>
        <v>0</v>
      </c>
      <c r="Q10" s="11">
        <f>IF(真實IC!Q19&gt;真實IC!Q$27,1,0)</f>
        <v>1</v>
      </c>
      <c r="R10" s="11">
        <f>IF(真實IC!R19&gt;真實IC!R$27,1,0)</f>
        <v>0</v>
      </c>
      <c r="S10" s="11">
        <f>IF(真實IC!S19&gt;真實IC!S$27,1,0)</f>
        <v>1</v>
      </c>
      <c r="T10" s="11">
        <f>IF(真實IC!T19&gt;真實IC!T$27,1,0)</f>
        <v>1</v>
      </c>
      <c r="U10" s="11">
        <f>IF(真實IC!U19&gt;真實IC!U$27,1,0)</f>
        <v>1</v>
      </c>
      <c r="V10" s="11">
        <f>IF(真實IC!V19&gt;真實IC!V$27,1,0)</f>
        <v>1</v>
      </c>
      <c r="W10" s="11">
        <f>IF(真實IC!W19&gt;真實IC!W$27,1,0)</f>
        <v>1</v>
      </c>
      <c r="X10" s="11">
        <f>IF(真實IC!X19&gt;真實IC!X$27,1,0)</f>
        <v>1</v>
      </c>
      <c r="Y10" s="11">
        <f>IF(真實IC!Y19&gt;真實IC!Y$27,1,0)</f>
        <v>1</v>
      </c>
      <c r="Z10" s="11">
        <f>IF(真實IC!Z19&gt;真實IC!Z$27,1,0)</f>
        <v>1</v>
      </c>
      <c r="AA10" s="11">
        <f>IF(真實IC!AA19&gt;真實IC!AA$27,1,0)</f>
        <v>1</v>
      </c>
      <c r="AB10" s="11">
        <f>IF(真實IC!AB19&gt;真實IC!AB$27,1,0)</f>
        <v>1</v>
      </c>
      <c r="AC10" s="11">
        <f>IF(真實IC!AC19&gt;真實IC!AC$27,1,0)</f>
        <v>1</v>
      </c>
      <c r="AD10" s="11">
        <f>IF(真實IC!AD19&gt;真實IC!AD$27,1,0)</f>
        <v>1</v>
      </c>
      <c r="AE10" s="11">
        <f>IF(真實IC!AE19&gt;真實IC!AE$27,1,0)</f>
        <v>1</v>
      </c>
      <c r="AF10" s="11">
        <f>IF(真實IC!AF19&gt;真實IC!AF$27,1,0)</f>
        <v>1</v>
      </c>
      <c r="AG10" s="11">
        <f>IF(真實IC!AG19&gt;真實IC!AG$27,1,0)</f>
        <v>0</v>
      </c>
      <c r="AH10" s="11">
        <f>IF(真實IC!AH19&gt;真實IC!AH$27,1,0)</f>
        <v>1</v>
      </c>
      <c r="AI10" s="11">
        <f>IF(真實IC!AI19&gt;真實IC!AI$27,1,0)</f>
        <v>1</v>
      </c>
      <c r="AJ10" s="11">
        <f>IF(真實IC!AJ19&gt;真實IC!AJ$27,1,0)</f>
        <v>1</v>
      </c>
      <c r="AK10" s="11">
        <f>IF(真實IC!AK19&gt;真實IC!AK$27,1,0)</f>
        <v>1</v>
      </c>
      <c r="AL10" s="11">
        <f>IF(真實IC!AL19&gt;真實IC!AL$27,1,0)</f>
        <v>1</v>
      </c>
      <c r="AM10" s="11">
        <f>IF(真實IC!AM19&gt;真實IC!AM$27,1,0)</f>
        <v>0</v>
      </c>
      <c r="AN10" s="11">
        <f>IF(真實IC!AN19&gt;真實IC!AN$27,1,0)</f>
        <v>0</v>
      </c>
      <c r="AO10" s="11">
        <f>IF(真實IC!AO19&gt;真實IC!AO$27,1,0)</f>
        <v>1</v>
      </c>
      <c r="AP10" s="11">
        <f>IF(真實IC!AP19&gt;真實IC!AP$27,1,0)</f>
        <v>1</v>
      </c>
      <c r="AQ10" s="11">
        <f>IF(真實IC!AQ19&gt;真實IC!AQ$27,1,0)</f>
        <v>1</v>
      </c>
      <c r="AR10" s="11">
        <f>IF(真實IC!AR19&gt;真實IC!AR$27,1,0)</f>
        <v>1</v>
      </c>
      <c r="AS10" s="11">
        <f>IF(真實IC!AS19&gt;真實IC!AS$27,1,0)</f>
        <v>1</v>
      </c>
      <c r="AT10" s="11">
        <f>IF(真實IC!AT19&gt;真實IC!AT$27,1,0)</f>
        <v>1</v>
      </c>
      <c r="AU10" s="11">
        <f>IF(真實IC!AU19&gt;真實IC!AU$27,1,0)</f>
        <v>1</v>
      </c>
      <c r="AV10" s="11">
        <f>IF(真實IC!AV19&gt;真實IC!AV$27,1,0)</f>
        <v>0</v>
      </c>
      <c r="AW10" s="11">
        <f>IF(真實IC!AW19&gt;真實IC!AW$27,1,0)</f>
        <v>1</v>
      </c>
      <c r="AX10" s="11">
        <f>IF(真實IC!AX19&gt;真實IC!AX$27,1,0)</f>
        <v>1</v>
      </c>
      <c r="AY10" s="11">
        <f>IF(真實IC!AY19&gt;真實IC!AY$27,1,0)</f>
        <v>1</v>
      </c>
      <c r="AZ10" s="11">
        <f>IF(真實IC!AZ19&gt;真實IC!AZ$27,1,0)</f>
        <v>1</v>
      </c>
      <c r="BA10" s="11">
        <f>IF(真實IC!BA19&gt;真實IC!BA$27,1,0)</f>
        <v>1</v>
      </c>
      <c r="BB10" s="11">
        <f>IF(真實IC!BB19&gt;真實IC!BB$27,1,0)</f>
        <v>1</v>
      </c>
      <c r="BC10" s="11">
        <f>IF(真實IC!BC19&gt;真實IC!BC$27,1,0)</f>
        <v>1</v>
      </c>
      <c r="BD10" s="11">
        <f>IF(真實IC!BD19&gt;真實IC!BD$27,1,0)</f>
        <v>1</v>
      </c>
      <c r="BE10" s="11">
        <f>IF(真實IC!BE19&gt;真實IC!BE$27,1,0)</f>
        <v>0</v>
      </c>
      <c r="BF10" s="11">
        <f>IF(真實IC!BF19&gt;真實IC!BF$27,1,0)</f>
        <v>1</v>
      </c>
      <c r="BG10" s="11">
        <f>IF(真實IC!BG19&gt;真實IC!BG$27,1,0)</f>
        <v>1</v>
      </c>
      <c r="BH10" s="11">
        <f>IF(真實IC!BH19&gt;真實IC!BH$27,1,0)</f>
        <v>1</v>
      </c>
      <c r="BI10" s="11">
        <f>IF(真實IC!BI19&gt;真實IC!BI$27,1,0)</f>
        <v>1</v>
      </c>
      <c r="BJ10" s="11">
        <f>IF(真實IC!BJ19&gt;真實IC!BJ$27,1,0)</f>
        <v>1</v>
      </c>
      <c r="BK10" s="11">
        <f>IF(真實IC!BK19&gt;真實IC!BK$27,1,0)</f>
        <v>0</v>
      </c>
      <c r="BL10" s="11">
        <f>IF(真實IC!BL19&gt;真實IC!BL$27,1,0)</f>
        <v>0</v>
      </c>
      <c r="BM10" s="11">
        <f>IF(真實IC!BM19&gt;真實IC!BM$27,1,0)</f>
        <v>0</v>
      </c>
      <c r="BN10" s="11">
        <f>IF(真實IC!BN19&gt;真實IC!BN$27,1,0)</f>
        <v>1</v>
      </c>
      <c r="BO10" s="11">
        <f>IF(真實IC!BO19&gt;真實IC!BO$27,1,0)</f>
        <v>1</v>
      </c>
      <c r="BP10" s="11">
        <f>IF(真實IC!BP19&gt;真實IC!BP$27,1,0)</f>
        <v>1</v>
      </c>
      <c r="BQ10" s="11">
        <f>IF(真實IC!BQ19&gt;真實IC!BQ$27,1,0)</f>
        <v>1</v>
      </c>
      <c r="BR10" s="11">
        <f>IF(真實IC!BR19&gt;真實IC!BR$27,1,0)</f>
        <v>1</v>
      </c>
      <c r="BS10" s="11">
        <f>IF(真實IC!BS19&gt;真實IC!BS$27,1,0)</f>
        <v>1</v>
      </c>
      <c r="BT10" s="11">
        <f>IF(真實IC!BT19&gt;真實IC!BT$27,1,0)</f>
        <v>0</v>
      </c>
      <c r="BU10" s="11">
        <f>IF(真實IC!BU19&gt;真實IC!BU$27,1,0)</f>
        <v>0</v>
      </c>
      <c r="BV10" s="11">
        <f>IF(真實IC!BV19&gt;真實IC!BV$27,1,0)</f>
        <v>1</v>
      </c>
      <c r="BW10" s="11">
        <f>IF(真實IC!BW19&gt;真實IC!BW$27,1,0)</f>
        <v>1</v>
      </c>
      <c r="BX10" s="11">
        <f>IF(真實IC!BX19&gt;真實IC!BX$27,1,0)</f>
        <v>1</v>
      </c>
      <c r="BY10" s="11">
        <f>IF(真實IC!BY19&gt;真實IC!BY$27,1,0)</f>
        <v>1</v>
      </c>
      <c r="BZ10" s="11">
        <f>IF(真實IC!BZ19&gt;真實IC!BZ$27,1,0)</f>
        <v>0</v>
      </c>
      <c r="CA10" s="11">
        <f>IF(真實IC!CA19&gt;真實IC!CA$27,1,0)</f>
        <v>0</v>
      </c>
      <c r="CB10" s="11">
        <f>IF(真實IC!CB19&gt;真實IC!CB$27,1,0)</f>
        <v>1</v>
      </c>
      <c r="CC10" s="11">
        <f>IF(真實IC!CC19&gt;真實IC!CC$27,1,0)</f>
        <v>0</v>
      </c>
      <c r="CD10" s="11">
        <f>IF(真實IC!CD19&gt;真實IC!CD$27,1,0)</f>
        <v>1</v>
      </c>
      <c r="CE10" s="11">
        <f>IF(真實IC!CE19&gt;真實IC!CE$27,1,0)</f>
        <v>1</v>
      </c>
      <c r="CF10" s="11">
        <f>IF(真實IC!CF19&gt;真實IC!CF$27,1,0)</f>
        <v>0</v>
      </c>
      <c r="CG10" s="11">
        <f>IF(真實IC!CG19&gt;真實IC!CG$27,1,0)</f>
        <v>1</v>
      </c>
      <c r="CH10" s="11">
        <f>IF(真實IC!CH19&gt;真實IC!CH$27,1,0)</f>
        <v>1</v>
      </c>
      <c r="CI10" s="11">
        <f>IF(真實IC!CI19&gt;真實IC!CI$27,1,0)</f>
        <v>1</v>
      </c>
      <c r="CJ10" s="11">
        <f>IF(真實IC!CJ19&gt;真實IC!CJ$27,1,0)</f>
        <v>1</v>
      </c>
      <c r="CK10" s="11">
        <f>IF(真實IC!CK19&gt;真實IC!CK$27,1,0)</f>
        <v>1</v>
      </c>
      <c r="CL10" s="11">
        <f>IF(真實IC!CL19&gt;真實IC!CL$27,1,0)</f>
        <v>0</v>
      </c>
      <c r="CM10" s="11">
        <f>IF(真實IC!CM19&gt;真實IC!CM$27,1,0)</f>
        <v>1</v>
      </c>
      <c r="CN10" s="11">
        <f>IF(真實IC!CN19&gt;真實IC!CN$27,1,0)</f>
        <v>1</v>
      </c>
      <c r="CO10" s="11">
        <f>IF(真實IC!CO19&gt;真實IC!CO$27,1,0)</f>
        <v>1</v>
      </c>
      <c r="CP10" s="11">
        <f>IF(真實IC!CP19&gt;真實IC!CP$27,1,0)</f>
        <v>1</v>
      </c>
      <c r="CQ10" s="11">
        <f>IF(真實IC!CQ19&gt;真實IC!CQ$27,1,0)</f>
        <v>1</v>
      </c>
      <c r="CR10" s="11">
        <f>IF(真實IC!CR19&gt;真實IC!CR$27,1,0)</f>
        <v>1</v>
      </c>
      <c r="CS10" s="11">
        <f>IF(真實IC!CS19&gt;真實IC!CS$27,1,0)</f>
        <v>0</v>
      </c>
      <c r="CT10" s="11">
        <f>IF(真實IC!CT19&gt;真實IC!CT$27,1,0)</f>
        <v>1</v>
      </c>
      <c r="CU10" s="11">
        <f>IF(真實IC!CU19&gt;真實IC!CU$27,1,0)</f>
        <v>1</v>
      </c>
      <c r="CV10" s="11">
        <f>IF(真實IC!CV19&gt;真實IC!CV$27,1,0)</f>
        <v>1</v>
      </c>
      <c r="CW10" s="11">
        <f>IF(真實IC!CW19&gt;真實IC!CW$27,1,0)</f>
        <v>1</v>
      </c>
      <c r="CX10" s="11">
        <f>IF(真實IC!CX19&gt;真實IC!CX$27,1,0)</f>
        <v>1</v>
      </c>
      <c r="CY10" s="11">
        <f>IF(真實IC!CY19&gt;真實IC!CY$27,1,0)</f>
        <v>0</v>
      </c>
      <c r="CZ10" s="11">
        <f>IF(真實IC!CZ19&gt;真實IC!CZ$27,1,0)</f>
        <v>1</v>
      </c>
      <c r="DA10" s="11">
        <f>IF(真實IC!DA19&gt;真實IC!DA$27,1,0)</f>
        <v>1</v>
      </c>
      <c r="DB10" s="11">
        <f>IF(真實IC!DB19&gt;真實IC!DB$27,1,0)</f>
        <v>0</v>
      </c>
      <c r="DC10" s="11">
        <f>IF(真實IC!DC19&gt;真實IC!DC$27,1,0)</f>
        <v>1</v>
      </c>
      <c r="DD10" s="11">
        <f>IF(真實IC!DD19&gt;真實IC!DD$27,1,0)</f>
        <v>1</v>
      </c>
      <c r="DE10" s="11">
        <f>IF(真實IC!DE19&gt;真實IC!DE$27,1,0)</f>
        <v>0</v>
      </c>
      <c r="DF10" s="11">
        <f>IF(真實IC!DF19&gt;真實IC!DF$27,1,0)</f>
        <v>1</v>
      </c>
      <c r="DG10" s="11">
        <f>IF(真實IC!DG19&gt;真實IC!DG$27,1,0)</f>
        <v>0</v>
      </c>
      <c r="DH10" s="11">
        <f>IF(真實IC!DH19&gt;真實IC!DH$27,1,0)</f>
        <v>0</v>
      </c>
      <c r="DI10" s="11">
        <f>IF(真實IC!DI19&gt;真實IC!DI$27,1,0)</f>
        <v>0</v>
      </c>
      <c r="DJ10" s="11">
        <f>IF(真實IC!DJ19&gt;真實IC!DJ$27,1,0)</f>
        <v>1</v>
      </c>
      <c r="DK10" s="11">
        <f>IF(真實IC!DK19&gt;真實IC!DK$27,1,0)</f>
        <v>0</v>
      </c>
      <c r="DL10" s="11">
        <f>IF(真實IC!DL19&gt;真實IC!DL$27,1,0)</f>
        <v>1</v>
      </c>
      <c r="DM10" s="11">
        <f>IF(真實IC!DM19&gt;真實IC!DM$27,1,0)</f>
        <v>0</v>
      </c>
      <c r="DN10" s="11">
        <f>IF(真實IC!DN19&gt;真實IC!DN$27,1,0)</f>
        <v>0</v>
      </c>
      <c r="DO10" s="11">
        <f>IF(真實IC!DO19&gt;真實IC!DO$27,1,0)</f>
        <v>1</v>
      </c>
      <c r="DP10" s="11">
        <f>IF(真實IC!DP19&gt;真實IC!DP$27,1,0)</f>
        <v>1</v>
      </c>
      <c r="DQ10" s="11">
        <f>IF(真實IC!DQ19&gt;真實IC!DQ$27,1,0)</f>
        <v>0</v>
      </c>
      <c r="DR10" s="11">
        <f>IF(真實IC!DR19&gt;真實IC!DR$27,1,0)</f>
        <v>0</v>
      </c>
      <c r="DS10" s="11">
        <f>IF(真實IC!DS19&gt;真實IC!DS$27,1,0)</f>
        <v>1</v>
      </c>
      <c r="DT10" s="11">
        <f>IF(真實IC!DT19&gt;真實IC!DT$27,1,0)</f>
        <v>0</v>
      </c>
      <c r="DU10" s="11">
        <f>IF(真實IC!DU19&gt;真實IC!DU$27,1,0)</f>
        <v>1</v>
      </c>
      <c r="DV10" s="11">
        <f>IF(真實IC!DV19&gt;真實IC!DV$27,1,0)</f>
        <v>1</v>
      </c>
      <c r="DW10" s="11">
        <f>IF(真實IC!DW19&gt;真實IC!DW$27,1,0)</f>
        <v>1</v>
      </c>
      <c r="DX10" s="11">
        <f>IF(真實IC!DX19&gt;真實IC!DX$27,1,0)</f>
        <v>1</v>
      </c>
      <c r="DY10" s="11">
        <f>IF(真實IC!DY19&gt;真實IC!DY$27,1,0)</f>
        <v>1</v>
      </c>
      <c r="DZ10" s="11">
        <f>IF(真實IC!DZ19&gt;真實IC!DZ$27,1,0)</f>
        <v>1</v>
      </c>
      <c r="EA10" s="11">
        <f>IF(真實IC!EA19&gt;真實IC!EA$27,1,0)</f>
        <v>1</v>
      </c>
      <c r="EB10" s="11">
        <f>IF(真實IC!EB19&gt;真實IC!EB$27,1,0)</f>
        <v>1</v>
      </c>
      <c r="EC10" s="11">
        <f>IF(真實IC!EC19&gt;真實IC!EC$27,1,0)</f>
        <v>1</v>
      </c>
      <c r="ED10" s="11">
        <f>IF(真實IC!ED19&gt;真實IC!ED$27,1,0)</f>
        <v>1</v>
      </c>
      <c r="EE10" s="11">
        <f>IF(真實IC!EE19&gt;真實IC!EE$27,1,0)</f>
        <v>0</v>
      </c>
      <c r="EF10" s="11">
        <f>IF(真實IC!EF19&gt;真實IC!EF$27,1,0)</f>
        <v>0</v>
      </c>
      <c r="EG10" s="1">
        <f t="shared" si="0"/>
        <v>99</v>
      </c>
      <c r="EH10" s="61">
        <f t="shared" si="1"/>
        <v>0.73880597014925375</v>
      </c>
    </row>
    <row r="11" spans="1:138" ht="16">
      <c r="A11" s="6">
        <v>137</v>
      </c>
      <c r="B11" s="6">
        <v>7</v>
      </c>
      <c r="C11" s="11">
        <f>IF(真實IC!C20&gt;真實IC!C$27,1,0)</f>
        <v>0</v>
      </c>
      <c r="D11" s="11">
        <f>IF(真實IC!D20&gt;真實IC!D$27,1,0)</f>
        <v>1</v>
      </c>
      <c r="E11" s="11">
        <f>IF(真實IC!E20&gt;真實IC!E$27,1,0)</f>
        <v>1</v>
      </c>
      <c r="F11" s="11">
        <f>IF(真實IC!F20&gt;真實IC!F$27,1,0)</f>
        <v>1</v>
      </c>
      <c r="G11" s="11">
        <f>IF(真實IC!G20&gt;真實IC!G$27,1,0)</f>
        <v>1</v>
      </c>
      <c r="H11" s="11">
        <f>IF(真實IC!H20&gt;真實IC!H$27,1,0)</f>
        <v>0</v>
      </c>
      <c r="I11" s="11">
        <f>IF(真實IC!I20&gt;真實IC!I$27,1,0)</f>
        <v>1</v>
      </c>
      <c r="J11" s="11">
        <f>IF(真實IC!J20&gt;真實IC!J$27,1,0)</f>
        <v>0</v>
      </c>
      <c r="K11" s="11">
        <f>IF(真實IC!K20&gt;真實IC!K$27,1,0)</f>
        <v>1</v>
      </c>
      <c r="L11" s="11">
        <f>IF(真實IC!L20&gt;真實IC!L$27,1,0)</f>
        <v>1</v>
      </c>
      <c r="M11" s="11">
        <f>IF(真實IC!M20&gt;真實IC!M$27,1,0)</f>
        <v>1</v>
      </c>
      <c r="N11" s="11">
        <f>IF(真實IC!N20&gt;真實IC!N$27,1,0)</f>
        <v>1</v>
      </c>
      <c r="O11" s="11">
        <f>IF(真實IC!O20&gt;真實IC!O$27,1,0)</f>
        <v>0</v>
      </c>
      <c r="P11" s="11">
        <f>IF(真實IC!P20&gt;真實IC!P$27,1,0)</f>
        <v>0</v>
      </c>
      <c r="Q11" s="11">
        <f>IF(真實IC!Q20&gt;真實IC!Q$27,1,0)</f>
        <v>1</v>
      </c>
      <c r="R11" s="11">
        <f>IF(真實IC!R20&gt;真實IC!R$27,1,0)</f>
        <v>0</v>
      </c>
      <c r="S11" s="11">
        <f>IF(真實IC!S20&gt;真實IC!S$27,1,0)</f>
        <v>1</v>
      </c>
      <c r="T11" s="11">
        <f>IF(真實IC!T20&gt;真實IC!T$27,1,0)</f>
        <v>1</v>
      </c>
      <c r="U11" s="11">
        <f>IF(真實IC!U20&gt;真實IC!U$27,1,0)</f>
        <v>1</v>
      </c>
      <c r="V11" s="11">
        <f>IF(真實IC!V20&gt;真實IC!V$27,1,0)</f>
        <v>1</v>
      </c>
      <c r="W11" s="11">
        <f>IF(真實IC!W20&gt;真實IC!W$27,1,0)</f>
        <v>1</v>
      </c>
      <c r="X11" s="11">
        <f>IF(真實IC!X20&gt;真實IC!X$27,1,0)</f>
        <v>1</v>
      </c>
      <c r="Y11" s="11">
        <f>IF(真實IC!Y20&gt;真實IC!Y$27,1,0)</f>
        <v>1</v>
      </c>
      <c r="Z11" s="11">
        <f>IF(真實IC!Z20&gt;真實IC!Z$27,1,0)</f>
        <v>1</v>
      </c>
      <c r="AA11" s="11">
        <f>IF(真實IC!AA20&gt;真實IC!AA$27,1,0)</f>
        <v>1</v>
      </c>
      <c r="AB11" s="11">
        <f>IF(真實IC!AB20&gt;真實IC!AB$27,1,0)</f>
        <v>1</v>
      </c>
      <c r="AC11" s="11">
        <f>IF(真實IC!AC20&gt;真實IC!AC$27,1,0)</f>
        <v>1</v>
      </c>
      <c r="AD11" s="11">
        <f>IF(真實IC!AD20&gt;真實IC!AD$27,1,0)</f>
        <v>1</v>
      </c>
      <c r="AE11" s="11">
        <f>IF(真實IC!AE20&gt;真實IC!AE$27,1,0)</f>
        <v>1</v>
      </c>
      <c r="AF11" s="11">
        <f>IF(真實IC!AF20&gt;真實IC!AF$27,1,0)</f>
        <v>1</v>
      </c>
      <c r="AG11" s="11">
        <f>IF(真實IC!AG20&gt;真實IC!AG$27,1,0)</f>
        <v>0</v>
      </c>
      <c r="AH11" s="11">
        <f>IF(真實IC!AH20&gt;真實IC!AH$27,1,0)</f>
        <v>1</v>
      </c>
      <c r="AI11" s="11">
        <f>IF(真實IC!AI20&gt;真實IC!AI$27,1,0)</f>
        <v>1</v>
      </c>
      <c r="AJ11" s="11">
        <f>IF(真實IC!AJ20&gt;真實IC!AJ$27,1,0)</f>
        <v>1</v>
      </c>
      <c r="AK11" s="11">
        <f>IF(真實IC!AK20&gt;真實IC!AK$27,1,0)</f>
        <v>1</v>
      </c>
      <c r="AL11" s="11">
        <f>IF(真實IC!AL20&gt;真實IC!AL$27,1,0)</f>
        <v>1</v>
      </c>
      <c r="AM11" s="11">
        <f>IF(真實IC!AM20&gt;真實IC!AM$27,1,0)</f>
        <v>0</v>
      </c>
      <c r="AN11" s="11">
        <f>IF(真實IC!AN20&gt;真實IC!AN$27,1,0)</f>
        <v>0</v>
      </c>
      <c r="AO11" s="11">
        <f>IF(真實IC!AO20&gt;真實IC!AO$27,1,0)</f>
        <v>0</v>
      </c>
      <c r="AP11" s="11">
        <f>IF(真實IC!AP20&gt;真實IC!AP$27,1,0)</f>
        <v>1</v>
      </c>
      <c r="AQ11" s="11">
        <f>IF(真實IC!AQ20&gt;真實IC!AQ$27,1,0)</f>
        <v>1</v>
      </c>
      <c r="AR11" s="11">
        <f>IF(真實IC!AR20&gt;真實IC!AR$27,1,0)</f>
        <v>1</v>
      </c>
      <c r="AS11" s="11">
        <f>IF(真實IC!AS20&gt;真實IC!AS$27,1,0)</f>
        <v>0</v>
      </c>
      <c r="AT11" s="11">
        <f>IF(真實IC!AT20&gt;真實IC!AT$27,1,0)</f>
        <v>1</v>
      </c>
      <c r="AU11" s="11">
        <f>IF(真實IC!AU20&gt;真實IC!AU$27,1,0)</f>
        <v>1</v>
      </c>
      <c r="AV11" s="11">
        <f>IF(真實IC!AV20&gt;真實IC!AV$27,1,0)</f>
        <v>0</v>
      </c>
      <c r="AW11" s="11">
        <f>IF(真實IC!AW20&gt;真實IC!AW$27,1,0)</f>
        <v>1</v>
      </c>
      <c r="AX11" s="11">
        <f>IF(真實IC!AX20&gt;真實IC!AX$27,1,0)</f>
        <v>1</v>
      </c>
      <c r="AY11" s="11">
        <f>IF(真實IC!AY20&gt;真實IC!AY$27,1,0)</f>
        <v>1</v>
      </c>
      <c r="AZ11" s="11">
        <f>IF(真實IC!AZ20&gt;真實IC!AZ$27,1,0)</f>
        <v>1</v>
      </c>
      <c r="BA11" s="11">
        <f>IF(真實IC!BA20&gt;真實IC!BA$27,1,0)</f>
        <v>1</v>
      </c>
      <c r="BB11" s="11">
        <f>IF(真實IC!BB20&gt;真實IC!BB$27,1,0)</f>
        <v>1</v>
      </c>
      <c r="BC11" s="11">
        <f>IF(真實IC!BC20&gt;真實IC!BC$27,1,0)</f>
        <v>1</v>
      </c>
      <c r="BD11" s="11">
        <f>IF(真實IC!BD20&gt;真實IC!BD$27,1,0)</f>
        <v>1</v>
      </c>
      <c r="BE11" s="11">
        <f>IF(真實IC!BE20&gt;真實IC!BE$27,1,0)</f>
        <v>0</v>
      </c>
      <c r="BF11" s="11">
        <f>IF(真實IC!BF20&gt;真實IC!BF$27,1,0)</f>
        <v>1</v>
      </c>
      <c r="BG11" s="11">
        <f>IF(真實IC!BG20&gt;真實IC!BG$27,1,0)</f>
        <v>1</v>
      </c>
      <c r="BH11" s="11">
        <f>IF(真實IC!BH20&gt;真實IC!BH$27,1,0)</f>
        <v>1</v>
      </c>
      <c r="BI11" s="11">
        <f>IF(真實IC!BI20&gt;真實IC!BI$27,1,0)</f>
        <v>1</v>
      </c>
      <c r="BJ11" s="11">
        <f>IF(真實IC!BJ20&gt;真實IC!BJ$27,1,0)</f>
        <v>1</v>
      </c>
      <c r="BK11" s="11">
        <f>IF(真實IC!BK20&gt;真實IC!BK$27,1,0)</f>
        <v>0</v>
      </c>
      <c r="BL11" s="11">
        <f>IF(真實IC!BL20&gt;真實IC!BL$27,1,0)</f>
        <v>0</v>
      </c>
      <c r="BM11" s="11">
        <f>IF(真實IC!BM20&gt;真實IC!BM$27,1,0)</f>
        <v>0</v>
      </c>
      <c r="BN11" s="11">
        <f>IF(真實IC!BN20&gt;真實IC!BN$27,1,0)</f>
        <v>1</v>
      </c>
      <c r="BO11" s="11">
        <f>IF(真實IC!BO20&gt;真實IC!BO$27,1,0)</f>
        <v>1</v>
      </c>
      <c r="BP11" s="11">
        <f>IF(真實IC!BP20&gt;真實IC!BP$27,1,0)</f>
        <v>1</v>
      </c>
      <c r="BQ11" s="11">
        <f>IF(真實IC!BQ20&gt;真實IC!BQ$27,1,0)</f>
        <v>0</v>
      </c>
      <c r="BR11" s="11">
        <f>IF(真實IC!BR20&gt;真實IC!BR$27,1,0)</f>
        <v>1</v>
      </c>
      <c r="BS11" s="11">
        <f>IF(真實IC!BS20&gt;真實IC!BS$27,1,0)</f>
        <v>1</v>
      </c>
      <c r="BT11" s="11">
        <f>IF(真實IC!BT20&gt;真實IC!BT$27,1,0)</f>
        <v>0</v>
      </c>
      <c r="BU11" s="11">
        <f>IF(真實IC!BU20&gt;真實IC!BU$27,1,0)</f>
        <v>0</v>
      </c>
      <c r="BV11" s="11">
        <f>IF(真實IC!BV20&gt;真實IC!BV$27,1,0)</f>
        <v>1</v>
      </c>
      <c r="BW11" s="11">
        <f>IF(真實IC!BW20&gt;真實IC!BW$27,1,0)</f>
        <v>1</v>
      </c>
      <c r="BX11" s="11">
        <f>IF(真實IC!BX20&gt;真實IC!BX$27,1,0)</f>
        <v>1</v>
      </c>
      <c r="BY11" s="11">
        <f>IF(真實IC!BY20&gt;真實IC!BY$27,1,0)</f>
        <v>1</v>
      </c>
      <c r="BZ11" s="11">
        <f>IF(真實IC!BZ20&gt;真實IC!BZ$27,1,0)</f>
        <v>0</v>
      </c>
      <c r="CA11" s="11">
        <f>IF(真實IC!CA20&gt;真實IC!CA$27,1,0)</f>
        <v>0</v>
      </c>
      <c r="CB11" s="11">
        <f>IF(真實IC!CB20&gt;真實IC!CB$27,1,0)</f>
        <v>1</v>
      </c>
      <c r="CC11" s="11">
        <f>IF(真實IC!CC20&gt;真實IC!CC$27,1,0)</f>
        <v>0</v>
      </c>
      <c r="CD11" s="11">
        <f>IF(真實IC!CD20&gt;真實IC!CD$27,1,0)</f>
        <v>1</v>
      </c>
      <c r="CE11" s="11">
        <f>IF(真實IC!CE20&gt;真實IC!CE$27,1,0)</f>
        <v>1</v>
      </c>
      <c r="CF11" s="11">
        <f>IF(真實IC!CF20&gt;真實IC!CF$27,1,0)</f>
        <v>1</v>
      </c>
      <c r="CG11" s="11">
        <f>IF(真實IC!CG20&gt;真實IC!CG$27,1,0)</f>
        <v>1</v>
      </c>
      <c r="CH11" s="11">
        <f>IF(真實IC!CH20&gt;真實IC!CH$27,1,0)</f>
        <v>1</v>
      </c>
      <c r="CI11" s="11">
        <f>IF(真實IC!CI20&gt;真實IC!CI$27,1,0)</f>
        <v>1</v>
      </c>
      <c r="CJ11" s="11">
        <f>IF(真實IC!CJ20&gt;真實IC!CJ$27,1,0)</f>
        <v>1</v>
      </c>
      <c r="CK11" s="11">
        <f>IF(真實IC!CK20&gt;真實IC!CK$27,1,0)</f>
        <v>1</v>
      </c>
      <c r="CL11" s="11">
        <f>IF(真實IC!CL20&gt;真實IC!CL$27,1,0)</f>
        <v>0</v>
      </c>
      <c r="CM11" s="11">
        <f>IF(真實IC!CM20&gt;真實IC!CM$27,1,0)</f>
        <v>1</v>
      </c>
      <c r="CN11" s="11">
        <f>IF(真實IC!CN20&gt;真實IC!CN$27,1,0)</f>
        <v>1</v>
      </c>
      <c r="CO11" s="11">
        <f>IF(真實IC!CO20&gt;真實IC!CO$27,1,0)</f>
        <v>1</v>
      </c>
      <c r="CP11" s="11">
        <f>IF(真實IC!CP20&gt;真實IC!CP$27,1,0)</f>
        <v>1</v>
      </c>
      <c r="CQ11" s="11">
        <f>IF(真實IC!CQ20&gt;真實IC!CQ$27,1,0)</f>
        <v>1</v>
      </c>
      <c r="CR11" s="11">
        <f>IF(真實IC!CR20&gt;真實IC!CR$27,1,0)</f>
        <v>1</v>
      </c>
      <c r="CS11" s="11">
        <f>IF(真實IC!CS20&gt;真實IC!CS$27,1,0)</f>
        <v>0</v>
      </c>
      <c r="CT11" s="11">
        <f>IF(真實IC!CT20&gt;真實IC!CT$27,1,0)</f>
        <v>1</v>
      </c>
      <c r="CU11" s="11">
        <f>IF(真實IC!CU20&gt;真實IC!CU$27,1,0)</f>
        <v>1</v>
      </c>
      <c r="CV11" s="11">
        <f>IF(真實IC!CV20&gt;真實IC!CV$27,1,0)</f>
        <v>1</v>
      </c>
      <c r="CW11" s="11">
        <f>IF(真實IC!CW20&gt;真實IC!CW$27,1,0)</f>
        <v>1</v>
      </c>
      <c r="CX11" s="11">
        <f>IF(真實IC!CX20&gt;真實IC!CX$27,1,0)</f>
        <v>1</v>
      </c>
      <c r="CY11" s="11">
        <f>IF(真實IC!CY20&gt;真實IC!CY$27,1,0)</f>
        <v>0</v>
      </c>
      <c r="CZ11" s="11">
        <f>IF(真實IC!CZ20&gt;真實IC!CZ$27,1,0)</f>
        <v>1</v>
      </c>
      <c r="DA11" s="11">
        <f>IF(真實IC!DA20&gt;真實IC!DA$27,1,0)</f>
        <v>1</v>
      </c>
      <c r="DB11" s="11">
        <f>IF(真實IC!DB20&gt;真實IC!DB$27,1,0)</f>
        <v>0</v>
      </c>
      <c r="DC11" s="11">
        <f>IF(真實IC!DC20&gt;真實IC!DC$27,1,0)</f>
        <v>1</v>
      </c>
      <c r="DD11" s="11">
        <f>IF(真實IC!DD20&gt;真實IC!DD$27,1,0)</f>
        <v>1</v>
      </c>
      <c r="DE11" s="11">
        <f>IF(真實IC!DE20&gt;真實IC!DE$27,1,0)</f>
        <v>0</v>
      </c>
      <c r="DF11" s="11">
        <f>IF(真實IC!DF20&gt;真實IC!DF$27,1,0)</f>
        <v>1</v>
      </c>
      <c r="DG11" s="11">
        <f>IF(真實IC!DG20&gt;真實IC!DG$27,1,0)</f>
        <v>0</v>
      </c>
      <c r="DH11" s="11">
        <f>IF(真實IC!DH20&gt;真實IC!DH$27,1,0)</f>
        <v>0</v>
      </c>
      <c r="DI11" s="11">
        <f>IF(真實IC!DI20&gt;真實IC!DI$27,1,0)</f>
        <v>0</v>
      </c>
      <c r="DJ11" s="11">
        <f>IF(真實IC!DJ20&gt;真實IC!DJ$27,1,0)</f>
        <v>1</v>
      </c>
      <c r="DK11" s="11">
        <f>IF(真實IC!DK20&gt;真實IC!DK$27,1,0)</f>
        <v>0</v>
      </c>
      <c r="DL11" s="11">
        <f>IF(真實IC!DL20&gt;真實IC!DL$27,1,0)</f>
        <v>1</v>
      </c>
      <c r="DM11" s="11">
        <f>IF(真實IC!DM20&gt;真實IC!DM$27,1,0)</f>
        <v>0</v>
      </c>
      <c r="DN11" s="11">
        <f>IF(真實IC!DN20&gt;真實IC!DN$27,1,0)</f>
        <v>0</v>
      </c>
      <c r="DO11" s="11">
        <f>IF(真實IC!DO20&gt;真實IC!DO$27,1,0)</f>
        <v>1</v>
      </c>
      <c r="DP11" s="11">
        <f>IF(真實IC!DP20&gt;真實IC!DP$27,1,0)</f>
        <v>1</v>
      </c>
      <c r="DQ11" s="11">
        <f>IF(真實IC!DQ20&gt;真實IC!DQ$27,1,0)</f>
        <v>1</v>
      </c>
      <c r="DR11" s="11">
        <f>IF(真實IC!DR20&gt;真實IC!DR$27,1,0)</f>
        <v>0</v>
      </c>
      <c r="DS11" s="11">
        <f>IF(真實IC!DS20&gt;真實IC!DS$27,1,0)</f>
        <v>1</v>
      </c>
      <c r="DT11" s="11">
        <f>IF(真實IC!DT20&gt;真實IC!DT$27,1,0)</f>
        <v>0</v>
      </c>
      <c r="DU11" s="11">
        <f>IF(真實IC!DU20&gt;真實IC!DU$27,1,0)</f>
        <v>1</v>
      </c>
      <c r="DV11" s="11">
        <f>IF(真實IC!DV20&gt;真實IC!DV$27,1,0)</f>
        <v>1</v>
      </c>
      <c r="DW11" s="11">
        <f>IF(真實IC!DW20&gt;真實IC!DW$27,1,0)</f>
        <v>1</v>
      </c>
      <c r="DX11" s="11">
        <f>IF(真實IC!DX20&gt;真實IC!DX$27,1,0)</f>
        <v>1</v>
      </c>
      <c r="DY11" s="11">
        <f>IF(真實IC!DY20&gt;真實IC!DY$27,1,0)</f>
        <v>1</v>
      </c>
      <c r="DZ11" s="11">
        <f>IF(真實IC!DZ20&gt;真實IC!DZ$27,1,0)</f>
        <v>1</v>
      </c>
      <c r="EA11" s="11">
        <f>IF(真實IC!EA20&gt;真實IC!EA$27,1,0)</f>
        <v>1</v>
      </c>
      <c r="EB11" s="11">
        <f>IF(真實IC!EB20&gt;真實IC!EB$27,1,0)</f>
        <v>1</v>
      </c>
      <c r="EC11" s="11">
        <f>IF(真實IC!EC20&gt;真實IC!EC$27,1,0)</f>
        <v>1</v>
      </c>
      <c r="ED11" s="11">
        <f>IF(真實IC!ED20&gt;真實IC!ED$27,1,0)</f>
        <v>1</v>
      </c>
      <c r="EE11" s="11">
        <f>IF(真實IC!EE20&gt;真實IC!EE$27,1,0)</f>
        <v>0</v>
      </c>
      <c r="EF11" s="11">
        <f>IF(真實IC!EF20&gt;真實IC!EF$27,1,0)</f>
        <v>0</v>
      </c>
      <c r="EG11" s="1">
        <f t="shared" si="0"/>
        <v>97</v>
      </c>
      <c r="EH11" s="61">
        <f t="shared" si="1"/>
        <v>0.72388059701492535</v>
      </c>
    </row>
    <row r="12" spans="1:138" ht="16">
      <c r="A12" s="6">
        <v>160</v>
      </c>
      <c r="B12" s="6">
        <v>6</v>
      </c>
      <c r="C12" s="11">
        <f>IF(真實IC!C21&gt;真實IC!C$27,1,0)</f>
        <v>0</v>
      </c>
      <c r="D12" s="11">
        <f>IF(真實IC!D21&gt;真實IC!D$27,1,0)</f>
        <v>1</v>
      </c>
      <c r="E12" s="11">
        <f>IF(真實IC!E21&gt;真實IC!E$27,1,0)</f>
        <v>1</v>
      </c>
      <c r="F12" s="11">
        <f>IF(真實IC!F21&gt;真實IC!F$27,1,0)</f>
        <v>1</v>
      </c>
      <c r="G12" s="11">
        <f>IF(真實IC!G21&gt;真實IC!G$27,1,0)</f>
        <v>1</v>
      </c>
      <c r="H12" s="11">
        <f>IF(真實IC!H21&gt;真實IC!H$27,1,0)</f>
        <v>0</v>
      </c>
      <c r="I12" s="11">
        <f>IF(真實IC!I21&gt;真實IC!I$27,1,0)</f>
        <v>1</v>
      </c>
      <c r="J12" s="11">
        <f>IF(真實IC!J21&gt;真實IC!J$27,1,0)</f>
        <v>0</v>
      </c>
      <c r="K12" s="11">
        <f>IF(真實IC!K21&gt;真實IC!K$27,1,0)</f>
        <v>1</v>
      </c>
      <c r="L12" s="11">
        <f>IF(真實IC!L21&gt;真實IC!L$27,1,0)</f>
        <v>1</v>
      </c>
      <c r="M12" s="11">
        <f>IF(真實IC!M21&gt;真實IC!M$27,1,0)</f>
        <v>1</v>
      </c>
      <c r="N12" s="11">
        <f>IF(真實IC!N21&gt;真實IC!N$27,1,0)</f>
        <v>1</v>
      </c>
      <c r="O12" s="11">
        <f>IF(真實IC!O21&gt;真實IC!O$27,1,0)</f>
        <v>0</v>
      </c>
      <c r="P12" s="11">
        <f>IF(真實IC!P21&gt;真實IC!P$27,1,0)</f>
        <v>0</v>
      </c>
      <c r="Q12" s="11">
        <f>IF(真實IC!Q21&gt;真實IC!Q$27,1,0)</f>
        <v>1</v>
      </c>
      <c r="R12" s="11">
        <f>IF(真實IC!R21&gt;真實IC!R$27,1,0)</f>
        <v>0</v>
      </c>
      <c r="S12" s="11">
        <f>IF(真實IC!S21&gt;真實IC!S$27,1,0)</f>
        <v>1</v>
      </c>
      <c r="T12" s="11">
        <f>IF(真實IC!T21&gt;真實IC!T$27,1,0)</f>
        <v>1</v>
      </c>
      <c r="U12" s="11">
        <f>IF(真實IC!U21&gt;真實IC!U$27,1,0)</f>
        <v>1</v>
      </c>
      <c r="V12" s="11">
        <f>IF(真實IC!V21&gt;真實IC!V$27,1,0)</f>
        <v>1</v>
      </c>
      <c r="W12" s="11">
        <f>IF(真實IC!W21&gt;真實IC!W$27,1,0)</f>
        <v>1</v>
      </c>
      <c r="X12" s="11">
        <f>IF(真實IC!X21&gt;真實IC!X$27,1,0)</f>
        <v>1</v>
      </c>
      <c r="Y12" s="11">
        <f>IF(真實IC!Y21&gt;真實IC!Y$27,1,0)</f>
        <v>1</v>
      </c>
      <c r="Z12" s="11">
        <f>IF(真實IC!Z21&gt;真實IC!Z$27,1,0)</f>
        <v>1</v>
      </c>
      <c r="AA12" s="11">
        <f>IF(真實IC!AA21&gt;真實IC!AA$27,1,0)</f>
        <v>1</v>
      </c>
      <c r="AB12" s="11">
        <f>IF(真實IC!AB21&gt;真實IC!AB$27,1,0)</f>
        <v>1</v>
      </c>
      <c r="AC12" s="11">
        <f>IF(真實IC!AC21&gt;真實IC!AC$27,1,0)</f>
        <v>1</v>
      </c>
      <c r="AD12" s="11">
        <f>IF(真實IC!AD21&gt;真實IC!AD$27,1,0)</f>
        <v>1</v>
      </c>
      <c r="AE12" s="11">
        <f>IF(真實IC!AE21&gt;真實IC!AE$27,1,0)</f>
        <v>1</v>
      </c>
      <c r="AF12" s="11">
        <f>IF(真實IC!AF21&gt;真實IC!AF$27,1,0)</f>
        <v>1</v>
      </c>
      <c r="AG12" s="11">
        <f>IF(真實IC!AG21&gt;真實IC!AG$27,1,0)</f>
        <v>0</v>
      </c>
      <c r="AH12" s="11">
        <f>IF(真實IC!AH21&gt;真實IC!AH$27,1,0)</f>
        <v>1</v>
      </c>
      <c r="AI12" s="11">
        <f>IF(真實IC!AI21&gt;真實IC!AI$27,1,0)</f>
        <v>1</v>
      </c>
      <c r="AJ12" s="11">
        <f>IF(真實IC!AJ21&gt;真實IC!AJ$27,1,0)</f>
        <v>1</v>
      </c>
      <c r="AK12" s="11">
        <f>IF(真實IC!AK21&gt;真實IC!AK$27,1,0)</f>
        <v>1</v>
      </c>
      <c r="AL12" s="11">
        <f>IF(真實IC!AL21&gt;真實IC!AL$27,1,0)</f>
        <v>1</v>
      </c>
      <c r="AM12" s="11">
        <f>IF(真實IC!AM21&gt;真實IC!AM$27,1,0)</f>
        <v>0</v>
      </c>
      <c r="AN12" s="11">
        <f>IF(真實IC!AN21&gt;真實IC!AN$27,1,0)</f>
        <v>0</v>
      </c>
      <c r="AO12" s="11">
        <f>IF(真實IC!AO21&gt;真實IC!AO$27,1,0)</f>
        <v>0</v>
      </c>
      <c r="AP12" s="11">
        <f>IF(真實IC!AP21&gt;真實IC!AP$27,1,0)</f>
        <v>1</v>
      </c>
      <c r="AQ12" s="11">
        <f>IF(真實IC!AQ21&gt;真實IC!AQ$27,1,0)</f>
        <v>1</v>
      </c>
      <c r="AR12" s="11">
        <f>IF(真實IC!AR21&gt;真實IC!AR$27,1,0)</f>
        <v>0</v>
      </c>
      <c r="AS12" s="11">
        <f>IF(真實IC!AS21&gt;真實IC!AS$27,1,0)</f>
        <v>1</v>
      </c>
      <c r="AT12" s="11">
        <f>IF(真實IC!AT21&gt;真實IC!AT$27,1,0)</f>
        <v>1</v>
      </c>
      <c r="AU12" s="11">
        <f>IF(真實IC!AU21&gt;真實IC!AU$27,1,0)</f>
        <v>1</v>
      </c>
      <c r="AV12" s="11">
        <f>IF(真實IC!AV21&gt;真實IC!AV$27,1,0)</f>
        <v>0</v>
      </c>
      <c r="AW12" s="11">
        <f>IF(真實IC!AW21&gt;真實IC!AW$27,1,0)</f>
        <v>1</v>
      </c>
      <c r="AX12" s="11">
        <f>IF(真實IC!AX21&gt;真實IC!AX$27,1,0)</f>
        <v>1</v>
      </c>
      <c r="AY12" s="11">
        <f>IF(真實IC!AY21&gt;真實IC!AY$27,1,0)</f>
        <v>1</v>
      </c>
      <c r="AZ12" s="11">
        <f>IF(真實IC!AZ21&gt;真實IC!AZ$27,1,0)</f>
        <v>1</v>
      </c>
      <c r="BA12" s="11">
        <f>IF(真實IC!BA21&gt;真實IC!BA$27,1,0)</f>
        <v>0</v>
      </c>
      <c r="BB12" s="11">
        <f>IF(真實IC!BB21&gt;真實IC!BB$27,1,0)</f>
        <v>1</v>
      </c>
      <c r="BC12" s="11">
        <f>IF(真實IC!BC21&gt;真實IC!BC$27,1,0)</f>
        <v>1</v>
      </c>
      <c r="BD12" s="11">
        <f>IF(真實IC!BD21&gt;真實IC!BD$27,1,0)</f>
        <v>0</v>
      </c>
      <c r="BE12" s="11">
        <f>IF(真實IC!BE21&gt;真實IC!BE$27,1,0)</f>
        <v>0</v>
      </c>
      <c r="BF12" s="11">
        <f>IF(真實IC!BF21&gt;真實IC!BF$27,1,0)</f>
        <v>1</v>
      </c>
      <c r="BG12" s="11">
        <f>IF(真實IC!BG21&gt;真實IC!BG$27,1,0)</f>
        <v>1</v>
      </c>
      <c r="BH12" s="11">
        <f>IF(真實IC!BH21&gt;真實IC!BH$27,1,0)</f>
        <v>1</v>
      </c>
      <c r="BI12" s="11">
        <f>IF(真實IC!BI21&gt;真實IC!BI$27,1,0)</f>
        <v>1</v>
      </c>
      <c r="BJ12" s="11">
        <f>IF(真實IC!BJ21&gt;真實IC!BJ$27,1,0)</f>
        <v>1</v>
      </c>
      <c r="BK12" s="11">
        <f>IF(真實IC!BK21&gt;真實IC!BK$27,1,0)</f>
        <v>0</v>
      </c>
      <c r="BL12" s="11">
        <f>IF(真實IC!BL21&gt;真實IC!BL$27,1,0)</f>
        <v>0</v>
      </c>
      <c r="BM12" s="11">
        <f>IF(真實IC!BM21&gt;真實IC!BM$27,1,0)</f>
        <v>0</v>
      </c>
      <c r="BN12" s="11">
        <f>IF(真實IC!BN21&gt;真實IC!BN$27,1,0)</f>
        <v>1</v>
      </c>
      <c r="BO12" s="11">
        <f>IF(真實IC!BO21&gt;真實IC!BO$27,1,0)</f>
        <v>1</v>
      </c>
      <c r="BP12" s="11">
        <f>IF(真實IC!BP21&gt;真實IC!BP$27,1,0)</f>
        <v>1</v>
      </c>
      <c r="BQ12" s="11">
        <f>IF(真實IC!BQ21&gt;真實IC!BQ$27,1,0)</f>
        <v>0</v>
      </c>
      <c r="BR12" s="11">
        <f>IF(真實IC!BR21&gt;真實IC!BR$27,1,0)</f>
        <v>1</v>
      </c>
      <c r="BS12" s="11">
        <f>IF(真實IC!BS21&gt;真實IC!BS$27,1,0)</f>
        <v>0</v>
      </c>
      <c r="BT12" s="11">
        <f>IF(真實IC!BT21&gt;真實IC!BT$27,1,0)</f>
        <v>0</v>
      </c>
      <c r="BU12" s="11">
        <f>IF(真實IC!BU21&gt;真實IC!BU$27,1,0)</f>
        <v>1</v>
      </c>
      <c r="BV12" s="11">
        <f>IF(真實IC!BV21&gt;真實IC!BV$27,1,0)</f>
        <v>1</v>
      </c>
      <c r="BW12" s="11">
        <f>IF(真實IC!BW21&gt;真實IC!BW$27,1,0)</f>
        <v>1</v>
      </c>
      <c r="BX12" s="11">
        <f>IF(真實IC!BX21&gt;真實IC!BX$27,1,0)</f>
        <v>0</v>
      </c>
      <c r="BY12" s="11">
        <f>IF(真實IC!BY21&gt;真實IC!BY$27,1,0)</f>
        <v>1</v>
      </c>
      <c r="BZ12" s="11">
        <f>IF(真實IC!BZ21&gt;真實IC!BZ$27,1,0)</f>
        <v>0</v>
      </c>
      <c r="CA12" s="11">
        <f>IF(真實IC!CA21&gt;真實IC!CA$27,1,0)</f>
        <v>0</v>
      </c>
      <c r="CB12" s="11">
        <f>IF(真實IC!CB21&gt;真實IC!CB$27,1,0)</f>
        <v>1</v>
      </c>
      <c r="CC12" s="11">
        <f>IF(真實IC!CC21&gt;真實IC!CC$27,1,0)</f>
        <v>0</v>
      </c>
      <c r="CD12" s="11">
        <f>IF(真實IC!CD21&gt;真實IC!CD$27,1,0)</f>
        <v>1</v>
      </c>
      <c r="CE12" s="11">
        <f>IF(真實IC!CE21&gt;真實IC!CE$27,1,0)</f>
        <v>1</v>
      </c>
      <c r="CF12" s="11">
        <f>IF(真實IC!CF21&gt;真實IC!CF$27,1,0)</f>
        <v>1</v>
      </c>
      <c r="CG12" s="11">
        <f>IF(真實IC!CG21&gt;真實IC!CG$27,1,0)</f>
        <v>1</v>
      </c>
      <c r="CH12" s="11">
        <f>IF(真實IC!CH21&gt;真實IC!CH$27,1,0)</f>
        <v>1</v>
      </c>
      <c r="CI12" s="11">
        <f>IF(真實IC!CI21&gt;真實IC!CI$27,1,0)</f>
        <v>1</v>
      </c>
      <c r="CJ12" s="11">
        <f>IF(真實IC!CJ21&gt;真實IC!CJ$27,1,0)</f>
        <v>1</v>
      </c>
      <c r="CK12" s="11">
        <f>IF(真實IC!CK21&gt;真實IC!CK$27,1,0)</f>
        <v>1</v>
      </c>
      <c r="CL12" s="11">
        <f>IF(真實IC!CL21&gt;真實IC!CL$27,1,0)</f>
        <v>0</v>
      </c>
      <c r="CM12" s="11">
        <f>IF(真實IC!CM21&gt;真實IC!CM$27,1,0)</f>
        <v>0</v>
      </c>
      <c r="CN12" s="11">
        <f>IF(真實IC!CN21&gt;真實IC!CN$27,1,0)</f>
        <v>1</v>
      </c>
      <c r="CO12" s="11">
        <f>IF(真實IC!CO21&gt;真實IC!CO$27,1,0)</f>
        <v>1</v>
      </c>
      <c r="CP12" s="11">
        <f>IF(真實IC!CP21&gt;真實IC!CP$27,1,0)</f>
        <v>1</v>
      </c>
      <c r="CQ12" s="11">
        <f>IF(真實IC!CQ21&gt;真實IC!CQ$27,1,0)</f>
        <v>1</v>
      </c>
      <c r="CR12" s="11">
        <f>IF(真實IC!CR21&gt;真實IC!CR$27,1,0)</f>
        <v>1</v>
      </c>
      <c r="CS12" s="11">
        <f>IF(真實IC!CS21&gt;真實IC!CS$27,1,0)</f>
        <v>0</v>
      </c>
      <c r="CT12" s="11">
        <f>IF(真實IC!CT21&gt;真實IC!CT$27,1,0)</f>
        <v>1</v>
      </c>
      <c r="CU12" s="11">
        <f>IF(真實IC!CU21&gt;真實IC!CU$27,1,0)</f>
        <v>1</v>
      </c>
      <c r="CV12" s="11">
        <f>IF(真實IC!CV21&gt;真實IC!CV$27,1,0)</f>
        <v>1</v>
      </c>
      <c r="CW12" s="11">
        <f>IF(真實IC!CW21&gt;真實IC!CW$27,1,0)</f>
        <v>1</v>
      </c>
      <c r="CX12" s="11">
        <f>IF(真實IC!CX21&gt;真實IC!CX$27,1,0)</f>
        <v>1</v>
      </c>
      <c r="CY12" s="11">
        <f>IF(真實IC!CY21&gt;真實IC!CY$27,1,0)</f>
        <v>0</v>
      </c>
      <c r="CZ12" s="11">
        <f>IF(真實IC!CZ21&gt;真實IC!CZ$27,1,0)</f>
        <v>1</v>
      </c>
      <c r="DA12" s="11">
        <f>IF(真實IC!DA21&gt;真實IC!DA$27,1,0)</f>
        <v>1</v>
      </c>
      <c r="DB12" s="11">
        <f>IF(真實IC!DB21&gt;真實IC!DB$27,1,0)</f>
        <v>0</v>
      </c>
      <c r="DC12" s="11">
        <f>IF(真實IC!DC21&gt;真實IC!DC$27,1,0)</f>
        <v>1</v>
      </c>
      <c r="DD12" s="11">
        <f>IF(真實IC!DD21&gt;真實IC!DD$27,1,0)</f>
        <v>1</v>
      </c>
      <c r="DE12" s="11">
        <f>IF(真實IC!DE21&gt;真實IC!DE$27,1,0)</f>
        <v>0</v>
      </c>
      <c r="DF12" s="11">
        <f>IF(真實IC!DF21&gt;真實IC!DF$27,1,0)</f>
        <v>1</v>
      </c>
      <c r="DG12" s="11">
        <f>IF(真實IC!DG21&gt;真實IC!DG$27,1,0)</f>
        <v>0</v>
      </c>
      <c r="DH12" s="11">
        <f>IF(真實IC!DH21&gt;真實IC!DH$27,1,0)</f>
        <v>0</v>
      </c>
      <c r="DI12" s="11">
        <f>IF(真實IC!DI21&gt;真實IC!DI$27,1,0)</f>
        <v>0</v>
      </c>
      <c r="DJ12" s="11">
        <f>IF(真實IC!DJ21&gt;真實IC!DJ$27,1,0)</f>
        <v>1</v>
      </c>
      <c r="DK12" s="11">
        <f>IF(真實IC!DK21&gt;真實IC!DK$27,1,0)</f>
        <v>0</v>
      </c>
      <c r="DL12" s="11">
        <f>IF(真實IC!DL21&gt;真實IC!DL$27,1,0)</f>
        <v>1</v>
      </c>
      <c r="DM12" s="11">
        <f>IF(真實IC!DM21&gt;真實IC!DM$27,1,0)</f>
        <v>0</v>
      </c>
      <c r="DN12" s="11">
        <f>IF(真實IC!DN21&gt;真實IC!DN$27,1,0)</f>
        <v>0</v>
      </c>
      <c r="DO12" s="11">
        <f>IF(真實IC!DO21&gt;真實IC!DO$27,1,0)</f>
        <v>1</v>
      </c>
      <c r="DP12" s="11">
        <f>IF(真實IC!DP21&gt;真實IC!DP$27,1,0)</f>
        <v>1</v>
      </c>
      <c r="DQ12" s="11">
        <f>IF(真實IC!DQ21&gt;真實IC!DQ$27,1,0)</f>
        <v>1</v>
      </c>
      <c r="DR12" s="11">
        <f>IF(真實IC!DR21&gt;真實IC!DR$27,1,0)</f>
        <v>0</v>
      </c>
      <c r="DS12" s="11">
        <f>IF(真實IC!DS21&gt;真實IC!DS$27,1,0)</f>
        <v>1</v>
      </c>
      <c r="DT12" s="11">
        <f>IF(真實IC!DT21&gt;真實IC!DT$27,1,0)</f>
        <v>0</v>
      </c>
      <c r="DU12" s="11">
        <f>IF(真實IC!DU21&gt;真實IC!DU$27,1,0)</f>
        <v>1</v>
      </c>
      <c r="DV12" s="11">
        <f>IF(真實IC!DV21&gt;真實IC!DV$27,1,0)</f>
        <v>1</v>
      </c>
      <c r="DW12" s="11">
        <f>IF(真實IC!DW21&gt;真實IC!DW$27,1,0)</f>
        <v>0</v>
      </c>
      <c r="DX12" s="11">
        <f>IF(真實IC!DX21&gt;真實IC!DX$27,1,0)</f>
        <v>1</v>
      </c>
      <c r="DY12" s="11">
        <f>IF(真實IC!DY21&gt;真實IC!DY$27,1,0)</f>
        <v>1</v>
      </c>
      <c r="DZ12" s="11">
        <f>IF(真實IC!DZ21&gt;真實IC!DZ$27,1,0)</f>
        <v>1</v>
      </c>
      <c r="EA12" s="11">
        <f>IF(真實IC!EA21&gt;真實IC!EA$27,1,0)</f>
        <v>1</v>
      </c>
      <c r="EB12" s="11">
        <f>IF(真實IC!EB21&gt;真實IC!EB$27,1,0)</f>
        <v>1</v>
      </c>
      <c r="EC12" s="11">
        <f>IF(真實IC!EC21&gt;真實IC!EC$27,1,0)</f>
        <v>1</v>
      </c>
      <c r="ED12" s="11">
        <f>IF(真實IC!ED21&gt;真實IC!ED$27,1,0)</f>
        <v>1</v>
      </c>
      <c r="EE12" s="11">
        <f>IF(真實IC!EE21&gt;真實IC!EE$27,1,0)</f>
        <v>0</v>
      </c>
      <c r="EF12" s="11">
        <f>IF(真實IC!EF21&gt;真實IC!EF$27,1,0)</f>
        <v>0</v>
      </c>
      <c r="EG12" s="1">
        <f t="shared" si="0"/>
        <v>92</v>
      </c>
      <c r="EH12" s="61">
        <f t="shared" si="1"/>
        <v>0.68656716417910446</v>
      </c>
    </row>
    <row r="13" spans="1:138" ht="16">
      <c r="A13" s="6">
        <v>192</v>
      </c>
      <c r="B13" s="6">
        <v>5</v>
      </c>
      <c r="C13" s="11">
        <f>IF(真實IC!C22&gt;真實IC!C$27,1,0)</f>
        <v>1</v>
      </c>
      <c r="D13" s="11">
        <f>IF(真實IC!D22&gt;真實IC!D$27,1,0)</f>
        <v>1</v>
      </c>
      <c r="E13" s="11">
        <f>IF(真實IC!E22&gt;真實IC!E$27,1,0)</f>
        <v>1</v>
      </c>
      <c r="F13" s="11">
        <f>IF(真實IC!F22&gt;真實IC!F$27,1,0)</f>
        <v>1</v>
      </c>
      <c r="G13" s="11">
        <f>IF(真實IC!G22&gt;真實IC!G$27,1,0)</f>
        <v>1</v>
      </c>
      <c r="H13" s="11">
        <f>IF(真實IC!H22&gt;真實IC!H$27,1,0)</f>
        <v>0</v>
      </c>
      <c r="I13" s="11">
        <f>IF(真實IC!I22&gt;真實IC!I$27,1,0)</f>
        <v>1</v>
      </c>
      <c r="J13" s="11">
        <f>IF(真實IC!J22&gt;真實IC!J$27,1,0)</f>
        <v>0</v>
      </c>
      <c r="K13" s="11">
        <f>IF(真實IC!K22&gt;真實IC!K$27,1,0)</f>
        <v>1</v>
      </c>
      <c r="L13" s="11">
        <f>IF(真實IC!L22&gt;真實IC!L$27,1,0)</f>
        <v>1</v>
      </c>
      <c r="M13" s="11">
        <f>IF(真實IC!M22&gt;真實IC!M$27,1,0)</f>
        <v>1</v>
      </c>
      <c r="N13" s="11">
        <f>IF(真實IC!N22&gt;真實IC!N$27,1,0)</f>
        <v>1</v>
      </c>
      <c r="O13" s="11">
        <f>IF(真實IC!O22&gt;真實IC!O$27,1,0)</f>
        <v>0</v>
      </c>
      <c r="P13" s="11">
        <f>IF(真實IC!P22&gt;真實IC!P$27,1,0)</f>
        <v>1</v>
      </c>
      <c r="Q13" s="11">
        <f>IF(真實IC!Q22&gt;真實IC!Q$27,1,0)</f>
        <v>1</v>
      </c>
      <c r="R13" s="11">
        <f>IF(真實IC!R22&gt;真實IC!R$27,1,0)</f>
        <v>0</v>
      </c>
      <c r="S13" s="11">
        <f>IF(真實IC!S22&gt;真實IC!S$27,1,0)</f>
        <v>1</v>
      </c>
      <c r="T13" s="11">
        <f>IF(真實IC!T22&gt;真實IC!T$27,1,0)</f>
        <v>1</v>
      </c>
      <c r="U13" s="11">
        <f>IF(真實IC!U22&gt;真實IC!U$27,1,0)</f>
        <v>1</v>
      </c>
      <c r="V13" s="11">
        <f>IF(真實IC!V22&gt;真實IC!V$27,1,0)</f>
        <v>1</v>
      </c>
      <c r="W13" s="11">
        <f>IF(真實IC!W22&gt;真實IC!W$27,1,0)</f>
        <v>1</v>
      </c>
      <c r="X13" s="11">
        <f>IF(真實IC!X22&gt;真實IC!X$27,1,0)</f>
        <v>1</v>
      </c>
      <c r="Y13" s="11">
        <f>IF(真實IC!Y22&gt;真實IC!Y$27,1,0)</f>
        <v>1</v>
      </c>
      <c r="Z13" s="11">
        <f>IF(真實IC!Z22&gt;真實IC!Z$27,1,0)</f>
        <v>1</v>
      </c>
      <c r="AA13" s="11">
        <f>IF(真實IC!AA22&gt;真實IC!AA$27,1,0)</f>
        <v>1</v>
      </c>
      <c r="AB13" s="11">
        <f>IF(真實IC!AB22&gt;真實IC!AB$27,1,0)</f>
        <v>1</v>
      </c>
      <c r="AC13" s="11">
        <f>IF(真實IC!AC22&gt;真實IC!AC$27,1,0)</f>
        <v>1</v>
      </c>
      <c r="AD13" s="11">
        <f>IF(真實IC!AD22&gt;真實IC!AD$27,1,0)</f>
        <v>1</v>
      </c>
      <c r="AE13" s="11">
        <f>IF(真實IC!AE22&gt;真實IC!AE$27,1,0)</f>
        <v>1</v>
      </c>
      <c r="AF13" s="11">
        <f>IF(真實IC!AF22&gt;真實IC!AF$27,1,0)</f>
        <v>1</v>
      </c>
      <c r="AG13" s="11">
        <f>IF(真實IC!AG22&gt;真實IC!AG$27,1,0)</f>
        <v>0</v>
      </c>
      <c r="AH13" s="11">
        <f>IF(真實IC!AH22&gt;真實IC!AH$27,1,0)</f>
        <v>1</v>
      </c>
      <c r="AI13" s="11">
        <f>IF(真實IC!AI22&gt;真實IC!AI$27,1,0)</f>
        <v>1</v>
      </c>
      <c r="AJ13" s="11">
        <f>IF(真實IC!AJ22&gt;真實IC!AJ$27,1,0)</f>
        <v>1</v>
      </c>
      <c r="AK13" s="11">
        <f>IF(真實IC!AK22&gt;真實IC!AK$27,1,0)</f>
        <v>1</v>
      </c>
      <c r="AL13" s="11">
        <f>IF(真實IC!AL22&gt;真實IC!AL$27,1,0)</f>
        <v>1</v>
      </c>
      <c r="AM13" s="11">
        <f>IF(真實IC!AM22&gt;真實IC!AM$27,1,0)</f>
        <v>1</v>
      </c>
      <c r="AN13" s="11">
        <f>IF(真實IC!AN22&gt;真實IC!AN$27,1,0)</f>
        <v>0</v>
      </c>
      <c r="AO13" s="11">
        <f>IF(真實IC!AO22&gt;真實IC!AO$27,1,0)</f>
        <v>0</v>
      </c>
      <c r="AP13" s="11">
        <f>IF(真實IC!AP22&gt;真實IC!AP$27,1,0)</f>
        <v>1</v>
      </c>
      <c r="AQ13" s="11">
        <f>IF(真實IC!AQ22&gt;真實IC!AQ$27,1,0)</f>
        <v>1</v>
      </c>
      <c r="AR13" s="11">
        <f>IF(真實IC!AR22&gt;真實IC!AR$27,1,0)</f>
        <v>0</v>
      </c>
      <c r="AS13" s="11">
        <f>IF(真實IC!AS22&gt;真實IC!AS$27,1,0)</f>
        <v>1</v>
      </c>
      <c r="AT13" s="11">
        <f>IF(真實IC!AT22&gt;真實IC!AT$27,1,0)</f>
        <v>1</v>
      </c>
      <c r="AU13" s="11">
        <f>IF(真實IC!AU22&gt;真實IC!AU$27,1,0)</f>
        <v>1</v>
      </c>
      <c r="AV13" s="11">
        <f>IF(真實IC!AV22&gt;真實IC!AV$27,1,0)</f>
        <v>0</v>
      </c>
      <c r="AW13" s="11">
        <f>IF(真實IC!AW22&gt;真實IC!AW$27,1,0)</f>
        <v>1</v>
      </c>
      <c r="AX13" s="11">
        <f>IF(真實IC!AX22&gt;真實IC!AX$27,1,0)</f>
        <v>1</v>
      </c>
      <c r="AY13" s="11">
        <f>IF(真實IC!AY22&gt;真實IC!AY$27,1,0)</f>
        <v>1</v>
      </c>
      <c r="AZ13" s="11">
        <f>IF(真實IC!AZ22&gt;真實IC!AZ$27,1,0)</f>
        <v>1</v>
      </c>
      <c r="BA13" s="11">
        <f>IF(真實IC!BA22&gt;真實IC!BA$27,1,0)</f>
        <v>1</v>
      </c>
      <c r="BB13" s="11">
        <f>IF(真實IC!BB22&gt;真實IC!BB$27,1,0)</f>
        <v>1</v>
      </c>
      <c r="BC13" s="11">
        <f>IF(真實IC!BC22&gt;真實IC!BC$27,1,0)</f>
        <v>1</v>
      </c>
      <c r="BD13" s="11">
        <f>IF(真實IC!BD22&gt;真實IC!BD$27,1,0)</f>
        <v>0</v>
      </c>
      <c r="BE13" s="11">
        <f>IF(真實IC!BE22&gt;真實IC!BE$27,1,0)</f>
        <v>0</v>
      </c>
      <c r="BF13" s="11">
        <f>IF(真實IC!BF22&gt;真實IC!BF$27,1,0)</f>
        <v>1</v>
      </c>
      <c r="BG13" s="11">
        <f>IF(真實IC!BG22&gt;真實IC!BG$27,1,0)</f>
        <v>1</v>
      </c>
      <c r="BH13" s="11">
        <f>IF(真實IC!BH22&gt;真實IC!BH$27,1,0)</f>
        <v>1</v>
      </c>
      <c r="BI13" s="11">
        <f>IF(真實IC!BI22&gt;真實IC!BI$27,1,0)</f>
        <v>1</v>
      </c>
      <c r="BJ13" s="11">
        <f>IF(真實IC!BJ22&gt;真實IC!BJ$27,1,0)</f>
        <v>1</v>
      </c>
      <c r="BK13" s="11">
        <f>IF(真實IC!BK22&gt;真實IC!BK$27,1,0)</f>
        <v>0</v>
      </c>
      <c r="BL13" s="11">
        <f>IF(真實IC!BL22&gt;真實IC!BL$27,1,0)</f>
        <v>0</v>
      </c>
      <c r="BM13" s="11">
        <f>IF(真實IC!BM22&gt;真實IC!BM$27,1,0)</f>
        <v>0</v>
      </c>
      <c r="BN13" s="11">
        <f>IF(真實IC!BN22&gt;真實IC!BN$27,1,0)</f>
        <v>1</v>
      </c>
      <c r="BO13" s="11">
        <f>IF(真實IC!BO22&gt;真實IC!BO$27,1,0)</f>
        <v>1</v>
      </c>
      <c r="BP13" s="11">
        <f>IF(真實IC!BP22&gt;真實IC!BP$27,1,0)</f>
        <v>1</v>
      </c>
      <c r="BQ13" s="11">
        <f>IF(真實IC!BQ22&gt;真實IC!BQ$27,1,0)</f>
        <v>0</v>
      </c>
      <c r="BR13" s="11">
        <f>IF(真實IC!BR22&gt;真實IC!BR$27,1,0)</f>
        <v>1</v>
      </c>
      <c r="BS13" s="11">
        <f>IF(真實IC!BS22&gt;真實IC!BS$27,1,0)</f>
        <v>0</v>
      </c>
      <c r="BT13" s="11">
        <f>IF(真實IC!BT22&gt;真實IC!BT$27,1,0)</f>
        <v>0</v>
      </c>
      <c r="BU13" s="11">
        <f>IF(真實IC!BU22&gt;真實IC!BU$27,1,0)</f>
        <v>0</v>
      </c>
      <c r="BV13" s="11">
        <f>IF(真實IC!BV22&gt;真實IC!BV$27,1,0)</f>
        <v>1</v>
      </c>
      <c r="BW13" s="11">
        <f>IF(真實IC!BW22&gt;真實IC!BW$27,1,0)</f>
        <v>1</v>
      </c>
      <c r="BX13" s="11">
        <f>IF(真實IC!BX22&gt;真實IC!BX$27,1,0)</f>
        <v>0</v>
      </c>
      <c r="BY13" s="11">
        <f>IF(真實IC!BY22&gt;真實IC!BY$27,1,0)</f>
        <v>1</v>
      </c>
      <c r="BZ13" s="11">
        <f>IF(真實IC!BZ22&gt;真實IC!BZ$27,1,0)</f>
        <v>0</v>
      </c>
      <c r="CA13" s="11">
        <f>IF(真實IC!CA22&gt;真實IC!CA$27,1,0)</f>
        <v>1</v>
      </c>
      <c r="CB13" s="11">
        <f>IF(真實IC!CB22&gt;真實IC!CB$27,1,0)</f>
        <v>0</v>
      </c>
      <c r="CC13" s="11">
        <f>IF(真實IC!CC22&gt;真實IC!CC$27,1,0)</f>
        <v>0</v>
      </c>
      <c r="CD13" s="11">
        <f>IF(真實IC!CD22&gt;真實IC!CD$27,1,0)</f>
        <v>0</v>
      </c>
      <c r="CE13" s="11">
        <f>IF(真實IC!CE22&gt;真實IC!CE$27,1,0)</f>
        <v>1</v>
      </c>
      <c r="CF13" s="11">
        <f>IF(真實IC!CF22&gt;真實IC!CF$27,1,0)</f>
        <v>1</v>
      </c>
      <c r="CG13" s="11">
        <f>IF(真實IC!CG22&gt;真實IC!CG$27,1,0)</f>
        <v>1</v>
      </c>
      <c r="CH13" s="11">
        <f>IF(真實IC!CH22&gt;真實IC!CH$27,1,0)</f>
        <v>1</v>
      </c>
      <c r="CI13" s="11">
        <f>IF(真實IC!CI22&gt;真實IC!CI$27,1,0)</f>
        <v>1</v>
      </c>
      <c r="CJ13" s="11">
        <f>IF(真實IC!CJ22&gt;真實IC!CJ$27,1,0)</f>
        <v>1</v>
      </c>
      <c r="CK13" s="11">
        <f>IF(真實IC!CK22&gt;真實IC!CK$27,1,0)</f>
        <v>0</v>
      </c>
      <c r="CL13" s="11">
        <f>IF(真實IC!CL22&gt;真實IC!CL$27,1,0)</f>
        <v>0</v>
      </c>
      <c r="CM13" s="11">
        <f>IF(真實IC!CM22&gt;真實IC!CM$27,1,0)</f>
        <v>0</v>
      </c>
      <c r="CN13" s="11">
        <f>IF(真實IC!CN22&gt;真實IC!CN$27,1,0)</f>
        <v>1</v>
      </c>
      <c r="CO13" s="11">
        <f>IF(真實IC!CO22&gt;真實IC!CO$27,1,0)</f>
        <v>1</v>
      </c>
      <c r="CP13" s="11">
        <f>IF(真實IC!CP22&gt;真實IC!CP$27,1,0)</f>
        <v>1</v>
      </c>
      <c r="CQ13" s="11">
        <f>IF(真實IC!CQ22&gt;真實IC!CQ$27,1,0)</f>
        <v>1</v>
      </c>
      <c r="CR13" s="11">
        <f>IF(真實IC!CR22&gt;真實IC!CR$27,1,0)</f>
        <v>1</v>
      </c>
      <c r="CS13" s="11">
        <f>IF(真實IC!CS22&gt;真實IC!CS$27,1,0)</f>
        <v>0</v>
      </c>
      <c r="CT13" s="11">
        <f>IF(真實IC!CT22&gt;真實IC!CT$27,1,0)</f>
        <v>1</v>
      </c>
      <c r="CU13" s="11">
        <f>IF(真實IC!CU22&gt;真實IC!CU$27,1,0)</f>
        <v>1</v>
      </c>
      <c r="CV13" s="11">
        <f>IF(真實IC!CV22&gt;真實IC!CV$27,1,0)</f>
        <v>1</v>
      </c>
      <c r="CW13" s="11">
        <f>IF(真實IC!CW22&gt;真實IC!CW$27,1,0)</f>
        <v>1</v>
      </c>
      <c r="CX13" s="11">
        <f>IF(真實IC!CX22&gt;真實IC!CX$27,1,0)</f>
        <v>1</v>
      </c>
      <c r="CY13" s="11">
        <f>IF(真實IC!CY22&gt;真實IC!CY$27,1,0)</f>
        <v>0</v>
      </c>
      <c r="CZ13" s="11">
        <f>IF(真實IC!CZ22&gt;真實IC!CZ$27,1,0)</f>
        <v>1</v>
      </c>
      <c r="DA13" s="11">
        <f>IF(真實IC!DA22&gt;真實IC!DA$27,1,0)</f>
        <v>1</v>
      </c>
      <c r="DB13" s="11">
        <f>IF(真實IC!DB22&gt;真實IC!DB$27,1,0)</f>
        <v>0</v>
      </c>
      <c r="DC13" s="11">
        <f>IF(真實IC!DC22&gt;真實IC!DC$27,1,0)</f>
        <v>1</v>
      </c>
      <c r="DD13" s="11">
        <f>IF(真實IC!DD22&gt;真實IC!DD$27,1,0)</f>
        <v>1</v>
      </c>
      <c r="DE13" s="11">
        <f>IF(真實IC!DE22&gt;真實IC!DE$27,1,0)</f>
        <v>0</v>
      </c>
      <c r="DF13" s="11">
        <f>IF(真實IC!DF22&gt;真實IC!DF$27,1,0)</f>
        <v>1</v>
      </c>
      <c r="DG13" s="11">
        <f>IF(真實IC!DG22&gt;真實IC!DG$27,1,0)</f>
        <v>0</v>
      </c>
      <c r="DH13" s="11">
        <f>IF(真實IC!DH22&gt;真實IC!DH$27,1,0)</f>
        <v>0</v>
      </c>
      <c r="DI13" s="11">
        <f>IF(真實IC!DI22&gt;真實IC!DI$27,1,0)</f>
        <v>0</v>
      </c>
      <c r="DJ13" s="11">
        <f>IF(真實IC!DJ22&gt;真實IC!DJ$27,1,0)</f>
        <v>1</v>
      </c>
      <c r="DK13" s="11">
        <f>IF(真實IC!DK22&gt;真實IC!DK$27,1,0)</f>
        <v>0</v>
      </c>
      <c r="DL13" s="11">
        <f>IF(真實IC!DL22&gt;真實IC!DL$27,1,0)</f>
        <v>0</v>
      </c>
      <c r="DM13" s="11">
        <f>IF(真實IC!DM22&gt;真實IC!DM$27,1,0)</f>
        <v>0</v>
      </c>
      <c r="DN13" s="11">
        <f>IF(真實IC!DN22&gt;真實IC!DN$27,1,0)</f>
        <v>0</v>
      </c>
      <c r="DO13" s="11">
        <f>IF(真實IC!DO22&gt;真實IC!DO$27,1,0)</f>
        <v>1</v>
      </c>
      <c r="DP13" s="11">
        <f>IF(真實IC!DP22&gt;真實IC!DP$27,1,0)</f>
        <v>1</v>
      </c>
      <c r="DQ13" s="11">
        <f>IF(真實IC!DQ22&gt;真實IC!DQ$27,1,0)</f>
        <v>1</v>
      </c>
      <c r="DR13" s="11">
        <f>IF(真實IC!DR22&gt;真實IC!DR$27,1,0)</f>
        <v>0</v>
      </c>
      <c r="DS13" s="11">
        <f>IF(真實IC!DS22&gt;真實IC!DS$27,1,0)</f>
        <v>0</v>
      </c>
      <c r="DT13" s="11">
        <f>IF(真實IC!DT22&gt;真實IC!DT$27,1,0)</f>
        <v>0</v>
      </c>
      <c r="DU13" s="11">
        <f>IF(真實IC!DU22&gt;真實IC!DU$27,1,0)</f>
        <v>1</v>
      </c>
      <c r="DV13" s="11">
        <f>IF(真實IC!DV22&gt;真實IC!DV$27,1,0)</f>
        <v>1</v>
      </c>
      <c r="DW13" s="11">
        <f>IF(真實IC!DW22&gt;真實IC!DW$27,1,0)</f>
        <v>0</v>
      </c>
      <c r="DX13" s="11">
        <f>IF(真實IC!DX22&gt;真實IC!DX$27,1,0)</f>
        <v>1</v>
      </c>
      <c r="DY13" s="11">
        <f>IF(真實IC!DY22&gt;真實IC!DY$27,1,0)</f>
        <v>1</v>
      </c>
      <c r="DZ13" s="11">
        <f>IF(真實IC!DZ22&gt;真實IC!DZ$27,1,0)</f>
        <v>1</v>
      </c>
      <c r="EA13" s="11">
        <f>IF(真實IC!EA22&gt;真實IC!EA$27,1,0)</f>
        <v>1</v>
      </c>
      <c r="EB13" s="11">
        <f>IF(真實IC!EB22&gt;真實IC!EB$27,1,0)</f>
        <v>1</v>
      </c>
      <c r="EC13" s="11">
        <f>IF(真實IC!EC22&gt;真實IC!EC$27,1,0)</f>
        <v>1</v>
      </c>
      <c r="ED13" s="11">
        <f>IF(真實IC!ED22&gt;真實IC!ED$27,1,0)</f>
        <v>1</v>
      </c>
      <c r="EE13" s="11">
        <f>IF(真實IC!EE22&gt;真實IC!EE$27,1,0)</f>
        <v>0</v>
      </c>
      <c r="EF13" s="11">
        <f>IF(真實IC!EF22&gt;真實IC!EF$27,1,0)</f>
        <v>0</v>
      </c>
      <c r="EG13" s="1">
        <f t="shared" si="0"/>
        <v>91</v>
      </c>
      <c r="EH13" s="61">
        <f t="shared" si="1"/>
        <v>0.67910447761194026</v>
      </c>
    </row>
    <row r="14" spans="1:138" ht="16">
      <c r="A14" s="6">
        <v>241</v>
      </c>
      <c r="B14" s="6">
        <v>4</v>
      </c>
      <c r="C14" s="11">
        <f>IF(真實IC!C23&gt;真實IC!C$27,1,0)</f>
        <v>1</v>
      </c>
      <c r="D14" s="11">
        <f>IF(真實IC!D23&gt;真實IC!D$27,1,0)</f>
        <v>1</v>
      </c>
      <c r="E14" s="11">
        <f>IF(真實IC!E23&gt;真實IC!E$27,1,0)</f>
        <v>1</v>
      </c>
      <c r="F14" s="11">
        <f>IF(真實IC!F23&gt;真實IC!F$27,1,0)</f>
        <v>1</v>
      </c>
      <c r="G14" s="11">
        <f>IF(真實IC!G23&gt;真實IC!G$27,1,0)</f>
        <v>1</v>
      </c>
      <c r="H14" s="11">
        <f>IF(真實IC!H23&gt;真實IC!H$27,1,0)</f>
        <v>1</v>
      </c>
      <c r="I14" s="11">
        <f>IF(真實IC!I23&gt;真實IC!I$27,1,0)</f>
        <v>1</v>
      </c>
      <c r="J14" s="11">
        <f>IF(真實IC!J23&gt;真實IC!J$27,1,0)</f>
        <v>0</v>
      </c>
      <c r="K14" s="11">
        <f>IF(真實IC!K23&gt;真實IC!K$27,1,0)</f>
        <v>1</v>
      </c>
      <c r="L14" s="11">
        <f>IF(真實IC!L23&gt;真實IC!L$27,1,0)</f>
        <v>1</v>
      </c>
      <c r="M14" s="11">
        <f>IF(真實IC!M23&gt;真實IC!M$27,1,0)</f>
        <v>0</v>
      </c>
      <c r="N14" s="11">
        <f>IF(真實IC!N23&gt;真實IC!N$27,1,0)</f>
        <v>1</v>
      </c>
      <c r="O14" s="11">
        <f>IF(真實IC!O23&gt;真實IC!O$27,1,0)</f>
        <v>0</v>
      </c>
      <c r="P14" s="11">
        <f>IF(真實IC!P23&gt;真實IC!P$27,1,0)</f>
        <v>1</v>
      </c>
      <c r="Q14" s="11">
        <f>IF(真實IC!Q23&gt;真實IC!Q$27,1,0)</f>
        <v>1</v>
      </c>
      <c r="R14" s="11">
        <f>IF(真實IC!R23&gt;真實IC!R$27,1,0)</f>
        <v>0</v>
      </c>
      <c r="S14" s="11">
        <f>IF(真實IC!S23&gt;真實IC!S$27,1,0)</f>
        <v>1</v>
      </c>
      <c r="T14" s="11">
        <f>IF(真實IC!T23&gt;真實IC!T$27,1,0)</f>
        <v>1</v>
      </c>
      <c r="U14" s="11">
        <f>IF(真實IC!U23&gt;真實IC!U$27,1,0)</f>
        <v>1</v>
      </c>
      <c r="V14" s="11">
        <f>IF(真實IC!V23&gt;真實IC!V$27,1,0)</f>
        <v>1</v>
      </c>
      <c r="W14" s="11">
        <f>IF(真實IC!W23&gt;真實IC!W$27,1,0)</f>
        <v>1</v>
      </c>
      <c r="X14" s="11">
        <f>IF(真實IC!X23&gt;真實IC!X$27,1,0)</f>
        <v>1</v>
      </c>
      <c r="Y14" s="11">
        <f>IF(真實IC!Y23&gt;真實IC!Y$27,1,0)</f>
        <v>1</v>
      </c>
      <c r="Z14" s="11">
        <f>IF(真實IC!Z23&gt;真實IC!Z$27,1,0)</f>
        <v>1</v>
      </c>
      <c r="AA14" s="11">
        <f>IF(真實IC!AA23&gt;真實IC!AA$27,1,0)</f>
        <v>1</v>
      </c>
      <c r="AB14" s="11">
        <f>IF(真實IC!AB23&gt;真實IC!AB$27,1,0)</f>
        <v>1</v>
      </c>
      <c r="AC14" s="11">
        <f>IF(真實IC!AC23&gt;真實IC!AC$27,1,0)</f>
        <v>1</v>
      </c>
      <c r="AD14" s="11">
        <f>IF(真實IC!AD23&gt;真實IC!AD$27,1,0)</f>
        <v>1</v>
      </c>
      <c r="AE14" s="11">
        <f>IF(真實IC!AE23&gt;真實IC!AE$27,1,0)</f>
        <v>1</v>
      </c>
      <c r="AF14" s="11">
        <f>IF(真實IC!AF23&gt;真實IC!AF$27,1,0)</f>
        <v>1</v>
      </c>
      <c r="AG14" s="11">
        <f>IF(真實IC!AG23&gt;真實IC!AG$27,1,0)</f>
        <v>0</v>
      </c>
      <c r="AH14" s="11">
        <f>IF(真實IC!AH23&gt;真實IC!AH$27,1,0)</f>
        <v>1</v>
      </c>
      <c r="AI14" s="11">
        <f>IF(真實IC!AI23&gt;真實IC!AI$27,1,0)</f>
        <v>1</v>
      </c>
      <c r="AJ14" s="11">
        <f>IF(真實IC!AJ23&gt;真實IC!AJ$27,1,0)</f>
        <v>1</v>
      </c>
      <c r="AK14" s="11">
        <f>IF(真實IC!AK23&gt;真實IC!AK$27,1,0)</f>
        <v>1</v>
      </c>
      <c r="AL14" s="11">
        <f>IF(真實IC!AL23&gt;真實IC!AL$27,1,0)</f>
        <v>1</v>
      </c>
      <c r="AM14" s="11">
        <f>IF(真實IC!AM23&gt;真實IC!AM$27,1,0)</f>
        <v>1</v>
      </c>
      <c r="AN14" s="11">
        <f>IF(真實IC!AN23&gt;真實IC!AN$27,1,0)</f>
        <v>0</v>
      </c>
      <c r="AO14" s="11">
        <f>IF(真實IC!AO23&gt;真實IC!AO$27,1,0)</f>
        <v>0</v>
      </c>
      <c r="AP14" s="11">
        <f>IF(真實IC!AP23&gt;真實IC!AP$27,1,0)</f>
        <v>1</v>
      </c>
      <c r="AQ14" s="11">
        <f>IF(真實IC!AQ23&gt;真實IC!AQ$27,1,0)</f>
        <v>1</v>
      </c>
      <c r="AR14" s="11">
        <f>IF(真實IC!AR23&gt;真實IC!AR$27,1,0)</f>
        <v>0</v>
      </c>
      <c r="AS14" s="11">
        <f>IF(真實IC!AS23&gt;真實IC!AS$27,1,0)</f>
        <v>0</v>
      </c>
      <c r="AT14" s="11">
        <f>IF(真實IC!AT23&gt;真實IC!AT$27,1,0)</f>
        <v>1</v>
      </c>
      <c r="AU14" s="11">
        <f>IF(真實IC!AU23&gt;真實IC!AU$27,1,0)</f>
        <v>1</v>
      </c>
      <c r="AV14" s="11">
        <f>IF(真實IC!AV23&gt;真實IC!AV$27,1,0)</f>
        <v>0</v>
      </c>
      <c r="AW14" s="11">
        <f>IF(真實IC!AW23&gt;真實IC!AW$27,1,0)</f>
        <v>1</v>
      </c>
      <c r="AX14" s="11">
        <f>IF(真實IC!AX23&gt;真實IC!AX$27,1,0)</f>
        <v>0</v>
      </c>
      <c r="AY14" s="11">
        <f>IF(真實IC!AY23&gt;真實IC!AY$27,1,0)</f>
        <v>1</v>
      </c>
      <c r="AZ14" s="11">
        <f>IF(真實IC!AZ23&gt;真實IC!AZ$27,1,0)</f>
        <v>1</v>
      </c>
      <c r="BA14" s="11">
        <f>IF(真實IC!BA23&gt;真實IC!BA$27,1,0)</f>
        <v>1</v>
      </c>
      <c r="BB14" s="11">
        <f>IF(真實IC!BB23&gt;真實IC!BB$27,1,0)</f>
        <v>1</v>
      </c>
      <c r="BC14" s="11">
        <f>IF(真實IC!BC23&gt;真實IC!BC$27,1,0)</f>
        <v>1</v>
      </c>
      <c r="BD14" s="11">
        <f>IF(真實IC!BD23&gt;真實IC!BD$27,1,0)</f>
        <v>0</v>
      </c>
      <c r="BE14" s="11">
        <f>IF(真實IC!BE23&gt;真實IC!BE$27,1,0)</f>
        <v>0</v>
      </c>
      <c r="BF14" s="11">
        <f>IF(真實IC!BF23&gt;真實IC!BF$27,1,0)</f>
        <v>0</v>
      </c>
      <c r="BG14" s="11">
        <f>IF(真實IC!BG23&gt;真實IC!BG$27,1,0)</f>
        <v>1</v>
      </c>
      <c r="BH14" s="11">
        <f>IF(真實IC!BH23&gt;真實IC!BH$27,1,0)</f>
        <v>1</v>
      </c>
      <c r="BI14" s="11">
        <f>IF(真實IC!BI23&gt;真實IC!BI$27,1,0)</f>
        <v>1</v>
      </c>
      <c r="BJ14" s="11">
        <f>IF(真實IC!BJ23&gt;真實IC!BJ$27,1,0)</f>
        <v>1</v>
      </c>
      <c r="BK14" s="11">
        <f>IF(真實IC!BK23&gt;真實IC!BK$27,1,0)</f>
        <v>0</v>
      </c>
      <c r="BL14" s="11">
        <f>IF(真實IC!BL23&gt;真實IC!BL$27,1,0)</f>
        <v>1</v>
      </c>
      <c r="BM14" s="11">
        <f>IF(真實IC!BM23&gt;真實IC!BM$27,1,0)</f>
        <v>0</v>
      </c>
      <c r="BN14" s="11">
        <f>IF(真實IC!BN23&gt;真實IC!BN$27,1,0)</f>
        <v>1</v>
      </c>
      <c r="BO14" s="11">
        <f>IF(真實IC!BO23&gt;真實IC!BO$27,1,0)</f>
        <v>1</v>
      </c>
      <c r="BP14" s="11">
        <f>IF(真實IC!BP23&gt;真實IC!BP$27,1,0)</f>
        <v>1</v>
      </c>
      <c r="BQ14" s="11">
        <f>IF(真實IC!BQ23&gt;真實IC!BQ$27,1,0)</f>
        <v>0</v>
      </c>
      <c r="BR14" s="11">
        <f>IF(真實IC!BR23&gt;真實IC!BR$27,1,0)</f>
        <v>1</v>
      </c>
      <c r="BS14" s="11">
        <f>IF(真實IC!BS23&gt;真實IC!BS$27,1,0)</f>
        <v>0</v>
      </c>
      <c r="BT14" s="11">
        <f>IF(真實IC!BT23&gt;真實IC!BT$27,1,0)</f>
        <v>0</v>
      </c>
      <c r="BU14" s="11">
        <f>IF(真實IC!BU23&gt;真實IC!BU$27,1,0)</f>
        <v>1</v>
      </c>
      <c r="BV14" s="11">
        <f>IF(真實IC!BV23&gt;真實IC!BV$27,1,0)</f>
        <v>1</v>
      </c>
      <c r="BW14" s="11">
        <f>IF(真實IC!BW23&gt;真實IC!BW$27,1,0)</f>
        <v>1</v>
      </c>
      <c r="BX14" s="11">
        <f>IF(真實IC!BX23&gt;真實IC!BX$27,1,0)</f>
        <v>0</v>
      </c>
      <c r="BY14" s="11">
        <f>IF(真實IC!BY23&gt;真實IC!BY$27,1,0)</f>
        <v>1</v>
      </c>
      <c r="BZ14" s="11">
        <f>IF(真實IC!BZ23&gt;真實IC!BZ$27,1,0)</f>
        <v>1</v>
      </c>
      <c r="CA14" s="11">
        <f>IF(真實IC!CA23&gt;真實IC!CA$27,1,0)</f>
        <v>1</v>
      </c>
      <c r="CB14" s="11">
        <f>IF(真實IC!CB23&gt;真實IC!CB$27,1,0)</f>
        <v>1</v>
      </c>
      <c r="CC14" s="11">
        <f>IF(真實IC!CC23&gt;真實IC!CC$27,1,0)</f>
        <v>0</v>
      </c>
      <c r="CD14" s="11">
        <f>IF(真實IC!CD23&gt;真實IC!CD$27,1,0)</f>
        <v>1</v>
      </c>
      <c r="CE14" s="11">
        <f>IF(真實IC!CE23&gt;真實IC!CE$27,1,0)</f>
        <v>1</v>
      </c>
      <c r="CF14" s="11">
        <f>IF(真實IC!CF23&gt;真實IC!CF$27,1,0)</f>
        <v>1</v>
      </c>
      <c r="CG14" s="11">
        <f>IF(真實IC!CG23&gt;真實IC!CG$27,1,0)</f>
        <v>1</v>
      </c>
      <c r="CH14" s="11">
        <f>IF(真實IC!CH23&gt;真實IC!CH$27,1,0)</f>
        <v>0</v>
      </c>
      <c r="CI14" s="11">
        <f>IF(真實IC!CI23&gt;真實IC!CI$27,1,0)</f>
        <v>1</v>
      </c>
      <c r="CJ14" s="11">
        <f>IF(真實IC!CJ23&gt;真實IC!CJ$27,1,0)</f>
        <v>1</v>
      </c>
      <c r="CK14" s="11">
        <f>IF(真實IC!CK23&gt;真實IC!CK$27,1,0)</f>
        <v>1</v>
      </c>
      <c r="CL14" s="11">
        <f>IF(真實IC!CL23&gt;真實IC!CL$27,1,0)</f>
        <v>1</v>
      </c>
      <c r="CM14" s="11">
        <f>IF(真實IC!CM23&gt;真實IC!CM$27,1,0)</f>
        <v>0</v>
      </c>
      <c r="CN14" s="11">
        <f>IF(真實IC!CN23&gt;真實IC!CN$27,1,0)</f>
        <v>1</v>
      </c>
      <c r="CO14" s="11">
        <f>IF(真實IC!CO23&gt;真實IC!CO$27,1,0)</f>
        <v>1</v>
      </c>
      <c r="CP14" s="11">
        <f>IF(真實IC!CP23&gt;真實IC!CP$27,1,0)</f>
        <v>1</v>
      </c>
      <c r="CQ14" s="11">
        <f>IF(真實IC!CQ23&gt;真實IC!CQ$27,1,0)</f>
        <v>1</v>
      </c>
      <c r="CR14" s="11">
        <f>IF(真實IC!CR23&gt;真實IC!CR$27,1,0)</f>
        <v>1</v>
      </c>
      <c r="CS14" s="11">
        <f>IF(真實IC!CS23&gt;真實IC!CS$27,1,0)</f>
        <v>0</v>
      </c>
      <c r="CT14" s="11">
        <f>IF(真實IC!CT23&gt;真實IC!CT$27,1,0)</f>
        <v>1</v>
      </c>
      <c r="CU14" s="11">
        <f>IF(真實IC!CU23&gt;真實IC!CU$27,1,0)</f>
        <v>1</v>
      </c>
      <c r="CV14" s="11">
        <f>IF(真實IC!CV23&gt;真實IC!CV$27,1,0)</f>
        <v>1</v>
      </c>
      <c r="CW14" s="11">
        <f>IF(真實IC!CW23&gt;真實IC!CW$27,1,0)</f>
        <v>1</v>
      </c>
      <c r="CX14" s="11">
        <f>IF(真實IC!CX23&gt;真實IC!CX$27,1,0)</f>
        <v>1</v>
      </c>
      <c r="CY14" s="11">
        <f>IF(真實IC!CY23&gt;真實IC!CY$27,1,0)</f>
        <v>0</v>
      </c>
      <c r="CZ14" s="11">
        <f>IF(真實IC!CZ23&gt;真實IC!CZ$27,1,0)</f>
        <v>1</v>
      </c>
      <c r="DA14" s="11">
        <f>IF(真實IC!DA23&gt;真實IC!DA$27,1,0)</f>
        <v>1</v>
      </c>
      <c r="DB14" s="11">
        <f>IF(真實IC!DB23&gt;真實IC!DB$27,1,0)</f>
        <v>0</v>
      </c>
      <c r="DC14" s="11">
        <f>IF(真實IC!DC23&gt;真實IC!DC$27,1,0)</f>
        <v>1</v>
      </c>
      <c r="DD14" s="11">
        <f>IF(真實IC!DD23&gt;真實IC!DD$27,1,0)</f>
        <v>1</v>
      </c>
      <c r="DE14" s="11">
        <f>IF(真實IC!DE23&gt;真實IC!DE$27,1,0)</f>
        <v>0</v>
      </c>
      <c r="DF14" s="11">
        <f>IF(真實IC!DF23&gt;真實IC!DF$27,1,0)</f>
        <v>1</v>
      </c>
      <c r="DG14" s="11">
        <f>IF(真實IC!DG23&gt;真實IC!DG$27,1,0)</f>
        <v>0</v>
      </c>
      <c r="DH14" s="11">
        <f>IF(真實IC!DH23&gt;真實IC!DH$27,1,0)</f>
        <v>0</v>
      </c>
      <c r="DI14" s="11">
        <f>IF(真實IC!DI23&gt;真實IC!DI$27,1,0)</f>
        <v>0</v>
      </c>
      <c r="DJ14" s="11">
        <f>IF(真實IC!DJ23&gt;真實IC!DJ$27,1,0)</f>
        <v>1</v>
      </c>
      <c r="DK14" s="11">
        <f>IF(真實IC!DK23&gt;真實IC!DK$27,1,0)</f>
        <v>0</v>
      </c>
      <c r="DL14" s="11">
        <f>IF(真實IC!DL23&gt;真實IC!DL$27,1,0)</f>
        <v>0</v>
      </c>
      <c r="DM14" s="11">
        <f>IF(真實IC!DM23&gt;真實IC!DM$27,1,0)</f>
        <v>0</v>
      </c>
      <c r="DN14" s="11">
        <f>IF(真實IC!DN23&gt;真實IC!DN$27,1,0)</f>
        <v>1</v>
      </c>
      <c r="DO14" s="11">
        <f>IF(真實IC!DO23&gt;真實IC!DO$27,1,0)</f>
        <v>0</v>
      </c>
      <c r="DP14" s="11">
        <f>IF(真實IC!DP23&gt;真實IC!DP$27,1,0)</f>
        <v>1</v>
      </c>
      <c r="DQ14" s="11">
        <f>IF(真實IC!DQ23&gt;真實IC!DQ$27,1,0)</f>
        <v>1</v>
      </c>
      <c r="DR14" s="11">
        <f>IF(真實IC!DR23&gt;真實IC!DR$27,1,0)</f>
        <v>0</v>
      </c>
      <c r="DS14" s="11">
        <f>IF(真實IC!DS23&gt;真實IC!DS$27,1,0)</f>
        <v>0</v>
      </c>
      <c r="DT14" s="11">
        <f>IF(真實IC!DT23&gt;真實IC!DT$27,1,0)</f>
        <v>0</v>
      </c>
      <c r="DU14" s="11">
        <f>IF(真實IC!DU23&gt;真實IC!DU$27,1,0)</f>
        <v>1</v>
      </c>
      <c r="DV14" s="11">
        <f>IF(真實IC!DV23&gt;真實IC!DV$27,1,0)</f>
        <v>0</v>
      </c>
      <c r="DW14" s="11">
        <f>IF(真實IC!DW23&gt;真實IC!DW$27,1,0)</f>
        <v>0</v>
      </c>
      <c r="DX14" s="11">
        <f>IF(真實IC!DX23&gt;真實IC!DX$27,1,0)</f>
        <v>1</v>
      </c>
      <c r="DY14" s="11">
        <f>IF(真實IC!DY23&gt;真實IC!DY$27,1,0)</f>
        <v>1</v>
      </c>
      <c r="DZ14" s="11">
        <f>IF(真實IC!DZ23&gt;真實IC!DZ$27,1,0)</f>
        <v>1</v>
      </c>
      <c r="EA14" s="11">
        <f>IF(真實IC!EA23&gt;真實IC!EA$27,1,0)</f>
        <v>1</v>
      </c>
      <c r="EB14" s="11">
        <f>IF(真實IC!EB23&gt;真實IC!EB$27,1,0)</f>
        <v>1</v>
      </c>
      <c r="EC14" s="11">
        <f>IF(真實IC!EC23&gt;真實IC!EC$27,1,0)</f>
        <v>1</v>
      </c>
      <c r="ED14" s="11">
        <f>IF(真實IC!ED23&gt;真實IC!ED$27,1,0)</f>
        <v>1</v>
      </c>
      <c r="EE14" s="11">
        <f>IF(真實IC!EE23&gt;真實IC!EE$27,1,0)</f>
        <v>0</v>
      </c>
      <c r="EF14" s="11">
        <f>IF(真實IC!EF23&gt;真實IC!EF$27,1,0)</f>
        <v>0</v>
      </c>
      <c r="EG14" s="1">
        <f t="shared" si="0"/>
        <v>93</v>
      </c>
      <c r="EH14" s="61">
        <f t="shared" si="1"/>
        <v>0.69402985074626866</v>
      </c>
    </row>
    <row r="15" spans="1:138" ht="16">
      <c r="A15" s="6">
        <v>321</v>
      </c>
      <c r="B15" s="6">
        <v>3</v>
      </c>
      <c r="C15" s="11">
        <f>IF(真實IC!C24&gt;真實IC!C$27,1,0)</f>
        <v>1</v>
      </c>
      <c r="D15" s="11">
        <f>IF(真實IC!D24&gt;真實IC!D$27,1,0)</f>
        <v>1</v>
      </c>
      <c r="E15" s="11">
        <f>IF(真實IC!E24&gt;真實IC!E$27,1,0)</f>
        <v>0</v>
      </c>
      <c r="F15" s="11">
        <f>IF(真實IC!F24&gt;真實IC!F$27,1,0)</f>
        <v>1</v>
      </c>
      <c r="G15" s="11">
        <f>IF(真實IC!G24&gt;真實IC!G$27,1,0)</f>
        <v>1</v>
      </c>
      <c r="H15" s="11">
        <f>IF(真實IC!H24&gt;真實IC!H$27,1,0)</f>
        <v>1</v>
      </c>
      <c r="I15" s="11">
        <f>IF(真實IC!I24&gt;真實IC!I$27,1,0)</f>
        <v>1</v>
      </c>
      <c r="J15" s="11">
        <f>IF(真實IC!J24&gt;真實IC!J$27,1,0)</f>
        <v>0</v>
      </c>
      <c r="K15" s="11">
        <f>IF(真實IC!K24&gt;真實IC!K$27,1,0)</f>
        <v>1</v>
      </c>
      <c r="L15" s="11">
        <f>IF(真實IC!L24&gt;真實IC!L$27,1,0)</f>
        <v>1</v>
      </c>
      <c r="M15" s="11">
        <f>IF(真實IC!M24&gt;真實IC!M$27,1,0)</f>
        <v>0</v>
      </c>
      <c r="N15" s="11">
        <f>IF(真實IC!N24&gt;真實IC!N$27,1,0)</f>
        <v>1</v>
      </c>
      <c r="O15" s="11">
        <f>IF(真實IC!O24&gt;真實IC!O$27,1,0)</f>
        <v>0</v>
      </c>
      <c r="P15" s="11">
        <f>IF(真實IC!P24&gt;真實IC!P$27,1,0)</f>
        <v>1</v>
      </c>
      <c r="Q15" s="11">
        <f>IF(真實IC!Q24&gt;真實IC!Q$27,1,0)</f>
        <v>1</v>
      </c>
      <c r="R15" s="11">
        <f>IF(真實IC!R24&gt;真實IC!R$27,1,0)</f>
        <v>0</v>
      </c>
      <c r="S15" s="11">
        <f>IF(真實IC!S24&gt;真實IC!S$27,1,0)</f>
        <v>1</v>
      </c>
      <c r="T15" s="11">
        <f>IF(真實IC!T24&gt;真實IC!T$27,1,0)</f>
        <v>1</v>
      </c>
      <c r="U15" s="11">
        <f>IF(真實IC!U24&gt;真實IC!U$27,1,0)</f>
        <v>1</v>
      </c>
      <c r="V15" s="11">
        <f>IF(真實IC!V24&gt;真實IC!V$27,1,0)</f>
        <v>1</v>
      </c>
      <c r="W15" s="11">
        <f>IF(真實IC!W24&gt;真實IC!W$27,1,0)</f>
        <v>1</v>
      </c>
      <c r="X15" s="11">
        <f>IF(真實IC!X24&gt;真實IC!X$27,1,0)</f>
        <v>1</v>
      </c>
      <c r="Y15" s="11">
        <f>IF(真實IC!Y24&gt;真實IC!Y$27,1,0)</f>
        <v>1</v>
      </c>
      <c r="Z15" s="11">
        <f>IF(真實IC!Z24&gt;真實IC!Z$27,1,0)</f>
        <v>1</v>
      </c>
      <c r="AA15" s="11">
        <f>IF(真實IC!AA24&gt;真實IC!AA$27,1,0)</f>
        <v>1</v>
      </c>
      <c r="AB15" s="11">
        <f>IF(真實IC!AB24&gt;真實IC!AB$27,1,0)</f>
        <v>1</v>
      </c>
      <c r="AC15" s="11">
        <f>IF(真實IC!AC24&gt;真實IC!AC$27,1,0)</f>
        <v>1</v>
      </c>
      <c r="AD15" s="11">
        <f>IF(真實IC!AD24&gt;真實IC!AD$27,1,0)</f>
        <v>1</v>
      </c>
      <c r="AE15" s="11">
        <f>IF(真實IC!AE24&gt;真實IC!AE$27,1,0)</f>
        <v>1</v>
      </c>
      <c r="AF15" s="11">
        <f>IF(真實IC!AF24&gt;真實IC!AF$27,1,0)</f>
        <v>1</v>
      </c>
      <c r="AG15" s="11">
        <f>IF(真實IC!AG24&gt;真實IC!AG$27,1,0)</f>
        <v>0</v>
      </c>
      <c r="AH15" s="11">
        <f>IF(真實IC!AH24&gt;真實IC!AH$27,1,0)</f>
        <v>1</v>
      </c>
      <c r="AI15" s="11">
        <f>IF(真實IC!AI24&gt;真實IC!AI$27,1,0)</f>
        <v>1</v>
      </c>
      <c r="AJ15" s="11">
        <f>IF(真實IC!AJ24&gt;真實IC!AJ$27,1,0)</f>
        <v>1</v>
      </c>
      <c r="AK15" s="11">
        <f>IF(真實IC!AK24&gt;真實IC!AK$27,1,0)</f>
        <v>1</v>
      </c>
      <c r="AL15" s="11">
        <f>IF(真實IC!AL24&gt;真實IC!AL$27,1,0)</f>
        <v>1</v>
      </c>
      <c r="AM15" s="11">
        <f>IF(真實IC!AM24&gt;真實IC!AM$27,1,0)</f>
        <v>1</v>
      </c>
      <c r="AN15" s="11">
        <f>IF(真實IC!AN24&gt;真實IC!AN$27,1,0)</f>
        <v>0</v>
      </c>
      <c r="AO15" s="11">
        <f>IF(真實IC!AO24&gt;真實IC!AO$27,1,0)</f>
        <v>0</v>
      </c>
      <c r="AP15" s="11">
        <f>IF(真實IC!AP24&gt;真實IC!AP$27,1,0)</f>
        <v>1</v>
      </c>
      <c r="AQ15" s="11">
        <f>IF(真實IC!AQ24&gt;真實IC!AQ$27,1,0)</f>
        <v>0</v>
      </c>
      <c r="AR15" s="11">
        <f>IF(真實IC!AR24&gt;真實IC!AR$27,1,0)</f>
        <v>0</v>
      </c>
      <c r="AS15" s="11">
        <f>IF(真實IC!AS24&gt;真實IC!AS$27,1,0)</f>
        <v>1</v>
      </c>
      <c r="AT15" s="11">
        <f>IF(真實IC!AT24&gt;真實IC!AT$27,1,0)</f>
        <v>1</v>
      </c>
      <c r="AU15" s="11">
        <f>IF(真實IC!AU24&gt;真實IC!AU$27,1,0)</f>
        <v>1</v>
      </c>
      <c r="AV15" s="11">
        <f>IF(真實IC!AV24&gt;真實IC!AV$27,1,0)</f>
        <v>0</v>
      </c>
      <c r="AW15" s="11">
        <f>IF(真實IC!AW24&gt;真實IC!AW$27,1,0)</f>
        <v>1</v>
      </c>
      <c r="AX15" s="11">
        <f>IF(真實IC!AX24&gt;真實IC!AX$27,1,0)</f>
        <v>0</v>
      </c>
      <c r="AY15" s="11">
        <f>IF(真實IC!AY24&gt;真實IC!AY$27,1,0)</f>
        <v>1</v>
      </c>
      <c r="AZ15" s="11">
        <f>IF(真實IC!AZ24&gt;真實IC!AZ$27,1,0)</f>
        <v>1</v>
      </c>
      <c r="BA15" s="11">
        <f>IF(真實IC!BA24&gt;真實IC!BA$27,1,0)</f>
        <v>1</v>
      </c>
      <c r="BB15" s="11">
        <f>IF(真實IC!BB24&gt;真實IC!BB$27,1,0)</f>
        <v>1</v>
      </c>
      <c r="BC15" s="11">
        <f>IF(真實IC!BC24&gt;真實IC!BC$27,1,0)</f>
        <v>1</v>
      </c>
      <c r="BD15" s="11">
        <f>IF(真實IC!BD24&gt;真實IC!BD$27,1,0)</f>
        <v>0</v>
      </c>
      <c r="BE15" s="11">
        <f>IF(真實IC!BE24&gt;真實IC!BE$27,1,0)</f>
        <v>0</v>
      </c>
      <c r="BF15" s="11">
        <f>IF(真實IC!BF24&gt;真實IC!BF$27,1,0)</f>
        <v>0</v>
      </c>
      <c r="BG15" s="11">
        <f>IF(真實IC!BG24&gt;真實IC!BG$27,1,0)</f>
        <v>1</v>
      </c>
      <c r="BH15" s="11">
        <f>IF(真實IC!BH24&gt;真實IC!BH$27,1,0)</f>
        <v>1</v>
      </c>
      <c r="BI15" s="11">
        <f>IF(真實IC!BI24&gt;真實IC!BI$27,1,0)</f>
        <v>1</v>
      </c>
      <c r="BJ15" s="11">
        <f>IF(真實IC!BJ24&gt;真實IC!BJ$27,1,0)</f>
        <v>1</v>
      </c>
      <c r="BK15" s="11">
        <f>IF(真實IC!BK24&gt;真實IC!BK$27,1,0)</f>
        <v>0</v>
      </c>
      <c r="BL15" s="11">
        <f>IF(真實IC!BL24&gt;真實IC!BL$27,1,0)</f>
        <v>1</v>
      </c>
      <c r="BM15" s="11">
        <f>IF(真實IC!BM24&gt;真實IC!BM$27,1,0)</f>
        <v>0</v>
      </c>
      <c r="BN15" s="11">
        <f>IF(真實IC!BN24&gt;真實IC!BN$27,1,0)</f>
        <v>1</v>
      </c>
      <c r="BO15" s="11">
        <f>IF(真實IC!BO24&gt;真實IC!BO$27,1,0)</f>
        <v>1</v>
      </c>
      <c r="BP15" s="11">
        <f>IF(真實IC!BP24&gt;真實IC!BP$27,1,0)</f>
        <v>1</v>
      </c>
      <c r="BQ15" s="11">
        <f>IF(真實IC!BQ24&gt;真實IC!BQ$27,1,0)</f>
        <v>0</v>
      </c>
      <c r="BR15" s="11">
        <f>IF(真實IC!BR24&gt;真實IC!BR$27,1,0)</f>
        <v>1</v>
      </c>
      <c r="BS15" s="11">
        <f>IF(真實IC!BS24&gt;真實IC!BS$27,1,0)</f>
        <v>0</v>
      </c>
      <c r="BT15" s="11">
        <f>IF(真實IC!BT24&gt;真實IC!BT$27,1,0)</f>
        <v>1</v>
      </c>
      <c r="BU15" s="11">
        <f>IF(真實IC!BU24&gt;真實IC!BU$27,1,0)</f>
        <v>1</v>
      </c>
      <c r="BV15" s="11">
        <f>IF(真實IC!BV24&gt;真實IC!BV$27,1,0)</f>
        <v>1</v>
      </c>
      <c r="BW15" s="11">
        <f>IF(真實IC!BW24&gt;真實IC!BW$27,1,0)</f>
        <v>1</v>
      </c>
      <c r="BX15" s="11">
        <f>IF(真實IC!BX24&gt;真實IC!BX$27,1,0)</f>
        <v>0</v>
      </c>
      <c r="BY15" s="11">
        <f>IF(真實IC!BY24&gt;真實IC!BY$27,1,0)</f>
        <v>0</v>
      </c>
      <c r="BZ15" s="11">
        <f>IF(真實IC!BZ24&gt;真實IC!BZ$27,1,0)</f>
        <v>0</v>
      </c>
      <c r="CA15" s="11">
        <f>IF(真實IC!CA24&gt;真實IC!CA$27,1,0)</f>
        <v>1</v>
      </c>
      <c r="CB15" s="11">
        <f>IF(真實IC!CB24&gt;真實IC!CB$27,1,0)</f>
        <v>1</v>
      </c>
      <c r="CC15" s="11">
        <f>IF(真實IC!CC24&gt;真實IC!CC$27,1,0)</f>
        <v>0</v>
      </c>
      <c r="CD15" s="11">
        <f>IF(真實IC!CD24&gt;真實IC!CD$27,1,0)</f>
        <v>0</v>
      </c>
      <c r="CE15" s="11">
        <f>IF(真實IC!CE24&gt;真實IC!CE$27,1,0)</f>
        <v>1</v>
      </c>
      <c r="CF15" s="11">
        <f>IF(真實IC!CF24&gt;真實IC!CF$27,1,0)</f>
        <v>1</v>
      </c>
      <c r="CG15" s="11">
        <f>IF(真實IC!CG24&gt;真實IC!CG$27,1,0)</f>
        <v>1</v>
      </c>
      <c r="CH15" s="11">
        <f>IF(真實IC!CH24&gt;真實IC!CH$27,1,0)</f>
        <v>0</v>
      </c>
      <c r="CI15" s="11">
        <f>IF(真實IC!CI24&gt;真實IC!CI$27,1,0)</f>
        <v>1</v>
      </c>
      <c r="CJ15" s="11">
        <f>IF(真實IC!CJ24&gt;真實IC!CJ$27,1,0)</f>
        <v>1</v>
      </c>
      <c r="CK15" s="11">
        <f>IF(真實IC!CK24&gt;真實IC!CK$27,1,0)</f>
        <v>1</v>
      </c>
      <c r="CL15" s="11">
        <f>IF(真實IC!CL24&gt;真實IC!CL$27,1,0)</f>
        <v>1</v>
      </c>
      <c r="CM15" s="11">
        <f>IF(真實IC!CM24&gt;真實IC!CM$27,1,0)</f>
        <v>0</v>
      </c>
      <c r="CN15" s="11">
        <f>IF(真實IC!CN24&gt;真實IC!CN$27,1,0)</f>
        <v>1</v>
      </c>
      <c r="CO15" s="11">
        <f>IF(真實IC!CO24&gt;真實IC!CO$27,1,0)</f>
        <v>1</v>
      </c>
      <c r="CP15" s="11">
        <f>IF(真實IC!CP24&gt;真實IC!CP$27,1,0)</f>
        <v>1</v>
      </c>
      <c r="CQ15" s="11">
        <f>IF(真實IC!CQ24&gt;真實IC!CQ$27,1,0)</f>
        <v>1</v>
      </c>
      <c r="CR15" s="11">
        <f>IF(真實IC!CR24&gt;真實IC!CR$27,1,0)</f>
        <v>1</v>
      </c>
      <c r="CS15" s="11">
        <f>IF(真實IC!CS24&gt;真實IC!CS$27,1,0)</f>
        <v>0</v>
      </c>
      <c r="CT15" s="11">
        <f>IF(真實IC!CT24&gt;真實IC!CT$27,1,0)</f>
        <v>1</v>
      </c>
      <c r="CU15" s="11">
        <f>IF(真實IC!CU24&gt;真實IC!CU$27,1,0)</f>
        <v>1</v>
      </c>
      <c r="CV15" s="11">
        <f>IF(真實IC!CV24&gt;真實IC!CV$27,1,0)</f>
        <v>1</v>
      </c>
      <c r="CW15" s="11">
        <f>IF(真實IC!CW24&gt;真實IC!CW$27,1,0)</f>
        <v>1</v>
      </c>
      <c r="CX15" s="11">
        <f>IF(真實IC!CX24&gt;真實IC!CX$27,1,0)</f>
        <v>1</v>
      </c>
      <c r="CY15" s="11">
        <f>IF(真實IC!CY24&gt;真實IC!CY$27,1,0)</f>
        <v>0</v>
      </c>
      <c r="CZ15" s="11">
        <f>IF(真實IC!CZ24&gt;真實IC!CZ$27,1,0)</f>
        <v>1</v>
      </c>
      <c r="DA15" s="11">
        <f>IF(真實IC!DA24&gt;真實IC!DA$27,1,0)</f>
        <v>1</v>
      </c>
      <c r="DB15" s="11">
        <f>IF(真實IC!DB24&gt;真實IC!DB$27,1,0)</f>
        <v>0</v>
      </c>
      <c r="DC15" s="11">
        <f>IF(真實IC!DC24&gt;真實IC!DC$27,1,0)</f>
        <v>1</v>
      </c>
      <c r="DD15" s="11">
        <f>IF(真實IC!DD24&gt;真實IC!DD$27,1,0)</f>
        <v>1</v>
      </c>
      <c r="DE15" s="11">
        <f>IF(真實IC!DE24&gt;真實IC!DE$27,1,0)</f>
        <v>0</v>
      </c>
      <c r="DF15" s="11">
        <f>IF(真實IC!DF24&gt;真實IC!DF$27,1,0)</f>
        <v>1</v>
      </c>
      <c r="DG15" s="11">
        <f>IF(真實IC!DG24&gt;真實IC!DG$27,1,0)</f>
        <v>0</v>
      </c>
      <c r="DH15" s="11">
        <f>IF(真實IC!DH24&gt;真實IC!DH$27,1,0)</f>
        <v>0</v>
      </c>
      <c r="DI15" s="11">
        <f>IF(真實IC!DI24&gt;真實IC!DI$27,1,0)</f>
        <v>0</v>
      </c>
      <c r="DJ15" s="11">
        <f>IF(真實IC!DJ24&gt;真實IC!DJ$27,1,0)</f>
        <v>1</v>
      </c>
      <c r="DK15" s="11">
        <f>IF(真實IC!DK24&gt;真實IC!DK$27,1,0)</f>
        <v>0</v>
      </c>
      <c r="DL15" s="11">
        <f>IF(真實IC!DL24&gt;真實IC!DL$27,1,0)</f>
        <v>1</v>
      </c>
      <c r="DM15" s="11">
        <f>IF(真實IC!DM24&gt;真實IC!DM$27,1,0)</f>
        <v>0</v>
      </c>
      <c r="DN15" s="11">
        <f>IF(真實IC!DN24&gt;真實IC!DN$27,1,0)</f>
        <v>1</v>
      </c>
      <c r="DO15" s="11">
        <f>IF(真實IC!DO24&gt;真實IC!DO$27,1,0)</f>
        <v>1</v>
      </c>
      <c r="DP15" s="11">
        <f>IF(真實IC!DP24&gt;真實IC!DP$27,1,0)</f>
        <v>1</v>
      </c>
      <c r="DQ15" s="11">
        <f>IF(真實IC!DQ24&gt;真實IC!DQ$27,1,0)</f>
        <v>1</v>
      </c>
      <c r="DR15" s="11">
        <f>IF(真實IC!DR24&gt;真實IC!DR$27,1,0)</f>
        <v>0</v>
      </c>
      <c r="DS15" s="11">
        <f>IF(真實IC!DS24&gt;真實IC!DS$27,1,0)</f>
        <v>0</v>
      </c>
      <c r="DT15" s="11">
        <f>IF(真實IC!DT24&gt;真實IC!DT$27,1,0)</f>
        <v>1</v>
      </c>
      <c r="DU15" s="11">
        <f>IF(真實IC!DU24&gt;真實IC!DU$27,1,0)</f>
        <v>1</v>
      </c>
      <c r="DV15" s="11">
        <f>IF(真實IC!DV24&gt;真實IC!DV$27,1,0)</f>
        <v>0</v>
      </c>
      <c r="DW15" s="11">
        <f>IF(真實IC!DW24&gt;真實IC!DW$27,1,0)</f>
        <v>0</v>
      </c>
      <c r="DX15" s="11">
        <f>IF(真實IC!DX24&gt;真實IC!DX$27,1,0)</f>
        <v>1</v>
      </c>
      <c r="DY15" s="11">
        <f>IF(真實IC!DY24&gt;真實IC!DY$27,1,0)</f>
        <v>1</v>
      </c>
      <c r="DZ15" s="11">
        <f>IF(真實IC!DZ24&gt;真實IC!DZ$27,1,0)</f>
        <v>1</v>
      </c>
      <c r="EA15" s="11">
        <f>IF(真實IC!EA24&gt;真實IC!EA$27,1,0)</f>
        <v>1</v>
      </c>
      <c r="EB15" s="11">
        <f>IF(真實IC!EB24&gt;真實IC!EB$27,1,0)</f>
        <v>1</v>
      </c>
      <c r="EC15" s="11">
        <f>IF(真實IC!EC24&gt;真實IC!EC$27,1,0)</f>
        <v>1</v>
      </c>
      <c r="ED15" s="11">
        <f>IF(真實IC!ED24&gt;真實IC!ED$27,1,0)</f>
        <v>1</v>
      </c>
      <c r="EE15" s="11">
        <f>IF(真實IC!EE24&gt;真實IC!EE$27,1,0)</f>
        <v>1</v>
      </c>
      <c r="EF15" s="11">
        <f>IF(真實IC!EF24&gt;真實IC!EF$27,1,0)</f>
        <v>0</v>
      </c>
      <c r="EG15" s="1">
        <f t="shared" si="0"/>
        <v>94</v>
      </c>
      <c r="EH15" s="61">
        <f t="shared" si="1"/>
        <v>0.70149253731343286</v>
      </c>
    </row>
    <row r="16" spans="1:138" ht="16">
      <c r="A16" s="6">
        <v>482</v>
      </c>
      <c r="B16" s="6">
        <v>2</v>
      </c>
      <c r="C16" s="11">
        <f>IF(真實IC!C25&gt;真實IC!C$27,1,0)</f>
        <v>1</v>
      </c>
      <c r="D16" s="11">
        <f>IF(真實IC!D25&gt;真實IC!D$27,1,0)</f>
        <v>0</v>
      </c>
      <c r="E16" s="11">
        <f>IF(真實IC!E25&gt;真實IC!E$27,1,0)</f>
        <v>0</v>
      </c>
      <c r="F16" s="11">
        <f>IF(真實IC!F25&gt;真實IC!F$27,1,0)</f>
        <v>1</v>
      </c>
      <c r="G16" s="11">
        <f>IF(真實IC!G25&gt;真實IC!G$27,1,0)</f>
        <v>1</v>
      </c>
      <c r="H16" s="11">
        <f>IF(真實IC!H25&gt;真實IC!H$27,1,0)</f>
        <v>1</v>
      </c>
      <c r="I16" s="11">
        <f>IF(真實IC!I25&gt;真實IC!I$27,1,0)</f>
        <v>1</v>
      </c>
      <c r="J16" s="11">
        <f>IF(真實IC!J25&gt;真實IC!J$27,1,0)</f>
        <v>1</v>
      </c>
      <c r="K16" s="11">
        <f>IF(真實IC!K25&gt;真實IC!K$27,1,0)</f>
        <v>1</v>
      </c>
      <c r="L16" s="11">
        <f>IF(真實IC!L25&gt;真實IC!L$27,1,0)</f>
        <v>1</v>
      </c>
      <c r="M16" s="11">
        <f>IF(真實IC!M25&gt;真實IC!M$27,1,0)</f>
        <v>0</v>
      </c>
      <c r="N16" s="11">
        <f>IF(真實IC!N25&gt;真實IC!N$27,1,0)</f>
        <v>1</v>
      </c>
      <c r="O16" s="11">
        <f>IF(真實IC!O25&gt;真實IC!O$27,1,0)</f>
        <v>0</v>
      </c>
      <c r="P16" s="11">
        <f>IF(真實IC!P25&gt;真實IC!P$27,1,0)</f>
        <v>0</v>
      </c>
      <c r="Q16" s="11">
        <f>IF(真實IC!Q25&gt;真實IC!Q$27,1,0)</f>
        <v>1</v>
      </c>
      <c r="R16" s="11">
        <f>IF(真實IC!R25&gt;真實IC!R$27,1,0)</f>
        <v>0</v>
      </c>
      <c r="S16" s="11">
        <f>IF(真實IC!S25&gt;真實IC!S$27,1,0)</f>
        <v>1</v>
      </c>
      <c r="T16" s="11">
        <f>IF(真實IC!T25&gt;真實IC!T$27,1,0)</f>
        <v>1</v>
      </c>
      <c r="U16" s="11">
        <f>IF(真實IC!U25&gt;真實IC!U$27,1,0)</f>
        <v>1</v>
      </c>
      <c r="V16" s="11">
        <f>IF(真實IC!V25&gt;真實IC!V$27,1,0)</f>
        <v>1</v>
      </c>
      <c r="W16" s="11">
        <f>IF(真實IC!W25&gt;真實IC!W$27,1,0)</f>
        <v>1</v>
      </c>
      <c r="X16" s="11">
        <f>IF(真實IC!X25&gt;真實IC!X$27,1,0)</f>
        <v>1</v>
      </c>
      <c r="Y16" s="11">
        <f>IF(真實IC!Y25&gt;真實IC!Y$27,1,0)</f>
        <v>1</v>
      </c>
      <c r="Z16" s="11">
        <f>IF(真實IC!Z25&gt;真實IC!Z$27,1,0)</f>
        <v>1</v>
      </c>
      <c r="AA16" s="11">
        <f>IF(真實IC!AA25&gt;真實IC!AA$27,1,0)</f>
        <v>1</v>
      </c>
      <c r="AB16" s="11">
        <f>IF(真實IC!AB25&gt;真實IC!AB$27,1,0)</f>
        <v>1</v>
      </c>
      <c r="AC16" s="11">
        <f>IF(真實IC!AC25&gt;真實IC!AC$27,1,0)</f>
        <v>1</v>
      </c>
      <c r="AD16" s="11">
        <f>IF(真實IC!AD25&gt;真實IC!AD$27,1,0)</f>
        <v>1</v>
      </c>
      <c r="AE16" s="11">
        <f>IF(真實IC!AE25&gt;真實IC!AE$27,1,0)</f>
        <v>1</v>
      </c>
      <c r="AF16" s="11">
        <f>IF(真實IC!AF25&gt;真實IC!AF$27,1,0)</f>
        <v>1</v>
      </c>
      <c r="AG16" s="11">
        <f>IF(真實IC!AG25&gt;真實IC!AG$27,1,0)</f>
        <v>1</v>
      </c>
      <c r="AH16" s="11">
        <f>IF(真實IC!AH25&gt;真實IC!AH$27,1,0)</f>
        <v>1</v>
      </c>
      <c r="AI16" s="11">
        <f>IF(真實IC!AI25&gt;真實IC!AI$27,1,0)</f>
        <v>1</v>
      </c>
      <c r="AJ16" s="11">
        <f>IF(真實IC!AJ25&gt;真實IC!AJ$27,1,0)</f>
        <v>1</v>
      </c>
      <c r="AK16" s="11">
        <f>IF(真實IC!AK25&gt;真實IC!AK$27,1,0)</f>
        <v>1</v>
      </c>
      <c r="AL16" s="11">
        <f>IF(真實IC!AL25&gt;真實IC!AL$27,1,0)</f>
        <v>1</v>
      </c>
      <c r="AM16" s="11">
        <f>IF(真實IC!AM25&gt;真實IC!AM$27,1,0)</f>
        <v>0</v>
      </c>
      <c r="AN16" s="11">
        <f>IF(真實IC!AN25&gt;真實IC!AN$27,1,0)</f>
        <v>0</v>
      </c>
      <c r="AO16" s="11">
        <f>IF(真實IC!AO25&gt;真實IC!AO$27,1,0)</f>
        <v>0</v>
      </c>
      <c r="AP16" s="11">
        <f>IF(真實IC!AP25&gt;真實IC!AP$27,1,0)</f>
        <v>1</v>
      </c>
      <c r="AQ16" s="11">
        <f>IF(真實IC!AQ25&gt;真實IC!AQ$27,1,0)</f>
        <v>0</v>
      </c>
      <c r="AR16" s="11">
        <f>IF(真實IC!AR25&gt;真實IC!AR$27,1,0)</f>
        <v>0</v>
      </c>
      <c r="AS16" s="11">
        <f>IF(真實IC!AS25&gt;真實IC!AS$27,1,0)</f>
        <v>0</v>
      </c>
      <c r="AT16" s="11">
        <f>IF(真實IC!AT25&gt;真實IC!AT$27,1,0)</f>
        <v>1</v>
      </c>
      <c r="AU16" s="11">
        <f>IF(真實IC!AU25&gt;真實IC!AU$27,1,0)</f>
        <v>1</v>
      </c>
      <c r="AV16" s="11">
        <f>IF(真實IC!AV25&gt;真實IC!AV$27,1,0)</f>
        <v>0</v>
      </c>
      <c r="AW16" s="11">
        <f>IF(真實IC!AW25&gt;真實IC!AW$27,1,0)</f>
        <v>1</v>
      </c>
      <c r="AX16" s="11">
        <f>IF(真實IC!AX25&gt;真實IC!AX$27,1,0)</f>
        <v>1</v>
      </c>
      <c r="AY16" s="11">
        <f>IF(真實IC!AY25&gt;真實IC!AY$27,1,0)</f>
        <v>1</v>
      </c>
      <c r="AZ16" s="11">
        <f>IF(真實IC!AZ25&gt;真實IC!AZ$27,1,0)</f>
        <v>1</v>
      </c>
      <c r="BA16" s="11">
        <f>IF(真實IC!BA25&gt;真實IC!BA$27,1,0)</f>
        <v>0</v>
      </c>
      <c r="BB16" s="11">
        <f>IF(真實IC!BB25&gt;真實IC!BB$27,1,0)</f>
        <v>1</v>
      </c>
      <c r="BC16" s="11">
        <f>IF(真實IC!BC25&gt;真實IC!BC$27,1,0)</f>
        <v>1</v>
      </c>
      <c r="BD16" s="11">
        <f>IF(真實IC!BD25&gt;真實IC!BD$27,1,0)</f>
        <v>0</v>
      </c>
      <c r="BE16" s="11">
        <f>IF(真實IC!BE25&gt;真實IC!BE$27,1,0)</f>
        <v>0</v>
      </c>
      <c r="BF16" s="11">
        <f>IF(真實IC!BF25&gt;真實IC!BF$27,1,0)</f>
        <v>0</v>
      </c>
      <c r="BG16" s="11">
        <f>IF(真實IC!BG25&gt;真實IC!BG$27,1,0)</f>
        <v>1</v>
      </c>
      <c r="BH16" s="11">
        <f>IF(真實IC!BH25&gt;真實IC!BH$27,1,0)</f>
        <v>1</v>
      </c>
      <c r="BI16" s="11">
        <f>IF(真實IC!BI25&gt;真實IC!BI$27,1,0)</f>
        <v>1</v>
      </c>
      <c r="BJ16" s="11">
        <f>IF(真實IC!BJ25&gt;真實IC!BJ$27,1,0)</f>
        <v>1</v>
      </c>
      <c r="BK16" s="11">
        <f>IF(真實IC!BK25&gt;真實IC!BK$27,1,0)</f>
        <v>0</v>
      </c>
      <c r="BL16" s="11">
        <f>IF(真實IC!BL25&gt;真實IC!BL$27,1,0)</f>
        <v>0</v>
      </c>
      <c r="BM16" s="11">
        <f>IF(真實IC!BM25&gt;真實IC!BM$27,1,0)</f>
        <v>0</v>
      </c>
      <c r="BN16" s="11">
        <f>IF(真實IC!BN25&gt;真實IC!BN$27,1,0)</f>
        <v>1</v>
      </c>
      <c r="BO16" s="11">
        <f>IF(真實IC!BO25&gt;真實IC!BO$27,1,0)</f>
        <v>1</v>
      </c>
      <c r="BP16" s="11">
        <f>IF(真實IC!BP25&gt;真實IC!BP$27,1,0)</f>
        <v>1</v>
      </c>
      <c r="BQ16" s="11">
        <f>IF(真實IC!BQ25&gt;真實IC!BQ$27,1,0)</f>
        <v>0</v>
      </c>
      <c r="BR16" s="11">
        <f>IF(真實IC!BR25&gt;真實IC!BR$27,1,0)</f>
        <v>1</v>
      </c>
      <c r="BS16" s="11">
        <f>IF(真實IC!BS25&gt;真實IC!BS$27,1,0)</f>
        <v>0</v>
      </c>
      <c r="BT16" s="11">
        <f>IF(真實IC!BT25&gt;真實IC!BT$27,1,0)</f>
        <v>1</v>
      </c>
      <c r="BU16" s="11">
        <f>IF(真實IC!BU25&gt;真實IC!BU$27,1,0)</f>
        <v>1</v>
      </c>
      <c r="BV16" s="11">
        <f>IF(真實IC!BV25&gt;真實IC!BV$27,1,0)</f>
        <v>1</v>
      </c>
      <c r="BW16" s="11">
        <f>IF(真實IC!BW25&gt;真實IC!BW$27,1,0)</f>
        <v>1</v>
      </c>
      <c r="BX16" s="11">
        <f>IF(真實IC!BX25&gt;真實IC!BX$27,1,0)</f>
        <v>0</v>
      </c>
      <c r="BY16" s="11">
        <f>IF(真實IC!BY25&gt;真實IC!BY$27,1,0)</f>
        <v>0</v>
      </c>
      <c r="BZ16" s="11">
        <f>IF(真實IC!BZ25&gt;真實IC!BZ$27,1,0)</f>
        <v>1</v>
      </c>
      <c r="CA16" s="11">
        <f>IF(真實IC!CA25&gt;真實IC!CA$27,1,0)</f>
        <v>0</v>
      </c>
      <c r="CB16" s="11">
        <f>IF(真實IC!CB25&gt;真實IC!CB$27,1,0)</f>
        <v>0</v>
      </c>
      <c r="CC16" s="11">
        <f>IF(真實IC!CC25&gt;真實IC!CC$27,1,0)</f>
        <v>0</v>
      </c>
      <c r="CD16" s="11">
        <f>IF(真實IC!CD25&gt;真實IC!CD$27,1,0)</f>
        <v>0</v>
      </c>
      <c r="CE16" s="11">
        <f>IF(真實IC!CE25&gt;真實IC!CE$27,1,0)</f>
        <v>1</v>
      </c>
      <c r="CF16" s="11">
        <f>IF(真實IC!CF25&gt;真實IC!CF$27,1,0)</f>
        <v>1</v>
      </c>
      <c r="CG16" s="11">
        <f>IF(真實IC!CG25&gt;真實IC!CG$27,1,0)</f>
        <v>0</v>
      </c>
      <c r="CH16" s="11">
        <f>IF(真實IC!CH25&gt;真實IC!CH$27,1,0)</f>
        <v>1</v>
      </c>
      <c r="CI16" s="11">
        <f>IF(真實IC!CI25&gt;真實IC!CI$27,1,0)</f>
        <v>0</v>
      </c>
      <c r="CJ16" s="11">
        <f>IF(真實IC!CJ25&gt;真實IC!CJ$27,1,0)</f>
        <v>0</v>
      </c>
      <c r="CK16" s="11">
        <f>IF(真實IC!CK25&gt;真實IC!CK$27,1,0)</f>
        <v>1</v>
      </c>
      <c r="CL16" s="11">
        <f>IF(真實IC!CL25&gt;真實IC!CL$27,1,0)</f>
        <v>1</v>
      </c>
      <c r="CM16" s="11">
        <f>IF(真實IC!CM25&gt;真實IC!CM$27,1,0)</f>
        <v>1</v>
      </c>
      <c r="CN16" s="11">
        <f>IF(真實IC!CN25&gt;真實IC!CN$27,1,0)</f>
        <v>1</v>
      </c>
      <c r="CO16" s="11">
        <f>IF(真實IC!CO25&gt;真實IC!CO$27,1,0)</f>
        <v>1</v>
      </c>
      <c r="CP16" s="11">
        <f>IF(真實IC!CP25&gt;真實IC!CP$27,1,0)</f>
        <v>1</v>
      </c>
      <c r="CQ16" s="11">
        <f>IF(真實IC!CQ25&gt;真實IC!CQ$27,1,0)</f>
        <v>1</v>
      </c>
      <c r="CR16" s="11">
        <f>IF(真實IC!CR25&gt;真實IC!CR$27,1,0)</f>
        <v>1</v>
      </c>
      <c r="CS16" s="11">
        <f>IF(真實IC!CS25&gt;真實IC!CS$27,1,0)</f>
        <v>1</v>
      </c>
      <c r="CT16" s="11">
        <f>IF(真實IC!CT25&gt;真實IC!CT$27,1,0)</f>
        <v>1</v>
      </c>
      <c r="CU16" s="11">
        <f>IF(真實IC!CU25&gt;真實IC!CU$27,1,0)</f>
        <v>1</v>
      </c>
      <c r="CV16" s="11">
        <f>IF(真實IC!CV25&gt;真實IC!CV$27,1,0)</f>
        <v>1</v>
      </c>
      <c r="CW16" s="11">
        <f>IF(真實IC!CW25&gt;真實IC!CW$27,1,0)</f>
        <v>1</v>
      </c>
      <c r="CX16" s="11">
        <f>IF(真實IC!CX25&gt;真實IC!CX$27,1,0)</f>
        <v>1</v>
      </c>
      <c r="CY16" s="11">
        <f>IF(真實IC!CY25&gt;真實IC!CY$27,1,0)</f>
        <v>0</v>
      </c>
      <c r="CZ16" s="11">
        <f>IF(真實IC!CZ25&gt;真實IC!CZ$27,1,0)</f>
        <v>1</v>
      </c>
      <c r="DA16" s="11">
        <f>IF(真實IC!DA25&gt;真實IC!DA$27,1,0)</f>
        <v>1</v>
      </c>
      <c r="DB16" s="11">
        <f>IF(真實IC!DB25&gt;真實IC!DB$27,1,0)</f>
        <v>0</v>
      </c>
      <c r="DC16" s="11">
        <f>IF(真實IC!DC25&gt;真實IC!DC$27,1,0)</f>
        <v>1</v>
      </c>
      <c r="DD16" s="11">
        <f>IF(真實IC!DD25&gt;真實IC!DD$27,1,0)</f>
        <v>1</v>
      </c>
      <c r="DE16" s="11">
        <f>IF(真實IC!DE25&gt;真實IC!DE$27,1,0)</f>
        <v>0</v>
      </c>
      <c r="DF16" s="11">
        <f>IF(真實IC!DF25&gt;真實IC!DF$27,1,0)</f>
        <v>1</v>
      </c>
      <c r="DG16" s="11">
        <f>IF(真實IC!DG25&gt;真實IC!DG$27,1,0)</f>
        <v>0</v>
      </c>
      <c r="DH16" s="11">
        <f>IF(真實IC!DH25&gt;真實IC!DH$27,1,0)</f>
        <v>0</v>
      </c>
      <c r="DI16" s="11">
        <f>IF(真實IC!DI25&gt;真實IC!DI$27,1,0)</f>
        <v>0</v>
      </c>
      <c r="DJ16" s="11">
        <f>IF(真實IC!DJ25&gt;真實IC!DJ$27,1,0)</f>
        <v>1</v>
      </c>
      <c r="DK16" s="11">
        <f>IF(真實IC!DK25&gt;真實IC!DK$27,1,0)</f>
        <v>0</v>
      </c>
      <c r="DL16" s="11">
        <f>IF(真實IC!DL25&gt;真實IC!DL$27,1,0)</f>
        <v>1</v>
      </c>
      <c r="DM16" s="11">
        <f>IF(真實IC!DM25&gt;真實IC!DM$27,1,0)</f>
        <v>0</v>
      </c>
      <c r="DN16" s="11">
        <f>IF(真實IC!DN25&gt;真實IC!DN$27,1,0)</f>
        <v>1</v>
      </c>
      <c r="DO16" s="11">
        <f>IF(真實IC!DO25&gt;真實IC!DO$27,1,0)</f>
        <v>0</v>
      </c>
      <c r="DP16" s="11">
        <f>IF(真實IC!DP25&gt;真實IC!DP$27,1,0)</f>
        <v>1</v>
      </c>
      <c r="DQ16" s="11">
        <f>IF(真實IC!DQ25&gt;真實IC!DQ$27,1,0)</f>
        <v>1</v>
      </c>
      <c r="DR16" s="11">
        <f>IF(真實IC!DR25&gt;真實IC!DR$27,1,0)</f>
        <v>0</v>
      </c>
      <c r="DS16" s="11">
        <f>IF(真實IC!DS25&gt;真實IC!DS$27,1,0)</f>
        <v>0</v>
      </c>
      <c r="DT16" s="11">
        <f>IF(真實IC!DT25&gt;真實IC!DT$27,1,0)</f>
        <v>0</v>
      </c>
      <c r="DU16" s="11">
        <f>IF(真實IC!DU25&gt;真實IC!DU$27,1,0)</f>
        <v>1</v>
      </c>
      <c r="DV16" s="11">
        <f>IF(真實IC!DV25&gt;真實IC!DV$27,1,0)</f>
        <v>0</v>
      </c>
      <c r="DW16" s="11">
        <f>IF(真實IC!DW25&gt;真實IC!DW$27,1,0)</f>
        <v>1</v>
      </c>
      <c r="DX16" s="11">
        <f>IF(真實IC!DX25&gt;真實IC!DX$27,1,0)</f>
        <v>1</v>
      </c>
      <c r="DY16" s="11">
        <f>IF(真實IC!DY25&gt;真實IC!DY$27,1,0)</f>
        <v>1</v>
      </c>
      <c r="DZ16" s="11">
        <f>IF(真實IC!DZ25&gt;真實IC!DZ$27,1,0)</f>
        <v>1</v>
      </c>
      <c r="EA16" s="11">
        <f>IF(真實IC!EA25&gt;真實IC!EA$27,1,0)</f>
        <v>1</v>
      </c>
      <c r="EB16" s="11">
        <f>IF(真實IC!EB25&gt;真實IC!EB$27,1,0)</f>
        <v>1</v>
      </c>
      <c r="EC16" s="11">
        <f>IF(真實IC!EC25&gt;真實IC!EC$27,1,0)</f>
        <v>1</v>
      </c>
      <c r="ED16" s="11">
        <f>IF(真實IC!ED25&gt;真實IC!ED$27,1,0)</f>
        <v>1</v>
      </c>
      <c r="EE16" s="11">
        <f>IF(真實IC!EE25&gt;真實IC!EE$27,1,0)</f>
        <v>1</v>
      </c>
      <c r="EF16" s="11">
        <f>IF(真實IC!EF25&gt;真實IC!EF$27,1,0)</f>
        <v>0</v>
      </c>
      <c r="EG16" s="1">
        <f t="shared" si="0"/>
        <v>89</v>
      </c>
      <c r="EH16" s="61">
        <f t="shared" si="1"/>
        <v>0.66417910447761197</v>
      </c>
    </row>
    <row r="17" spans="1:138" ht="16">
      <c r="A17" s="6">
        <v>964</v>
      </c>
      <c r="B17" s="6">
        <v>1</v>
      </c>
      <c r="C17" s="11">
        <f>IF(真實IC!C26&gt;真實IC!C$27,1,0)</f>
        <v>1</v>
      </c>
      <c r="D17" s="11">
        <f>IF(真實IC!D26&gt;真實IC!D$27,1,0)</f>
        <v>0</v>
      </c>
      <c r="E17" s="11">
        <f>IF(真實IC!E26&gt;真實IC!E$27,1,0)</f>
        <v>0</v>
      </c>
      <c r="F17" s="11">
        <f>IF(真實IC!F26&gt;真實IC!F$27,1,0)</f>
        <v>1</v>
      </c>
      <c r="G17" s="11">
        <f>IF(真實IC!G26&gt;真實IC!G$27,1,0)</f>
        <v>0</v>
      </c>
      <c r="H17" s="11">
        <f>IF(真實IC!H26&gt;真實IC!H$27,1,0)</f>
        <v>1</v>
      </c>
      <c r="I17" s="11">
        <f>IF(真實IC!I26&gt;真實IC!I$27,1,0)</f>
        <v>1</v>
      </c>
      <c r="J17" s="11">
        <f>IF(真實IC!J26&gt;真實IC!J$27,1,0)</f>
        <v>0</v>
      </c>
      <c r="K17" s="11">
        <f>IF(真實IC!K26&gt;真實IC!K$27,1,0)</f>
        <v>1</v>
      </c>
      <c r="L17" s="11">
        <f>IF(真實IC!L26&gt;真實IC!L$27,1,0)</f>
        <v>0</v>
      </c>
      <c r="M17" s="11">
        <f>IF(真實IC!M26&gt;真實IC!M$27,1,0)</f>
        <v>1</v>
      </c>
      <c r="N17" s="11">
        <f>IF(真實IC!N26&gt;真實IC!N$27,1,0)</f>
        <v>1</v>
      </c>
      <c r="O17" s="11">
        <f>IF(真實IC!O26&gt;真實IC!O$27,1,0)</f>
        <v>0</v>
      </c>
      <c r="P17" s="11">
        <f>IF(真實IC!P26&gt;真實IC!P$27,1,0)</f>
        <v>1</v>
      </c>
      <c r="Q17" s="11">
        <f>IF(真實IC!Q26&gt;真實IC!Q$27,1,0)</f>
        <v>1</v>
      </c>
      <c r="R17" s="11">
        <f>IF(真實IC!R26&gt;真實IC!R$27,1,0)</f>
        <v>0</v>
      </c>
      <c r="S17" s="11">
        <f>IF(真實IC!S26&gt;真實IC!S$27,1,0)</f>
        <v>1</v>
      </c>
      <c r="T17" s="11">
        <f>IF(真實IC!T26&gt;真實IC!T$27,1,0)</f>
        <v>1</v>
      </c>
      <c r="U17" s="11">
        <f>IF(真實IC!U26&gt;真實IC!U$27,1,0)</f>
        <v>1</v>
      </c>
      <c r="V17" s="11">
        <f>IF(真實IC!V26&gt;真實IC!V$27,1,0)</f>
        <v>1</v>
      </c>
      <c r="W17" s="11">
        <f>IF(真實IC!W26&gt;真實IC!W$27,1,0)</f>
        <v>1</v>
      </c>
      <c r="X17" s="11">
        <f>IF(真實IC!X26&gt;真實IC!X$27,1,0)</f>
        <v>1</v>
      </c>
      <c r="Y17" s="11">
        <f>IF(真實IC!Y26&gt;真實IC!Y$27,1,0)</f>
        <v>1</v>
      </c>
      <c r="Z17" s="11">
        <f>IF(真實IC!Z26&gt;真實IC!Z$27,1,0)</f>
        <v>1</v>
      </c>
      <c r="AA17" s="11">
        <f>IF(真實IC!AA26&gt;真實IC!AA$27,1,0)</f>
        <v>1</v>
      </c>
      <c r="AB17" s="11">
        <f>IF(真實IC!AB26&gt;真實IC!AB$27,1,0)</f>
        <v>1</v>
      </c>
      <c r="AC17" s="11">
        <f>IF(真實IC!AC26&gt;真實IC!AC$27,1,0)</f>
        <v>1</v>
      </c>
      <c r="AD17" s="11">
        <f>IF(真實IC!AD26&gt;真實IC!AD$27,1,0)</f>
        <v>0</v>
      </c>
      <c r="AE17" s="11">
        <f>IF(真實IC!AE26&gt;真實IC!AE$27,1,0)</f>
        <v>1</v>
      </c>
      <c r="AF17" s="11">
        <f>IF(真實IC!AF26&gt;真實IC!AF$27,1,0)</f>
        <v>1</v>
      </c>
      <c r="AG17" s="11">
        <f>IF(真實IC!AG26&gt;真實IC!AG$27,1,0)</f>
        <v>1</v>
      </c>
      <c r="AH17" s="11">
        <f>IF(真實IC!AH26&gt;真實IC!AH$27,1,0)</f>
        <v>1</v>
      </c>
      <c r="AI17" s="11">
        <f>IF(真實IC!AI26&gt;真實IC!AI$27,1,0)</f>
        <v>1</v>
      </c>
      <c r="AJ17" s="11">
        <f>IF(真實IC!AJ26&gt;真實IC!AJ$27,1,0)</f>
        <v>1</v>
      </c>
      <c r="AK17" s="11">
        <f>IF(真實IC!AK26&gt;真實IC!AK$27,1,0)</f>
        <v>1</v>
      </c>
      <c r="AL17" s="11">
        <f>IF(真實IC!AL26&gt;真實IC!AL$27,1,0)</f>
        <v>1</v>
      </c>
      <c r="AM17" s="11">
        <f>IF(真實IC!AM26&gt;真實IC!AM$27,1,0)</f>
        <v>0</v>
      </c>
      <c r="AN17" s="11">
        <f>IF(真實IC!AN26&gt;真實IC!AN$27,1,0)</f>
        <v>0</v>
      </c>
      <c r="AO17" s="11">
        <f>IF(真實IC!AO26&gt;真實IC!AO$27,1,0)</f>
        <v>0</v>
      </c>
      <c r="AP17" s="11">
        <f>IF(真實IC!AP26&gt;真實IC!AP$27,1,0)</f>
        <v>1</v>
      </c>
      <c r="AQ17" s="11">
        <f>IF(真實IC!AQ26&gt;真實IC!AQ$27,1,0)</f>
        <v>0</v>
      </c>
      <c r="AR17" s="11">
        <f>IF(真實IC!AR26&gt;真實IC!AR$27,1,0)</f>
        <v>0</v>
      </c>
      <c r="AS17" s="11">
        <f>IF(真實IC!AS26&gt;真實IC!AS$27,1,0)</f>
        <v>0</v>
      </c>
      <c r="AT17" s="11">
        <f>IF(真實IC!AT26&gt;真實IC!AT$27,1,0)</f>
        <v>0</v>
      </c>
      <c r="AU17" s="11">
        <f>IF(真實IC!AU26&gt;真實IC!AU$27,1,0)</f>
        <v>1</v>
      </c>
      <c r="AV17" s="11">
        <f>IF(真實IC!AV26&gt;真實IC!AV$27,1,0)</f>
        <v>0</v>
      </c>
      <c r="AW17" s="11">
        <f>IF(真實IC!AW26&gt;真實IC!AW$27,1,0)</f>
        <v>1</v>
      </c>
      <c r="AX17" s="11">
        <f>IF(真實IC!AX26&gt;真實IC!AX$27,1,0)</f>
        <v>0</v>
      </c>
      <c r="AY17" s="11">
        <f>IF(真實IC!AY26&gt;真實IC!AY$27,1,0)</f>
        <v>0</v>
      </c>
      <c r="AZ17" s="11">
        <f>IF(真實IC!AZ26&gt;真實IC!AZ$27,1,0)</f>
        <v>1</v>
      </c>
      <c r="BA17" s="11">
        <f>IF(真實IC!BA26&gt;真實IC!BA$27,1,0)</f>
        <v>0</v>
      </c>
      <c r="BB17" s="11">
        <f>IF(真實IC!BB26&gt;真實IC!BB$27,1,0)</f>
        <v>1</v>
      </c>
      <c r="BC17" s="11">
        <f>IF(真實IC!BC26&gt;真實IC!BC$27,1,0)</f>
        <v>0</v>
      </c>
      <c r="BD17" s="11">
        <f>IF(真實IC!BD26&gt;真實IC!BD$27,1,0)</f>
        <v>1</v>
      </c>
      <c r="BE17" s="11">
        <f>IF(真實IC!BE26&gt;真實IC!BE$27,1,0)</f>
        <v>1</v>
      </c>
      <c r="BF17" s="11">
        <f>IF(真實IC!BF26&gt;真實IC!BF$27,1,0)</f>
        <v>1</v>
      </c>
      <c r="BG17" s="11">
        <f>IF(真實IC!BG26&gt;真實IC!BG$27,1,0)</f>
        <v>1</v>
      </c>
      <c r="BH17" s="11">
        <f>IF(真實IC!BH26&gt;真實IC!BH$27,1,0)</f>
        <v>1</v>
      </c>
      <c r="BI17" s="11">
        <f>IF(真實IC!BI26&gt;真實IC!BI$27,1,0)</f>
        <v>0</v>
      </c>
      <c r="BJ17" s="11">
        <f>IF(真實IC!BJ26&gt;真實IC!BJ$27,1,0)</f>
        <v>0</v>
      </c>
      <c r="BK17" s="11">
        <f>IF(真實IC!BK26&gt;真實IC!BK$27,1,0)</f>
        <v>0</v>
      </c>
      <c r="BL17" s="11">
        <f>IF(真實IC!BL26&gt;真實IC!BL$27,1,0)</f>
        <v>1</v>
      </c>
      <c r="BM17" s="11">
        <f>IF(真實IC!BM26&gt;真實IC!BM$27,1,0)</f>
        <v>1</v>
      </c>
      <c r="BN17" s="11">
        <f>IF(真實IC!BN26&gt;真實IC!BN$27,1,0)</f>
        <v>1</v>
      </c>
      <c r="BO17" s="11">
        <f>IF(真實IC!BO26&gt;真實IC!BO$27,1,0)</f>
        <v>0</v>
      </c>
      <c r="BP17" s="11">
        <f>IF(真實IC!BP26&gt;真實IC!BP$27,1,0)</f>
        <v>1</v>
      </c>
      <c r="BQ17" s="11">
        <f>IF(真實IC!BQ26&gt;真實IC!BQ$27,1,0)</f>
        <v>0</v>
      </c>
      <c r="BR17" s="11">
        <f>IF(真實IC!BR26&gt;真實IC!BR$27,1,0)</f>
        <v>1</v>
      </c>
      <c r="BS17" s="11">
        <f>IF(真實IC!BS26&gt;真實IC!BS$27,1,0)</f>
        <v>0</v>
      </c>
      <c r="BT17" s="11">
        <f>IF(真實IC!BT26&gt;真實IC!BT$27,1,0)</f>
        <v>1</v>
      </c>
      <c r="BU17" s="11">
        <f>IF(真實IC!BU26&gt;真實IC!BU$27,1,0)</f>
        <v>1</v>
      </c>
      <c r="BV17" s="11">
        <f>IF(真實IC!BV26&gt;真實IC!BV$27,1,0)</f>
        <v>1</v>
      </c>
      <c r="BW17" s="11">
        <f>IF(真實IC!BW26&gt;真實IC!BW$27,1,0)</f>
        <v>1</v>
      </c>
      <c r="BX17" s="11">
        <f>IF(真實IC!BX26&gt;真實IC!BX$27,1,0)</f>
        <v>1</v>
      </c>
      <c r="BY17" s="11">
        <f>IF(真實IC!BY26&gt;真實IC!BY$27,1,0)</f>
        <v>0</v>
      </c>
      <c r="BZ17" s="11">
        <f>IF(真實IC!BZ26&gt;真實IC!BZ$27,1,0)</f>
        <v>0</v>
      </c>
      <c r="CA17" s="11">
        <f>IF(真實IC!CA26&gt;真實IC!CA$27,1,0)</f>
        <v>0</v>
      </c>
      <c r="CB17" s="11">
        <f>IF(真實IC!CB26&gt;真實IC!CB$27,1,0)</f>
        <v>1</v>
      </c>
      <c r="CC17" s="11">
        <f>IF(真實IC!CC26&gt;真實IC!CC$27,1,0)</f>
        <v>1</v>
      </c>
      <c r="CD17" s="11">
        <f>IF(真實IC!CD26&gt;真實IC!CD$27,1,0)</f>
        <v>0</v>
      </c>
      <c r="CE17" s="11">
        <f>IF(真實IC!CE26&gt;真實IC!CE$27,1,0)</f>
        <v>1</v>
      </c>
      <c r="CF17" s="11">
        <f>IF(真實IC!CF26&gt;真實IC!CF$27,1,0)</f>
        <v>0</v>
      </c>
      <c r="CG17" s="11">
        <f>IF(真實IC!CG26&gt;真實IC!CG$27,1,0)</f>
        <v>0</v>
      </c>
      <c r="CH17" s="11">
        <f>IF(真實IC!CH26&gt;真實IC!CH$27,1,0)</f>
        <v>1</v>
      </c>
      <c r="CI17" s="11">
        <f>IF(真實IC!CI26&gt;真實IC!CI$27,1,0)</f>
        <v>0</v>
      </c>
      <c r="CJ17" s="11">
        <f>IF(真實IC!CJ26&gt;真實IC!CJ$27,1,0)</f>
        <v>0</v>
      </c>
      <c r="CK17" s="11">
        <f>IF(真實IC!CK26&gt;真實IC!CK$27,1,0)</f>
        <v>0</v>
      </c>
      <c r="CL17" s="11">
        <f>IF(真實IC!CL26&gt;真實IC!CL$27,1,0)</f>
        <v>0</v>
      </c>
      <c r="CM17" s="11">
        <f>IF(真實IC!CM26&gt;真實IC!CM$27,1,0)</f>
        <v>0</v>
      </c>
      <c r="CN17" s="11">
        <f>IF(真實IC!CN26&gt;真實IC!CN$27,1,0)</f>
        <v>1</v>
      </c>
      <c r="CO17" s="11">
        <f>IF(真實IC!CO26&gt;真實IC!CO$27,1,0)</f>
        <v>1</v>
      </c>
      <c r="CP17" s="11">
        <f>IF(真實IC!CP26&gt;真實IC!CP$27,1,0)</f>
        <v>1</v>
      </c>
      <c r="CQ17" s="11">
        <f>IF(真實IC!CQ26&gt;真實IC!CQ$27,1,0)</f>
        <v>0</v>
      </c>
      <c r="CR17" s="11">
        <f>IF(真實IC!CR26&gt;真實IC!CR$27,1,0)</f>
        <v>0</v>
      </c>
      <c r="CS17" s="11">
        <f>IF(真實IC!CS26&gt;真實IC!CS$27,1,0)</f>
        <v>1</v>
      </c>
      <c r="CT17" s="11">
        <f>IF(真實IC!CT26&gt;真實IC!CT$27,1,0)</f>
        <v>1</v>
      </c>
      <c r="CU17" s="11">
        <f>IF(真實IC!CU26&gt;真實IC!CU$27,1,0)</f>
        <v>1</v>
      </c>
      <c r="CV17" s="11">
        <f>IF(真實IC!CV26&gt;真實IC!CV$27,1,0)</f>
        <v>1</v>
      </c>
      <c r="CW17" s="11">
        <f>IF(真實IC!CW26&gt;真實IC!CW$27,1,0)</f>
        <v>1</v>
      </c>
      <c r="CX17" s="11">
        <f>IF(真實IC!CX26&gt;真實IC!CX$27,1,0)</f>
        <v>1</v>
      </c>
      <c r="CY17" s="11">
        <f>IF(真實IC!CY26&gt;真實IC!CY$27,1,0)</f>
        <v>0</v>
      </c>
      <c r="CZ17" s="11">
        <f>IF(真實IC!CZ26&gt;真實IC!CZ$27,1,0)</f>
        <v>0</v>
      </c>
      <c r="DA17" s="11">
        <f>IF(真實IC!DA26&gt;真實IC!DA$27,1,0)</f>
        <v>1</v>
      </c>
      <c r="DB17" s="11">
        <f>IF(真實IC!DB26&gt;真實IC!DB$27,1,0)</f>
        <v>0</v>
      </c>
      <c r="DC17" s="11">
        <f>IF(真實IC!DC26&gt;真實IC!DC$27,1,0)</f>
        <v>1</v>
      </c>
      <c r="DD17" s="11">
        <f>IF(真實IC!DD26&gt;真實IC!DD$27,1,0)</f>
        <v>1</v>
      </c>
      <c r="DE17" s="11">
        <f>IF(真實IC!DE26&gt;真實IC!DE$27,1,0)</f>
        <v>0</v>
      </c>
      <c r="DF17" s="11">
        <f>IF(真實IC!DF26&gt;真實IC!DF$27,1,0)</f>
        <v>1</v>
      </c>
      <c r="DG17" s="11">
        <f>IF(真實IC!DG26&gt;真實IC!DG$27,1,0)</f>
        <v>0</v>
      </c>
      <c r="DH17" s="11">
        <f>IF(真實IC!DH26&gt;真實IC!DH$27,1,0)</f>
        <v>0</v>
      </c>
      <c r="DI17" s="11">
        <f>IF(真實IC!DI26&gt;真實IC!DI$27,1,0)</f>
        <v>0</v>
      </c>
      <c r="DJ17" s="11">
        <f>IF(真實IC!DJ26&gt;真實IC!DJ$27,1,0)</f>
        <v>1</v>
      </c>
      <c r="DK17" s="11">
        <f>IF(真實IC!DK26&gt;真實IC!DK$27,1,0)</f>
        <v>0</v>
      </c>
      <c r="DL17" s="11">
        <f>IF(真實IC!DL26&gt;真實IC!DL$27,1,0)</f>
        <v>1</v>
      </c>
      <c r="DM17" s="11">
        <f>IF(真實IC!DM26&gt;真實IC!DM$27,1,0)</f>
        <v>0</v>
      </c>
      <c r="DN17" s="11">
        <f>IF(真實IC!DN26&gt;真實IC!DN$27,1,0)</f>
        <v>1</v>
      </c>
      <c r="DO17" s="11">
        <f>IF(真實IC!DO26&gt;真實IC!DO$27,1,0)</f>
        <v>0</v>
      </c>
      <c r="DP17" s="11">
        <f>IF(真實IC!DP26&gt;真實IC!DP$27,1,0)</f>
        <v>0</v>
      </c>
      <c r="DQ17" s="11">
        <f>IF(真實IC!DQ26&gt;真實IC!DQ$27,1,0)</f>
        <v>0</v>
      </c>
      <c r="DR17" s="11">
        <f>IF(真實IC!DR26&gt;真實IC!DR$27,1,0)</f>
        <v>0</v>
      </c>
      <c r="DS17" s="11">
        <f>IF(真實IC!DS26&gt;真實IC!DS$27,1,0)</f>
        <v>0</v>
      </c>
      <c r="DT17" s="11">
        <f>IF(真實IC!DT26&gt;真實IC!DT$27,1,0)</f>
        <v>0</v>
      </c>
      <c r="DU17" s="11">
        <f>IF(真實IC!DU26&gt;真實IC!DU$27,1,0)</f>
        <v>1</v>
      </c>
      <c r="DV17" s="11">
        <f>IF(真實IC!DV26&gt;真實IC!DV$27,1,0)</f>
        <v>0</v>
      </c>
      <c r="DW17" s="11">
        <f>IF(真實IC!DW26&gt;真實IC!DW$27,1,0)</f>
        <v>1</v>
      </c>
      <c r="DX17" s="11">
        <f>IF(真實IC!DX26&gt;真實IC!DX$27,1,0)</f>
        <v>1</v>
      </c>
      <c r="DY17" s="11">
        <f>IF(真實IC!DY26&gt;真實IC!DY$27,1,0)</f>
        <v>1</v>
      </c>
      <c r="DZ17" s="11">
        <f>IF(真實IC!DZ26&gt;真實IC!DZ$27,1,0)</f>
        <v>1</v>
      </c>
      <c r="EA17" s="11">
        <f>IF(真實IC!EA26&gt;真實IC!EA$27,1,0)</f>
        <v>1</v>
      </c>
      <c r="EB17" s="11">
        <f>IF(真實IC!EB26&gt;真實IC!EB$27,1,0)</f>
        <v>1</v>
      </c>
      <c r="EC17" s="11">
        <f>IF(真實IC!EC26&gt;真實IC!EC$27,1,0)</f>
        <v>1</v>
      </c>
      <c r="ED17" s="11">
        <f>IF(真實IC!ED26&gt;真實IC!ED$27,1,0)</f>
        <v>1</v>
      </c>
      <c r="EE17" s="11">
        <f>IF(真實IC!EE26&gt;真實IC!EE$27,1,0)</f>
        <v>0</v>
      </c>
      <c r="EF17" s="11">
        <f>IF(真實IC!EF26&gt;真實IC!EF$27,1,0)</f>
        <v>0</v>
      </c>
      <c r="EG17" s="1">
        <f t="shared" si="0"/>
        <v>77</v>
      </c>
      <c r="EH17" s="61">
        <f t="shared" si="1"/>
        <v>0.57462686567164178</v>
      </c>
    </row>
    <row r="18" spans="1:138" ht="16">
      <c r="A18" s="6" t="s">
        <v>141</v>
      </c>
      <c r="B18" s="6" t="s">
        <v>142</v>
      </c>
      <c r="C18" s="22">
        <v>-1.7446770539390338E-2</v>
      </c>
      <c r="D18" s="22">
        <v>2.070106053181563E-2</v>
      </c>
      <c r="E18" s="22">
        <v>2.3982129254766709E-2</v>
      </c>
      <c r="F18" s="22">
        <v>-6.557578972823077E-3</v>
      </c>
      <c r="G18" s="22">
        <v>3.1845129800519692E-2</v>
      </c>
      <c r="H18" s="22">
        <v>3.4348532736990518E-2</v>
      </c>
      <c r="I18" s="22">
        <v>-8.2549327813252367E-3</v>
      </c>
      <c r="J18" s="22">
        <v>1.2843524394052759E-2</v>
      </c>
      <c r="K18" s="22">
        <v>-5.1018524626790823E-2</v>
      </c>
      <c r="L18" s="22">
        <v>8.7394274103658827E-4</v>
      </c>
      <c r="M18" s="22">
        <v>2.3389575505495919E-2</v>
      </c>
      <c r="N18" s="22">
        <v>1.2988972200332851E-2</v>
      </c>
      <c r="O18" s="22">
        <v>5.8545887256348812E-3</v>
      </c>
      <c r="P18" s="22">
        <v>2.7413206571790558E-2</v>
      </c>
      <c r="Q18" s="22">
        <v>-3.7129361176928542E-3</v>
      </c>
      <c r="R18" s="22">
        <v>2.4076614047823328E-2</v>
      </c>
      <c r="S18" s="22">
        <v>-1.219002529903996E-2</v>
      </c>
      <c r="T18" s="22">
        <v>-3.9749578159589592E-2</v>
      </c>
      <c r="U18" s="22">
        <v>-7.3155449831649552E-2</v>
      </c>
      <c r="V18" s="22">
        <v>-5.8260229910114661E-2</v>
      </c>
      <c r="W18" s="22">
        <v>7.7279756550837221E-4</v>
      </c>
      <c r="X18" s="22">
        <v>4.459152113521897E-2</v>
      </c>
      <c r="Y18" s="22">
        <v>-2.7699680050213091E-2</v>
      </c>
      <c r="Z18" s="22">
        <v>2.0950059497436462E-3</v>
      </c>
      <c r="AA18" s="22">
        <v>-2.340055099256411E-2</v>
      </c>
      <c r="AB18" s="22">
        <v>3.2129371097322189E-2</v>
      </c>
      <c r="AC18" s="22">
        <v>3.890327309406643E-2</v>
      </c>
      <c r="AD18" s="22">
        <v>-4.286538217110427E-2</v>
      </c>
      <c r="AE18" s="22">
        <v>1.8647194550152159E-2</v>
      </c>
      <c r="AF18" s="22">
        <v>1.5229768322528949E-2</v>
      </c>
      <c r="AG18" s="22">
        <v>3.6016603778892417E-2</v>
      </c>
      <c r="AH18" s="22">
        <v>9.3546113853161701E-3</v>
      </c>
      <c r="AI18" s="22">
        <v>1.0748251336838139E-2</v>
      </c>
      <c r="AJ18" s="22">
        <v>1.335775405308097E-2</v>
      </c>
      <c r="AK18" s="22">
        <v>-5.3327473290953921E-3</v>
      </c>
      <c r="AL18" s="22">
        <v>1.383135807261675E-3</v>
      </c>
      <c r="AM18" s="22">
        <v>2.079592842007446E-2</v>
      </c>
      <c r="AN18" s="22">
        <v>3.1517702220390638E-2</v>
      </c>
      <c r="AO18" s="22">
        <v>6.2417165333294418E-3</v>
      </c>
      <c r="AP18" s="22">
        <v>6.1452616535713897E-3</v>
      </c>
      <c r="AQ18" s="22">
        <v>1.694635767669651E-2</v>
      </c>
      <c r="AR18" s="22">
        <v>3.4682830454308228E-2</v>
      </c>
      <c r="AS18" s="22">
        <v>3.0985886171969678E-3</v>
      </c>
      <c r="AT18" s="22">
        <v>1.508134714348611E-2</v>
      </c>
      <c r="AU18" s="22">
        <v>-1.9251209229863991E-2</v>
      </c>
      <c r="AV18" s="22">
        <v>3.8711513387631437E-2</v>
      </c>
      <c r="AW18" s="22">
        <v>-2.1856951135736599E-2</v>
      </c>
      <c r="AX18" s="22">
        <v>7.7743007097896798E-3</v>
      </c>
      <c r="AY18" s="22">
        <v>4.2397246695325942E-2</v>
      </c>
      <c r="AZ18" s="22">
        <v>-2.630897486115975E-2</v>
      </c>
      <c r="BA18" s="22">
        <v>9.5717493087162323E-3</v>
      </c>
      <c r="BB18" s="22">
        <v>-2.424974126627483E-2</v>
      </c>
      <c r="BC18" s="22">
        <v>2.0163374143915822E-2</v>
      </c>
      <c r="BD18" s="22">
        <v>-3.5049987821160239E-3</v>
      </c>
      <c r="BE18" s="22">
        <v>2.0151935098542271E-2</v>
      </c>
      <c r="BF18" s="22">
        <v>5.8133623077027128E-4</v>
      </c>
      <c r="BG18" s="22">
        <v>-5.2197009532526043E-3</v>
      </c>
      <c r="BH18" s="22">
        <v>-0.11587176140213</v>
      </c>
      <c r="BI18" s="22">
        <v>8.7252256924373536E-3</v>
      </c>
      <c r="BJ18" s="22">
        <v>-1.6377260977822151E-2</v>
      </c>
      <c r="BK18" s="22">
        <v>2.0840371600260421E-2</v>
      </c>
      <c r="BL18" s="22">
        <v>4.4975872102114713E-2</v>
      </c>
      <c r="BM18" s="22">
        <v>2.3954306081863871E-2</v>
      </c>
      <c r="BN18" s="22">
        <v>3.0239101391442601E-2</v>
      </c>
      <c r="BO18" s="22">
        <v>-4.372588759108751E-2</v>
      </c>
      <c r="BP18" s="22">
        <v>2.1889469568198618E-2</v>
      </c>
      <c r="BQ18" s="22">
        <v>8.6274302635084028E-3</v>
      </c>
      <c r="BR18" s="22">
        <v>-1.9192953994658781E-2</v>
      </c>
      <c r="BS18" s="22">
        <v>1.973512988813305E-2</v>
      </c>
      <c r="BT18" s="22">
        <v>4.7694337483699438E-2</v>
      </c>
      <c r="BU18" s="22">
        <v>1.145481680658339E-2</v>
      </c>
      <c r="BV18" s="22">
        <v>4.3228620735213191E-2</v>
      </c>
      <c r="BW18" s="22">
        <v>-4.2747430436922793E-2</v>
      </c>
      <c r="BX18" s="22">
        <v>-1.781129242779457E-2</v>
      </c>
      <c r="BY18" s="22">
        <v>-0.1511530968690756</v>
      </c>
      <c r="BZ18" s="22">
        <v>0.12422400361957529</v>
      </c>
      <c r="CA18" s="22">
        <v>-4.5572538445296431E-3</v>
      </c>
      <c r="CB18" s="22">
        <v>6.0211240204911178E-2</v>
      </c>
      <c r="CC18" s="22">
        <v>8.5992033482502284E-2</v>
      </c>
      <c r="CD18" s="22">
        <v>-5.8084795823660634E-3</v>
      </c>
      <c r="CE18" s="22">
        <v>-6.0413469889680736E-3</v>
      </c>
      <c r="CF18" s="22">
        <v>2.4523243722520739E-3</v>
      </c>
      <c r="CG18" s="22">
        <v>8.963625193702289E-2</v>
      </c>
      <c r="CH18" s="22">
        <v>7.099273252675789E-2</v>
      </c>
      <c r="CI18" s="22">
        <v>2.7170642901783448E-2</v>
      </c>
      <c r="CJ18" s="22">
        <v>5.2468428425330033E-2</v>
      </c>
      <c r="CK18" s="22">
        <v>2.9480660943049509E-2</v>
      </c>
      <c r="CL18" s="22">
        <v>6.6825081060201283E-2</v>
      </c>
      <c r="CM18" s="22">
        <v>-2.8772229019816971E-2</v>
      </c>
      <c r="CN18" s="22">
        <v>3.9462515901637851E-2</v>
      </c>
      <c r="CO18" s="22">
        <v>-2.9031086977359909E-2</v>
      </c>
      <c r="CP18" s="22">
        <v>1.3983882519467901E-2</v>
      </c>
      <c r="CQ18" s="22">
        <v>-3.2276964959333833E-2</v>
      </c>
      <c r="CR18" s="22">
        <v>3.1035766128940231E-3</v>
      </c>
      <c r="CS18" s="22">
        <v>2.5591855767083171E-2</v>
      </c>
      <c r="CT18" s="22">
        <v>4.4391886287193302E-2</v>
      </c>
      <c r="CU18" s="22">
        <v>-3.0338958549577438E-2</v>
      </c>
      <c r="CV18" s="22">
        <v>-1.2579764545717069E-3</v>
      </c>
      <c r="CW18" s="22">
        <v>2.336356455857952E-3</v>
      </c>
      <c r="CX18" s="22">
        <v>-6.4264144925906069E-2</v>
      </c>
      <c r="CY18" s="22">
        <v>1.2909779458992439E-2</v>
      </c>
      <c r="CZ18" s="22">
        <v>-0.12547709467085871</v>
      </c>
      <c r="DA18" s="22">
        <v>1.1690682939792569E-2</v>
      </c>
      <c r="DB18" s="22">
        <v>6.3378437007417512E-3</v>
      </c>
      <c r="DC18" s="22">
        <v>-0.1173053564693855</v>
      </c>
      <c r="DD18" s="22">
        <v>-3.6010872049446613E-2</v>
      </c>
      <c r="DE18" s="22">
        <v>0.1389113040722679</v>
      </c>
      <c r="DF18" s="22">
        <v>-5.1143506226105737E-2</v>
      </c>
      <c r="DG18" s="22">
        <v>7.6731447181969059E-2</v>
      </c>
      <c r="DH18" s="22">
        <v>1.550878219700816E-2</v>
      </c>
      <c r="DI18" s="22">
        <v>2.3223773674755831E-2</v>
      </c>
      <c r="DJ18" s="22">
        <v>-1.8372876361227891E-2</v>
      </c>
      <c r="DK18" s="22">
        <v>6.2199014085099431E-2</v>
      </c>
      <c r="DL18" s="22">
        <v>2.0098304486957191E-2</v>
      </c>
      <c r="DM18" s="22">
        <v>1.349893974806809E-2</v>
      </c>
      <c r="DN18" s="22">
        <v>-3.025221272842088E-2</v>
      </c>
      <c r="DO18" s="22">
        <v>-1.7022835708053841E-2</v>
      </c>
      <c r="DP18" s="22">
        <v>-2.1788523272461981E-2</v>
      </c>
      <c r="DQ18" s="22">
        <v>8.5745624585137223E-2</v>
      </c>
      <c r="DR18" s="22">
        <v>2.8106743604973752E-2</v>
      </c>
      <c r="DS18" s="22">
        <v>-2.3031598073594501E-3</v>
      </c>
      <c r="DT18" s="22">
        <v>5.8471198131487503E-2</v>
      </c>
      <c r="DU18" s="22">
        <v>6.7658949048647651E-2</v>
      </c>
      <c r="DV18" s="22">
        <v>5.0207706404322644E-3</v>
      </c>
      <c r="DW18" s="22">
        <v>3.7416183675207063E-2</v>
      </c>
      <c r="DX18" s="22">
        <v>8.4111003746042121E-2</v>
      </c>
      <c r="DY18" s="22">
        <v>-3.6832398544012837E-2</v>
      </c>
      <c r="DZ18" s="22">
        <v>3.0917028169369942E-3</v>
      </c>
      <c r="EA18" s="22">
        <v>-1.957628214294549E-3</v>
      </c>
      <c r="EB18" s="22">
        <v>2.6459103603519739E-2</v>
      </c>
      <c r="EC18" s="22">
        <v>-2.4752538760690269E-2</v>
      </c>
      <c r="ED18" s="22">
        <v>3.4115490982559941E-2</v>
      </c>
      <c r="EE18" s="22">
        <v>2.1061973989032982E-2</v>
      </c>
      <c r="EF18" s="22">
        <v>-2.0277392706005919E-2</v>
      </c>
    </row>
    <row r="19" spans="1:138" ht="16">
      <c r="A19" s="24"/>
      <c r="B19" s="24"/>
      <c r="C19" s="24"/>
      <c r="D19" s="4"/>
      <c r="E19" s="4"/>
      <c r="F19" s="4"/>
      <c r="G19" s="4"/>
      <c r="H19" s="4"/>
      <c r="I19" s="4"/>
      <c r="J19" s="4"/>
      <c r="K19" s="2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</row>
    <row r="27" spans="1:138">
      <c r="EG27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60C0-3B4B-4B8B-B2C7-0A23FF63EB75}">
  <dimension ref="A9:EG24"/>
  <sheetViews>
    <sheetView tabSelected="1" zoomScale="88" zoomScaleNormal="68" workbookViewId="0">
      <selection activeCell="J7" sqref="J7"/>
    </sheetView>
  </sheetViews>
  <sheetFormatPr baseColWidth="10" defaultColWidth="8.83203125" defaultRowHeight="15"/>
  <cols>
    <col min="1" max="1" width="8.83203125" style="23" customWidth="1"/>
    <col min="2" max="2" width="8.33203125" style="23" customWidth="1"/>
    <col min="3" max="10" width="8.83203125" bestFit="1" customWidth="1"/>
    <col min="11" max="11" width="8.1640625" style="23" customWidth="1"/>
    <col min="12" max="55" width="8.83203125" bestFit="1" customWidth="1"/>
    <col min="56" max="56" width="13.83203125" bestFit="1" customWidth="1"/>
    <col min="57" max="136" width="8.83203125" bestFit="1" customWidth="1"/>
  </cols>
  <sheetData>
    <row r="9" spans="1:136" ht="16">
      <c r="A9" s="63" t="s">
        <v>136</v>
      </c>
      <c r="B9" s="65"/>
      <c r="C9" s="10" t="s">
        <v>137</v>
      </c>
      <c r="D9" s="10">
        <v>964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</row>
    <row r="10" spans="1:136" ht="18">
      <c r="A10" s="27" t="s">
        <v>147</v>
      </c>
      <c r="B10" s="14" t="s">
        <v>3</v>
      </c>
      <c r="C10" s="14" t="s">
        <v>4</v>
      </c>
      <c r="D10" s="14" t="s">
        <v>5</v>
      </c>
      <c r="E10" s="14" t="s">
        <v>6</v>
      </c>
      <c r="F10" s="14" t="s">
        <v>7</v>
      </c>
      <c r="G10" s="14" t="s">
        <v>8</v>
      </c>
      <c r="H10" s="14" t="s">
        <v>9</v>
      </c>
      <c r="I10" s="14" t="s">
        <v>10</v>
      </c>
      <c r="J10" s="14" t="s">
        <v>11</v>
      </c>
      <c r="K10" s="14" t="s">
        <v>12</v>
      </c>
      <c r="L10" s="14" t="s">
        <v>13</v>
      </c>
      <c r="M10" s="14" t="s">
        <v>14</v>
      </c>
      <c r="N10" s="14" t="s">
        <v>15</v>
      </c>
      <c r="O10" s="14" t="s">
        <v>16</v>
      </c>
      <c r="P10" s="14" t="s">
        <v>17</v>
      </c>
      <c r="Q10" s="14" t="s">
        <v>18</v>
      </c>
      <c r="R10" s="14" t="s">
        <v>19</v>
      </c>
      <c r="S10" s="14" t="s">
        <v>20</v>
      </c>
      <c r="T10" s="14" t="s">
        <v>21</v>
      </c>
      <c r="U10" s="14" t="s">
        <v>22</v>
      </c>
      <c r="V10" s="14" t="s">
        <v>23</v>
      </c>
      <c r="W10" s="14" t="s">
        <v>24</v>
      </c>
      <c r="X10" s="14" t="s">
        <v>25</v>
      </c>
      <c r="Y10" s="14" t="s">
        <v>26</v>
      </c>
      <c r="Z10" s="14" t="s">
        <v>27</v>
      </c>
      <c r="AA10" s="14" t="s">
        <v>28</v>
      </c>
      <c r="AB10" s="14" t="s">
        <v>29</v>
      </c>
      <c r="AC10" s="14" t="s">
        <v>30</v>
      </c>
      <c r="AD10" s="14" t="s">
        <v>31</v>
      </c>
      <c r="AE10" s="14" t="s">
        <v>32</v>
      </c>
      <c r="AF10" s="14" t="s">
        <v>33</v>
      </c>
      <c r="AG10" s="14" t="s">
        <v>34</v>
      </c>
      <c r="AH10" s="14" t="s">
        <v>35</v>
      </c>
      <c r="AI10" s="14" t="s">
        <v>36</v>
      </c>
      <c r="AJ10" s="14" t="s">
        <v>37</v>
      </c>
      <c r="AK10" s="14" t="s">
        <v>38</v>
      </c>
      <c r="AL10" s="14" t="s">
        <v>39</v>
      </c>
      <c r="AM10" s="14" t="s">
        <v>40</v>
      </c>
      <c r="AN10" s="14" t="s">
        <v>41</v>
      </c>
      <c r="AO10" s="14" t="s">
        <v>42</v>
      </c>
      <c r="AP10" s="14" t="s">
        <v>43</v>
      </c>
      <c r="AQ10" s="14" t="s">
        <v>44</v>
      </c>
      <c r="AR10" s="14" t="s">
        <v>45</v>
      </c>
      <c r="AS10" s="14" t="s">
        <v>46</v>
      </c>
      <c r="AT10" s="14" t="s">
        <v>47</v>
      </c>
      <c r="AU10" s="14" t="s">
        <v>48</v>
      </c>
      <c r="AV10" s="14" t="s">
        <v>49</v>
      </c>
      <c r="AW10" s="14" t="s">
        <v>50</v>
      </c>
      <c r="AX10" s="14" t="s">
        <v>51</v>
      </c>
      <c r="AY10" s="14" t="s">
        <v>52</v>
      </c>
      <c r="AZ10" s="14" t="s">
        <v>53</v>
      </c>
      <c r="BA10" s="14" t="s">
        <v>54</v>
      </c>
      <c r="BB10" s="14" t="s">
        <v>55</v>
      </c>
      <c r="BC10" s="14" t="s">
        <v>56</v>
      </c>
      <c r="BD10" s="14" t="s">
        <v>57</v>
      </c>
      <c r="BE10" s="14" t="s">
        <v>58</v>
      </c>
      <c r="BF10" s="14" t="s">
        <v>59</v>
      </c>
      <c r="BG10" s="14" t="s">
        <v>60</v>
      </c>
      <c r="BH10" s="14" t="s">
        <v>61</v>
      </c>
      <c r="BI10" s="14" t="s">
        <v>62</v>
      </c>
      <c r="BJ10" s="14" t="s">
        <v>63</v>
      </c>
      <c r="BK10" s="14" t="s">
        <v>64</v>
      </c>
      <c r="BL10" s="14" t="s">
        <v>65</v>
      </c>
      <c r="BM10" s="14" t="s">
        <v>66</v>
      </c>
      <c r="BN10" s="14" t="s">
        <v>67</v>
      </c>
      <c r="BO10" s="14" t="s">
        <v>68</v>
      </c>
      <c r="BP10" s="14" t="s">
        <v>69</v>
      </c>
      <c r="BQ10" s="14" t="s">
        <v>70</v>
      </c>
      <c r="BR10" s="14" t="s">
        <v>71</v>
      </c>
      <c r="BS10" s="14" t="s">
        <v>72</v>
      </c>
      <c r="BT10" s="14" t="s">
        <v>73</v>
      </c>
      <c r="BU10" s="14" t="s">
        <v>74</v>
      </c>
      <c r="BV10" s="14" t="s">
        <v>75</v>
      </c>
      <c r="BW10" s="14" t="s">
        <v>76</v>
      </c>
      <c r="BX10" s="14" t="s">
        <v>77</v>
      </c>
      <c r="BY10" s="14" t="s">
        <v>78</v>
      </c>
      <c r="BZ10" s="14" t="s">
        <v>79</v>
      </c>
      <c r="CA10" s="14" t="s">
        <v>80</v>
      </c>
      <c r="CB10" s="14" t="s">
        <v>81</v>
      </c>
      <c r="CC10" s="14" t="s">
        <v>82</v>
      </c>
      <c r="CD10" s="14" t="s">
        <v>83</v>
      </c>
      <c r="CE10" s="14" t="s">
        <v>84</v>
      </c>
      <c r="CF10" s="14" t="s">
        <v>85</v>
      </c>
      <c r="CG10" s="14" t="s">
        <v>86</v>
      </c>
      <c r="CH10" s="14" t="s">
        <v>87</v>
      </c>
      <c r="CI10" s="14" t="s">
        <v>88</v>
      </c>
      <c r="CJ10" s="14" t="s">
        <v>89</v>
      </c>
      <c r="CK10" s="14" t="s">
        <v>90</v>
      </c>
      <c r="CL10" s="14" t="s">
        <v>91</v>
      </c>
      <c r="CM10" s="14" t="s">
        <v>92</v>
      </c>
      <c r="CN10" s="14" t="s">
        <v>93</v>
      </c>
      <c r="CO10" s="14" t="s">
        <v>94</v>
      </c>
      <c r="CP10" s="14" t="s">
        <v>95</v>
      </c>
      <c r="CQ10" s="14" t="s">
        <v>96</v>
      </c>
      <c r="CR10" s="14" t="s">
        <v>97</v>
      </c>
      <c r="CS10" s="14" t="s">
        <v>98</v>
      </c>
      <c r="CT10" s="14" t="s">
        <v>99</v>
      </c>
      <c r="CU10" s="14" t="s">
        <v>100</v>
      </c>
      <c r="CV10" s="14" t="s">
        <v>101</v>
      </c>
      <c r="CW10" s="14" t="s">
        <v>102</v>
      </c>
      <c r="CX10" s="14" t="s">
        <v>103</v>
      </c>
      <c r="CY10" s="14" t="s">
        <v>104</v>
      </c>
      <c r="CZ10" s="14" t="s">
        <v>105</v>
      </c>
      <c r="DA10" s="14" t="s">
        <v>106</v>
      </c>
      <c r="DB10" s="14" t="s">
        <v>107</v>
      </c>
      <c r="DC10" s="14" t="s">
        <v>108</v>
      </c>
      <c r="DD10" s="14" t="s">
        <v>109</v>
      </c>
      <c r="DE10" s="14" t="s">
        <v>110</v>
      </c>
      <c r="DF10" s="14" t="s">
        <v>111</v>
      </c>
      <c r="DG10" s="14" t="s">
        <v>112</v>
      </c>
      <c r="DH10" s="14" t="s">
        <v>113</v>
      </c>
      <c r="DI10" s="14" t="s">
        <v>114</v>
      </c>
      <c r="DJ10" s="14" t="s">
        <v>115</v>
      </c>
      <c r="DK10" s="14" t="s">
        <v>116</v>
      </c>
      <c r="DL10" s="14" t="s">
        <v>117</v>
      </c>
      <c r="DM10" s="14" t="s">
        <v>118</v>
      </c>
      <c r="DN10" s="14" t="s">
        <v>119</v>
      </c>
      <c r="DO10" s="14" t="s">
        <v>120</v>
      </c>
      <c r="DP10" s="14" t="s">
        <v>121</v>
      </c>
      <c r="DQ10" s="14" t="s">
        <v>122</v>
      </c>
      <c r="DR10" s="14" t="s">
        <v>123</v>
      </c>
      <c r="DS10" s="14" t="s">
        <v>124</v>
      </c>
      <c r="DT10" s="14" t="s">
        <v>125</v>
      </c>
      <c r="DU10" s="14" t="s">
        <v>126</v>
      </c>
      <c r="DV10" s="14" t="s">
        <v>127</v>
      </c>
      <c r="DW10" s="14" t="s">
        <v>128</v>
      </c>
      <c r="DX10" s="14" t="s">
        <v>129</v>
      </c>
      <c r="DY10" s="14" t="s">
        <v>130</v>
      </c>
      <c r="DZ10" s="14" t="s">
        <v>131</v>
      </c>
      <c r="EA10" s="14" t="s">
        <v>132</v>
      </c>
      <c r="EB10" s="14" t="s">
        <v>133</v>
      </c>
      <c r="EC10" s="14" t="s">
        <v>134</v>
      </c>
      <c r="ED10" s="14" t="s">
        <v>140</v>
      </c>
      <c r="EE10" s="14" t="s">
        <v>144</v>
      </c>
      <c r="EF10" s="3"/>
    </row>
    <row r="11" spans="1:136" ht="18">
      <c r="A11" s="6" t="s">
        <v>148</v>
      </c>
      <c r="B11" s="9">
        <v>1.4499246984096079E-2</v>
      </c>
      <c r="C11" s="9">
        <f>B11+預測IC!D14</f>
        <v>-1.793045137799109E-4</v>
      </c>
      <c r="D11" s="9">
        <f>C11+預測IC!E14</f>
        <v>-1.5730290546463539E-3</v>
      </c>
      <c r="E11" s="9">
        <f>D11+預測IC!F14</f>
        <v>-9.2014454602093801E-3</v>
      </c>
      <c r="F11" s="9">
        <f>E11+預測IC!G14</f>
        <v>-1.479700334304087E-2</v>
      </c>
      <c r="G11" s="9">
        <f>F11+預測IC!H14</f>
        <v>-5.1977449864412818E-3</v>
      </c>
      <c r="H11" s="9">
        <f>G11+預測IC!I14</f>
        <v>-1.3855897249785787E-2</v>
      </c>
      <c r="I11" s="9">
        <f>H11+預測IC!J14</f>
        <v>-6.4661035938569835E-3</v>
      </c>
      <c r="J11" s="9">
        <f>I11+預測IC!K14</f>
        <v>2.2721894539842219E-2</v>
      </c>
      <c r="K11" s="9">
        <f>J11+預測IC!L14</f>
        <v>3.1480450504008405E-2</v>
      </c>
      <c r="L11" s="9">
        <f>K11+預測IC!M14</f>
        <v>5.8369624337215355E-2</v>
      </c>
      <c r="M11" s="9">
        <f>L11+預測IC!N14</f>
        <v>-6.4390292637570776E-3</v>
      </c>
      <c r="N11" s="9">
        <f>M11+預測IC!O14</f>
        <v>2.1475729803483303E-2</v>
      </c>
      <c r="O11" s="9">
        <f>N11+預測IC!P14</f>
        <v>2.3076231476904321E-2</v>
      </c>
      <c r="P11" s="9">
        <f>O11+預測IC!Q14</f>
        <v>4.4831840858254438E-2</v>
      </c>
      <c r="Q11" s="9">
        <f>P11+預測IC!R14</f>
        <v>1.0601976485476811E-2</v>
      </c>
      <c r="R11" s="9">
        <f>Q11+預測IC!S14</f>
        <v>2.2241176888635431E-2</v>
      </c>
      <c r="S11" s="9">
        <f>R11+預測IC!T14</f>
        <v>-7.2399393815359564E-5</v>
      </c>
      <c r="T11" s="9">
        <f>S11+預測IC!U14</f>
        <v>-1.6982194213204051E-2</v>
      </c>
      <c r="U11" s="9">
        <f>T11+預測IC!V14</f>
        <v>-9.8614597610206176E-3</v>
      </c>
      <c r="V11" s="9">
        <f>U11+預測IC!W14</f>
        <v>-3.218974726812833E-2</v>
      </c>
      <c r="W11" s="9">
        <f>V11+預測IC!X14</f>
        <v>-0.13855918511862625</v>
      </c>
      <c r="X11" s="9">
        <f>W11+預測IC!Y14</f>
        <v>-0.10214289554849648</v>
      </c>
      <c r="Y11" s="9">
        <f>X11+預測IC!Z14</f>
        <v>-4.8990808571635625E-2</v>
      </c>
      <c r="Z11" s="9">
        <f>Y11+預測IC!AA14</f>
        <v>-7.5909287992447269E-2</v>
      </c>
      <c r="AA11" s="9">
        <f>Z11+預測IC!AB14</f>
        <v>-8.664261759658605E-2</v>
      </c>
      <c r="AB11" s="9">
        <f>AA11+預測IC!AC14</f>
        <v>-3.9869671970274828E-2</v>
      </c>
      <c r="AC11" s="9">
        <f>AB11+預測IC!AD14</f>
        <v>-3.73392421390513E-2</v>
      </c>
      <c r="AD11" s="9">
        <f>AC11+預測IC!AE14</f>
        <v>-7.5194242981806547E-2</v>
      </c>
      <c r="AE11" s="9">
        <f>AD11+預測IC!AF14</f>
        <v>-2.3182140205038865E-2</v>
      </c>
      <c r="AF11" s="9">
        <f>AE11+預測IC!AG14</f>
        <v>-1.9367209784229018E-2</v>
      </c>
      <c r="AG11" s="9">
        <f>AF11+預測IC!AH14</f>
        <v>-3.6541760149481697E-3</v>
      </c>
      <c r="AH11" s="9">
        <f>AG11+預測IC!AI14</f>
        <v>3.8696134618544748E-3</v>
      </c>
      <c r="AI11" s="9">
        <f>AH11+預測IC!AJ14</f>
        <v>-5.2800631245373828E-3</v>
      </c>
      <c r="AJ11" s="9">
        <f>AI11+預測IC!AK14</f>
        <v>-2.7923108457429461E-2</v>
      </c>
      <c r="AK11" s="9">
        <f>AJ11+預測IC!AL14</f>
        <v>1.9877381494647819E-2</v>
      </c>
      <c r="AL11" s="9">
        <f>AK11+預測IC!AM14</f>
        <v>-8.6635460232924004E-3</v>
      </c>
      <c r="AM11" s="9">
        <f>AL11+預測IC!AN14</f>
        <v>-3.5309174825736978E-2</v>
      </c>
      <c r="AN11" s="9">
        <f>AM11+預測IC!AO14</f>
        <v>-5.0304645668864306E-2</v>
      </c>
      <c r="AO11" s="9">
        <f>AN11+預測IC!AP14</f>
        <v>-5.6685015165762687E-2</v>
      </c>
      <c r="AP11" s="9">
        <f>AO11+預測IC!AQ14</f>
        <v>-5.4988084588233246E-2</v>
      </c>
      <c r="AQ11" s="9">
        <f>AP11+預測IC!AR14</f>
        <v>-7.7211110575825415E-2</v>
      </c>
      <c r="AR11" s="9">
        <f>AQ11+預測IC!AS14</f>
        <v>-9.7187383486196627E-2</v>
      </c>
      <c r="AS11" s="9">
        <f>AR11+預測IC!AT14</f>
        <v>-0.16938276583863174</v>
      </c>
      <c r="AT11" s="9">
        <f>AS11+預測IC!AU14</f>
        <v>-0.17309630227867634</v>
      </c>
      <c r="AU11" s="9">
        <f>AT11+預測IC!AV14</f>
        <v>-0.17079917998495925</v>
      </c>
      <c r="AV11" s="9">
        <f>AU11+預測IC!AW14</f>
        <v>-0.18443695616779315</v>
      </c>
      <c r="AW11" s="9">
        <f>AV11+預測IC!AX14</f>
        <v>-0.19028161785075462</v>
      </c>
      <c r="AX11" s="9">
        <f>AW11+預測IC!AY14</f>
        <v>-0.14212510064278253</v>
      </c>
      <c r="AY11" s="9">
        <f>AX11+預測IC!AZ14</f>
        <v>-0.16862052033446315</v>
      </c>
      <c r="AZ11" s="9">
        <f>AY11+預測IC!BA14</f>
        <v>-0.16302806058686103</v>
      </c>
      <c r="BA11" s="9">
        <f>AZ11+預測IC!BB14</f>
        <v>-0.1508845800700617</v>
      </c>
      <c r="BB11" s="9">
        <f>BA11+預測IC!BC14</f>
        <v>-0.12419361377772417</v>
      </c>
      <c r="BC11" s="9">
        <f>BB11+預測IC!BD14</f>
        <v>-0.14452742725030349</v>
      </c>
      <c r="BD11" s="9">
        <f>BC11+預測IC!BE14</f>
        <v>-0.11455460135773732</v>
      </c>
      <c r="BE11" s="9">
        <f>BD11+預測IC!BF14</f>
        <v>-4.3649666987308447E-2</v>
      </c>
      <c r="BF11" s="9">
        <f>BE11+預測IC!BG14</f>
        <v>-1.4909705211553888E-2</v>
      </c>
      <c r="BG11" s="9">
        <f>BF11+預測IC!BH14</f>
        <v>-1.8140886464494278E-2</v>
      </c>
      <c r="BH11" s="9">
        <f>BG11+預測IC!BI14</f>
        <v>3.005295166529489E-2</v>
      </c>
      <c r="BI11" s="9">
        <f>BH11+預測IC!BJ14</f>
        <v>5.3898254901755087E-3</v>
      </c>
      <c r="BJ11" s="9">
        <f>BI11+預測IC!BK14</f>
        <v>1.3595775352306255E-2</v>
      </c>
      <c r="BK11" s="9">
        <f>BJ11+預測IC!BL14</f>
        <v>-6.9378507049352861E-3</v>
      </c>
      <c r="BL11" s="9">
        <f>BK11+預測IC!BM14</f>
        <v>-2.7571869211634476E-2</v>
      </c>
      <c r="BM11" s="9">
        <f>BL11+預測IC!BN14</f>
        <v>-4.2480226154093657E-2</v>
      </c>
      <c r="BN11" s="9">
        <f>BM11+預測IC!BO14</f>
        <v>-0.10402150554003112</v>
      </c>
      <c r="BO11" s="9">
        <f>BN11+預測IC!BP14</f>
        <v>-0.13701648188294885</v>
      </c>
      <c r="BP11" s="9">
        <f>BO11+預測IC!BQ14</f>
        <v>-0.14713419939002167</v>
      </c>
      <c r="BQ11" s="9">
        <f>BP11+預測IC!BR14</f>
        <v>-0.20412087435093904</v>
      </c>
      <c r="BR11" s="9">
        <f>BQ11+預測IC!BS14</f>
        <v>-0.20252720836363697</v>
      </c>
      <c r="BS11" s="9">
        <f>BR11+預測IC!BT14</f>
        <v>-0.20715200563337466</v>
      </c>
      <c r="BT11" s="9">
        <f>BS11+預測IC!BU14</f>
        <v>-0.23032096621045831</v>
      </c>
      <c r="BU11" s="9">
        <f>BT11+預測IC!BV14</f>
        <v>-0.19235182426764461</v>
      </c>
      <c r="BV11" s="9">
        <f>BU11+預測IC!BW14</f>
        <v>-0.14860609481559114</v>
      </c>
      <c r="BW11" s="9">
        <f>BV11+預測IC!BX14</f>
        <v>-0.15762415174433975</v>
      </c>
      <c r="BX11" s="9">
        <f>BW11+預測IC!BY14</f>
        <v>-0.1753957079979846</v>
      </c>
      <c r="BY11" s="9">
        <f>BX11+預測IC!BZ14</f>
        <v>-0.18704845467854767</v>
      </c>
      <c r="BZ11" s="9">
        <f>BY11+預測IC!CA14</f>
        <v>-0.20554461038597172</v>
      </c>
      <c r="CA11" s="9">
        <f>BZ11+預測IC!CB14</f>
        <v>-0.18603440166289231</v>
      </c>
      <c r="CB11" s="9">
        <f>CA11+預測IC!CC14</f>
        <v>-0.22969618431580111</v>
      </c>
      <c r="CC11" s="9">
        <f>CB11+預測IC!CD14</f>
        <v>-0.27405144767248568</v>
      </c>
      <c r="CD11" s="9">
        <f>CC11+預測IC!CE14</f>
        <v>-0.26468181044719347</v>
      </c>
      <c r="CE11" s="9">
        <f>CD11+預測IC!CF14</f>
        <v>-0.25302374518296522</v>
      </c>
      <c r="CF11" s="9">
        <f>CE11+預測IC!CG14</f>
        <v>-0.25766720020117589</v>
      </c>
      <c r="CG11" s="9">
        <f>CF11+預測IC!CH14</f>
        <v>-0.24586232396975211</v>
      </c>
      <c r="CH11" s="9">
        <f>CG11+預測IC!CI14</f>
        <v>-0.24433852432120931</v>
      </c>
      <c r="CI11" s="9">
        <f>CH11+預測IC!CJ14</f>
        <v>-0.30839791651684323</v>
      </c>
      <c r="CJ11" s="9">
        <f>CI11+預測IC!CK14</f>
        <v>-0.29389671958822328</v>
      </c>
      <c r="CK11" s="9">
        <f>CJ11+預測IC!CL14</f>
        <v>-0.21777569571837627</v>
      </c>
      <c r="CL11" s="9">
        <f>CK11+預測IC!CM14</f>
        <v>-0.191421744880207</v>
      </c>
      <c r="CM11" s="9">
        <f>CL11+預測IC!CN14</f>
        <v>-5.1693845753711304E-2</v>
      </c>
      <c r="CN11" s="9">
        <f>CM11+預測IC!CO14</f>
        <v>-0.10787566764496609</v>
      </c>
      <c r="CO11" s="9">
        <f>CN11+預測IC!CP14</f>
        <v>-0.10362380163954465</v>
      </c>
      <c r="CP11" s="9">
        <f>CO11+預測IC!CQ14</f>
        <v>-0.17100038597478787</v>
      </c>
      <c r="CQ11" s="9">
        <f>CP11+預測IC!CR14</f>
        <v>-0.22816037249630139</v>
      </c>
      <c r="CR11" s="9">
        <f>CQ11+預測IC!CS14</f>
        <v>-0.25225918924109147</v>
      </c>
      <c r="CS11" s="9">
        <f>CR11+預測IC!CT14</f>
        <v>-0.31794328076866052</v>
      </c>
      <c r="CT11" s="9">
        <f>CS11+預測IC!CU14</f>
        <v>-0.3927228100500173</v>
      </c>
      <c r="CU11" s="9">
        <f>CT11+預測IC!CV14</f>
        <v>-0.35723961552778688</v>
      </c>
      <c r="CV11" s="9">
        <f>CU11+預測IC!CW14</f>
        <v>-0.34420294614920927</v>
      </c>
      <c r="CW11" s="9">
        <f>CV11+預測IC!CX14</f>
        <v>-0.37495558441667226</v>
      </c>
      <c r="CX11" s="9">
        <f>CW11+預測IC!CY14</f>
        <v>-0.35853498816886664</v>
      </c>
      <c r="CY11" s="9">
        <f>CX11+預測IC!CZ14</f>
        <v>-0.37085925022878324</v>
      </c>
      <c r="CZ11" s="9">
        <f>CY11+預測IC!DA14</f>
        <v>-0.35403491740353943</v>
      </c>
      <c r="DA11" s="9">
        <f>CZ11+預測IC!DB14</f>
        <v>-0.318449634759636</v>
      </c>
      <c r="DB11" s="9">
        <f>DA11+預測IC!DC14</f>
        <v>-0.3229509985521774</v>
      </c>
      <c r="DC11" s="9">
        <f>DB11+預測IC!DD14</f>
        <v>-0.31783953145442473</v>
      </c>
      <c r="DD11" s="9">
        <f>DC11+預測IC!DE14</f>
        <v>-0.32663636235328242</v>
      </c>
      <c r="DE11" s="9">
        <f>DD11+預測IC!DF14</f>
        <v>-0.30724162646840664</v>
      </c>
      <c r="DF11" s="9">
        <f>DE11+預測IC!DG14</f>
        <v>-0.32155589495208181</v>
      </c>
      <c r="DG11" s="9">
        <f>DF11+預測IC!DH14</f>
        <v>-0.32012713326167641</v>
      </c>
      <c r="DH11" s="9">
        <f>DG11+預測IC!DI14</f>
        <v>-0.35921707196650698</v>
      </c>
      <c r="DI11" s="9">
        <f>DH11+預測IC!DJ14</f>
        <v>-0.31783902903083544</v>
      </c>
      <c r="DJ11" s="9">
        <f>DI11+預測IC!DK14</f>
        <v>-0.34405208909875912</v>
      </c>
      <c r="DK11" s="9">
        <f>DJ11+預測IC!DL14</f>
        <v>-0.36003149586604188</v>
      </c>
      <c r="DL11" s="9">
        <f>DK11+預測IC!DM14</f>
        <v>-0.38797333261210282</v>
      </c>
      <c r="DM11" s="9">
        <f>DL11+預測IC!DN14</f>
        <v>-0.37539871643511391</v>
      </c>
      <c r="DN11" s="9">
        <f>DM11+預測IC!DO14</f>
        <v>-0.36587775453421245</v>
      </c>
      <c r="DO11" s="9">
        <f>DN11+預測IC!DP14</f>
        <v>-0.35481338039162968</v>
      </c>
      <c r="DP11" s="9">
        <f>DO11+預測IC!DQ14</f>
        <v>-0.34340942382002787</v>
      </c>
      <c r="DQ11" s="9">
        <f>DP11+預測IC!DR14</f>
        <v>-0.35426147024773225</v>
      </c>
      <c r="DR11" s="9">
        <f>DQ11+預測IC!DS14</f>
        <v>-0.30823719124260751</v>
      </c>
      <c r="DS11" s="9">
        <f>DR11+預測IC!DT14</f>
        <v>-0.28342334968002081</v>
      </c>
      <c r="DT11" s="9">
        <f>DS11+預測IC!DU14</f>
        <v>-0.2376362077055538</v>
      </c>
      <c r="DU11" s="9">
        <f>DT11+預測IC!DV14</f>
        <v>-0.24742036841415216</v>
      </c>
      <c r="DV11" s="9">
        <f>DU11+預測IC!DW14</f>
        <v>-0.24297819773470211</v>
      </c>
      <c r="DW11" s="9">
        <f>DV11+預測IC!DX14</f>
        <v>-0.25150657975970003</v>
      </c>
      <c r="DX11" s="9">
        <f>DW11+預測IC!DY14</f>
        <v>-0.23615444938359104</v>
      </c>
      <c r="DY11" s="9">
        <f>DX11+預測IC!DZ14</f>
        <v>-0.22909791414788977</v>
      </c>
      <c r="DZ11" s="9">
        <f>DY11+預測IC!EA14</f>
        <v>-0.34222495589702678</v>
      </c>
      <c r="EA11" s="9">
        <f>DZ11+預測IC!EB14</f>
        <v>-0.31033754086416654</v>
      </c>
      <c r="EB11" s="9">
        <f>EA11+預測IC!EC14</f>
        <v>-0.29545362273464737</v>
      </c>
      <c r="EC11" s="9">
        <f>EB11+預測IC!ED14</f>
        <v>-0.27200904749170624</v>
      </c>
      <c r="ED11" s="9">
        <f>EC11+預測IC!EE14</f>
        <v>-0.30022532775950961</v>
      </c>
      <c r="EE11" s="9">
        <f>ED11+預測IC!EF14</f>
        <v>-0.33203618603374008</v>
      </c>
      <c r="EF11" s="3"/>
    </row>
    <row r="12" spans="1:136" ht="16">
      <c r="A12" s="6" t="s">
        <v>149</v>
      </c>
      <c r="B12" s="9">
        <v>-7.4773642018864817E-3</v>
      </c>
      <c r="C12" s="9">
        <f>B12+預測IC!D15</f>
        <v>-2.0205042130946333E-3</v>
      </c>
      <c r="D12" s="9">
        <f>C12+預測IC!E15</f>
        <v>-7.5441309163809759E-3</v>
      </c>
      <c r="E12" s="9">
        <f>D12+預測IC!F15</f>
        <v>-1.7937475083259775E-2</v>
      </c>
      <c r="F12" s="9">
        <f>E12+預測IC!G15</f>
        <v>1.0565446913304161E-3</v>
      </c>
      <c r="G12" s="9">
        <f>F12+預測IC!H15</f>
        <v>1.8444931718829417E-2</v>
      </c>
      <c r="H12" s="9">
        <f>G12+預測IC!I15</f>
        <v>5.0730923402695284E-2</v>
      </c>
      <c r="I12" s="9">
        <f>H12+預測IC!J15</f>
        <v>7.373133205526694E-2</v>
      </c>
      <c r="J12" s="9">
        <f>I12+預測IC!K15</f>
        <v>0.13405747128283707</v>
      </c>
      <c r="K12" s="9">
        <f>J12+預測IC!L15</f>
        <v>0.15603794166155985</v>
      </c>
      <c r="L12" s="9">
        <f>K12+預測IC!M15</f>
        <v>0.15931769988756456</v>
      </c>
      <c r="M12" s="9">
        <f>L12+預測IC!N15</f>
        <v>8.3798531433261603E-2</v>
      </c>
      <c r="N12" s="9">
        <f>M12+預測IC!O15</f>
        <v>0.10122123024421154</v>
      </c>
      <c r="O12" s="9">
        <f>N12+預測IC!P15</f>
        <v>9.5248113552241831E-2</v>
      </c>
      <c r="P12" s="9">
        <f>O12+預測IC!Q15</f>
        <v>0.11930707832676232</v>
      </c>
      <c r="Q12" s="9">
        <f>P12+預測IC!R15</f>
        <v>7.206456860574792E-2</v>
      </c>
      <c r="R12" s="9">
        <f>Q12+預測IC!S15</f>
        <v>9.8243600495404676E-2</v>
      </c>
      <c r="S12" s="9">
        <f>R12+預測IC!T15</f>
        <v>7.1945467737251231E-2</v>
      </c>
      <c r="T12" s="9">
        <f>S12+預測IC!U15</f>
        <v>6.9667638755904079E-2</v>
      </c>
      <c r="U12" s="9">
        <f>T12+預測IC!V15</f>
        <v>5.8581979118781088E-2</v>
      </c>
      <c r="V12" s="9">
        <f>U12+預測IC!W15</f>
        <v>2.3991342639065799E-2</v>
      </c>
      <c r="W12" s="9">
        <f>V12+預測IC!X15</f>
        <v>-0.12639443507973641</v>
      </c>
      <c r="X12" s="9">
        <f>W12+預測IC!Y15</f>
        <v>-0.10477126987240439</v>
      </c>
      <c r="Y12" s="9">
        <f>X12+預測IC!Z15</f>
        <v>-2.3519867751168835E-2</v>
      </c>
      <c r="Z12" s="9">
        <f>Y12+預測IC!AA15</f>
        <v>-7.1232516201427037E-2</v>
      </c>
      <c r="AA12" s="9">
        <f>Z12+預測IC!AB15</f>
        <v>-8.6234089530405539E-2</v>
      </c>
      <c r="AB12" s="9">
        <f>AA12+預測IC!AC15</f>
        <v>-1.9462389148475701E-2</v>
      </c>
      <c r="AC12" s="9">
        <f>AB12+預測IC!AD15</f>
        <v>9.7783922531671785E-4</v>
      </c>
      <c r="AD12" s="9">
        <f>AC12+預測IC!AE15</f>
        <v>-3.9867907663194563E-2</v>
      </c>
      <c r="AE12" s="9">
        <f>AD12+預測IC!AF15</f>
        <v>3.3413253165116633E-2</v>
      </c>
      <c r="AF12" s="9">
        <f>AE12+預測IC!AG15</f>
        <v>2.3508045438042541E-2</v>
      </c>
      <c r="AG12" s="9">
        <f>AF12+預測IC!AH15</f>
        <v>4.8463251987909406E-2</v>
      </c>
      <c r="AH12" s="9">
        <f>AG12+預測IC!AI15</f>
        <v>4.5428009879162928E-2</v>
      </c>
      <c r="AI12" s="9">
        <f>AH12+預測IC!AJ15</f>
        <v>4.4358105916725538E-2</v>
      </c>
      <c r="AJ12" s="9">
        <f>AI12+預測IC!AK15</f>
        <v>2.0739406344778218E-2</v>
      </c>
      <c r="AK12" s="9">
        <f>AJ12+預測IC!AL15</f>
        <v>6.9998291139328289E-2</v>
      </c>
      <c r="AL12" s="9">
        <f>AK12+預測IC!AM15</f>
        <v>2.8160863149352962E-2</v>
      </c>
      <c r="AM12" s="9">
        <f>AL12+預測IC!AN15</f>
        <v>-1.8167973705693792E-3</v>
      </c>
      <c r="AN12" s="9">
        <f>AM12+預測IC!AO15</f>
        <v>-1.0795068193400221E-4</v>
      </c>
      <c r="AO12" s="9">
        <f>AN12+預測IC!AP15</f>
        <v>2.002756444792263E-3</v>
      </c>
      <c r="AP12" s="9">
        <f>AO12+預測IC!AQ15</f>
        <v>4.3428306043087356E-3</v>
      </c>
      <c r="AQ12" s="9">
        <f>AP12+預測IC!AR15</f>
        <v>-1.6505213190415084E-2</v>
      </c>
      <c r="AR12" s="9">
        <f>AQ12+預測IC!AS15</f>
        <v>-3.9910176732012415E-2</v>
      </c>
      <c r="AS12" s="9">
        <f>AR12+預測IC!AT15</f>
        <v>-0.12633309145961186</v>
      </c>
      <c r="AT12" s="9">
        <f>AS12+預測IC!AU15</f>
        <v>-0.11063767303313934</v>
      </c>
      <c r="AU12" s="9">
        <f>AT12+預測IC!AV15</f>
        <v>-0.11554561248092785</v>
      </c>
      <c r="AV12" s="9">
        <f>AU12+預測IC!AW15</f>
        <v>-0.12683804821224878</v>
      </c>
      <c r="AW12" s="9">
        <f>AV12+預測IC!AX15</f>
        <v>-0.1266378979591643</v>
      </c>
      <c r="AX12" s="9">
        <f>AW12+預測IC!AY15</f>
        <v>-5.8350755306616583E-2</v>
      </c>
      <c r="AY12" s="9">
        <f>AX12+預測IC!AZ15</f>
        <v>-7.5207762600660033E-2</v>
      </c>
      <c r="AZ12" s="9">
        <f>AY12+預測IC!BA15</f>
        <v>-5.7502992866757772E-2</v>
      </c>
      <c r="BA12" s="9">
        <f>AZ12+預測IC!BB15</f>
        <v>-5.5401038384817795E-2</v>
      </c>
      <c r="BB12" s="9">
        <f>BA12+預測IC!BC15</f>
        <v>-3.6290171109975677E-2</v>
      </c>
      <c r="BC12" s="9">
        <f>BB12+預測IC!BD15</f>
        <v>-2.0760296865268139E-2</v>
      </c>
      <c r="BD12" s="9">
        <f>BC12+預測IC!BE15</f>
        <v>2.8203614366263931E-2</v>
      </c>
      <c r="BE12" s="9">
        <f>BD12+預測IC!BF15</f>
        <v>0.10018516974695113</v>
      </c>
      <c r="BF12" s="9">
        <f>BE12+預測IC!BG15</f>
        <v>0.1580110137315755</v>
      </c>
      <c r="BG12" s="9">
        <f>BF12+預測IC!BH15</f>
        <v>0.15907408743823451</v>
      </c>
      <c r="BH12" s="9">
        <f>BG12+預測IC!BI15</f>
        <v>0.19657348882999948</v>
      </c>
      <c r="BI12" s="9">
        <f>BH12+預測IC!BJ15</f>
        <v>0.17230740121689059</v>
      </c>
      <c r="BJ12" s="9">
        <f>BI12+預測IC!BK15</f>
        <v>0.17072394794220286</v>
      </c>
      <c r="BK12" s="9">
        <f>BJ12+預測IC!BL15</f>
        <v>0.15431015233748527</v>
      </c>
      <c r="BL12" s="9">
        <f>BK12+預測IC!BM15</f>
        <v>0.12949809860688627</v>
      </c>
      <c r="BM12" s="9">
        <f>BL12+預測IC!BN15</f>
        <v>0.10772452344353688</v>
      </c>
      <c r="BN12" s="9">
        <f>BM12+預測IC!BO15</f>
        <v>2.5146687146931454E-2</v>
      </c>
      <c r="BO12" s="9">
        <f>BN12+預測IC!BP15</f>
        <v>-3.2451338141702119E-2</v>
      </c>
      <c r="BP12" s="9">
        <f>BO12+預測IC!BQ15</f>
        <v>-4.8604649867997896E-2</v>
      </c>
      <c r="BQ12" s="9">
        <f>BP12+預測IC!BR15</f>
        <v>-0.13003285151923258</v>
      </c>
      <c r="BR12" s="9">
        <f>BQ12+預測IC!BS15</f>
        <v>-0.12729875883312267</v>
      </c>
      <c r="BS12" s="9">
        <f>BR12+預測IC!BT15</f>
        <v>-0.1046475777336532</v>
      </c>
      <c r="BT12" s="9">
        <f>BS12+預測IC!BU15</f>
        <v>-0.12982626852467591</v>
      </c>
      <c r="BU12" s="9">
        <f>BT12+預測IC!BV15</f>
        <v>-6.0011789237035762E-2</v>
      </c>
      <c r="BV12" s="9">
        <f>BU12+預測IC!BW15</f>
        <v>2.0259630333967618E-2</v>
      </c>
      <c r="BW12" s="9">
        <f>BV12+預測IC!BX15</f>
        <v>5.0201206850606986E-3</v>
      </c>
      <c r="BX12" s="9">
        <f>BW12+預測IC!BY15</f>
        <v>1.2866680833057927E-2</v>
      </c>
      <c r="BY12" s="9">
        <f>BX12+預測IC!BZ15</f>
        <v>-5.004903554622616E-2</v>
      </c>
      <c r="BZ12" s="9">
        <f>BY12+預測IC!CA15</f>
        <v>-9.2672013809084519E-2</v>
      </c>
      <c r="CA12" s="9">
        <f>BZ12+預測IC!CB15</f>
        <v>-6.9922253517728794E-2</v>
      </c>
      <c r="CB12" s="9">
        <f>CA12+預測IC!CC15</f>
        <v>-7.2488830430160148E-2</v>
      </c>
      <c r="CC12" s="9">
        <f>CB12+預測IC!CD15</f>
        <v>-9.3692974310766688E-2</v>
      </c>
      <c r="CD12" s="9">
        <f>CC12+預測IC!CE15</f>
        <v>-7.1022543108637523E-2</v>
      </c>
      <c r="CE12" s="9">
        <f>CD12+預測IC!CF15</f>
        <v>-6.0057368968231176E-2</v>
      </c>
      <c r="CF12" s="9">
        <f>CE12+預測IC!CG15</f>
        <v>-8.2254072592337107E-2</v>
      </c>
      <c r="CG12" s="9">
        <f>CF12+預測IC!CH15</f>
        <v>-5.275698761627548E-2</v>
      </c>
      <c r="CH12" s="9">
        <f>CG12+預測IC!CI15</f>
        <v>-4.6149748535038754E-2</v>
      </c>
      <c r="CI12" s="9">
        <f>CH12+預測IC!CJ15</f>
        <v>-0.12711190809737755</v>
      </c>
      <c r="CJ12" s="9">
        <f>CI12+預測IC!CK15</f>
        <v>-0.11637699493706263</v>
      </c>
      <c r="CK12" s="9">
        <f>CJ12+預測IC!CL15</f>
        <v>-4.5686542317380757E-2</v>
      </c>
      <c r="CL12" s="9">
        <f>CK12+預測IC!CM15</f>
        <v>-3.1675807544502166E-2</v>
      </c>
      <c r="CM12" s="9">
        <f>CL12+預測IC!CN15</f>
        <v>0.10967095999803453</v>
      </c>
      <c r="CN12" s="9">
        <f>CM12+預測IC!CO15</f>
        <v>4.9022724488026109E-2</v>
      </c>
      <c r="CO12" s="9">
        <f>CN12+預測IC!CP15</f>
        <v>7.6111798965351488E-2</v>
      </c>
      <c r="CP12" s="9">
        <f>CO12+預測IC!CQ15</f>
        <v>2.7925231557725805E-3</v>
      </c>
      <c r="CQ12" s="9">
        <f>CP12+預測IC!CR15</f>
        <v>-0.10885236322470213</v>
      </c>
      <c r="CR12" s="9">
        <f>CQ12+預測IC!CS15</f>
        <v>-0.12727174084762327</v>
      </c>
      <c r="CS12" s="9">
        <f>CR12+預測IC!CT15</f>
        <v>-0.2221401461430656</v>
      </c>
      <c r="CT12" s="9">
        <f>CS12+預測IC!CU15</f>
        <v>-0.32923110785670301</v>
      </c>
      <c r="CU12" s="9">
        <f>CT12+預測IC!CV15</f>
        <v>-0.27465421822454883</v>
      </c>
      <c r="CV12" s="9">
        <f>CU12+預測IC!CW15</f>
        <v>-0.2383450984681155</v>
      </c>
      <c r="CW12" s="9">
        <f>CV12+預測IC!CX15</f>
        <v>-0.26892793994780534</v>
      </c>
      <c r="CX12" s="9">
        <f>CW12+預測IC!CY15</f>
        <v>-0.22772618806370859</v>
      </c>
      <c r="CY12" s="9">
        <f>CX12+預測IC!CZ15</f>
        <v>-0.2326244042237739</v>
      </c>
      <c r="CZ12" s="9">
        <f>CY12+預測IC!DA15</f>
        <v>-0.21568777774870229</v>
      </c>
      <c r="DA12" s="9">
        <f>CZ12+預測IC!DB15</f>
        <v>-0.15433159251143089</v>
      </c>
      <c r="DB12" s="9">
        <f>DA12+預測IC!DC15</f>
        <v>-0.16848145933872524</v>
      </c>
      <c r="DC12" s="9">
        <f>DB12+預測IC!DD15</f>
        <v>-0.16907182778643887</v>
      </c>
      <c r="DD12" s="9">
        <f>DC12+預測IC!DE15</f>
        <v>-0.18124790920765019</v>
      </c>
      <c r="DE12" s="9">
        <f>DD12+預測IC!DF15</f>
        <v>-0.16135425905909781</v>
      </c>
      <c r="DF12" s="9">
        <f>DE12+預測IC!DG15</f>
        <v>-0.17305032816345567</v>
      </c>
      <c r="DG12" s="9">
        <f>DF12+預測IC!DH15</f>
        <v>-0.2075484567512515</v>
      </c>
      <c r="DH12" s="9">
        <f>DG12+預測IC!DI15</f>
        <v>-0.2517240450873991</v>
      </c>
      <c r="DI12" s="9">
        <f>DH12+預測IC!DJ15</f>
        <v>-0.24470292147184108</v>
      </c>
      <c r="DJ12" s="9">
        <f>DI12+預測IC!DK15</f>
        <v>-0.24866064032087631</v>
      </c>
      <c r="DK12" s="9">
        <f>DJ12+預測IC!DL15</f>
        <v>-0.27230200468658516</v>
      </c>
      <c r="DL12" s="9">
        <f>DK12+預測IC!DM15</f>
        <v>-0.30676508752360354</v>
      </c>
      <c r="DM12" s="9">
        <f>DL12+預測IC!DN15</f>
        <v>-0.29605002083324056</v>
      </c>
      <c r="DN12" s="9">
        <f>DM12+預測IC!DO15</f>
        <v>-0.2837507013827652</v>
      </c>
      <c r="DO12" s="9">
        <f>DN12+預測IC!DP15</f>
        <v>-0.27060608764604754</v>
      </c>
      <c r="DP12" s="9">
        <f>DO12+預測IC!DQ15</f>
        <v>-0.25705260655780676</v>
      </c>
      <c r="DQ12" s="9">
        <f>DP12+預測IC!DR15</f>
        <v>-0.2715195680286665</v>
      </c>
      <c r="DR12" s="9">
        <f>DQ12+預測IC!DS15</f>
        <v>-0.24160437413733937</v>
      </c>
      <c r="DS12" s="9">
        <f>DR12+預測IC!DT15</f>
        <v>-0.21175856497633613</v>
      </c>
      <c r="DT12" s="9">
        <f>DS12+預測IC!DU15</f>
        <v>-0.18805971119513465</v>
      </c>
      <c r="DU12" s="9">
        <f>DT12+預測IC!DV15</f>
        <v>-0.2187471828724574</v>
      </c>
      <c r="DV12" s="9">
        <f>DU12+預測IC!DW15</f>
        <v>-0.20126903995392834</v>
      </c>
      <c r="DW12" s="9">
        <f>DV12+預測IC!DX15</f>
        <v>-0.18553627457267968</v>
      </c>
      <c r="DX12" s="9">
        <f>DW12+預測IC!DY15</f>
        <v>-0.17577714700653796</v>
      </c>
      <c r="DY12" s="9">
        <f>DX12+預測IC!DZ15</f>
        <v>-0.18268694311832248</v>
      </c>
      <c r="DZ12" s="9">
        <f>DY12+預測IC!EA15</f>
        <v>-0.30715590126739339</v>
      </c>
      <c r="EA12" s="9">
        <f>DZ12+預測IC!EB15</f>
        <v>-0.24909630495406232</v>
      </c>
      <c r="EB12" s="9">
        <f>EA12+預測IC!EC15</f>
        <v>-0.22711145242253794</v>
      </c>
      <c r="EC12" s="9">
        <f>EB12+預測IC!ED15</f>
        <v>-0.17313343279328258</v>
      </c>
      <c r="ED12" s="9">
        <f>EC12+預測IC!EE15</f>
        <v>-0.20900091269410268</v>
      </c>
      <c r="EE12" s="9">
        <f>ED12+預測IC!EF15</f>
        <v>-0.25688017818641085</v>
      </c>
      <c r="EF12" s="3"/>
    </row>
    <row r="13" spans="1:136" ht="16">
      <c r="A13" s="6" t="s">
        <v>150</v>
      </c>
      <c r="B13" s="9">
        <v>-3.3228977675766193E-2</v>
      </c>
      <c r="C13" s="9">
        <f>B13+預測IC!D16</f>
        <v>0.10841467107685951</v>
      </c>
      <c r="D13" s="9">
        <f>C13+預測IC!E16</f>
        <v>6.0493925063590276E-2</v>
      </c>
      <c r="E13" s="9">
        <f>D13+預測IC!F16</f>
        <v>7.8451731630075738E-2</v>
      </c>
      <c r="F13" s="9">
        <f>E13+預測IC!G16</f>
        <v>9.6607434259254374E-2</v>
      </c>
      <c r="G13" s="9">
        <f>F13+預測IC!H16</f>
        <v>8.5099173397130801E-2</v>
      </c>
      <c r="H13" s="9">
        <f>G13+預測IC!I16</f>
        <v>0.11519930868406622</v>
      </c>
      <c r="I13" s="9">
        <f>H13+預測IC!J16</f>
        <v>0.1604308827164696</v>
      </c>
      <c r="J13" s="9">
        <f>I13+預測IC!K16</f>
        <v>0.21125834897731757</v>
      </c>
      <c r="K13" s="9">
        <f>J13+預測IC!L16</f>
        <v>0.26752943395355311</v>
      </c>
      <c r="L13" s="9">
        <f>K13+預測IC!M16</f>
        <v>0.24850771948856912</v>
      </c>
      <c r="M13" s="9">
        <f>L13+預測IC!N16</f>
        <v>0.12445615029570642</v>
      </c>
      <c r="N13" s="9">
        <f>M13+預測IC!O16</f>
        <v>0.12595055823425494</v>
      </c>
      <c r="O13" s="9">
        <f>N13+預測IC!P16</f>
        <v>0.13792007781350418</v>
      </c>
      <c r="P13" s="9">
        <f>O13+預測IC!Q16</f>
        <v>0.1874210701536588</v>
      </c>
      <c r="Q13" s="9">
        <f>P13+預測IC!R16</f>
        <v>0.19887424305879009</v>
      </c>
      <c r="R13" s="9">
        <f>Q13+預測IC!S16</f>
        <v>0.24058990085379711</v>
      </c>
      <c r="S13" s="9">
        <f>R13+預測IC!T16</f>
        <v>0.24281092633824453</v>
      </c>
      <c r="T13" s="9">
        <f>S13+預測IC!U16</f>
        <v>0.22802150893523118</v>
      </c>
      <c r="U13" s="9">
        <f>T13+預測IC!V16</f>
        <v>0.21458053929332402</v>
      </c>
      <c r="V13" s="9">
        <f>U13+預測IC!W16</f>
        <v>0.19287830040824436</v>
      </c>
      <c r="W13" s="9">
        <f>V13+預測IC!X16</f>
        <v>-2.5232234708634449E-2</v>
      </c>
      <c r="X13" s="9">
        <f>W13+預測IC!Y16</f>
        <v>-5.7224497034345137E-2</v>
      </c>
      <c r="Y13" s="9">
        <f>X13+預測IC!Z16</f>
        <v>5.9479534637083664E-2</v>
      </c>
      <c r="Z13" s="9">
        <f>Y13+預測IC!AA16</f>
        <v>-4.0426344860241104E-2</v>
      </c>
      <c r="AA13" s="9">
        <f>Z13+預測IC!AB16</f>
        <v>-6.7762323465795249E-2</v>
      </c>
      <c r="AB13" s="9">
        <f>AA13+預測IC!AC16</f>
        <v>-7.0848885804584524E-2</v>
      </c>
      <c r="AC13" s="9">
        <f>AB13+預測IC!AD16</f>
        <v>-9.7429406944239683E-4</v>
      </c>
      <c r="AD13" s="9">
        <f>AC13+預測IC!AE16</f>
        <v>-6.6567972033674608E-3</v>
      </c>
      <c r="AE13" s="9">
        <f>AD13+預測IC!AF16</f>
        <v>8.942329825326617E-2</v>
      </c>
      <c r="AF13" s="9">
        <f>AE13+預測IC!AG16</f>
        <v>6.4094003242313111E-2</v>
      </c>
      <c r="AG13" s="9">
        <f>AF13+預測IC!AH16</f>
        <v>0.14504618766611477</v>
      </c>
      <c r="AH13" s="9">
        <f>AG13+預測IC!AI16</f>
        <v>0.20829945335682454</v>
      </c>
      <c r="AI13" s="9">
        <f>AH13+預測IC!AJ16</f>
        <v>0.19210969598011857</v>
      </c>
      <c r="AJ13" s="9">
        <f>AI13+預測IC!AK16</f>
        <v>0.18343183177309774</v>
      </c>
      <c r="AK13" s="9">
        <f>AJ13+預測IC!AL16</f>
        <v>0.23466201474122722</v>
      </c>
      <c r="AL13" s="9">
        <f>AK13+預測IC!AM16</f>
        <v>0.20664778609501458</v>
      </c>
      <c r="AM13" s="9">
        <f>AL13+預測IC!AN16</f>
        <v>0.18751526286972794</v>
      </c>
      <c r="AN13" s="9">
        <f>AM13+預測IC!AO16</f>
        <v>0.22555961541178929</v>
      </c>
      <c r="AO13" s="9">
        <f>AN13+預測IC!AP16</f>
        <v>0.21720783378166708</v>
      </c>
      <c r="AP13" s="9">
        <f>AO13+預測IC!AQ16</f>
        <v>0.18747445328438944</v>
      </c>
      <c r="AQ13" s="9">
        <f>AP13+預測IC!AR16</f>
        <v>0.17989176161695059</v>
      </c>
      <c r="AR13" s="9">
        <f>AQ13+預測IC!AS16</f>
        <v>0.18656110000664</v>
      </c>
      <c r="AS13" s="9">
        <f>AR13+預測IC!AT16</f>
        <v>0.10715762029600197</v>
      </c>
      <c r="AT13" s="9">
        <f>AS13+預測IC!AU16</f>
        <v>0.16457923341013583</v>
      </c>
      <c r="AU13" s="9">
        <f>AT13+預測IC!AV16</f>
        <v>0.15226588317719031</v>
      </c>
      <c r="AV13" s="9">
        <f>AU13+預測IC!AW16</f>
        <v>0.15609352392326689</v>
      </c>
      <c r="AW13" s="9">
        <f>AV13+預測IC!AX16</f>
        <v>0.14547838178889325</v>
      </c>
      <c r="AX13" s="9">
        <f>AW13+預測IC!AY16</f>
        <v>0.28872689673492402</v>
      </c>
      <c r="AY13" s="9">
        <f>AX13+預測IC!AZ16</f>
        <v>0.25742492381143411</v>
      </c>
      <c r="AZ13" s="9">
        <f>AY13+預測IC!BA16</f>
        <v>0.32219574160504744</v>
      </c>
      <c r="BA13" s="9">
        <f>AZ13+預測IC!BB16</f>
        <v>0.3543235360506089</v>
      </c>
      <c r="BB13" s="9">
        <f>BA13+預測IC!BC16</f>
        <v>0.32581785255130274</v>
      </c>
      <c r="BC13" s="9">
        <f>BB13+預測IC!BD16</f>
        <v>0.37804692450414057</v>
      </c>
      <c r="BD13" s="9">
        <f>BC13+預測IC!BE16</f>
        <v>0.45407396786000959</v>
      </c>
      <c r="BE13" s="9">
        <f>BD13+預測IC!BF16</f>
        <v>0.56424649893595535</v>
      </c>
      <c r="BF13" s="9">
        <f>BE13+預測IC!BG16</f>
        <v>0.66472127448081553</v>
      </c>
      <c r="BG13" s="9">
        <f>BF13+預測IC!BH16</f>
        <v>0.75587490837093296</v>
      </c>
      <c r="BH13" s="9">
        <f>BG13+預測IC!BI16</f>
        <v>0.82668619437291357</v>
      </c>
      <c r="BI13" s="9">
        <f>BH13+預測IC!BJ16</f>
        <v>0.75808199877061089</v>
      </c>
      <c r="BJ13" s="9">
        <f>BI13+預測IC!BK16</f>
        <v>0.7521027285741525</v>
      </c>
      <c r="BK13" s="9">
        <f>BJ13+預測IC!BL16</f>
        <v>0.74047567632826772</v>
      </c>
      <c r="BL13" s="9">
        <f>BK13+預測IC!BM16</f>
        <v>0.72334539588757951</v>
      </c>
      <c r="BM13" s="9">
        <f>BL13+預測IC!BN16</f>
        <v>0.71856158024732286</v>
      </c>
      <c r="BN13" s="9">
        <f>BM13+預測IC!BO16</f>
        <v>0.69842064920488844</v>
      </c>
      <c r="BO13" s="9">
        <f>BN13+預測IC!BP16</f>
        <v>0.62810130483301241</v>
      </c>
      <c r="BP13" s="9">
        <f>BO13+預測IC!BQ16</f>
        <v>0.64577308795493371</v>
      </c>
      <c r="BQ13" s="9">
        <f>BP13+預測IC!BR16</f>
        <v>0.55894490335904456</v>
      </c>
      <c r="BR13" s="9">
        <f>BQ13+預測IC!BS16</f>
        <v>0.56401120838191066</v>
      </c>
      <c r="BS13" s="9">
        <f>BR13+預測IC!BT16</f>
        <v>0.59044900289904956</v>
      </c>
      <c r="BT13" s="9">
        <f>BS13+預測IC!BU16</f>
        <v>0.51371391213015372</v>
      </c>
      <c r="BU13" s="9">
        <f>BT13+預測IC!BV16</f>
        <v>0.61548317272899711</v>
      </c>
      <c r="BV13" s="9">
        <f>BU13+預測IC!BW16</f>
        <v>0.63146342039153658</v>
      </c>
      <c r="BW13" s="9">
        <f>BV13+預測IC!BX16</f>
        <v>0.53928569573611229</v>
      </c>
      <c r="BX13" s="9">
        <f>BW13+預測IC!BY16</f>
        <v>0.58185668747330044</v>
      </c>
      <c r="BY13" s="9">
        <f>BX13+預測IC!BZ16</f>
        <v>0.41373012970380424</v>
      </c>
      <c r="BZ13" s="9">
        <f>BY13+預測IC!CA16</f>
        <v>0.36255990319289821</v>
      </c>
      <c r="CA13" s="9">
        <f>BZ13+預測IC!CB16</f>
        <v>0.47892696079613811</v>
      </c>
      <c r="CB13" s="9">
        <f>CA13+預測IC!CC16</f>
        <v>0.44293320819031623</v>
      </c>
      <c r="CC13" s="9">
        <f>CB13+預測IC!CD16</f>
        <v>0.47585959554309987</v>
      </c>
      <c r="CD13" s="9">
        <f>CC13+預測IC!CE16</f>
        <v>0.51892002122043868</v>
      </c>
      <c r="CE13" s="9">
        <f>CD13+預測IC!CF16</f>
        <v>0.5396553195403182</v>
      </c>
      <c r="CF13" s="9">
        <f>CE13+預測IC!CG16</f>
        <v>0.49925488809440799</v>
      </c>
      <c r="CG13" s="9">
        <f>CF13+預測IC!CH16</f>
        <v>0.5013575234326374</v>
      </c>
      <c r="CH13" s="9">
        <f>CG13+預測IC!CI16</f>
        <v>0.45338102426602256</v>
      </c>
      <c r="CI13" s="9">
        <f>CH13+預測IC!CJ16</f>
        <v>0.32806392167192022</v>
      </c>
      <c r="CJ13" s="9">
        <f>CI13+預測IC!CK16</f>
        <v>0.40266390024465437</v>
      </c>
      <c r="CK13" s="9">
        <f>CJ13+預測IC!CL16</f>
        <v>0.49451561877589373</v>
      </c>
      <c r="CL13" s="9">
        <f>CK13+預測IC!CM16</f>
        <v>0.48941851189814645</v>
      </c>
      <c r="CM13" s="9">
        <f>CL13+預測IC!CN16</f>
        <v>0.69791505613120308</v>
      </c>
      <c r="CN13" s="9">
        <f>CM13+預測IC!CO16</f>
        <v>0.57925507071186577</v>
      </c>
      <c r="CO13" s="9">
        <f>CN13+預測IC!CP16</f>
        <v>0.60504784540014145</v>
      </c>
      <c r="CP13" s="9">
        <f>CO13+預測IC!CQ16</f>
        <v>0.51259506624000828</v>
      </c>
      <c r="CQ13" s="9">
        <f>CP13+預測IC!CR16</f>
        <v>0.30487535364936025</v>
      </c>
      <c r="CR13" s="9">
        <f>CQ13+預測IC!CS16</f>
        <v>0.31531845700120603</v>
      </c>
      <c r="CS13" s="9">
        <f>CR13+預測IC!CT16</f>
        <v>0.21564137314865334</v>
      </c>
      <c r="CT13" s="9">
        <f>CS13+預測IC!CU16</f>
        <v>0.11409637319193884</v>
      </c>
      <c r="CU13" s="9">
        <f>CT13+預測IC!CV16</f>
        <v>0.17277145024722965</v>
      </c>
      <c r="CV13" s="9">
        <f>CU13+預測IC!CW16</f>
        <v>0.21753533469048969</v>
      </c>
      <c r="CW13" s="9">
        <f>CV13+預測IC!CX16</f>
        <v>0.126896107340566</v>
      </c>
      <c r="CX13" s="9">
        <f>CW13+預測IC!CY16</f>
        <v>0.22325723746784989</v>
      </c>
      <c r="CY13" s="9">
        <f>CX13+預測IC!CZ16</f>
        <v>0.21295583780942653</v>
      </c>
      <c r="CZ13" s="9">
        <f>CY13+預測IC!DA16</f>
        <v>0.15660395720429096</v>
      </c>
      <c r="DA13" s="9">
        <f>CZ13+預測IC!DB16</f>
        <v>0.24684297076109216</v>
      </c>
      <c r="DB13" s="9">
        <f>DA13+預測IC!DC16</f>
        <v>0.2038444287808921</v>
      </c>
      <c r="DC13" s="9">
        <f>DB13+預測IC!DD16</f>
        <v>0.19819396937802009</v>
      </c>
      <c r="DD13" s="9">
        <f>DC13+預測IC!DE16</f>
        <v>0.21231180206837177</v>
      </c>
      <c r="DE13" s="9">
        <f>DD13+預測IC!DF16</f>
        <v>0.23491977564831865</v>
      </c>
      <c r="DF13" s="9">
        <f>DE13+預測IC!DG16</f>
        <v>0.20795802151166001</v>
      </c>
      <c r="DG13" s="9">
        <f>DF13+預測IC!DH16</f>
        <v>0.20922425789061647</v>
      </c>
      <c r="DH13" s="9">
        <f>DG13+預測IC!DI16</f>
        <v>8.4083875246427853E-2</v>
      </c>
      <c r="DI13" s="9">
        <f>DH13+預測IC!DJ16</f>
        <v>9.287790463374862E-2</v>
      </c>
      <c r="DJ13" s="9">
        <f>DI13+預測IC!DK16</f>
        <v>0.16146942052408828</v>
      </c>
      <c r="DK13" s="9">
        <f>DJ13+預測IC!DL16</f>
        <v>9.7911322796447611E-2</v>
      </c>
      <c r="DL13" s="9">
        <f>DK13+預測IC!DM16</f>
        <v>7.7068279502579135E-2</v>
      </c>
      <c r="DM13" s="9">
        <f>DL13+預測IC!DN16</f>
        <v>7.8736883523958329E-2</v>
      </c>
      <c r="DN13" s="9">
        <f>DM13+預測IC!DO16</f>
        <v>7.9975292772041309E-2</v>
      </c>
      <c r="DO13" s="9">
        <f>DN13+預測IC!DP16</f>
        <v>6.1994731556997931E-2</v>
      </c>
      <c r="DP13" s="9">
        <f>DO13+預測IC!DQ16</f>
        <v>9.4379476841233712E-2</v>
      </c>
      <c r="DQ13" s="9">
        <f>DP13+預測IC!DR16</f>
        <v>8.889538059568447E-2</v>
      </c>
      <c r="DR13" s="9">
        <f>DQ13+預測IC!DS16</f>
        <v>0.17833313498465164</v>
      </c>
      <c r="DS13" s="9">
        <f>DR13+預測IC!DT16</f>
        <v>0.18608742532373448</v>
      </c>
      <c r="DT13" s="9">
        <f>DS13+預測IC!DU16</f>
        <v>0.30500501189130758</v>
      </c>
      <c r="DU13" s="9">
        <f>DT13+預測IC!DV16</f>
        <v>0.2553483848027433</v>
      </c>
      <c r="DV13" s="9">
        <f>DU13+預測IC!DW16</f>
        <v>0.30953709313552469</v>
      </c>
      <c r="DW13" s="9">
        <f>DV13+預測IC!DX16</f>
        <v>0.34237951495224234</v>
      </c>
      <c r="DX13" s="9">
        <f>DW13+預測IC!DY16</f>
        <v>0.37924933834544322</v>
      </c>
      <c r="DY13" s="9">
        <f>DX13+預測IC!DZ16</f>
        <v>0.35669780055548206</v>
      </c>
      <c r="DZ13" s="9">
        <f>DY13+預測IC!EA16</f>
        <v>0.29378511598274043</v>
      </c>
      <c r="EA13" s="9">
        <f>DZ13+預測IC!EB16</f>
        <v>0.38194389766443254</v>
      </c>
      <c r="EB13" s="9">
        <f>EA13+預測IC!EC16</f>
        <v>0.42520391519374018</v>
      </c>
      <c r="EC13" s="9">
        <f>EB13+預測IC!ED16</f>
        <v>0.50360317933880361</v>
      </c>
      <c r="ED13" s="9">
        <f>EC13+預測IC!EE16</f>
        <v>0.46109744003744535</v>
      </c>
      <c r="EE13" s="9">
        <f>ED13+預測IC!EF16</f>
        <v>0.3761460555609788</v>
      </c>
      <c r="EF13" s="3"/>
    </row>
    <row r="14" spans="1:136" ht="16">
      <c r="A14" s="6" t="s">
        <v>151</v>
      </c>
      <c r="B14" s="9">
        <v>-3.6350225217569643E-2</v>
      </c>
      <c r="C14" s="9">
        <f>B14+預測IC!D17</f>
        <v>0.23668464747805634</v>
      </c>
      <c r="D14" s="9">
        <f>C14+預測IC!E17</f>
        <v>0.14134004200708589</v>
      </c>
      <c r="E14" s="9">
        <f>D14+預測IC!F17</f>
        <v>0.15468420416657772</v>
      </c>
      <c r="F14" s="9">
        <f>E14+預測IC!G17</f>
        <v>0.15463328597936496</v>
      </c>
      <c r="G14" s="9">
        <f>F14+預測IC!H17</f>
        <v>0.15338955992125985</v>
      </c>
      <c r="H14" s="9">
        <f>G14+預測IC!I17</f>
        <v>0.23268265057436049</v>
      </c>
      <c r="I14" s="9">
        <f>H14+預測IC!J17</f>
        <v>0.29480386032433253</v>
      </c>
      <c r="J14" s="9">
        <f>I14+預測IC!K17</f>
        <v>0.38931865791626341</v>
      </c>
      <c r="K14" s="9">
        <f>J14+預測IC!L17</f>
        <v>0.47048971848490967</v>
      </c>
      <c r="L14" s="9">
        <f>K14+預測IC!M17</f>
        <v>0.46835670204862195</v>
      </c>
      <c r="M14" s="9">
        <f>L14+預測IC!N17</f>
        <v>0.33353843743260159</v>
      </c>
      <c r="N14" s="9">
        <f>M14+預測IC!O17</f>
        <v>0.3212676416734489</v>
      </c>
      <c r="O14" s="9">
        <f>N14+預測IC!P17</f>
        <v>0.32581786852702721</v>
      </c>
      <c r="P14" s="9">
        <f>O14+預測IC!Q17</f>
        <v>0.37857517215046205</v>
      </c>
      <c r="Q14" s="9">
        <f>P14+預測IC!R17</f>
        <v>0.34486400451774391</v>
      </c>
      <c r="R14" s="9">
        <f>Q14+預測IC!S17</f>
        <v>0.43342488996597939</v>
      </c>
      <c r="S14" s="9">
        <f>R14+預測IC!T17</f>
        <v>0.42684686926716014</v>
      </c>
      <c r="T14" s="9">
        <f>S14+預測IC!U17</f>
        <v>0.43493501388241762</v>
      </c>
      <c r="U14" s="9">
        <f>T14+預測IC!V17</f>
        <v>0.43438375817673369</v>
      </c>
      <c r="V14" s="9">
        <f>U14+預測IC!W17</f>
        <v>0.42830435346308454</v>
      </c>
      <c r="W14" s="9">
        <f>V14+預測IC!X17</f>
        <v>0.17644110217452652</v>
      </c>
      <c r="X14" s="9">
        <f>W14+預測IC!Y17</f>
        <v>0.13040176689985819</v>
      </c>
      <c r="Y14" s="9">
        <f>X14+預測IC!Z17</f>
        <v>0.19310588622830216</v>
      </c>
      <c r="Z14" s="9">
        <f>Y14+預測IC!AA17</f>
        <v>3.2255502015237747E-2</v>
      </c>
      <c r="AA14" s="9">
        <f>Z14+預測IC!AB17</f>
        <v>1.0089101274304676E-2</v>
      </c>
      <c r="AB14" s="9">
        <f>AA14+預測IC!AC17</f>
        <v>1.4406770122359799E-2</v>
      </c>
      <c r="AC14" s="9">
        <f>AB14+預測IC!AD17</f>
        <v>9.6120145010542182E-2</v>
      </c>
      <c r="AD14" s="9">
        <f>AC14+預測IC!AE17</f>
        <v>0.11184763532915719</v>
      </c>
      <c r="AE14" s="9">
        <f>AD14+預測IC!AF17</f>
        <v>0.2495739225068116</v>
      </c>
      <c r="AF14" s="9">
        <f>AE14+預測IC!AG17</f>
        <v>0.20524937829173578</v>
      </c>
      <c r="AG14" s="9">
        <f>AF14+預測IC!AH17</f>
        <v>0.33821674330145857</v>
      </c>
      <c r="AH14" s="9">
        <f>AG14+預測IC!AI17</f>
        <v>0.41709312502282175</v>
      </c>
      <c r="AI14" s="9">
        <f>AH14+預測IC!AJ17</f>
        <v>0.43929424347360352</v>
      </c>
      <c r="AJ14" s="9">
        <f>AI14+預測IC!AK17</f>
        <v>0.4995062320575665</v>
      </c>
      <c r="AK14" s="9">
        <f>AJ14+預測IC!AL17</f>
        <v>0.53186640585422795</v>
      </c>
      <c r="AL14" s="9">
        <f>AK14+預測IC!AM17</f>
        <v>0.55291507086370717</v>
      </c>
      <c r="AM14" s="9">
        <f>AL14+預測IC!AN17</f>
        <v>0.51741461059850535</v>
      </c>
      <c r="AN14" s="9">
        <f>AM14+預測IC!AO17</f>
        <v>0.56879913083847278</v>
      </c>
      <c r="AO14" s="9">
        <f>AN14+預測IC!AP17</f>
        <v>0.47824375580104456</v>
      </c>
      <c r="AP14" s="9">
        <f>AO14+預測IC!AQ17</f>
        <v>0.44179043638080939</v>
      </c>
      <c r="AQ14" s="9">
        <f>AP14+預測IC!AR17</f>
        <v>0.42405661062157007</v>
      </c>
      <c r="AR14" s="9">
        <f>AQ14+預測IC!AS17</f>
        <v>0.47278983197567187</v>
      </c>
      <c r="AS14" s="9">
        <f>AR14+預測IC!AT17</f>
        <v>0.40180001937196691</v>
      </c>
      <c r="AT14" s="9">
        <f>AS14+預測IC!AU17</f>
        <v>0.47897409662192869</v>
      </c>
      <c r="AU14" s="9">
        <f>AT14+預測IC!AV17</f>
        <v>0.38425803555147675</v>
      </c>
      <c r="AV14" s="9">
        <f>AU14+預測IC!AW17</f>
        <v>0.36142998832021905</v>
      </c>
      <c r="AW14" s="9">
        <f>AV14+預測IC!AX17</f>
        <v>0.30701394340465904</v>
      </c>
      <c r="AX14" s="9">
        <f>AW14+預測IC!AY17</f>
        <v>0.5070202132097662</v>
      </c>
      <c r="AY14" s="9">
        <f>AX14+預測IC!AZ17</f>
        <v>0.50135263369348859</v>
      </c>
      <c r="AZ14" s="9">
        <f>AY14+預測IC!BA17</f>
        <v>0.64470545792630629</v>
      </c>
      <c r="BA14" s="9">
        <f>AZ14+預測IC!BB17</f>
        <v>0.67507148550666385</v>
      </c>
      <c r="BB14" s="9">
        <f>BA14+預測IC!BC17</f>
        <v>0.64413479388431383</v>
      </c>
      <c r="BC14" s="9">
        <f>BB14+預測IC!BD17</f>
        <v>0.7040675268528217</v>
      </c>
      <c r="BD14" s="9">
        <f>BC14+預測IC!BE17</f>
        <v>0.77887575319066271</v>
      </c>
      <c r="BE14" s="9">
        <f>BD14+預測IC!BF17</f>
        <v>0.90612806530985524</v>
      </c>
      <c r="BF14" s="9">
        <f>BE14+預測IC!BG17</f>
        <v>1.0352979559889015</v>
      </c>
      <c r="BG14" s="9">
        <f>BF14+預測IC!BH17</f>
        <v>1.0863422214393224</v>
      </c>
      <c r="BH14" s="9">
        <f>BG14+預測IC!BI17</f>
        <v>1.1922794151276856</v>
      </c>
      <c r="BI14" s="9">
        <f>BH14+預測IC!BJ17</f>
        <v>1.0621691600915162</v>
      </c>
      <c r="BJ14" s="9">
        <f>BI14+預測IC!BK17</f>
        <v>1.1000928863023081</v>
      </c>
      <c r="BK14" s="9">
        <f>BJ14+預測IC!BL17</f>
        <v>1.0953919958608112</v>
      </c>
      <c r="BL14" s="9">
        <f>BK14+預測IC!BM17</f>
        <v>1.0842654624645822</v>
      </c>
      <c r="BM14" s="9">
        <f>BL14+預測IC!BN17</f>
        <v>1.0247337147700502</v>
      </c>
      <c r="BN14" s="9">
        <f>BM14+預測IC!BO17</f>
        <v>0.99579562397571675</v>
      </c>
      <c r="BO14" s="9">
        <f>BN14+預測IC!BP17</f>
        <v>0.85751999169308379</v>
      </c>
      <c r="BP14" s="9">
        <f>BO14+預測IC!BQ17</f>
        <v>0.88573416042605768</v>
      </c>
      <c r="BQ14" s="9">
        <f>BP14+預測IC!BR17</f>
        <v>0.75393383266380609</v>
      </c>
      <c r="BR14" s="9">
        <f>BQ14+預測IC!BS17</f>
        <v>0.75449214973510026</v>
      </c>
      <c r="BS14" s="9">
        <f>BR14+預測IC!BT17</f>
        <v>0.84989193675406871</v>
      </c>
      <c r="BT14" s="9">
        <f>BS14+預測IC!BU17</f>
        <v>0.80942576948844169</v>
      </c>
      <c r="BU14" s="9">
        <f>BT14+預測IC!BV17</f>
        <v>0.97401961675283566</v>
      </c>
      <c r="BV14" s="9">
        <f>BU14+預測IC!BW17</f>
        <v>0.95985246796065382</v>
      </c>
      <c r="BW14" s="9">
        <f>BV14+預測IC!BX17</f>
        <v>0.9542262792386641</v>
      </c>
      <c r="BX14" s="9">
        <f>BW14+預測IC!BY17</f>
        <v>0.95671852257634749</v>
      </c>
      <c r="BY14" s="9">
        <f>BX14+預測IC!BZ17</f>
        <v>0.80757216191320402</v>
      </c>
      <c r="BZ14" s="9">
        <f>BY14+預測IC!CA17</f>
        <v>0.67763872440906092</v>
      </c>
      <c r="CA14" s="9">
        <f>BZ14+預測IC!CB17</f>
        <v>0.8395216362135669</v>
      </c>
      <c r="CB14" s="9">
        <f>CA14+預測IC!CC17</f>
        <v>0.77830445966359996</v>
      </c>
      <c r="CC14" s="9">
        <f>CB14+預測IC!CD17</f>
        <v>0.73118999153492625</v>
      </c>
      <c r="CD14" s="9">
        <f>CC14+預測IC!CE17</f>
        <v>0.83372542990557952</v>
      </c>
      <c r="CE14" s="9">
        <f>CD14+預測IC!CF17</f>
        <v>0.87893610056575588</v>
      </c>
      <c r="CF14" s="9">
        <f>CE14+預測IC!CG17</f>
        <v>0.75368906794417456</v>
      </c>
      <c r="CG14" s="9">
        <f>CF14+預測IC!CH17</f>
        <v>0.76552392273655046</v>
      </c>
      <c r="CH14" s="9">
        <f>CG14+預測IC!CI17</f>
        <v>0.73442314195224079</v>
      </c>
      <c r="CI14" s="9">
        <f>CH14+預測IC!CJ17</f>
        <v>0.67745558301523812</v>
      </c>
      <c r="CJ14" s="9">
        <f>CI14+預測IC!CK17</f>
        <v>0.76317991381614991</v>
      </c>
      <c r="CK14" s="9">
        <f>CJ14+預測IC!CL17</f>
        <v>0.90055043493821485</v>
      </c>
      <c r="CL14" s="9">
        <f>CK14+預測IC!CM17</f>
        <v>0.85392389914561617</v>
      </c>
      <c r="CM14" s="9">
        <f>CL14+預測IC!CN17</f>
        <v>1.1308960981660401</v>
      </c>
      <c r="CN14" s="9">
        <f>CM14+預測IC!CO17</f>
        <v>0.9314398743477742</v>
      </c>
      <c r="CO14" s="9">
        <f>CN14+預測IC!CP17</f>
        <v>1.0239918459673318</v>
      </c>
      <c r="CP14" s="9">
        <f>CO14+預測IC!CQ17</f>
        <v>0.95690283022336931</v>
      </c>
      <c r="CQ14" s="9">
        <f>CP14+預測IC!CR17</f>
        <v>0.77541389798763416</v>
      </c>
      <c r="CR14" s="9">
        <f>CQ14+預測IC!CS17</f>
        <v>0.84084981522282387</v>
      </c>
      <c r="CS14" s="9">
        <f>CR14+預測IC!CT17</f>
        <v>0.67211374894984166</v>
      </c>
      <c r="CT14" s="9">
        <f>CS14+預測IC!CU17</f>
        <v>0.54806381753597355</v>
      </c>
      <c r="CU14" s="9">
        <f>CT14+預測IC!CV17</f>
        <v>0.63270566062711286</v>
      </c>
      <c r="CV14" s="9">
        <f>CU14+預測IC!CW17</f>
        <v>0.65877775153023954</v>
      </c>
      <c r="CW14" s="9">
        <f>CV14+預測IC!CX17</f>
        <v>0.50638997263867158</v>
      </c>
      <c r="CX14" s="9">
        <f>CW14+預測IC!CY17</f>
        <v>0.59933787697402952</v>
      </c>
      <c r="CY14" s="9">
        <f>CX14+預測IC!CZ17</f>
        <v>0.57557454183354739</v>
      </c>
      <c r="CZ14" s="9">
        <f>CY14+預測IC!DA17</f>
        <v>0.63345668914215381</v>
      </c>
      <c r="DA14" s="9">
        <f>CZ14+預測IC!DB17</f>
        <v>0.84312009122136944</v>
      </c>
      <c r="DB14" s="9">
        <f>DA14+預測IC!DC17</f>
        <v>0.77542765927624346</v>
      </c>
      <c r="DC14" s="9">
        <f>DB14+預測IC!DD17</f>
        <v>0.76173628798221116</v>
      </c>
      <c r="DD14" s="9">
        <f>DC14+預測IC!DE17</f>
        <v>0.76157609041185514</v>
      </c>
      <c r="DE14" s="9">
        <f>DD14+預測IC!DF17</f>
        <v>0.80627640303165105</v>
      </c>
      <c r="DF14" s="9">
        <f>DE14+預測IC!DG17</f>
        <v>0.76881907331394839</v>
      </c>
      <c r="DG14" s="9">
        <f>DF14+預測IC!DH17</f>
        <v>0.73591659718851488</v>
      </c>
      <c r="DH14" s="9">
        <f>DG14+預測IC!DI17</f>
        <v>0.62530685887588944</v>
      </c>
      <c r="DI14" s="9">
        <f>DH14+預測IC!DJ17</f>
        <v>0.68533063556694673</v>
      </c>
      <c r="DJ14" s="9">
        <f>DI14+預測IC!DK17</f>
        <v>0.8418443716506645</v>
      </c>
      <c r="DK14" s="9">
        <f>DJ14+預測IC!DL17</f>
        <v>0.77930720321195524</v>
      </c>
      <c r="DL14" s="9">
        <f>DK14+預測IC!DM17</f>
        <v>0.78375959494253811</v>
      </c>
      <c r="DM14" s="9">
        <f>DL14+預測IC!DN17</f>
        <v>0.80088788320754745</v>
      </c>
      <c r="DN14" s="9">
        <f>DM14+預測IC!DO17</f>
        <v>0.78610887947983155</v>
      </c>
      <c r="DO14" s="9">
        <f>DN14+預測IC!DP17</f>
        <v>0.74103644412959768</v>
      </c>
      <c r="DP14" s="9">
        <f>DO14+預測IC!DQ17</f>
        <v>0.78403910885360806</v>
      </c>
      <c r="DQ14" s="9">
        <f>DP14+預測IC!DR17</f>
        <v>0.81451174934868942</v>
      </c>
      <c r="DR14" s="9">
        <f>DQ14+預測IC!DS17</f>
        <v>0.82408329180745399</v>
      </c>
      <c r="DS14" s="9">
        <f>DR14+預測IC!DT17</f>
        <v>0.87680208179652364</v>
      </c>
      <c r="DT14" s="9">
        <f>DS14+預測IC!DU17</f>
        <v>1.0654427266989115</v>
      </c>
      <c r="DU14" s="9">
        <f>DT14+預測IC!DV17</f>
        <v>0.96854057619034062</v>
      </c>
      <c r="DV14" s="9">
        <f>DU14+預測IC!DW17</f>
        <v>0.97816962627423532</v>
      </c>
      <c r="DW14" s="9">
        <f>DV14+預測IC!DX17</f>
        <v>1.0284549139285015</v>
      </c>
      <c r="DX14" s="9">
        <f>DW14+預測IC!DY17</f>
        <v>1.0388476725659317</v>
      </c>
      <c r="DY14" s="9">
        <f>DX14+預測IC!DZ17</f>
        <v>1.010973165301793</v>
      </c>
      <c r="DZ14" s="9">
        <f>DY14+預測IC!EA17</f>
        <v>0.96752194502146771</v>
      </c>
      <c r="EA14" s="9">
        <f>DZ14+預測IC!EB17</f>
        <v>1.0428163350903219</v>
      </c>
      <c r="EB14" s="9">
        <f>EA14+預測IC!EC17</f>
        <v>1.1189734118869417</v>
      </c>
      <c r="EC14" s="9">
        <f>EB14+預測IC!ED17</f>
        <v>1.2296334463751619</v>
      </c>
      <c r="ED14" s="9">
        <f>EC14+預測IC!EE17</f>
        <v>1.1802892664350024</v>
      </c>
      <c r="EE14" s="9">
        <f>ED14+預測IC!EF17</f>
        <v>1.020605827312036</v>
      </c>
      <c r="EF14" s="3"/>
    </row>
    <row r="15" spans="1:136" ht="16">
      <c r="A15" s="6" t="s">
        <v>152</v>
      </c>
      <c r="B15" s="9">
        <v>-3.9435389831589437E-2</v>
      </c>
      <c r="C15" s="9">
        <f>B15+預測IC!D18</f>
        <v>0.19490258712839964</v>
      </c>
      <c r="D15" s="9">
        <f>C15+預測IC!E18</f>
        <v>0.10819841569984633</v>
      </c>
      <c r="E15" s="9">
        <f>D15+預測IC!F18</f>
        <v>0.13284054902744907</v>
      </c>
      <c r="F15" s="9">
        <f>E15+預測IC!G18</f>
        <v>0.13102267193760472</v>
      </c>
      <c r="G15" s="9">
        <f>F15+預測IC!H18</f>
        <v>0.13037332248078168</v>
      </c>
      <c r="H15" s="9">
        <f>G15+預測IC!I18</f>
        <v>0.23959128581702668</v>
      </c>
      <c r="I15" s="9">
        <f>H15+預測IC!J18</f>
        <v>0.31269592495941112</v>
      </c>
      <c r="J15" s="9">
        <f>I15+預測IC!K18</f>
        <v>0.3991168165418017</v>
      </c>
      <c r="K15" s="9">
        <f>J15+預測IC!L18</f>
        <v>0.48427842065601312</v>
      </c>
      <c r="L15" s="9">
        <f>K15+預測IC!M18</f>
        <v>0.47029098479409603</v>
      </c>
      <c r="M15" s="9">
        <f>L15+預測IC!N18</f>
        <v>0.30564314736599241</v>
      </c>
      <c r="N15" s="9">
        <f>M15+預測IC!O18</f>
        <v>0.2770560704870132</v>
      </c>
      <c r="O15" s="9">
        <f>N15+預測IC!P18</f>
        <v>0.27929491788441663</v>
      </c>
      <c r="P15" s="9">
        <f>O15+預測IC!Q18</f>
        <v>0.33209762148906546</v>
      </c>
      <c r="Q15" s="9">
        <f>P15+預測IC!R18</f>
        <v>0.29760928442663148</v>
      </c>
      <c r="R15" s="9">
        <f>Q15+預測IC!S18</f>
        <v>0.39425253086721557</v>
      </c>
      <c r="S15" s="9">
        <f>R15+預測IC!T18</f>
        <v>0.36331761499132553</v>
      </c>
      <c r="T15" s="9">
        <f>S15+預測IC!U18</f>
        <v>0.4162333000294049</v>
      </c>
      <c r="U15" s="9">
        <f>T15+預測IC!V18</f>
        <v>0.37982615096203365</v>
      </c>
      <c r="V15" s="9">
        <f>U15+預測IC!W18</f>
        <v>0.40661504098467111</v>
      </c>
      <c r="W15" s="9">
        <f>V15+預測IC!X18</f>
        <v>0.13548408282733598</v>
      </c>
      <c r="X15" s="9">
        <f>W15+預測IC!Y18</f>
        <v>8.7581973930617035E-2</v>
      </c>
      <c r="Y15" s="9">
        <f>X15+預測IC!Z18</f>
        <v>0.13059203211437798</v>
      </c>
      <c r="Z15" s="9">
        <f>Y15+預測IC!AA18</f>
        <v>-3.5566859182939115E-2</v>
      </c>
      <c r="AA15" s="9">
        <f>Z15+預測IC!AB18</f>
        <v>-6.7862273617006877E-2</v>
      </c>
      <c r="AB15" s="9">
        <f>AA15+預測IC!AC18</f>
        <v>-8.0627721652423573E-2</v>
      </c>
      <c r="AC15" s="9">
        <f>AB15+預測IC!AD18</f>
        <v>-2.7491666104566791E-2</v>
      </c>
      <c r="AD15" s="9">
        <f>AC15+預測IC!AE18</f>
        <v>2.0735457936649757E-2</v>
      </c>
      <c r="AE15" s="9">
        <f>AD15+預測IC!AF18</f>
        <v>0.16865106820107628</v>
      </c>
      <c r="AF15" s="9">
        <f>AE15+預測IC!AG18</f>
        <v>0.12487490846530387</v>
      </c>
      <c r="AG15" s="9">
        <f>AF15+預測IC!AH18</f>
        <v>0.27327653363245635</v>
      </c>
      <c r="AH15" s="9">
        <f>AG15+預測IC!AI18</f>
        <v>0.37347923987127718</v>
      </c>
      <c r="AI15" s="9">
        <f>AH15+預測IC!AJ18</f>
        <v>0.40925548359513364</v>
      </c>
      <c r="AJ15" s="9">
        <f>AI15+預測IC!AK18</f>
        <v>0.4629554500994616</v>
      </c>
      <c r="AK15" s="9">
        <f>AJ15+預測IC!AL18</f>
        <v>0.46839515273011456</v>
      </c>
      <c r="AL15" s="9">
        <f>AK15+預測IC!AM18</f>
        <v>0.49737401379465823</v>
      </c>
      <c r="AM15" s="9">
        <f>AL15+預測IC!AN18</f>
        <v>0.47534149585214414</v>
      </c>
      <c r="AN15" s="9">
        <f>AM15+預測IC!AO18</f>
        <v>0.5164316492138854</v>
      </c>
      <c r="AO15" s="9">
        <f>AN15+預測IC!AP18</f>
        <v>0.42170696664669072</v>
      </c>
      <c r="AP15" s="9">
        <f>AO15+預測IC!AQ18</f>
        <v>0.3672092137028074</v>
      </c>
      <c r="AQ15" s="9">
        <f>AP15+預測IC!AR18</f>
        <v>0.33283723464253651</v>
      </c>
      <c r="AR15" s="9">
        <f>AQ15+預測IC!AS18</f>
        <v>0.38547995288077025</v>
      </c>
      <c r="AS15" s="9">
        <f>AR15+預測IC!AT18</f>
        <v>0.26291590953048544</v>
      </c>
      <c r="AT15" s="9">
        <f>AS15+預測IC!AU18</f>
        <v>0.34500618137348738</v>
      </c>
      <c r="AU15" s="9">
        <f>AT15+預測IC!AV18</f>
        <v>0.24908463922757756</v>
      </c>
      <c r="AV15" s="9">
        <f>AU15+預測IC!AW18</f>
        <v>0.23513702270194081</v>
      </c>
      <c r="AW15" s="9">
        <f>AV15+預測IC!AX18</f>
        <v>0.18457752651482032</v>
      </c>
      <c r="AX15" s="9">
        <f>AW15+預測IC!AY18</f>
        <v>0.41051001507312623</v>
      </c>
      <c r="AY15" s="9">
        <f>AX15+預測IC!AZ18</f>
        <v>0.40652760304424462</v>
      </c>
      <c r="AZ15" s="9">
        <f>AY15+預測IC!BA18</f>
        <v>0.55912872039741013</v>
      </c>
      <c r="BA15" s="9">
        <f>AZ15+預測IC!BB18</f>
        <v>0.6321401489246411</v>
      </c>
      <c r="BB15" s="9">
        <f>BA15+預測IC!BC18</f>
        <v>0.59314075700240942</v>
      </c>
      <c r="BC15" s="9">
        <f>BB15+預測IC!BD18</f>
        <v>0.62878053091534769</v>
      </c>
      <c r="BD15" s="9">
        <f>BC15+預測IC!BE18</f>
        <v>0.70437049183720191</v>
      </c>
      <c r="BE15" s="9">
        <f>BD15+預測IC!BF18</f>
        <v>0.86306284273440448</v>
      </c>
      <c r="BF15" s="9">
        <f>BE15+預測IC!BG18</f>
        <v>0.98384173366062322</v>
      </c>
      <c r="BG15" s="9">
        <f>BF15+預測IC!BH18</f>
        <v>1.0276468072165632</v>
      </c>
      <c r="BH15" s="9">
        <f>BG15+預測IC!BI18</f>
        <v>1.1657969008831117</v>
      </c>
      <c r="BI15" s="9">
        <f>BH15+預測IC!BJ18</f>
        <v>1.0692300973575737</v>
      </c>
      <c r="BJ15" s="9">
        <f>BI15+預測IC!BK18</f>
        <v>1.0899213597451334</v>
      </c>
      <c r="BK15" s="9">
        <f>BJ15+預測IC!BL18</f>
        <v>1.0891910879758466</v>
      </c>
      <c r="BL15" s="9">
        <f>BK15+預測IC!BM18</f>
        <v>1.0906293486546783</v>
      </c>
      <c r="BM15" s="9">
        <f>BL15+預測IC!BN18</f>
        <v>1.0328007893172362</v>
      </c>
      <c r="BN15" s="9">
        <f>BM15+預測IC!BO18</f>
        <v>1.0033135223853342</v>
      </c>
      <c r="BO15" s="9">
        <f>BN15+預測IC!BP18</f>
        <v>0.87735056798894151</v>
      </c>
      <c r="BP15" s="9">
        <f>BO15+預測IC!BQ18</f>
        <v>0.9058921080558846</v>
      </c>
      <c r="BQ15" s="9">
        <f>BP15+預測IC!BR18</f>
        <v>0.75837007995520134</v>
      </c>
      <c r="BR15" s="9">
        <f>BQ15+預測IC!BS18</f>
        <v>0.75980801262382469</v>
      </c>
      <c r="BS15" s="9">
        <f>BR15+預測IC!BT18</f>
        <v>0.86228841033551151</v>
      </c>
      <c r="BT15" s="9">
        <f>BS15+預測IC!BU18</f>
        <v>0.81985622349205989</v>
      </c>
      <c r="BU15" s="9">
        <f>BT15+預測IC!BV18</f>
        <v>0.99414098324802613</v>
      </c>
      <c r="BV15" s="9">
        <f>BU15+預測IC!BW18</f>
        <v>0.95886489961748544</v>
      </c>
      <c r="BW15" s="9">
        <f>BV15+預測IC!BX18</f>
        <v>0.94279161736188177</v>
      </c>
      <c r="BX15" s="9">
        <f>BW15+預測IC!BY18</f>
        <v>0.96248499238151353</v>
      </c>
      <c r="BY15" s="9">
        <f>BX15+預測IC!BZ18</f>
        <v>0.82245927152053655</v>
      </c>
      <c r="BZ15" s="9">
        <f>BY15+預測IC!CA18</f>
        <v>0.68431152792122885</v>
      </c>
      <c r="CA15" s="9">
        <f>BZ15+預測IC!CB18</f>
        <v>0.84520839895456445</v>
      </c>
      <c r="CB15" s="9">
        <f>CA15+預測IC!CC18</f>
        <v>0.78977616957612229</v>
      </c>
      <c r="CC15" s="9">
        <f>CB15+預測IC!CD18</f>
        <v>0.72878764370239235</v>
      </c>
      <c r="CD15" s="9">
        <f>CC15+預測IC!CE18</f>
        <v>0.850715556663725</v>
      </c>
      <c r="CE15" s="9">
        <f>CD15+預測IC!CF18</f>
        <v>0.83872191621602621</v>
      </c>
      <c r="CF15" s="9">
        <f>CE15+預測IC!CG18</f>
        <v>0.74760565892764275</v>
      </c>
      <c r="CG15" s="9">
        <f>CF15+預測IC!CH18</f>
        <v>0.76433044818120521</v>
      </c>
      <c r="CH15" s="9">
        <f>CG15+預測IC!CI18</f>
        <v>0.72673728012286498</v>
      </c>
      <c r="CI15" s="9">
        <f>CH15+預測IC!CJ18</f>
        <v>0.67194881764412273</v>
      </c>
      <c r="CJ15" s="9">
        <f>CI15+預測IC!CK18</f>
        <v>0.78369392752170375</v>
      </c>
      <c r="CK15" s="9">
        <f>CJ15+預測IC!CL18</f>
        <v>0.87276034454364049</v>
      </c>
      <c r="CL15" s="9">
        <f>CK15+預測IC!CM18</f>
        <v>0.8657606177979883</v>
      </c>
      <c r="CM15" s="9">
        <f>CL15+預測IC!CN18</f>
        <v>1.1864400959756498</v>
      </c>
      <c r="CN15" s="9">
        <f>CM15+預測IC!CO18</f>
        <v>0.98233826923192968</v>
      </c>
      <c r="CO15" s="9">
        <f>CN15+預測IC!CP18</f>
        <v>1.0645341127240593</v>
      </c>
      <c r="CP15" s="9">
        <f>CO15+預測IC!CQ18</f>
        <v>0.97289472278855438</v>
      </c>
      <c r="CQ15" s="9">
        <f>CP15+預測IC!CR18</f>
        <v>0.78360818932115595</v>
      </c>
      <c r="CR15" s="9">
        <f>CQ15+預測IC!CS18</f>
        <v>0.85880680438447776</v>
      </c>
      <c r="CS15" s="9">
        <f>CR15+預測IC!CT18</f>
        <v>0.70182780770806463</v>
      </c>
      <c r="CT15" s="9">
        <f>CS15+預測IC!CU18</f>
        <v>0.56635610684385851</v>
      </c>
      <c r="CU15" s="9">
        <f>CT15+預測IC!CV18</f>
        <v>0.65645316167630097</v>
      </c>
      <c r="CV15" s="9">
        <f>CU15+預測IC!CW18</f>
        <v>0.70379482085058076</v>
      </c>
      <c r="CW15" s="9">
        <f>CV15+預測IC!CX18</f>
        <v>0.54152884554796454</v>
      </c>
      <c r="CX15" s="9">
        <f>CW15+預測IC!CY18</f>
        <v>0.62280948342217879</v>
      </c>
      <c r="CY15" s="9">
        <f>CX15+預測IC!CZ18</f>
        <v>0.59008466118003455</v>
      </c>
      <c r="CZ15" s="9">
        <f>CY15+預測IC!DA18</f>
        <v>0.66819095965449715</v>
      </c>
      <c r="DA15" s="9">
        <f>CZ15+預測IC!DB18</f>
        <v>0.89985630555614105</v>
      </c>
      <c r="DB15" s="9">
        <f>DA15+預測IC!DC18</f>
        <v>0.81659225393315638</v>
      </c>
      <c r="DC15" s="9">
        <f>DB15+預測IC!DD18</f>
        <v>0.82429763438868908</v>
      </c>
      <c r="DD15" s="9">
        <f>DC15+預測IC!DE18</f>
        <v>0.825238165809143</v>
      </c>
      <c r="DE15" s="9">
        <f>DD15+預測IC!DF18</f>
        <v>0.8713949531162174</v>
      </c>
      <c r="DF15" s="9">
        <f>DE15+預測IC!DG18</f>
        <v>0.83516742156214552</v>
      </c>
      <c r="DG15" s="9">
        <f>DF15+預測IC!DH18</f>
        <v>0.79924778271061936</v>
      </c>
      <c r="DH15" s="9">
        <f>DG15+預測IC!DI18</f>
        <v>0.67130549569556774</v>
      </c>
      <c r="DI15" s="9">
        <f>DH15+預測IC!DJ18</f>
        <v>0.74226054813245324</v>
      </c>
      <c r="DJ15" s="9">
        <f>DI15+預測IC!DK18</f>
        <v>0.90115876720340915</v>
      </c>
      <c r="DK15" s="9">
        <f>DJ15+預測IC!DL18</f>
        <v>0.82514468071163349</v>
      </c>
      <c r="DL15" s="9">
        <f>DK15+預測IC!DM18</f>
        <v>0.82327277131647292</v>
      </c>
      <c r="DM15" s="9">
        <f>DL15+預測IC!DN18</f>
        <v>0.83477631175963385</v>
      </c>
      <c r="DN15" s="9">
        <f>DM15+預測IC!DO18</f>
        <v>0.82850021618668435</v>
      </c>
      <c r="DO15" s="9">
        <f>DN15+預測IC!DP18</f>
        <v>0.78082440870496261</v>
      </c>
      <c r="DP15" s="9">
        <f>DO15+預測IC!DQ18</f>
        <v>0.82504455082082451</v>
      </c>
      <c r="DQ15" s="9">
        <f>DP15+預測IC!DR18</f>
        <v>0.89334993238287974</v>
      </c>
      <c r="DR15" s="9">
        <f>DQ15+預測IC!DS18</f>
        <v>0.88292690800636475</v>
      </c>
      <c r="DS15" s="9">
        <f>DR15+預測IC!DT18</f>
        <v>0.94203988308455067</v>
      </c>
      <c r="DT15" s="9">
        <f>DS15+預測IC!DU18</f>
        <v>1.1321481255304691</v>
      </c>
      <c r="DU15" s="9">
        <f>DT15+預測IC!DV18</f>
        <v>1.0736673790868552</v>
      </c>
      <c r="DV15" s="9">
        <f>DU15+預測IC!DW18</f>
        <v>1.1141908387363488</v>
      </c>
      <c r="DW15" s="9">
        <f>DV15+預測IC!DX18</f>
        <v>1.1656980555631928</v>
      </c>
      <c r="DX15" s="9">
        <f>DW15+預測IC!DY18</f>
        <v>1.1768496604154359</v>
      </c>
      <c r="DY15" s="9">
        <f>DX15+預測IC!DZ18</f>
        <v>1.1276878409705007</v>
      </c>
      <c r="DZ15" s="9">
        <f>DY15+預測IC!EA18</f>
        <v>1.1272673257302568</v>
      </c>
      <c r="EA15" s="9">
        <f>DZ15+預測IC!EB18</f>
        <v>1.2161762796895492</v>
      </c>
      <c r="EB15" s="9">
        <f>EA15+預測IC!EC18</f>
        <v>1.2846777602573882</v>
      </c>
      <c r="EC15" s="9">
        <f>EB15+預測IC!ED18</f>
        <v>1.3993769878983051</v>
      </c>
      <c r="ED15" s="9">
        <f>EC15+預測IC!EE18</f>
        <v>1.3401359912431192</v>
      </c>
      <c r="EE15" s="9">
        <f>ED15+預測IC!EF18</f>
        <v>1.1821442419731085</v>
      </c>
      <c r="EF15" s="3"/>
    </row>
    <row r="16" spans="1:136" ht="16">
      <c r="A16" s="6" t="s">
        <v>153</v>
      </c>
      <c r="B16" s="9">
        <v>-3.8913468982799758E-2</v>
      </c>
      <c r="C16" s="9">
        <f>B16+預測IC!D19</f>
        <v>0.12963389287697452</v>
      </c>
      <c r="D16" s="9">
        <f>C16+預測IC!E19</f>
        <v>3.29627836843637E-2</v>
      </c>
      <c r="E16" s="9">
        <f>D16+預測IC!F19</f>
        <v>6.0494167657142384E-2</v>
      </c>
      <c r="F16" s="9">
        <f>E16+預測IC!G19</f>
        <v>3.667974540975219E-2</v>
      </c>
      <c r="G16" s="9">
        <f>F16+預測IC!H19</f>
        <v>4.4622602257753871E-2</v>
      </c>
      <c r="H16" s="9">
        <f>G16+預測IC!I19</f>
        <v>0.15770012663120037</v>
      </c>
      <c r="I16" s="9">
        <f>H16+預測IC!J19</f>
        <v>0.20598707459196608</v>
      </c>
      <c r="J16" s="9">
        <f>I16+預測IC!K19</f>
        <v>0.30754715431427598</v>
      </c>
      <c r="K16" s="9">
        <f>J16+預測IC!L19</f>
        <v>0.3497819454596181</v>
      </c>
      <c r="L16" s="9">
        <f>K16+預測IC!M19</f>
        <v>0.36444108754990651</v>
      </c>
      <c r="M16" s="9">
        <f>L16+預測IC!N19</f>
        <v>0.13869405218518521</v>
      </c>
      <c r="N16" s="9">
        <f>M16+預測IC!O19</f>
        <v>0.12738737612105297</v>
      </c>
      <c r="O16" s="9">
        <f>N16+預測IC!P19</f>
        <v>0.12808197587745085</v>
      </c>
      <c r="P16" s="9">
        <f>O16+預測IC!Q19</f>
        <v>0.18641511075822206</v>
      </c>
      <c r="Q16" s="9">
        <f>P16+預測IC!R19</f>
        <v>0.15621132129904736</v>
      </c>
      <c r="R16" s="9">
        <f>Q16+預測IC!S19</f>
        <v>0.28105790578134476</v>
      </c>
      <c r="S16" s="9">
        <f>R16+預測IC!T19</f>
        <v>0.24353302539892602</v>
      </c>
      <c r="T16" s="9">
        <f>S16+預測IC!U19</f>
        <v>0.27488858978212544</v>
      </c>
      <c r="U16" s="9">
        <f>T16+預測IC!V19</f>
        <v>0.16192946997097543</v>
      </c>
      <c r="V16" s="9">
        <f>U16+預測IC!W19</f>
        <v>0.22017470862136587</v>
      </c>
      <c r="W16" s="9">
        <f>V16+預測IC!X19</f>
        <v>-5.1161239674305609E-2</v>
      </c>
      <c r="X16" s="9">
        <f>W16+預測IC!Y19</f>
        <v>-0.14663710429936111</v>
      </c>
      <c r="Y16" s="9">
        <f>X16+預測IC!Z19</f>
        <v>-9.831143072770486E-2</v>
      </c>
      <c r="Z16" s="9">
        <f>Y16+預測IC!AA19</f>
        <v>-0.28959486764311415</v>
      </c>
      <c r="AA16" s="9">
        <f>Z16+預測IC!AB19</f>
        <v>-0.33413317091255379</v>
      </c>
      <c r="AB16" s="9">
        <f>AA16+預測IC!AC19</f>
        <v>-0.35421942565057529</v>
      </c>
      <c r="AC16" s="9">
        <f>AB16+預測IC!AD19</f>
        <v>-0.30444205018982118</v>
      </c>
      <c r="AD16" s="9">
        <f>AC16+預測IC!AE19</f>
        <v>-0.22656303010813816</v>
      </c>
      <c r="AE16" s="9">
        <f>AD16+預測IC!AF19</f>
        <v>-0.10627670545229166</v>
      </c>
      <c r="AF16" s="9">
        <f>AE16+預測IC!AG19</f>
        <v>-0.16891684702343038</v>
      </c>
      <c r="AG16" s="9">
        <f>AF16+預測IC!AH19</f>
        <v>-2.1891957767625786E-2</v>
      </c>
      <c r="AH16" s="9">
        <f>AG16+預測IC!AI19</f>
        <v>7.0064632812956384E-2</v>
      </c>
      <c r="AI16" s="9">
        <f>AH16+預測IC!AJ19</f>
        <v>9.3601529216788368E-2</v>
      </c>
      <c r="AJ16" s="9">
        <f>AI16+預測IC!AK19</f>
        <v>0.13226585938661511</v>
      </c>
      <c r="AK16" s="9">
        <f>AJ16+預測IC!AL19</f>
        <v>0.15928404155530373</v>
      </c>
      <c r="AL16" s="9">
        <f>AK16+預測IC!AM19</f>
        <v>0.18880518444621094</v>
      </c>
      <c r="AM16" s="9">
        <f>AL16+預測IC!AN19</f>
        <v>0.19526131981949929</v>
      </c>
      <c r="AN16" s="9">
        <f>AM16+預測IC!AO19</f>
        <v>0.27195584744212226</v>
      </c>
      <c r="AO16" s="9">
        <f>AN16+預測IC!AP19</f>
        <v>0.17853826736156081</v>
      </c>
      <c r="AP16" s="9">
        <f>AO16+預測IC!AQ19</f>
        <v>0.11726101524333885</v>
      </c>
      <c r="AQ16" s="9">
        <f>AP16+預測IC!AR19</f>
        <v>7.1458389686036017E-2</v>
      </c>
      <c r="AR16" s="9">
        <f>AQ16+預測IC!AS19</f>
        <v>0.13026134663027036</v>
      </c>
      <c r="AS16" s="9">
        <f>AR16+預測IC!AT19</f>
        <v>3.1895535230186678E-3</v>
      </c>
      <c r="AT16" s="9">
        <f>AS16+預測IC!AU19</f>
        <v>0.11888916305712356</v>
      </c>
      <c r="AU16" s="9">
        <f>AT16+預測IC!AV19</f>
        <v>1.7730585777006758E-2</v>
      </c>
      <c r="AV16" s="9">
        <f>AU16+預測IC!AW19</f>
        <v>9.0023352620412188E-3</v>
      </c>
      <c r="AW16" s="9">
        <f>AV16+預測IC!AX19</f>
        <v>-2.5693443211550569E-2</v>
      </c>
      <c r="AX16" s="9">
        <f>AW16+預測IC!AY19</f>
        <v>0.21238599987686463</v>
      </c>
      <c r="AY16" s="9">
        <f>AX16+預測IC!AZ19</f>
        <v>0.2051640355117042</v>
      </c>
      <c r="AZ16" s="9">
        <f>AY16+預測IC!BA19</f>
        <v>0.3567071325979731</v>
      </c>
      <c r="BA16" s="9">
        <f>AZ16+預測IC!BB19</f>
        <v>0.44191001130993651</v>
      </c>
      <c r="BB16" s="9">
        <f>BA16+預測IC!BC19</f>
        <v>0.41461718692944655</v>
      </c>
      <c r="BC16" s="9">
        <f>BB16+預測IC!BD19</f>
        <v>0.45561420593604351</v>
      </c>
      <c r="BD16" s="9">
        <f>BC16+預測IC!BE19</f>
        <v>0.52414342825075877</v>
      </c>
      <c r="BE16" s="9">
        <f>BD16+預測IC!BF19</f>
        <v>0.57920418513757288</v>
      </c>
      <c r="BF16" s="9">
        <f>BE16+預測IC!BG19</f>
        <v>0.69182523176952626</v>
      </c>
      <c r="BG16" s="9">
        <f>BF16+預測IC!BH19</f>
        <v>0.7215837593309955</v>
      </c>
      <c r="BH16" s="9">
        <f>BG16+預測IC!BI19</f>
        <v>0.85254588747003179</v>
      </c>
      <c r="BI16" s="9">
        <f>BH16+預測IC!BJ19</f>
        <v>0.75467764310160779</v>
      </c>
      <c r="BJ16" s="9">
        <f>BI16+預測IC!BK19</f>
        <v>0.7712150862070839</v>
      </c>
      <c r="BK16" s="9">
        <f>BJ16+預測IC!BL19</f>
        <v>0.75829734973876095</v>
      </c>
      <c r="BL16" s="9">
        <f>BK16+預測IC!BM19</f>
        <v>0.76680595906564597</v>
      </c>
      <c r="BM16" s="9">
        <f>BL16+預測IC!BN19</f>
        <v>0.73325312785562269</v>
      </c>
      <c r="BN16" s="9">
        <f>BM16+預測IC!BO19</f>
        <v>0.70105584215435524</v>
      </c>
      <c r="BO16" s="9">
        <f>BN16+預測IC!BP19</f>
        <v>0.55132859195831618</v>
      </c>
      <c r="BP16" s="9">
        <f>BO16+預測IC!BQ19</f>
        <v>0.60481905791789736</v>
      </c>
      <c r="BQ16" s="9">
        <f>BP16+預測IC!BR19</f>
        <v>0.42653096082330988</v>
      </c>
      <c r="BR16" s="9">
        <f>BQ16+預測IC!BS19</f>
        <v>0.46028877815935604</v>
      </c>
      <c r="BS16" s="9">
        <f>BR16+預測IC!BT19</f>
        <v>0.55348865321610563</v>
      </c>
      <c r="BT16" s="9">
        <f>BS16+預測IC!BU19</f>
        <v>0.48618215096912809</v>
      </c>
      <c r="BU16" s="9">
        <f>BT16+預測IC!BV19</f>
        <v>0.67465098826999548</v>
      </c>
      <c r="BV16" s="9">
        <f>BU16+預測IC!BW19</f>
        <v>0.60629344289437193</v>
      </c>
      <c r="BW16" s="9">
        <f>BV16+預測IC!BX19</f>
        <v>0.60449085999318874</v>
      </c>
      <c r="BX16" s="9">
        <f>BW16+預測IC!BY19</f>
        <v>0.57439803215237706</v>
      </c>
      <c r="BY16" s="9">
        <f>BX16+預測IC!BZ19</f>
        <v>0.43619579432130057</v>
      </c>
      <c r="BZ16" s="9">
        <f>BY16+預測IC!CA19</f>
        <v>0.31393652241848596</v>
      </c>
      <c r="CA16" s="9">
        <f>BZ16+預測IC!CB19</f>
        <v>0.49698181794800023</v>
      </c>
      <c r="CB16" s="9">
        <f>CA16+預測IC!CC19</f>
        <v>0.45940733610934614</v>
      </c>
      <c r="CC16" s="9">
        <f>CB16+預測IC!CD19</f>
        <v>0.38302222082987203</v>
      </c>
      <c r="CD16" s="9">
        <f>CC16+預測IC!CE19</f>
        <v>0.54892583030366793</v>
      </c>
      <c r="CE16" s="9">
        <f>CD16+預測IC!CF19</f>
        <v>0.54948531226940256</v>
      </c>
      <c r="CF16" s="9">
        <f>CE16+預測IC!CG19</f>
        <v>0.46021788432314437</v>
      </c>
      <c r="CG16" s="9">
        <f>CF16+預測IC!CH19</f>
        <v>0.48088701991815863</v>
      </c>
      <c r="CH16" s="9">
        <f>CG16+預測IC!CI19</f>
        <v>0.42579059996268231</v>
      </c>
      <c r="CI16" s="9">
        <f>CH16+預測IC!CJ19</f>
        <v>0.3446262130626826</v>
      </c>
      <c r="CJ16" s="9">
        <f>CI16+預測IC!CK19</f>
        <v>0.46149221576406108</v>
      </c>
      <c r="CK16" s="9">
        <f>CJ16+預測IC!CL19</f>
        <v>0.55536210993435287</v>
      </c>
      <c r="CL16" s="9">
        <f>CK16+預測IC!CM19</f>
        <v>0.55703208282770633</v>
      </c>
      <c r="CM16" s="9">
        <f>CL16+預測IC!CN19</f>
        <v>0.88346948549530036</v>
      </c>
      <c r="CN16" s="9">
        <f>CM16+預測IC!CO19</f>
        <v>0.70077163974645962</v>
      </c>
      <c r="CO16" s="9">
        <f>CN16+預測IC!CP19</f>
        <v>0.7865039183278979</v>
      </c>
      <c r="CP16" s="9">
        <f>CO16+預測IC!CQ19</f>
        <v>0.69461615661400389</v>
      </c>
      <c r="CQ16" s="9">
        <f>CP16+預測IC!CR19</f>
        <v>0.4982135248517145</v>
      </c>
      <c r="CR16" s="9">
        <f>CQ16+預測IC!CS19</f>
        <v>0.55221967628736046</v>
      </c>
      <c r="CS16" s="9">
        <f>CR16+預測IC!CT19</f>
        <v>0.43771310471388775</v>
      </c>
      <c r="CT16" s="9">
        <f>CS16+預測IC!CU19</f>
        <v>0.28236121191412833</v>
      </c>
      <c r="CU16" s="9">
        <f>CT16+預測IC!CV19</f>
        <v>0.34881885982007876</v>
      </c>
      <c r="CV16" s="9">
        <f>CU16+預測IC!CW19</f>
        <v>0.41221207862456671</v>
      </c>
      <c r="CW16" s="9">
        <f>CV16+預測IC!CX19</f>
        <v>0.28720222322484934</v>
      </c>
      <c r="CX16" s="9">
        <f>CW16+預測IC!CY19</f>
        <v>0.36281113663465503</v>
      </c>
      <c r="CY16" s="9">
        <f>CX16+預測IC!CZ19</f>
        <v>0.33121845225431434</v>
      </c>
      <c r="CZ16" s="9">
        <f>CY16+預測IC!DA19</f>
        <v>0.37932825701634798</v>
      </c>
      <c r="DA16" s="9">
        <f>CZ16+預測IC!DB19</f>
        <v>0.60364522831143042</v>
      </c>
      <c r="DB16" s="9">
        <f>DA16+預測IC!DC19</f>
        <v>0.5047958357616209</v>
      </c>
      <c r="DC16" s="9">
        <f>DB16+預測IC!DD19</f>
        <v>0.49781161365177867</v>
      </c>
      <c r="DD16" s="9">
        <f>DC16+預測IC!DE19</f>
        <v>0.49858438943710814</v>
      </c>
      <c r="DE16" s="9">
        <f>DD16+預測IC!DF19</f>
        <v>0.53936231810603874</v>
      </c>
      <c r="DF16" s="9">
        <f>DE16+預測IC!DG19</f>
        <v>0.50042326216896127</v>
      </c>
      <c r="DG16" s="9">
        <f>DF16+預測IC!DH19</f>
        <v>0.47167758030088336</v>
      </c>
      <c r="DH16" s="9">
        <f>DG16+預測IC!DI19</f>
        <v>0.32188070056102613</v>
      </c>
      <c r="DI16" s="9">
        <f>DH16+預測IC!DJ19</f>
        <v>0.45080576034703562</v>
      </c>
      <c r="DJ16" s="9">
        <f>DI16+預測IC!DK19</f>
        <v>0.62245281195454005</v>
      </c>
      <c r="DK16" s="9">
        <f>DJ16+預測IC!DL19</f>
        <v>0.53468818682743169</v>
      </c>
      <c r="DL16" s="9">
        <f>DK16+預測IC!DM19</f>
        <v>0.53210642868687674</v>
      </c>
      <c r="DM16" s="9">
        <f>DL16+預測IC!DN19</f>
        <v>0.54296493115719913</v>
      </c>
      <c r="DN16" s="9">
        <f>DM16+預測IC!DO19</f>
        <v>0.54108672179248463</v>
      </c>
      <c r="DO16" s="9">
        <f>DN16+預測IC!DP19</f>
        <v>0.48444692817343094</v>
      </c>
      <c r="DP16" s="9">
        <f>DO16+預測IC!DQ19</f>
        <v>0.52117562063633815</v>
      </c>
      <c r="DQ16" s="9">
        <f>DP16+預測IC!DR19</f>
        <v>0.56660688432695483</v>
      </c>
      <c r="DR16" s="9">
        <f>DQ16+預測IC!DS19</f>
        <v>0.56010134809548262</v>
      </c>
      <c r="DS16" s="9">
        <f>DR16+預測IC!DT19</f>
        <v>0.61991328333045892</v>
      </c>
      <c r="DT16" s="9">
        <f>DS16+預測IC!DU19</f>
        <v>0.77946838280890274</v>
      </c>
      <c r="DU16" s="9">
        <f>DT16+預測IC!DV19</f>
        <v>0.72396805479124338</v>
      </c>
      <c r="DV16" s="9">
        <f>DU16+預測IC!DW19</f>
        <v>0.76959738956548485</v>
      </c>
      <c r="DW16" s="9">
        <f>DV16+預測IC!DX19</f>
        <v>0.80654773548094527</v>
      </c>
      <c r="DX16" s="9">
        <f>DW16+預測IC!DY19</f>
        <v>0.78652352519671154</v>
      </c>
      <c r="DY16" s="9">
        <f>DX16+預測IC!DZ19</f>
        <v>0.73888575991139838</v>
      </c>
      <c r="DZ16" s="9">
        <f>DY16+預測IC!EA19</f>
        <v>0.74351828412812304</v>
      </c>
      <c r="EA16" s="9">
        <f>DZ16+預測IC!EB19</f>
        <v>0.83037699790275188</v>
      </c>
      <c r="EB16" s="9">
        <f>EA16+預測IC!EC19</f>
        <v>0.95188901517077495</v>
      </c>
      <c r="EC16" s="9">
        <f>EB16+預測IC!ED19</f>
        <v>1.055179689107804</v>
      </c>
      <c r="ED16" s="9">
        <f>EC16+預測IC!EE19</f>
        <v>0.990900989138915</v>
      </c>
      <c r="EE16" s="9">
        <f>ED16+預測IC!EF19</f>
        <v>0.85108614131271154</v>
      </c>
      <c r="EF16" s="3"/>
    </row>
    <row r="17" spans="1:137" ht="16">
      <c r="A17" s="6" t="s">
        <v>154</v>
      </c>
      <c r="B17" s="9">
        <v>-5.9146797802220617E-2</v>
      </c>
      <c r="C17" s="9">
        <f>B17+預測IC!D20</f>
        <v>0.12487209160094559</v>
      </c>
      <c r="D17" s="9">
        <f>C17+預測IC!E20</f>
        <v>2.4396468597853396E-2</v>
      </c>
      <c r="E17" s="9">
        <f>D17+預測IC!F20</f>
        <v>4.5971741835479488E-2</v>
      </c>
      <c r="F17" s="9">
        <f>E17+預測IC!G20</f>
        <v>3.6918336730838101E-2</v>
      </c>
      <c r="G17" s="9">
        <f>F17+預測IC!H20</f>
        <v>4.5540564485282431E-2</v>
      </c>
      <c r="H17" s="9">
        <f>G17+預測IC!I20</f>
        <v>0.17416712032082293</v>
      </c>
      <c r="I17" s="9">
        <f>H17+預測IC!J20</f>
        <v>0.26534035200839096</v>
      </c>
      <c r="J17" s="9">
        <f>I17+預測IC!K20</f>
        <v>0.40098824078602324</v>
      </c>
      <c r="K17" s="9">
        <f>J17+預測IC!L20</f>
        <v>0.45174644789274226</v>
      </c>
      <c r="L17" s="9">
        <f>K17+預測IC!M20</f>
        <v>0.4807979122691996</v>
      </c>
      <c r="M17" s="9">
        <f>L17+預測IC!N20</f>
        <v>0.24176046553936451</v>
      </c>
      <c r="N17" s="9">
        <f>M17+預測IC!O20</f>
        <v>0.2734984066368627</v>
      </c>
      <c r="O17" s="9">
        <f>N17+預測IC!P20</f>
        <v>0.27191310811266084</v>
      </c>
      <c r="P17" s="9">
        <f>O17+預測IC!Q20</f>
        <v>0.33100646276180917</v>
      </c>
      <c r="Q17" s="9">
        <f>P17+預測IC!R20</f>
        <v>0.29595125765615821</v>
      </c>
      <c r="R17" s="9">
        <f>Q17+預測IC!S20</f>
        <v>0.42334949014155154</v>
      </c>
      <c r="S17" s="9">
        <f>R17+預測IC!T20</f>
        <v>0.37582189151302231</v>
      </c>
      <c r="T17" s="9">
        <f>S17+預測IC!U20</f>
        <v>0.40745619478084666</v>
      </c>
      <c r="U17" s="9">
        <f>T17+預測IC!V20</f>
        <v>0.26862192131469964</v>
      </c>
      <c r="V17" s="9">
        <f>U17+預測IC!W20</f>
        <v>0.33458436118867518</v>
      </c>
      <c r="W17" s="9">
        <f>V17+預測IC!X20</f>
        <v>5.2547772252360958E-2</v>
      </c>
      <c r="X17" s="9">
        <f>W17+預測IC!Y20</f>
        <v>-6.4021951235129645E-2</v>
      </c>
      <c r="Y17" s="9">
        <f>X17+預測IC!Z20</f>
        <v>-1.2552225484290143E-2</v>
      </c>
      <c r="Z17" s="9">
        <f>Y17+預測IC!AA20</f>
        <v>-0.18512288301881882</v>
      </c>
      <c r="AA17" s="9">
        <f>Z17+預測IC!AB20</f>
        <v>-0.24776768828147974</v>
      </c>
      <c r="AB17" s="9">
        <f>AA17+預測IC!AC20</f>
        <v>-0.2464022678046475</v>
      </c>
      <c r="AC17" s="9">
        <f>AB17+預測IC!AD20</f>
        <v>-0.17395847871611608</v>
      </c>
      <c r="AD17" s="9">
        <f>AC17+預測IC!AE20</f>
        <v>-8.987180731502066E-2</v>
      </c>
      <c r="AE17" s="9">
        <f>AD17+預測IC!AF20</f>
        <v>6.0671832509052739E-2</v>
      </c>
      <c r="AF17" s="9">
        <f>AE17+預測IC!AG20</f>
        <v>-2.104814738370088E-2</v>
      </c>
      <c r="AG17" s="9">
        <f>AF17+預測IC!AH20</f>
        <v>0.14202035744114871</v>
      </c>
      <c r="AH17" s="9">
        <f>AG17+預測IC!AI20</f>
        <v>0.19457385493633228</v>
      </c>
      <c r="AI17" s="9">
        <f>AH17+預測IC!AJ20</f>
        <v>0.24124437177746233</v>
      </c>
      <c r="AJ17" s="9">
        <f>AI17+預測IC!AK20</f>
        <v>0.25562498447429083</v>
      </c>
      <c r="AK17" s="9">
        <f>AJ17+預測IC!AL20</f>
        <v>0.28843779625390026</v>
      </c>
      <c r="AL17" s="9">
        <f>AK17+預測IC!AM20</f>
        <v>0.32824111215723462</v>
      </c>
      <c r="AM17" s="9">
        <f>AL17+預測IC!AN20</f>
        <v>0.32544669439729673</v>
      </c>
      <c r="AN17" s="9">
        <f>AM17+預測IC!AO20</f>
        <v>0.30086241395248975</v>
      </c>
      <c r="AO17" s="9">
        <f>AN17+預測IC!AP20</f>
        <v>0.205316621036985</v>
      </c>
      <c r="AP17" s="9">
        <f>AO17+預測IC!AQ20</f>
        <v>0.14116164737346659</v>
      </c>
      <c r="AQ17" s="9">
        <f>AP17+預測IC!AR20</f>
        <v>0.10215917331070232</v>
      </c>
      <c r="AR17" s="9">
        <f>AQ17+預測IC!AS20</f>
        <v>0.18541230119988827</v>
      </c>
      <c r="AS17" s="9">
        <f>AR17+預測IC!AT20</f>
        <v>1.9026491775829379E-2</v>
      </c>
      <c r="AT17" s="9">
        <f>AS17+預測IC!AU20</f>
        <v>0.15792470642204909</v>
      </c>
      <c r="AU17" s="9">
        <f>AT17+預測IC!AV20</f>
        <v>4.1702323377344683E-2</v>
      </c>
      <c r="AV17" s="9">
        <f>AU17+預測IC!AW20</f>
        <v>2.1375759791235634E-2</v>
      </c>
      <c r="AW17" s="9">
        <f>AV17+預測IC!AX20</f>
        <v>-1.2395129805656185E-2</v>
      </c>
      <c r="AX17" s="9">
        <f>AW17+預測IC!AY20</f>
        <v>0.24094365450057012</v>
      </c>
      <c r="AY17" s="9">
        <f>AX17+預測IC!AZ20</f>
        <v>0.21487601698344627</v>
      </c>
      <c r="AZ17" s="9">
        <f>AY17+預測IC!BA20</f>
        <v>0.34363548720540205</v>
      </c>
      <c r="BA17" s="9">
        <f>AZ17+預測IC!BB20</f>
        <v>0.44256130250492071</v>
      </c>
      <c r="BB17" s="9">
        <f>BA17+預測IC!BC20</f>
        <v>0.47050335320689046</v>
      </c>
      <c r="BC17" s="9">
        <f>BB17+預測IC!BD20</f>
        <v>0.481908330916205</v>
      </c>
      <c r="BD17" s="9">
        <f>BC17+預測IC!BE20</f>
        <v>0.54945550354983741</v>
      </c>
      <c r="BE17" s="9">
        <f>BD17+預測IC!BF20</f>
        <v>0.58894464111181044</v>
      </c>
      <c r="BF17" s="9">
        <f>BE17+預測IC!BG20</f>
        <v>0.62863002290638925</v>
      </c>
      <c r="BG17" s="9">
        <f>BF17+預測IC!BH20</f>
        <v>0.7060871053124792</v>
      </c>
      <c r="BH17" s="9">
        <f>BG17+預測IC!BI20</f>
        <v>0.83077431199902974</v>
      </c>
      <c r="BI17" s="9">
        <f>BH17+預測IC!BJ20</f>
        <v>0.73224045531360793</v>
      </c>
      <c r="BJ17" s="9">
        <f>BI17+預測IC!BK20</f>
        <v>0.75177672605549217</v>
      </c>
      <c r="BK17" s="9">
        <f>BJ17+預測IC!BL20</f>
        <v>0.73230259312821999</v>
      </c>
      <c r="BL17" s="9">
        <f>BK17+預測IC!BM20</f>
        <v>0.74803880920333143</v>
      </c>
      <c r="BM17" s="9">
        <f>BL17+預測IC!BN20</f>
        <v>0.69974031812251025</v>
      </c>
      <c r="BN17" s="9">
        <f>BM17+預測IC!BO20</f>
        <v>0.66976872997815562</v>
      </c>
      <c r="BO17" s="9">
        <f>BN17+預測IC!BP20</f>
        <v>0.50489536321621509</v>
      </c>
      <c r="BP17" s="9">
        <f>BO17+預測IC!BQ20</f>
        <v>0.59356002127344587</v>
      </c>
      <c r="BQ17" s="9">
        <f>BP17+預測IC!BR20</f>
        <v>0.41937264762272264</v>
      </c>
      <c r="BR17" s="9">
        <f>BQ17+預測IC!BS20</f>
        <v>0.45225201607741128</v>
      </c>
      <c r="BS17" s="9">
        <f>BR17+預測IC!BT20</f>
        <v>0.56505922872677716</v>
      </c>
      <c r="BT17" s="9">
        <f>BS17+預測IC!BU20</f>
        <v>0.48372125929539667</v>
      </c>
      <c r="BU17" s="9">
        <f>BT17+預測IC!BV20</f>
        <v>0.67360382634545113</v>
      </c>
      <c r="BV17" s="9">
        <f>BU17+預測IC!BW20</f>
        <v>0.60511415959198489</v>
      </c>
      <c r="BW17" s="9">
        <f>BV17+預測IC!BX20</f>
        <v>0.59737286230105602</v>
      </c>
      <c r="BX17" s="9">
        <f>BW17+預測IC!BY20</f>
        <v>0.56899640444914268</v>
      </c>
      <c r="BY17" s="9">
        <f>BX17+預測IC!BZ20</f>
        <v>0.54162623784101516</v>
      </c>
      <c r="BZ17" s="9">
        <f>BY17+預測IC!CA20</f>
        <v>0.40161778633376632</v>
      </c>
      <c r="CA17" s="9">
        <f>BZ17+預測IC!CB20</f>
        <v>0.54527290027436093</v>
      </c>
      <c r="CB17" s="9">
        <f>CA17+預測IC!CC20</f>
        <v>0.50875757472196192</v>
      </c>
      <c r="CC17" s="9">
        <f>CB17+預測IC!CD20</f>
        <v>0.38716235155319773</v>
      </c>
      <c r="CD17" s="9">
        <f>CC17+預測IC!CE20</f>
        <v>0.57362087120269067</v>
      </c>
      <c r="CE17" s="9">
        <f>CD17+預測IC!CF20</f>
        <v>0.5861844534629248</v>
      </c>
      <c r="CF17" s="9">
        <f>CE17+預測IC!CG20</f>
        <v>0.51574659900458109</v>
      </c>
      <c r="CG17" s="9">
        <f>CF17+預測IC!CH20</f>
        <v>0.5268752456792527</v>
      </c>
      <c r="CH17" s="9">
        <f>CG17+預測IC!CI20</f>
        <v>0.48474697043931836</v>
      </c>
      <c r="CI17" s="9">
        <f>CH17+預測IC!CJ20</f>
        <v>0.41058292197617707</v>
      </c>
      <c r="CJ17" s="9">
        <f>CI17+預測IC!CK20</f>
        <v>0.46058768959420932</v>
      </c>
      <c r="CK17" s="9">
        <f>CJ17+預測IC!CL20</f>
        <v>0.58815613879908712</v>
      </c>
      <c r="CL17" s="9">
        <f>CK17+預測IC!CM20</f>
        <v>0.60370488914109055</v>
      </c>
      <c r="CM17" s="9">
        <f>CL17+預測IC!CN20</f>
        <v>0.89825990770447095</v>
      </c>
      <c r="CN17" s="9">
        <f>CM17+預測IC!CO20</f>
        <v>0.68148250484068207</v>
      </c>
      <c r="CO17" s="9">
        <f>CN17+預測IC!CP20</f>
        <v>0.78286296421447188</v>
      </c>
      <c r="CP17" s="9">
        <f>CO17+預測IC!CQ20</f>
        <v>0.69108274720572216</v>
      </c>
      <c r="CQ17" s="9">
        <f>CP17+預測IC!CR20</f>
        <v>0.497360339553513</v>
      </c>
      <c r="CR17" s="9">
        <f>CQ17+預測IC!CS20</f>
        <v>0.5212842781487218</v>
      </c>
      <c r="CS17" s="9">
        <f>CR17+預測IC!CT20</f>
        <v>0.42038642710568508</v>
      </c>
      <c r="CT17" s="9">
        <f>CS17+預測IC!CU20</f>
        <v>0.27582160592955018</v>
      </c>
      <c r="CU17" s="9">
        <f>CT17+預測IC!CV20</f>
        <v>0.32547017987918214</v>
      </c>
      <c r="CV17" s="9">
        <f>CU17+預測IC!CW20</f>
        <v>0.3920287543774984</v>
      </c>
      <c r="CW17" s="9">
        <f>CV17+預測IC!CX20</f>
        <v>0.2389530647683451</v>
      </c>
      <c r="CX17" s="9">
        <f>CW17+預測IC!CY20</f>
        <v>0.33213144867625261</v>
      </c>
      <c r="CY17" s="9">
        <f>CX17+預測IC!CZ20</f>
        <v>0.24067223526355008</v>
      </c>
      <c r="CZ17" s="9">
        <f>CY17+預測IC!DA20</f>
        <v>0.31756278159584406</v>
      </c>
      <c r="DA17" s="9">
        <f>CZ17+預測IC!DB20</f>
        <v>0.53994489411922653</v>
      </c>
      <c r="DB17" s="9">
        <f>DA17+預測IC!DC20</f>
        <v>0.45712518690806403</v>
      </c>
      <c r="DC17" s="9">
        <f>DB17+預測IC!DD20</f>
        <v>0.4444305286136731</v>
      </c>
      <c r="DD17" s="9">
        <f>DC17+預測IC!DE20</f>
        <v>0.43847001467817737</v>
      </c>
      <c r="DE17" s="9">
        <f>DD17+預測IC!DF20</f>
        <v>0.47129450838403442</v>
      </c>
      <c r="DF17" s="9">
        <f>DE17+預測IC!DG20</f>
        <v>0.43798022475535792</v>
      </c>
      <c r="DG17" s="9">
        <f>DF17+預測IC!DH20</f>
        <v>0.39265592757262713</v>
      </c>
      <c r="DH17" s="9">
        <f>DG17+預測IC!DI20</f>
        <v>0.27356260840339852</v>
      </c>
      <c r="DI17" s="9">
        <f>DH17+預測IC!DJ20</f>
        <v>0.41975868450281084</v>
      </c>
      <c r="DJ17" s="9">
        <f>DI17+預測IC!DK20</f>
        <v>0.59426998432010669</v>
      </c>
      <c r="DK17" s="9">
        <f>DJ17+預測IC!DL20</f>
        <v>0.50272180697315816</v>
      </c>
      <c r="DL17" s="9">
        <f>DK17+預測IC!DM20</f>
        <v>0.49866215454776153</v>
      </c>
      <c r="DM17" s="9">
        <f>DL17+預測IC!DN20</f>
        <v>0.51762413917844219</v>
      </c>
      <c r="DN17" s="9">
        <f>DM17+預測IC!DO20</f>
        <v>0.51771725317770023</v>
      </c>
      <c r="DO17" s="9">
        <f>DN17+預測IC!DP20</f>
        <v>0.47736957798099672</v>
      </c>
      <c r="DP17" s="9">
        <f>DO17+預測IC!DQ20</f>
        <v>0.52425884296046266</v>
      </c>
      <c r="DQ17" s="9">
        <f>DP17+預測IC!DR20</f>
        <v>0.57671990699201126</v>
      </c>
      <c r="DR17" s="9">
        <f>DQ17+預測IC!DS20</f>
        <v>0.55133425573487294</v>
      </c>
      <c r="DS17" s="9">
        <f>DR17+預測IC!DT20</f>
        <v>0.57393529057598036</v>
      </c>
      <c r="DT17" s="9">
        <f>DS17+預測IC!DU20</f>
        <v>0.73652407500023043</v>
      </c>
      <c r="DU17" s="9">
        <f>DT17+預測IC!DV20</f>
        <v>0.68387683064115568</v>
      </c>
      <c r="DV17" s="9">
        <f>DU17+預測IC!DW20</f>
        <v>0.71760172309761738</v>
      </c>
      <c r="DW17" s="9">
        <f>DV17+預測IC!DX20</f>
        <v>0.76486733389436323</v>
      </c>
      <c r="DX17" s="9">
        <f>DW17+預測IC!DY20</f>
        <v>0.72283145869211352</v>
      </c>
      <c r="DY17" s="9">
        <f>DX17+預測IC!DZ20</f>
        <v>0.65212112397253086</v>
      </c>
      <c r="DZ17" s="9">
        <f>DY17+預測IC!EA20</f>
        <v>0.65685942121077556</v>
      </c>
      <c r="EA17" s="9">
        <f>DZ17+預測IC!EB20</f>
        <v>0.75883789872807828</v>
      </c>
      <c r="EB17" s="9">
        <f>EA17+預測IC!EC20</f>
        <v>0.90187812932086375</v>
      </c>
      <c r="EC17" s="9">
        <f>EB17+預測IC!ED20</f>
        <v>0.98463723070943032</v>
      </c>
      <c r="ED17" s="9">
        <f>EC17+預測IC!EE20</f>
        <v>0.93162219039406613</v>
      </c>
      <c r="EE17" s="9">
        <f>ED17+預測IC!EF20</f>
        <v>0.77668608770431935</v>
      </c>
      <c r="EF17" s="3"/>
    </row>
    <row r="18" spans="1:137" ht="16">
      <c r="A18" s="6" t="s">
        <v>155</v>
      </c>
      <c r="B18" s="9">
        <v>-7.386192988077088E-2</v>
      </c>
      <c r="C18" s="9">
        <f>B18+預測IC!D21</f>
        <v>0.14568093850151842</v>
      </c>
      <c r="D18" s="9">
        <f>C18+預測IC!E21</f>
        <v>5.097261910187223E-3</v>
      </c>
      <c r="E18" s="9">
        <f>D18+預測IC!F21</f>
        <v>3.235064393002364E-2</v>
      </c>
      <c r="F18" s="9">
        <f>E18+預測IC!G21</f>
        <v>1.847901839386806E-2</v>
      </c>
      <c r="G18" s="9">
        <f>F18+預測IC!H21</f>
        <v>6.4102299313831389E-3</v>
      </c>
      <c r="H18" s="9">
        <f>G18+預測IC!I21</f>
        <v>0.14052240841896252</v>
      </c>
      <c r="I18" s="9">
        <f>H18+預測IC!J21</f>
        <v>0.25195965259111491</v>
      </c>
      <c r="J18" s="9">
        <f>I18+預測IC!K21</f>
        <v>0.49074906731503165</v>
      </c>
      <c r="K18" s="9">
        <f>J18+預測IC!L21</f>
        <v>0.51107571695537668</v>
      </c>
      <c r="L18" s="9">
        <f>K18+預測IC!M21</f>
        <v>0.46738548079906939</v>
      </c>
      <c r="M18" s="9">
        <f>L18+預測IC!N21</f>
        <v>0.15068349202663006</v>
      </c>
      <c r="N18" s="9">
        <f>M18+預測IC!O21</f>
        <v>0.18224536651554596</v>
      </c>
      <c r="O18" s="9">
        <f>N18+預測IC!P21</f>
        <v>0.18655925880132126</v>
      </c>
      <c r="P18" s="9">
        <f>O18+預測IC!Q21</f>
        <v>0.25550150589199433</v>
      </c>
      <c r="Q18" s="9">
        <f>P18+預測IC!R21</f>
        <v>0.20396136589646807</v>
      </c>
      <c r="R18" s="9">
        <f>Q18+預測IC!S21</f>
        <v>0.34053716521548427</v>
      </c>
      <c r="S18" s="9">
        <f>R18+預測IC!T21</f>
        <v>0.29670107218175884</v>
      </c>
      <c r="T18" s="9">
        <f>S18+預測IC!U21</f>
        <v>0.40149529424114316</v>
      </c>
      <c r="U18" s="9">
        <f>T18+預測IC!V21</f>
        <v>0.23333428048584387</v>
      </c>
      <c r="V18" s="9">
        <f>U18+預測IC!W21</f>
        <v>0.26519799359566498</v>
      </c>
      <c r="W18" s="9">
        <f>V18+預測IC!X21</f>
        <v>-1.4491457834008403E-2</v>
      </c>
      <c r="X18" s="9">
        <f>W18+預測IC!Y21</f>
        <v>-0.10564679929340964</v>
      </c>
      <c r="Y18" s="9">
        <f>X18+預測IC!Z21</f>
        <v>-4.7758073914710306E-2</v>
      </c>
      <c r="Z18" s="9">
        <f>Y18+預測IC!AA21</f>
        <v>-0.17959097339580132</v>
      </c>
      <c r="AA18" s="9">
        <f>Z18+預測IC!AB21</f>
        <v>-0.2313097262065586</v>
      </c>
      <c r="AB18" s="9">
        <f>AA18+預測IC!AC21</f>
        <v>-0.21716818349794881</v>
      </c>
      <c r="AC18" s="9">
        <f>AB18+預測IC!AD21</f>
        <v>-0.19317072623688822</v>
      </c>
      <c r="AD18" s="9">
        <f>AC18+預測IC!AE21</f>
        <v>-9.5456570349631634E-2</v>
      </c>
      <c r="AE18" s="9">
        <f>AD18+預測IC!AF21</f>
        <v>7.3374010358411471E-2</v>
      </c>
      <c r="AF18" s="9">
        <f>AE18+預測IC!AG21</f>
        <v>3.1886906914099823E-2</v>
      </c>
      <c r="AG18" s="9">
        <f>AF18+預測IC!AH21</f>
        <v>0.2360431940793094</v>
      </c>
      <c r="AH18" s="9">
        <f>AG18+預測IC!AI21</f>
        <v>0.31111511226373179</v>
      </c>
      <c r="AI18" s="9">
        <f>AH18+預測IC!AJ21</f>
        <v>0.339096537076988</v>
      </c>
      <c r="AJ18" s="9">
        <f>AI18+預測IC!AK21</f>
        <v>0.3566967831216169</v>
      </c>
      <c r="AK18" s="9">
        <f>AJ18+預測IC!AL21</f>
        <v>0.3716113906514153</v>
      </c>
      <c r="AL18" s="9">
        <f>AK18+預測IC!AM21</f>
        <v>0.41598237609172228</v>
      </c>
      <c r="AM18" s="9">
        <f>AL18+預測IC!AN21</f>
        <v>0.42622192436143547</v>
      </c>
      <c r="AN18" s="9">
        <f>AM18+預測IC!AO21</f>
        <v>0.37033179823232076</v>
      </c>
      <c r="AO18" s="9">
        <f>AN18+預測IC!AP21</f>
        <v>0.24550354742530386</v>
      </c>
      <c r="AP18" s="9">
        <f>AO18+預測IC!AQ21</f>
        <v>0.20312788226610085</v>
      </c>
      <c r="AQ18" s="9">
        <f>AP18+預測IC!AR21</f>
        <v>0.24427239716167665</v>
      </c>
      <c r="AR18" s="9">
        <f>AQ18+預測IC!AS21</f>
        <v>0.35347127321474292</v>
      </c>
      <c r="AS18" s="9">
        <f>AR18+預測IC!AT21</f>
        <v>0.16887760940468491</v>
      </c>
      <c r="AT18" s="9">
        <f>AS18+預測IC!AU21</f>
        <v>0.32189223587894561</v>
      </c>
      <c r="AU18" s="9">
        <f>AT18+預測IC!AV21</f>
        <v>0.1717298808510522</v>
      </c>
      <c r="AV18" s="9">
        <f>AU18+預測IC!AW21</f>
        <v>0.10612642449838108</v>
      </c>
      <c r="AW18" s="9">
        <f>AV18+預測IC!AX21</f>
        <v>6.2244196184895545E-2</v>
      </c>
      <c r="AX18" s="9">
        <f>AW18+預測IC!AY21</f>
        <v>0.34695258809526108</v>
      </c>
      <c r="AY18" s="9">
        <f>AX18+預測IC!AZ21</f>
        <v>0.32296714229587192</v>
      </c>
      <c r="AZ18" s="9">
        <f>AY18+預測IC!BA21</f>
        <v>0.38060302398746193</v>
      </c>
      <c r="BA18" s="9">
        <f>AZ18+預測IC!BB21</f>
        <v>0.48725889880084794</v>
      </c>
      <c r="BB18" s="9">
        <f>BA18+預測IC!BC21</f>
        <v>0.6718306882072751</v>
      </c>
      <c r="BC18" s="9">
        <f>BB18+預測IC!BD21</f>
        <v>0.6884936599039837</v>
      </c>
      <c r="BD18" s="9">
        <f>BC18+預測IC!BE21</f>
        <v>0.71155200329759505</v>
      </c>
      <c r="BE18" s="9">
        <f>BD18+預測IC!BF21</f>
        <v>0.75919058259988548</v>
      </c>
      <c r="BF18" s="9">
        <f>BE18+預測IC!BG21</f>
        <v>0.82834227200891253</v>
      </c>
      <c r="BG18" s="9">
        <f>BF18+預測IC!BH21</f>
        <v>0.9163367535978777</v>
      </c>
      <c r="BH18" s="9">
        <f>BG18+預測IC!BI21</f>
        <v>0.96534151586651018</v>
      </c>
      <c r="BI18" s="9">
        <f>BH18+預測IC!BJ21</f>
        <v>0.90642929869405442</v>
      </c>
      <c r="BJ18" s="9">
        <f>BI18+預測IC!BK21</f>
        <v>0.92513799114668205</v>
      </c>
      <c r="BK18" s="9">
        <f>BJ18+預測IC!BL21</f>
        <v>0.89604185005917503</v>
      </c>
      <c r="BL18" s="9">
        <f>BK18+預測IC!BM21</f>
        <v>0.89890864159231543</v>
      </c>
      <c r="BM18" s="9">
        <f>BL18+預測IC!BN21</f>
        <v>0.81575331447855237</v>
      </c>
      <c r="BN18" s="9">
        <f>BM18+預測IC!BO21</f>
        <v>0.77759845100937419</v>
      </c>
      <c r="BO18" s="9">
        <f>BN18+預測IC!BP21</f>
        <v>0.62431071652341508</v>
      </c>
      <c r="BP18" s="9">
        <f>BO18+預測IC!BQ21</f>
        <v>0.72780661468114727</v>
      </c>
      <c r="BQ18" s="9">
        <f>BP18+預測IC!BR21</f>
        <v>0.53508312776855393</v>
      </c>
      <c r="BR18" s="9">
        <f>BQ18+預測IC!BS21</f>
        <v>0.56026766175139808</v>
      </c>
      <c r="BS18" s="9">
        <f>BR18+預測IC!BT21</f>
        <v>0.70761718178450272</v>
      </c>
      <c r="BT18" s="9">
        <f>BS18+預測IC!BU21</f>
        <v>0.65710698439446114</v>
      </c>
      <c r="BU18" s="9">
        <f>BT18+預測IC!BV21</f>
        <v>0.827718928443688</v>
      </c>
      <c r="BV18" s="9">
        <f>BU18+預測IC!BW21</f>
        <v>0.77055451790479701</v>
      </c>
      <c r="BW18" s="9">
        <f>BV18+預測IC!BX21</f>
        <v>0.75523556940188874</v>
      </c>
      <c r="BX18" s="9">
        <f>BW18+預測IC!BY21</f>
        <v>0.72689640378079801</v>
      </c>
      <c r="BY18" s="9">
        <f>BX18+預測IC!BZ21</f>
        <v>0.76933021913800537</v>
      </c>
      <c r="BZ18" s="9">
        <f>BY18+預測IC!CA21</f>
        <v>0.65097586538078422</v>
      </c>
      <c r="CA18" s="9">
        <f>BZ18+預測IC!CB21</f>
        <v>0.83409360215852191</v>
      </c>
      <c r="CB18" s="9">
        <f>CA18+預測IC!CC21</f>
        <v>0.77726390786319599</v>
      </c>
      <c r="CC18" s="9">
        <f>CB18+預測IC!CD21</f>
        <v>0.62853199457478881</v>
      </c>
      <c r="CD18" s="9">
        <f>CC18+預測IC!CE21</f>
        <v>0.88328314468334812</v>
      </c>
      <c r="CE18" s="9">
        <f>CD18+預測IC!CF21</f>
        <v>0.89454655106596226</v>
      </c>
      <c r="CF18" s="9">
        <f>CE18+預測IC!CG21</f>
        <v>0.78102344965961246</v>
      </c>
      <c r="CG18" s="9">
        <f>CF18+預測IC!CH21</f>
        <v>0.76469852679307282</v>
      </c>
      <c r="CH18" s="9">
        <f>CG18+預測IC!CI21</f>
        <v>0.71050098953729401</v>
      </c>
      <c r="CI18" s="9">
        <f>CH18+預測IC!CJ21</f>
        <v>0.58872479959458257</v>
      </c>
      <c r="CJ18" s="9">
        <f>CI18+預測IC!CK21</f>
        <v>0.65830570833160018</v>
      </c>
      <c r="CK18" s="9">
        <f>CJ18+預測IC!CL21</f>
        <v>0.7946827871262222</v>
      </c>
      <c r="CL18" s="9">
        <f>CK18+預測IC!CM21</f>
        <v>0.87026465812421638</v>
      </c>
      <c r="CM18" s="9">
        <f>CL18+預測IC!CN21</f>
        <v>1.0981124301429257</v>
      </c>
      <c r="CN18" s="9">
        <f>CM18+預測IC!CO21</f>
        <v>0.86440573090250272</v>
      </c>
      <c r="CO18" s="9">
        <f>CN18+預測IC!CP21</f>
        <v>0.97740652102975012</v>
      </c>
      <c r="CP18" s="9">
        <f>CO18+預測IC!CQ21</f>
        <v>0.89183464447683058</v>
      </c>
      <c r="CQ18" s="9">
        <f>CP18+預測IC!CR21</f>
        <v>0.7155279202306386</v>
      </c>
      <c r="CR18" s="9">
        <f>CQ18+預測IC!CS21</f>
        <v>0.73742755824391648</v>
      </c>
      <c r="CS18" s="9">
        <f>CR18+預測IC!CT21</f>
        <v>0.60055299217606695</v>
      </c>
      <c r="CT18" s="9">
        <f>CS18+預測IC!CU21</f>
        <v>0.45394544891512795</v>
      </c>
      <c r="CU18" s="9">
        <f>CT18+預測IC!CV21</f>
        <v>0.47025561842970942</v>
      </c>
      <c r="CV18" s="9">
        <f>CU18+預測IC!CW21</f>
        <v>0.53077149700274673</v>
      </c>
      <c r="CW18" s="9">
        <f>CV18+預測IC!CX21</f>
        <v>0.3826212061982418</v>
      </c>
      <c r="CX18" s="9">
        <f>CW18+預測IC!CY21</f>
        <v>0.49051332565543282</v>
      </c>
      <c r="CY18" s="9">
        <f>CX18+預測IC!CZ21</f>
        <v>0.43301406256692088</v>
      </c>
      <c r="CZ18" s="9">
        <f>CY18+預測IC!DA21</f>
        <v>0.55271046077876951</v>
      </c>
      <c r="DA18" s="9">
        <f>CZ18+預測IC!DB21</f>
        <v>0.83884891468007594</v>
      </c>
      <c r="DB18" s="9">
        <f>DA18+預測IC!DC21</f>
        <v>0.77326132994217911</v>
      </c>
      <c r="DC18" s="9">
        <f>DB18+預測IC!DD21</f>
        <v>0.75106211632962505</v>
      </c>
      <c r="DD18" s="9">
        <f>DC18+預測IC!DE21</f>
        <v>0.72246047783719902</v>
      </c>
      <c r="DE18" s="9">
        <f>DD18+預測IC!DF21</f>
        <v>0.75028366186652518</v>
      </c>
      <c r="DF18" s="9">
        <f>DE18+預測IC!DG21</f>
        <v>0.70961170931196638</v>
      </c>
      <c r="DG18" s="9">
        <f>DF18+預測IC!DH21</f>
        <v>0.65014852209800944</v>
      </c>
      <c r="DH18" s="9">
        <f>DG18+預測IC!DI21</f>
        <v>0.51453462627874547</v>
      </c>
      <c r="DI18" s="9">
        <f>DH18+預測IC!DJ21</f>
        <v>0.67978509523781738</v>
      </c>
      <c r="DJ18" s="9">
        <f>DI18+預測IC!DK21</f>
        <v>0.85225836061725624</v>
      </c>
      <c r="DK18" s="9">
        <f>DJ18+預測IC!DL21</f>
        <v>0.79732312157849705</v>
      </c>
      <c r="DL18" s="9">
        <f>DK18+預測IC!DM21</f>
        <v>0.78545602967262329</v>
      </c>
      <c r="DM18" s="9">
        <f>DL18+預測IC!DN21</f>
        <v>0.81276010958675593</v>
      </c>
      <c r="DN18" s="9">
        <f>DM18+預測IC!DO21</f>
        <v>0.81112213435459624</v>
      </c>
      <c r="DO18" s="9">
        <f>DN18+預測IC!DP21</f>
        <v>0.79375217537708376</v>
      </c>
      <c r="DP18" s="9">
        <f>DO18+預測IC!DQ21</f>
        <v>0.86695268010014415</v>
      </c>
      <c r="DQ18" s="9">
        <f>DP18+預測IC!DR21</f>
        <v>0.90013373534535035</v>
      </c>
      <c r="DR18" s="9">
        <f>DQ18+預測IC!DS21</f>
        <v>0.85521477219347042</v>
      </c>
      <c r="DS18" s="9">
        <f>DR18+預測IC!DT21</f>
        <v>0.86024801871357559</v>
      </c>
      <c r="DT18" s="9">
        <f>DS18+預測IC!DU21</f>
        <v>1.0547674581765547</v>
      </c>
      <c r="DU18" s="9">
        <f>DT18+預測IC!DV21</f>
        <v>0.98706730188825542</v>
      </c>
      <c r="DV18" s="9">
        <f>DU18+預測IC!DW21</f>
        <v>1.0552956750357299</v>
      </c>
      <c r="DW18" s="9">
        <f>DV18+預測IC!DX21</f>
        <v>1.1175513187100437</v>
      </c>
      <c r="DX18" s="9">
        <f>DW18+預測IC!DY21</f>
        <v>1.079612745530985</v>
      </c>
      <c r="DY18" s="9">
        <f>DX18+預測IC!DZ21</f>
        <v>1.0120267990915381</v>
      </c>
      <c r="DZ18" s="9">
        <f>DY18+預測IC!EA21</f>
        <v>0.97910707189652291</v>
      </c>
      <c r="EA18" s="9">
        <f>DZ18+預測IC!EB21</f>
        <v>1.1047830700476655</v>
      </c>
      <c r="EB18" s="9">
        <f>EA18+預測IC!EC21</f>
        <v>1.2485572728726746</v>
      </c>
      <c r="EC18" s="9">
        <f>EB18+預測IC!ED21</f>
        <v>1.3288425311490497</v>
      </c>
      <c r="ED18" s="9">
        <f>EC18+預測IC!EE21</f>
        <v>1.3060266453051368</v>
      </c>
      <c r="EE18" s="9">
        <f>ED18+預測IC!EF21</f>
        <v>1.1377897099077783</v>
      </c>
      <c r="EF18" s="3"/>
    </row>
    <row r="19" spans="1:137" ht="16">
      <c r="A19" s="6" t="s">
        <v>156</v>
      </c>
      <c r="B19" s="9">
        <v>1.1241331728202891E-2</v>
      </c>
      <c r="C19" s="9">
        <f>B19+預測IC!D22</f>
        <v>0.23382772541697869</v>
      </c>
      <c r="D19" s="9">
        <f>C19+預測IC!E22</f>
        <v>8.7702820152732786E-2</v>
      </c>
      <c r="E19" s="9">
        <f>D19+預測IC!F22</f>
        <v>0.11152352347722494</v>
      </c>
      <c r="F19" s="9">
        <f>E19+預測IC!G22</f>
        <v>9.1440269905827598E-2</v>
      </c>
      <c r="G19" s="9">
        <f>F19+預測IC!H22</f>
        <v>0.10302329598440531</v>
      </c>
      <c r="H19" s="9">
        <f>G19+預測IC!I22</f>
        <v>0.28888647146110169</v>
      </c>
      <c r="I19" s="9">
        <f>H19+預測IC!J22</f>
        <v>0.43617460361770399</v>
      </c>
      <c r="J19" s="9">
        <f>I19+預測IC!K22</f>
        <v>0.65089910737878576</v>
      </c>
      <c r="K19" s="9">
        <f>J19+預測IC!L22</f>
        <v>0.6598988787199741</v>
      </c>
      <c r="L19" s="9">
        <f>K19+預測IC!M22</f>
        <v>0.5821806504287006</v>
      </c>
      <c r="M19" s="9">
        <f>L19+預測IC!N22</f>
        <v>0.22565906694640631</v>
      </c>
      <c r="N19" s="9">
        <f>M19+預測IC!O22</f>
        <v>0.27552395301568045</v>
      </c>
      <c r="O19" s="9">
        <f>N19+預測IC!P22</f>
        <v>0.2731860972137008</v>
      </c>
      <c r="P19" s="9">
        <f>O19+預測IC!Q22</f>
        <v>0.36147487072805029</v>
      </c>
      <c r="Q19" s="9">
        <f>P19+預測IC!R22</f>
        <v>0.29288599207332622</v>
      </c>
      <c r="R19" s="9">
        <f>Q19+預測IC!S22</f>
        <v>0.45622090909187574</v>
      </c>
      <c r="S19" s="9">
        <f>R19+預測IC!T22</f>
        <v>0.39643737253931544</v>
      </c>
      <c r="T19" s="9">
        <f>S19+預測IC!U22</f>
        <v>0.5578318455143132</v>
      </c>
      <c r="U19" s="9">
        <f>T19+預測IC!V22</f>
        <v>0.40001553319264027</v>
      </c>
      <c r="V19" s="9">
        <f>U19+預測IC!W22</f>
        <v>0.43770298163636162</v>
      </c>
      <c r="W19" s="9">
        <f>V19+預測IC!X22</f>
        <v>0.21431987420822401</v>
      </c>
      <c r="X19" s="9">
        <f>W19+預測IC!Y22</f>
        <v>0.12878845324768926</v>
      </c>
      <c r="Y19" s="9">
        <f>X19+預測IC!Z22</f>
        <v>0.20281562150564383</v>
      </c>
      <c r="Z19" s="9">
        <f>Y19+預測IC!AA22</f>
        <v>7.2332253024998128E-2</v>
      </c>
      <c r="AA19" s="9">
        <f>Z19+預測IC!AB22</f>
        <v>3.943370770477192E-2</v>
      </c>
      <c r="AB19" s="9">
        <f>AA19+預測IC!AC22</f>
        <v>8.6681970432739397E-2</v>
      </c>
      <c r="AC19" s="9">
        <f>AB19+預測IC!AD22</f>
        <v>0.11366927400341734</v>
      </c>
      <c r="AD19" s="9">
        <f>AC19+預測IC!AE22</f>
        <v>0.30126704731146764</v>
      </c>
      <c r="AE19" s="9">
        <f>AD19+預測IC!AF22</f>
        <v>0.5247648669478403</v>
      </c>
      <c r="AF19" s="9">
        <f>AE19+預測IC!AG22</f>
        <v>0.49260161806616382</v>
      </c>
      <c r="AG19" s="9">
        <f>AF19+預測IC!AH22</f>
        <v>0.70924407071452467</v>
      </c>
      <c r="AH19" s="9">
        <f>AG19+預測IC!AI22</f>
        <v>0.81961779526219714</v>
      </c>
      <c r="AI19" s="9">
        <f>AH19+預測IC!AJ22</f>
        <v>0.86129025021772276</v>
      </c>
      <c r="AJ19" s="9">
        <f>AI19+預測IC!AK22</f>
        <v>0.8864277646794928</v>
      </c>
      <c r="AK19" s="9">
        <f>AJ19+預測IC!AL22</f>
        <v>0.90720802978808757</v>
      </c>
      <c r="AL19" s="9">
        <f>AK19+預測IC!AM22</f>
        <v>0.86376645478629377</v>
      </c>
      <c r="AM19" s="9">
        <f>AL19+預測IC!AN22</f>
        <v>0.82932193579744828</v>
      </c>
      <c r="AN19" s="9">
        <f>AM19+預測IC!AO22</f>
        <v>0.7802136411580487</v>
      </c>
      <c r="AO19" s="9">
        <f>AN19+預測IC!AP22</f>
        <v>0.64049338291838853</v>
      </c>
      <c r="AP19" s="9">
        <f>AO19+預測IC!AQ22</f>
        <v>0.60718515182284405</v>
      </c>
      <c r="AQ19" s="9">
        <f>AP19+預測IC!AR22</f>
        <v>0.63692415167314498</v>
      </c>
      <c r="AR19" s="9">
        <f>AQ19+預測IC!AS22</f>
        <v>0.67921586812212087</v>
      </c>
      <c r="AS19" s="9">
        <f>AR19+預測IC!AT22</f>
        <v>0.44009212067705039</v>
      </c>
      <c r="AT19" s="9">
        <f>AS19+預測IC!AU22</f>
        <v>0.58316476160421593</v>
      </c>
      <c r="AU19" s="9">
        <f>AT19+預測IC!AV22</f>
        <v>0.34765439522723451</v>
      </c>
      <c r="AV19" s="9">
        <f>AU19+預測IC!AW22</f>
        <v>0.32368609586662739</v>
      </c>
      <c r="AW19" s="9">
        <f>AV19+預測IC!AX22</f>
        <v>0.29662904090769221</v>
      </c>
      <c r="AX19" s="9">
        <f>AW19+預測IC!AY22</f>
        <v>0.65156451605801968</v>
      </c>
      <c r="AY19" s="9">
        <f>AX19+預測IC!AZ22</f>
        <v>0.62337165365529679</v>
      </c>
      <c r="AZ19" s="9">
        <f>AY19+預測IC!BA22</f>
        <v>0.63349528077720507</v>
      </c>
      <c r="BA19" s="9">
        <f>AZ19+預測IC!BB22</f>
        <v>0.69557804580771176</v>
      </c>
      <c r="BB19" s="9">
        <f>BA19+預測IC!BC22</f>
        <v>0.93571872079812546</v>
      </c>
      <c r="BC19" s="9">
        <f>BB19+預測IC!BD22</f>
        <v>0.96525738144210915</v>
      </c>
      <c r="BD19" s="9">
        <f>BC19+預測IC!BE22</f>
        <v>0.9449876227885573</v>
      </c>
      <c r="BE19" s="9">
        <f>BD19+預測IC!BF22</f>
        <v>1.0048369762972542</v>
      </c>
      <c r="BF19" s="9">
        <f>BE19+預測IC!BG22</f>
        <v>1.0608763051955401</v>
      </c>
      <c r="BG19" s="9">
        <f>BF19+預測IC!BH22</f>
        <v>1.0979933670637629</v>
      </c>
      <c r="BH19" s="9">
        <f>BG19+預測IC!BI22</f>
        <v>1.1795929898428423</v>
      </c>
      <c r="BI19" s="9">
        <f>BH19+預測IC!BJ22</f>
        <v>1.1304532060315684</v>
      </c>
      <c r="BJ19" s="9">
        <f>BI19+預測IC!BK22</f>
        <v>1.1484168224022671</v>
      </c>
      <c r="BK19" s="9">
        <f>BJ19+預測IC!BL22</f>
        <v>1.1492667476335889</v>
      </c>
      <c r="BL19" s="9">
        <f>BK19+預測IC!BM22</f>
        <v>1.1398445444852696</v>
      </c>
      <c r="BM19" s="9">
        <f>BL19+預測IC!BN22</f>
        <v>1.0814643108776627</v>
      </c>
      <c r="BN19" s="9">
        <f>BM19+預測IC!BO22</f>
        <v>1.0158083568463829</v>
      </c>
      <c r="BO19" s="9">
        <f>BN19+預測IC!BP22</f>
        <v>0.81657953336201561</v>
      </c>
      <c r="BP19" s="9">
        <f>BO19+預測IC!BQ22</f>
        <v>0.86211493728163724</v>
      </c>
      <c r="BQ19" s="9">
        <f>BP19+預測IC!BR22</f>
        <v>0.6479248792049046</v>
      </c>
      <c r="BR19" s="9">
        <f>BQ19+預測IC!BS22</f>
        <v>0.64480618462003314</v>
      </c>
      <c r="BS19" s="9">
        <f>BR19+預測IC!BT22</f>
        <v>0.69381396647179394</v>
      </c>
      <c r="BT19" s="9">
        <f>BS19+預測IC!BU22</f>
        <v>0.62246255848734289</v>
      </c>
      <c r="BU19" s="9">
        <f>BT19+預測IC!BV22</f>
        <v>0.75190023656862603</v>
      </c>
      <c r="BV19" s="9">
        <f>BU19+預測IC!BW22</f>
        <v>0.6821160222785484</v>
      </c>
      <c r="BW19" s="9">
        <f>BV19+預測IC!BX22</f>
        <v>0.69380079296030905</v>
      </c>
      <c r="BX19" s="9">
        <f>BW19+預測IC!BY22</f>
        <v>0.60954394254494237</v>
      </c>
      <c r="BY19" s="9">
        <f>BX19+預測IC!BZ22</f>
        <v>0.64716816613832706</v>
      </c>
      <c r="BZ19" s="9">
        <f>BY19+預測IC!CA22</f>
        <v>0.51939516749699721</v>
      </c>
      <c r="CA19" s="9">
        <f>BZ19+預測IC!CB22</f>
        <v>0.6920580026304366</v>
      </c>
      <c r="CB19" s="9">
        <f>CA19+預測IC!CC22</f>
        <v>0.65278088668784939</v>
      </c>
      <c r="CC19" s="9">
        <f>CB19+預測IC!CD22</f>
        <v>0.46392137414445367</v>
      </c>
      <c r="CD19" s="9">
        <f>CC19+預測IC!CE22</f>
        <v>0.76901310357982899</v>
      </c>
      <c r="CE19" s="9">
        <f>CD19+預測IC!CF22</f>
        <v>0.78310806284423895</v>
      </c>
      <c r="CF19" s="9">
        <f>CE19+預測IC!CG22</f>
        <v>0.69892274316650627</v>
      </c>
      <c r="CG19" s="9">
        <f>CF19+預測IC!CH22</f>
        <v>0.69869695647467756</v>
      </c>
      <c r="CH19" s="9">
        <f>CG19+預測IC!CI22</f>
        <v>0.60677049338045508</v>
      </c>
      <c r="CI19" s="9">
        <f>CH19+預測IC!CJ22</f>
        <v>0.45080093044038294</v>
      </c>
      <c r="CJ19" s="9">
        <f>CI19+預測IC!CK22</f>
        <v>0.52233168751332293</v>
      </c>
      <c r="CK19" s="9">
        <f>CJ19+預測IC!CL22</f>
        <v>0.71074869776638172</v>
      </c>
      <c r="CL19" s="9">
        <f>CK19+預測IC!CM22</f>
        <v>0.79020342494771767</v>
      </c>
      <c r="CM19" s="9">
        <f>CL19+預測IC!CN22</f>
        <v>0.92013069634743128</v>
      </c>
      <c r="CN19" s="9">
        <f>CM19+預測IC!CO22</f>
        <v>0.70586164285317621</v>
      </c>
      <c r="CO19" s="9">
        <f>CN19+預測IC!CP22</f>
        <v>0.83731330776162971</v>
      </c>
      <c r="CP19" s="9">
        <f>CO19+預測IC!CQ22</f>
        <v>0.76301067817645107</v>
      </c>
      <c r="CQ19" s="9">
        <f>CP19+預測IC!CR22</f>
        <v>0.56752456769150894</v>
      </c>
      <c r="CR19" s="9">
        <f>CQ19+預測IC!CS22</f>
        <v>0.59056306992623209</v>
      </c>
      <c r="CS19" s="9">
        <f>CR19+預測IC!CT22</f>
        <v>0.48001910999482456</v>
      </c>
      <c r="CT19" s="9">
        <f>CS19+預測IC!CU22</f>
        <v>0.33329110092319775</v>
      </c>
      <c r="CU19" s="9">
        <f>CT19+預測IC!CV22</f>
        <v>0.36042813971009457</v>
      </c>
      <c r="CV19" s="9">
        <f>CU19+預測IC!CW22</f>
        <v>0.42833184788494</v>
      </c>
      <c r="CW19" s="9">
        <f>CV19+預測IC!CX22</f>
        <v>0.28317765988507326</v>
      </c>
      <c r="CX19" s="9">
        <f>CW19+預測IC!CY22</f>
        <v>0.38414431699689677</v>
      </c>
      <c r="CY19" s="9">
        <f>CX19+預測IC!CZ22</f>
        <v>0.37108168313456619</v>
      </c>
      <c r="CZ19" s="9">
        <f>CY19+預測IC!DA22</f>
        <v>0.595701144047599</v>
      </c>
      <c r="DA19" s="9">
        <f>CZ19+預測IC!DB22</f>
        <v>0.97819106431399061</v>
      </c>
      <c r="DB19" s="9">
        <f>DA19+預測IC!DC22</f>
        <v>0.94085875317558987</v>
      </c>
      <c r="DC19" s="9">
        <f>DB19+預測IC!DD22</f>
        <v>0.93816586271652291</v>
      </c>
      <c r="DD19" s="9">
        <f>DC19+預測IC!DE22</f>
        <v>0.90074305921841868</v>
      </c>
      <c r="DE19" s="9">
        <f>DD19+預測IC!DF22</f>
        <v>0.99306894536956059</v>
      </c>
      <c r="DF19" s="9">
        <f>DE19+預測IC!DG22</f>
        <v>0.94675670862372374</v>
      </c>
      <c r="DG19" s="9">
        <f>DF19+預測IC!DH22</f>
        <v>0.91193758187070217</v>
      </c>
      <c r="DH19" s="9">
        <f>DG19+預測IC!DI22</f>
        <v>0.78208786630682581</v>
      </c>
      <c r="DI19" s="9">
        <f>DH19+預測IC!DJ22</f>
        <v>0.91864595873952326</v>
      </c>
      <c r="DJ19" s="9">
        <f>DI19+預測IC!DK22</f>
        <v>1.0315496894581111</v>
      </c>
      <c r="DK19" s="9">
        <f>DJ19+預測IC!DL22</f>
        <v>0.96738284064088609</v>
      </c>
      <c r="DL19" s="9">
        <f>DK19+預測IC!DM22</f>
        <v>0.96206805981386223</v>
      </c>
      <c r="DM19" s="9">
        <f>DL19+預測IC!DN22</f>
        <v>1.0152985813929827</v>
      </c>
      <c r="DN19" s="9">
        <f>DM19+預測IC!DO22</f>
        <v>1.0104098181308983</v>
      </c>
      <c r="DO19" s="9">
        <f>DN19+預測IC!DP22</f>
        <v>0.98118931128900544</v>
      </c>
      <c r="DP19" s="9">
        <f>DO19+預測IC!DQ22</f>
        <v>1.0511787494348088</v>
      </c>
      <c r="DQ19" s="9">
        <f>DP19+預測IC!DR22</f>
        <v>1.1393876332636814</v>
      </c>
      <c r="DR19" s="9">
        <f>DQ19+預測IC!DS22</f>
        <v>1.2091803911619639</v>
      </c>
      <c r="DS19" s="9">
        <f>DR19+預測IC!DT22</f>
        <v>1.1794950523631214</v>
      </c>
      <c r="DT19" s="9">
        <f>DS19+預測IC!DU22</f>
        <v>1.4521393802050668</v>
      </c>
      <c r="DU19" s="9">
        <f>DT19+預測IC!DV22</f>
        <v>1.3106994163798904</v>
      </c>
      <c r="DV19" s="9">
        <f>DU19+預測IC!DW22</f>
        <v>1.3739985608267018</v>
      </c>
      <c r="DW19" s="9">
        <f>DV19+預測IC!DX22</f>
        <v>1.416216165332097</v>
      </c>
      <c r="DX19" s="9">
        <f>DW19+預測IC!DY22</f>
        <v>1.4247245544020131</v>
      </c>
      <c r="DY19" s="9">
        <f>DX19+預測IC!DZ22</f>
        <v>1.3634389955642423</v>
      </c>
      <c r="DZ19" s="9">
        <f>DY19+預測IC!EA22</f>
        <v>1.3693645948375766</v>
      </c>
      <c r="EA19" s="9">
        <f>DZ19+預測IC!EB22</f>
        <v>1.5796140835240469</v>
      </c>
      <c r="EB19" s="9">
        <f>EA19+預測IC!EC22</f>
        <v>1.7106202292861143</v>
      </c>
      <c r="EC19" s="9">
        <f>EB19+預測IC!ED22</f>
        <v>1.768447793486313</v>
      </c>
      <c r="ED19" s="9">
        <f>EC19+預測IC!EE22</f>
        <v>1.7484302061892942</v>
      </c>
      <c r="EE19" s="9">
        <f>ED19+預測IC!EF22</f>
        <v>1.5388884637223741</v>
      </c>
      <c r="EF19" s="3"/>
    </row>
    <row r="20" spans="1:137" ht="16">
      <c r="A20" s="6" t="s">
        <v>157</v>
      </c>
      <c r="B20" s="9">
        <v>1.038483447742689E-2</v>
      </c>
      <c r="C20" s="9">
        <f>B20+預測IC!D23</f>
        <v>0.33539311611962908</v>
      </c>
      <c r="D20" s="9">
        <f>C20+預測IC!E23</f>
        <v>0.29167556123990807</v>
      </c>
      <c r="E20" s="9">
        <f>D20+預測IC!F23</f>
        <v>0.28891651651691452</v>
      </c>
      <c r="F20" s="9">
        <f>E20+預測IC!G23</f>
        <v>0.26381244955266786</v>
      </c>
      <c r="G20" s="9">
        <f>F20+預測IC!H23</f>
        <v>0.22596837252437546</v>
      </c>
      <c r="H20" s="9">
        <f>G20+預測IC!I23</f>
        <v>0.46529143470212947</v>
      </c>
      <c r="I20" s="9">
        <f>H20+預測IC!J23</f>
        <v>0.55585807394657627</v>
      </c>
      <c r="J20" s="9">
        <f>I20+預測IC!K23</f>
        <v>0.76273809994997177</v>
      </c>
      <c r="K20" s="9">
        <f>J20+預測IC!L23</f>
        <v>0.81996426681491619</v>
      </c>
      <c r="L20" s="9">
        <f>K20+預測IC!M23</f>
        <v>0.72027967340670496</v>
      </c>
      <c r="M20" s="9">
        <f>L20+預測IC!N23</f>
        <v>0.46652696693132578</v>
      </c>
      <c r="N20" s="9">
        <f>M20+預測IC!O23</f>
        <v>0.50087895639201641</v>
      </c>
      <c r="O20" s="9">
        <f>N20+預測IC!P23</f>
        <v>0.49867855455384097</v>
      </c>
      <c r="P20" s="9">
        <f>O20+預測IC!Q23</f>
        <v>0.60297336594687012</v>
      </c>
      <c r="Q20" s="9">
        <f>P20+預測IC!R23</f>
        <v>0.49185240453338475</v>
      </c>
      <c r="R20" s="9">
        <f>Q20+預測IC!S23</f>
        <v>0.70392441877043843</v>
      </c>
      <c r="S20" s="9">
        <f>R20+預測IC!T23</f>
        <v>0.65249673301635092</v>
      </c>
      <c r="T20" s="9">
        <f>S20+預測IC!U23</f>
        <v>0.82446451000077314</v>
      </c>
      <c r="U20" s="9">
        <f>T20+預測IC!V23</f>
        <v>0.6413221721645177</v>
      </c>
      <c r="V20" s="9">
        <f>U20+預測IC!W23</f>
        <v>0.53085879631782962</v>
      </c>
      <c r="W20" s="9">
        <f>V20+預測IC!X23</f>
        <v>0.2619305012716327</v>
      </c>
      <c r="X20" s="9">
        <f>W20+預測IC!Y23</f>
        <v>0.15266120082793622</v>
      </c>
      <c r="Y20" s="9">
        <f>X20+預測IC!Z23</f>
        <v>0.26204140197569981</v>
      </c>
      <c r="Z20" s="9">
        <f>Y20+預測IC!AA23</f>
        <v>0.15140549497322101</v>
      </c>
      <c r="AA20" s="9">
        <f>Z20+預測IC!AB23</f>
        <v>0.12944955108408684</v>
      </c>
      <c r="AB20" s="9">
        <f>AA20+預測IC!AC23</f>
        <v>0.14827728779088697</v>
      </c>
      <c r="AC20" s="9">
        <f>AB20+預測IC!AD23</f>
        <v>0.12234401179345208</v>
      </c>
      <c r="AD20" s="9">
        <f>AC20+預測IC!AE23</f>
        <v>0.24604601340922128</v>
      </c>
      <c r="AE20" s="9">
        <f>AD20+預測IC!AF23</f>
        <v>0.5411902714925847</v>
      </c>
      <c r="AF20" s="9">
        <f>AE20+預測IC!AG23</f>
        <v>0.53014369938614081</v>
      </c>
      <c r="AG20" s="9">
        <f>AF20+預測IC!AH23</f>
        <v>0.77049495504490761</v>
      </c>
      <c r="AH20" s="9">
        <f>AG20+預測IC!AI23</f>
        <v>0.91119437836254569</v>
      </c>
      <c r="AI20" s="9">
        <f>AH20+預測IC!AJ23</f>
        <v>0.93975912148181728</v>
      </c>
      <c r="AJ20" s="9">
        <f>AI20+預測IC!AK23</f>
        <v>0.97791979097198511</v>
      </c>
      <c r="AK20" s="9">
        <f>AJ20+預測IC!AL23</f>
        <v>1.0153112771067394</v>
      </c>
      <c r="AL20" s="9">
        <f>AK20+預測IC!AM23</f>
        <v>0.9237131075569972</v>
      </c>
      <c r="AM20" s="9">
        <f>AL20+預測IC!AN23</f>
        <v>0.90192407801117658</v>
      </c>
      <c r="AN20" s="9">
        <f>AM20+預測IC!AO23</f>
        <v>0.81635630309728924</v>
      </c>
      <c r="AO20" s="9">
        <f>AN20+預測IC!AP23</f>
        <v>0.62825509732697027</v>
      </c>
      <c r="AP20" s="9">
        <f>AO20+預測IC!AQ23</f>
        <v>0.59121890887639539</v>
      </c>
      <c r="AQ20" s="9">
        <f>AP20+預測IC!AR23</f>
        <v>0.62541680950721956</v>
      </c>
      <c r="AR20" s="9">
        <f>AQ20+預測IC!AS23</f>
        <v>0.67082349156722776</v>
      </c>
      <c r="AS20" s="9">
        <f>AR20+預測IC!AT23</f>
        <v>0.40598523401923053</v>
      </c>
      <c r="AT20" s="9">
        <f>AS20+預測IC!AU23</f>
        <v>0.46944056363251058</v>
      </c>
      <c r="AU20" s="9">
        <f>AT20+預測IC!AV23</f>
        <v>0.1982667230813232</v>
      </c>
      <c r="AV20" s="9">
        <f>AU20+預測IC!AW23</f>
        <v>0.19137659223073383</v>
      </c>
      <c r="AW20" s="9">
        <f>AV20+預測IC!AX23</f>
        <v>0.16591651858704787</v>
      </c>
      <c r="AX20" s="9">
        <f>AW20+預測IC!AY23</f>
        <v>0.47890097447772234</v>
      </c>
      <c r="AY20" s="9">
        <f>AX20+預測IC!AZ23</f>
        <v>0.45806199271538367</v>
      </c>
      <c r="AZ20" s="9">
        <f>AY20+預測IC!BA23</f>
        <v>0.50096976937748361</v>
      </c>
      <c r="BA20" s="9">
        <f>AZ20+預測IC!BB23</f>
        <v>0.56959814322939295</v>
      </c>
      <c r="BB20" s="9">
        <f>BA20+預測IC!BC23</f>
        <v>0.73405867515821965</v>
      </c>
      <c r="BC20" s="9">
        <f>BB20+預測IC!BD23</f>
        <v>0.78812805291606536</v>
      </c>
      <c r="BD20" s="9">
        <f>BC20+預測IC!BE23</f>
        <v>0.77567816318121929</v>
      </c>
      <c r="BE20" s="9">
        <f>BD20+預測IC!BF23</f>
        <v>0.77423761327573359</v>
      </c>
      <c r="BF20" s="9">
        <f>BE20+預測IC!BG23</f>
        <v>0.78307623943108173</v>
      </c>
      <c r="BG20" s="9">
        <f>BF20+預測IC!BH23</f>
        <v>0.82620870891333797</v>
      </c>
      <c r="BH20" s="9">
        <f>BG20+預測IC!BI23</f>
        <v>0.88241834341865233</v>
      </c>
      <c r="BI20" s="9">
        <f>BH20+預測IC!BJ23</f>
        <v>0.85043582900766024</v>
      </c>
      <c r="BJ20" s="9">
        <f>BI20+預測IC!BK23</f>
        <v>0.87304159152507943</v>
      </c>
      <c r="BK20" s="9">
        <f>BJ20+預測IC!BL23</f>
        <v>0.85826036255645766</v>
      </c>
      <c r="BL20" s="9">
        <f>BK20+預測IC!BM23</f>
        <v>0.85541753534046483</v>
      </c>
      <c r="BM20" s="9">
        <f>BL20+預測IC!BN23</f>
        <v>0.84148835053862636</v>
      </c>
      <c r="BN20" s="9">
        <f>BM20+預測IC!BO23</f>
        <v>0.76713817695487074</v>
      </c>
      <c r="BO20" s="9">
        <f>BN20+預測IC!BP23</f>
        <v>0.5624039613275893</v>
      </c>
      <c r="BP20" s="9">
        <f>BO20+預測IC!BQ23</f>
        <v>0.61116952134719627</v>
      </c>
      <c r="BQ20" s="9">
        <f>BP20+預測IC!BR23</f>
        <v>0.32389398003479636</v>
      </c>
      <c r="BR20" s="9">
        <f>BQ20+預測IC!BS23</f>
        <v>0.30074706637824683</v>
      </c>
      <c r="BS20" s="9">
        <f>BR20+預測IC!BT23</f>
        <v>0.30858872151251709</v>
      </c>
      <c r="BT20" s="9">
        <f>BS20+預測IC!BU23</f>
        <v>0.22088379584728851</v>
      </c>
      <c r="BU20" s="9">
        <f>BT20+預測IC!BV23</f>
        <v>0.4090408078882693</v>
      </c>
      <c r="BV20" s="9">
        <f>BU20+預測IC!BW23</f>
        <v>0.39797231426446605</v>
      </c>
      <c r="BW20" s="9">
        <f>BV20+預測IC!BX23</f>
        <v>0.36586624442260596</v>
      </c>
      <c r="BX20" s="9">
        <f>BW20+預測IC!BY23</f>
        <v>0.32587670363404608</v>
      </c>
      <c r="BY20" s="9">
        <f>BX20+預測IC!BZ23</f>
        <v>0.4086677890764151</v>
      </c>
      <c r="BZ20" s="9">
        <f>BY20+預測IC!CA23</f>
        <v>0.44000793040923242</v>
      </c>
      <c r="CA20" s="9">
        <f>BZ20+預測IC!CB23</f>
        <v>0.53210461130977238</v>
      </c>
      <c r="CB20" s="9">
        <f>CA20+預測IC!CC23</f>
        <v>0.43363395744084987</v>
      </c>
      <c r="CC20" s="9">
        <f>CB20+預測IC!CD23</f>
        <v>0.28284556723856918</v>
      </c>
      <c r="CD20" s="9">
        <f>CC20+預測IC!CE23</f>
        <v>0.64705310243551417</v>
      </c>
      <c r="CE20" s="9">
        <f>CD20+預測IC!CF23</f>
        <v>0.66467180151602656</v>
      </c>
      <c r="CF20" s="9">
        <f>CE20+預測IC!CG23</f>
        <v>0.57772602322217681</v>
      </c>
      <c r="CG20" s="9">
        <f>CF20+預測IC!CH23</f>
        <v>0.57037446398647618</v>
      </c>
      <c r="CH20" s="9">
        <f>CG20+預測IC!CI23</f>
        <v>0.45545920100421006</v>
      </c>
      <c r="CI20" s="9">
        <f>CH20+預測IC!CJ23</f>
        <v>0.37993119228527328</v>
      </c>
      <c r="CJ20" s="9">
        <f>CI20+預測IC!CK23</f>
        <v>0.44984584948451528</v>
      </c>
      <c r="CK20" s="9">
        <f>CJ20+預測IC!CL23</f>
        <v>0.70931662037269194</v>
      </c>
      <c r="CL20" s="9">
        <f>CK20+預測IC!CM23</f>
        <v>0.77231095323311627</v>
      </c>
      <c r="CM20" s="9">
        <f>CL20+預測IC!CN23</f>
        <v>0.89262757007448912</v>
      </c>
      <c r="CN20" s="9">
        <f>CM20+預測IC!CO23</f>
        <v>0.67020198086408667</v>
      </c>
      <c r="CO20" s="9">
        <f>CN20+預測IC!CP23</f>
        <v>0.83009287233218554</v>
      </c>
      <c r="CP20" s="9">
        <f>CO20+預測IC!CQ23</f>
        <v>0.70901949227544114</v>
      </c>
      <c r="CQ20" s="9">
        <f>CP20+預測IC!CR23</f>
        <v>0.46995952591417323</v>
      </c>
      <c r="CR20" s="9">
        <f>CQ20+預測IC!CS23</f>
        <v>0.45753740033259888</v>
      </c>
      <c r="CS20" s="9">
        <f>CR20+預測IC!CT23</f>
        <v>0.39029713702901381</v>
      </c>
      <c r="CT20" s="9">
        <f>CS20+預測IC!CU23</f>
        <v>0.23138051471156371</v>
      </c>
      <c r="CU20" s="9">
        <f>CT20+預測IC!CV23</f>
        <v>0.28808722705792744</v>
      </c>
      <c r="CV20" s="9">
        <f>CU20+預測IC!CW23</f>
        <v>0.32643274392961019</v>
      </c>
      <c r="CW20" s="9">
        <f>CV20+預測IC!CX23</f>
        <v>0.1694638970179986</v>
      </c>
      <c r="CX20" s="9">
        <f>CW20+預測IC!CY23</f>
        <v>0.32191620326331782</v>
      </c>
      <c r="CY20" s="9">
        <f>CX20+預測IC!CZ23</f>
        <v>0.30806899685161721</v>
      </c>
      <c r="CZ20" s="9">
        <f>CY20+預測IC!DA23</f>
        <v>0.58423986285433849</v>
      </c>
      <c r="DA20" s="9">
        <f>CZ20+預測IC!DB23</f>
        <v>1.0565905983250155</v>
      </c>
      <c r="DB20" s="9">
        <f>DA20+預測IC!DC23</f>
        <v>0.90268580295529688</v>
      </c>
      <c r="DC20" s="9">
        <f>DB20+預測IC!DD23</f>
        <v>0.90669032386572268</v>
      </c>
      <c r="DD20" s="9">
        <f>DC20+預測IC!DE23</f>
        <v>0.86915234942912645</v>
      </c>
      <c r="DE20" s="9">
        <f>DD20+預測IC!DF23</f>
        <v>0.92589602479095945</v>
      </c>
      <c r="DF20" s="9">
        <f>DE20+預測IC!DG23</f>
        <v>0.8856103522572869</v>
      </c>
      <c r="DG20" s="9">
        <f>DF20+預測IC!DH23</f>
        <v>0.85397545049140988</v>
      </c>
      <c r="DH20" s="9">
        <f>DG20+預測IC!DI23</f>
        <v>0.73709988620946831</v>
      </c>
      <c r="DI20" s="9">
        <f>DH20+預測IC!DJ23</f>
        <v>0.89370560467310989</v>
      </c>
      <c r="DJ20" s="9">
        <f>DI20+預測IC!DK23</f>
        <v>0.91848638644756386</v>
      </c>
      <c r="DK20" s="9">
        <f>DJ20+預測IC!DL23</f>
        <v>0.83629621032495338</v>
      </c>
      <c r="DL20" s="9">
        <f>DK20+預測IC!DM23</f>
        <v>0.86016603050557106</v>
      </c>
      <c r="DM20" s="9">
        <f>DL20+預測IC!DN23</f>
        <v>0.93225302956178724</v>
      </c>
      <c r="DN20" s="9">
        <f>DM20+預測IC!DO23</f>
        <v>0.92101818859363094</v>
      </c>
      <c r="DO20" s="9">
        <f>DN20+預測IC!DP23</f>
        <v>0.89814149505042284</v>
      </c>
      <c r="DP20" s="9">
        <f>DO20+預測IC!DQ23</f>
        <v>0.91719121522605185</v>
      </c>
      <c r="DQ20" s="9">
        <f>DP20+預測IC!DR23</f>
        <v>1.0335887295189028</v>
      </c>
      <c r="DR20" s="9">
        <f>DQ20+預測IC!DS23</f>
        <v>1.1181941631244388</v>
      </c>
      <c r="DS20" s="9">
        <f>DR20+預測IC!DT23</f>
        <v>1.1129789727777595</v>
      </c>
      <c r="DT20" s="9">
        <f>DS20+預測IC!DU23</f>
        <v>1.4527856116353273</v>
      </c>
      <c r="DU20" s="9">
        <f>DT20+預測IC!DV23</f>
        <v>1.2927048601227278</v>
      </c>
      <c r="DV20" s="9">
        <f>DU20+預測IC!DW23</f>
        <v>1.3751063914728607</v>
      </c>
      <c r="DW20" s="9">
        <f>DV20+預測IC!DX23</f>
        <v>1.4098149402310081</v>
      </c>
      <c r="DX20" s="9">
        <f>DW20+預測IC!DY23</f>
        <v>1.4048813630436794</v>
      </c>
      <c r="DY20" s="9">
        <f>DX20+預測IC!DZ23</f>
        <v>1.3445424136823947</v>
      </c>
      <c r="DZ20" s="9">
        <f>DY20+預測IC!EA23</f>
        <v>1.3796088708676313</v>
      </c>
      <c r="EA20" s="9">
        <f>DZ20+預測IC!EB23</f>
        <v>1.614807154375598</v>
      </c>
      <c r="EB20" s="9">
        <f>EA20+預測IC!EC23</f>
        <v>1.7549011723278238</v>
      </c>
      <c r="EC20" s="9">
        <f>EB20+預測IC!ED23</f>
        <v>1.6257459689906375</v>
      </c>
      <c r="ED20" s="9">
        <f>EC20+預測IC!EE23</f>
        <v>1.6367019143975119</v>
      </c>
      <c r="EE20" s="9">
        <f>ED20+預測IC!EF23</f>
        <v>1.4580476347645233</v>
      </c>
      <c r="EF20" s="3"/>
    </row>
    <row r="21" spans="1:137" ht="16">
      <c r="A21" s="6" t="s">
        <v>158</v>
      </c>
      <c r="B21" s="9">
        <v>2.5922326608526759E-2</v>
      </c>
      <c r="C21" s="9">
        <f>B21+預測IC!D24</f>
        <v>0.4433442512485557</v>
      </c>
      <c r="D21" s="9">
        <f>C21+預測IC!E24</f>
        <v>0.42111383898931759</v>
      </c>
      <c r="E21" s="9">
        <f>D21+預測IC!F24</f>
        <v>0.42107114012399649</v>
      </c>
      <c r="F21" s="9">
        <f>E21+預測IC!G24</f>
        <v>0.39680539374431201</v>
      </c>
      <c r="G21" s="9">
        <f>F21+預測IC!H24</f>
        <v>0.16699984925291142</v>
      </c>
      <c r="H21" s="9">
        <f>G21+預測IC!I24</f>
        <v>0.4214327521633614</v>
      </c>
      <c r="I21" s="9">
        <f>H21+預測IC!J24</f>
        <v>0.5398110333456495</v>
      </c>
      <c r="J21" s="9">
        <f>I21+預測IC!K24</f>
        <v>0.78517694602840526</v>
      </c>
      <c r="K21" s="9">
        <f>J21+預測IC!L24</f>
        <v>0.89266411467964701</v>
      </c>
      <c r="L21" s="9">
        <f>K21+預測IC!M24</f>
        <v>0.81856405590907444</v>
      </c>
      <c r="M21" s="9">
        <f>L21+預測IC!N24</f>
        <v>0.55442067081681579</v>
      </c>
      <c r="N21" s="9">
        <f>M21+預測IC!O24</f>
        <v>0.54770479250544835</v>
      </c>
      <c r="O21" s="9">
        <f>N21+預測IC!P24</f>
        <v>0.53745563406093044</v>
      </c>
      <c r="P21" s="9">
        <f>O21+預測IC!Q24</f>
        <v>0.66211199182389668</v>
      </c>
      <c r="Q21" s="9">
        <f>P21+預測IC!R24</f>
        <v>0.51022406466105363</v>
      </c>
      <c r="R21" s="9">
        <f>Q21+預測IC!S24</f>
        <v>0.62068589071903668</v>
      </c>
      <c r="S21" s="9">
        <f>R21+預測IC!T24</f>
        <v>0.57191217275610717</v>
      </c>
      <c r="T21" s="9">
        <f>S21+預測IC!U24</f>
        <v>0.74595780236024267</v>
      </c>
      <c r="U21" s="9">
        <f>T21+預測IC!V24</f>
        <v>0.56108216670676714</v>
      </c>
      <c r="V21" s="9">
        <f>U21+預測IC!W24</f>
        <v>0.47703107474601836</v>
      </c>
      <c r="W21" s="9">
        <f>V21+預測IC!X24</f>
        <v>0.10230565655121737</v>
      </c>
      <c r="X21" s="9">
        <f>W21+預測IC!Y24</f>
        <v>-3.3601130673380941E-2</v>
      </c>
      <c r="Y21" s="9">
        <f>X21+預測IC!Z24</f>
        <v>0.11654897924619326</v>
      </c>
      <c r="Z21" s="9">
        <f>Y21+預測IC!AA24</f>
        <v>3.4024553668080243E-2</v>
      </c>
      <c r="AA21" s="9">
        <f>Z21+預測IC!AB24</f>
        <v>3.788978379341966E-2</v>
      </c>
      <c r="AB21" s="9">
        <f>AA21+預測IC!AC24</f>
        <v>0.12366624450885212</v>
      </c>
      <c r="AC21" s="9">
        <f>AB21+預測IC!AD24</f>
        <v>0.10507249529419087</v>
      </c>
      <c r="AD21" s="9">
        <f>AC21+預測IC!AE24</f>
        <v>0.26881989241660059</v>
      </c>
      <c r="AE21" s="9">
        <f>AD21+預測IC!AF24</f>
        <v>0.69873666046521254</v>
      </c>
      <c r="AF21" s="9">
        <f>AE21+預測IC!AG24</f>
        <v>0.6879245598983702</v>
      </c>
      <c r="AG21" s="9">
        <f>AF21+預測IC!AH24</f>
        <v>0.93554680606177154</v>
      </c>
      <c r="AH21" s="9">
        <f>AG21+預測IC!AI24</f>
        <v>1.1323637718792381</v>
      </c>
      <c r="AI21" s="9">
        <f>AH21+預測IC!AJ24</f>
        <v>1.1430383917978664</v>
      </c>
      <c r="AJ21" s="9">
        <f>AI21+預測IC!AK24</f>
        <v>1.1881036465835166</v>
      </c>
      <c r="AK21" s="9">
        <f>AJ21+預測IC!AL24</f>
        <v>1.1892483728072634</v>
      </c>
      <c r="AL21" s="9">
        <f>AK21+預測IC!AM24</f>
        <v>1.0762504714703121</v>
      </c>
      <c r="AM21" s="9">
        <f>AL21+預測IC!AN24</f>
        <v>1.0483899045849161</v>
      </c>
      <c r="AN21" s="9">
        <f>AM21+預測IC!AO24</f>
        <v>0.8902370292911892</v>
      </c>
      <c r="AO21" s="9">
        <f>AN21+預測IC!AP24</f>
        <v>0.6388419716428223</v>
      </c>
      <c r="AP21" s="9">
        <f>AO21+預測IC!AQ24</f>
        <v>0.6939686923671653</v>
      </c>
      <c r="AQ21" s="9">
        <f>AP21+預測IC!AR24</f>
        <v>0.80215239291540175</v>
      </c>
      <c r="AR21" s="9">
        <f>AQ21+預測IC!AS24</f>
        <v>0.72830869022956812</v>
      </c>
      <c r="AS21" s="9">
        <f>AR21+預測IC!AT24</f>
        <v>0.71058031923513143</v>
      </c>
      <c r="AT21" s="9">
        <f>AS21+預測IC!AU24</f>
        <v>0.82049491655331586</v>
      </c>
      <c r="AU21" s="9">
        <f>AT21+預測IC!AV24</f>
        <v>0.49140026802615405</v>
      </c>
      <c r="AV21" s="9">
        <f>AU21+預測IC!AW24</f>
        <v>0.48684772861503206</v>
      </c>
      <c r="AW21" s="9">
        <f>AV21+預測IC!AX24</f>
        <v>0.47519602827673779</v>
      </c>
      <c r="AX21" s="9">
        <f>AW21+預測IC!AY24</f>
        <v>0.78207615120720197</v>
      </c>
      <c r="AY21" s="9">
        <f>AX21+預測IC!AZ24</f>
        <v>0.71867420871568932</v>
      </c>
      <c r="AZ21" s="9">
        <f>AY21+預測IC!BA24</f>
        <v>0.81369029461573983</v>
      </c>
      <c r="BA21" s="9">
        <f>AZ21+預測IC!BB24</f>
        <v>0.88976415208707071</v>
      </c>
      <c r="BB21" s="9">
        <f>BA21+預測IC!BC24</f>
        <v>1.0853901874375884</v>
      </c>
      <c r="BC21" s="9">
        <f>BB21+預測IC!BD24</f>
        <v>1.0806643083118652</v>
      </c>
      <c r="BD21" s="9">
        <f>BC21+預測IC!BE24</f>
        <v>1.0656566487603345</v>
      </c>
      <c r="BE21" s="9">
        <f>BD21+預測IC!BF24</f>
        <v>0.96059101487614218</v>
      </c>
      <c r="BF21" s="9">
        <f>BE21+預測IC!BG24</f>
        <v>1.0290584726815157</v>
      </c>
      <c r="BG21" s="9">
        <f>BF21+預測IC!BH24</f>
        <v>1.107582715364184</v>
      </c>
      <c r="BH21" s="9">
        <f>BG21+預測IC!BI24</f>
        <v>1.2237993838128436</v>
      </c>
      <c r="BI21" s="9">
        <f>BH21+預測IC!BJ24</f>
        <v>1.2340333592619472</v>
      </c>
      <c r="BJ21" s="9">
        <f>BI21+預測IC!BK24</f>
        <v>1.2795227323043241</v>
      </c>
      <c r="BK21" s="9">
        <f>BJ21+預測IC!BL24</f>
        <v>1.2451932381190529</v>
      </c>
      <c r="BL21" s="9">
        <f>BK21+預測IC!BM24</f>
        <v>1.300640146383526</v>
      </c>
      <c r="BM21" s="9">
        <f>BL21+預測IC!BN24</f>
        <v>1.2147074556836175</v>
      </c>
      <c r="BN21" s="9">
        <f>BM21+預測IC!BO24</f>
        <v>1.1181403207778207</v>
      </c>
      <c r="BO21" s="9">
        <f>BN21+預測IC!BP24</f>
        <v>0.87898822228603335</v>
      </c>
      <c r="BP21" s="9">
        <f>BO21+預測IC!BQ24</f>
        <v>0.91106035743329838</v>
      </c>
      <c r="BQ21" s="9">
        <f>BP21+預測IC!BR24</f>
        <v>0.53761578837680912</v>
      </c>
      <c r="BR21" s="9">
        <f>BQ21+預測IC!BS24</f>
        <v>0.45726885858928479</v>
      </c>
      <c r="BS21" s="9">
        <f>BR21+預測IC!BT24</f>
        <v>0.41735893500475779</v>
      </c>
      <c r="BT21" s="9">
        <f>BS21+預測IC!BU24</f>
        <v>0.27303217349725328</v>
      </c>
      <c r="BU21" s="9">
        <f>BT21+預測IC!BV24</f>
        <v>0.49215277919401068</v>
      </c>
      <c r="BV21" s="9">
        <f>BU21+預測IC!BW24</f>
        <v>0.46305584719029846</v>
      </c>
      <c r="BW21" s="9">
        <f>BV21+預測IC!BX24</f>
        <v>0.44868006481898925</v>
      </c>
      <c r="BX21" s="9">
        <f>BW21+預測IC!BY24</f>
        <v>0.41144221306670048</v>
      </c>
      <c r="BY21" s="9">
        <f>BX21+預測IC!BZ24</f>
        <v>0.61198068982882581</v>
      </c>
      <c r="BZ21" s="9">
        <f>BY21+預測IC!CA24</f>
        <v>0.60934312117388278</v>
      </c>
      <c r="CA21" s="9">
        <f>BZ21+預測IC!CB24</f>
        <v>0.76335481561770779</v>
      </c>
      <c r="CB21" s="9">
        <f>CA21+預測IC!CC24</f>
        <v>0.50049767995961669</v>
      </c>
      <c r="CC21" s="9">
        <f>CB21+預測IC!CD24</f>
        <v>0.18472601975676767</v>
      </c>
      <c r="CD21" s="9">
        <f>CC21+預測IC!CE24</f>
        <v>0.52916402010145025</v>
      </c>
      <c r="CE21" s="9">
        <f>CD21+預測IC!CF24</f>
        <v>0.54088826310600679</v>
      </c>
      <c r="CF21" s="9">
        <f>CE21+預測IC!CG24</f>
        <v>0.33132234004620231</v>
      </c>
      <c r="CG21" s="9">
        <f>CF21+預測IC!CH24</f>
        <v>0.37676347897990003</v>
      </c>
      <c r="CH21" s="9">
        <f>CG21+預測IC!CI24</f>
        <v>0.3362553081944395</v>
      </c>
      <c r="CI21" s="9">
        <f>CH21+預測IC!CJ24</f>
        <v>0.27975090024630994</v>
      </c>
      <c r="CJ21" s="9">
        <f>CI21+預測IC!CK24</f>
        <v>0.40234894935236265</v>
      </c>
      <c r="CK21" s="9">
        <f>CJ21+預測IC!CL24</f>
        <v>0.54470331197104793</v>
      </c>
      <c r="CL21" s="9">
        <f>CK21+預測IC!CM24</f>
        <v>0.59114459094574567</v>
      </c>
      <c r="CM21" s="9">
        <f>CL21+預測IC!CN24</f>
        <v>0.71270342627234495</v>
      </c>
      <c r="CN21" s="9">
        <f>CM21+預測IC!CO24</f>
        <v>0.46295702660348503</v>
      </c>
      <c r="CO21" s="9">
        <f>CN21+預測IC!CP24</f>
        <v>0.54472707770939022</v>
      </c>
      <c r="CP21" s="9">
        <f>CO21+預測IC!CQ24</f>
        <v>0.3845762924098402</v>
      </c>
      <c r="CQ21" s="9">
        <f>CP21+預測IC!CR24</f>
        <v>0.13780352241795352</v>
      </c>
      <c r="CR21" s="9">
        <f>CQ21+預測IC!CS24</f>
        <v>0.12267668383776953</v>
      </c>
      <c r="CS21" s="9">
        <f>CR21+預測IC!CT24</f>
        <v>4.9451629480621317E-3</v>
      </c>
      <c r="CT21" s="9">
        <f>CS21+預測IC!CU24</f>
        <v>-0.16240874823830606</v>
      </c>
      <c r="CU21" s="9">
        <f>CT21+預測IC!CV24</f>
        <v>-0.11574866719844348</v>
      </c>
      <c r="CV21" s="9">
        <f>CU21+預測IC!CW24</f>
        <v>-9.2864624866458759E-2</v>
      </c>
      <c r="CW21" s="9">
        <f>CV21+預測IC!CX24</f>
        <v>-0.14715792034026243</v>
      </c>
      <c r="CX21" s="9">
        <f>CW21+預測IC!CY24</f>
        <v>1.5281948373184279E-2</v>
      </c>
      <c r="CY21" s="9">
        <f>CX21+預測IC!CZ24</f>
        <v>7.6947019320452587E-3</v>
      </c>
      <c r="CZ21" s="9">
        <f>CY21+預測IC!DA24</f>
        <v>0.31314636538689644</v>
      </c>
      <c r="DA21" s="9">
        <f>CZ21+預測IC!DB24</f>
        <v>0.90652153711312811</v>
      </c>
      <c r="DB21" s="9">
        <f>DA21+預測IC!DC24</f>
        <v>0.76535430139381855</v>
      </c>
      <c r="DC21" s="9">
        <f>DB21+預測IC!DD24</f>
        <v>0.76579303219222472</v>
      </c>
      <c r="DD21" s="9">
        <f>DC21+預測IC!DE24</f>
        <v>0.71951685293013801</v>
      </c>
      <c r="DE21" s="9">
        <f>DD21+預測IC!DF24</f>
        <v>0.79525631281693221</v>
      </c>
      <c r="DF21" s="9">
        <f>DE21+預測IC!DG24</f>
        <v>0.74087187334523685</v>
      </c>
      <c r="DG21" s="9">
        <f>DF21+預測IC!DH24</f>
        <v>0.70564738088318435</v>
      </c>
      <c r="DH21" s="9">
        <f>DG21+預測IC!DI24</f>
        <v>0.52140066185220613</v>
      </c>
      <c r="DI21" s="9">
        <f>DH21+預測IC!DJ24</f>
        <v>0.67510042468253584</v>
      </c>
      <c r="DJ21" s="9">
        <f>DI21+預測IC!DK24</f>
        <v>0.7161657807251014</v>
      </c>
      <c r="DK21" s="9">
        <f>DJ21+預測IC!DL24</f>
        <v>0.61434885789661786</v>
      </c>
      <c r="DL21" s="9">
        <f>DK21+預測IC!DM24</f>
        <v>0.65836548012756191</v>
      </c>
      <c r="DM21" s="9">
        <f>DL21+預測IC!DN24</f>
        <v>0.73672266164701405</v>
      </c>
      <c r="DN21" s="9">
        <f>DM21+預測IC!DO24</f>
        <v>0.72511754466848566</v>
      </c>
      <c r="DO21" s="9">
        <f>DN21+預測IC!DP24</f>
        <v>0.73384617236367566</v>
      </c>
      <c r="DP21" s="9">
        <f>DO21+預測IC!DQ24</f>
        <v>0.71238953691799622</v>
      </c>
      <c r="DQ21" s="9">
        <f>DP21+預測IC!DR24</f>
        <v>0.84202025002134517</v>
      </c>
      <c r="DR21" s="9">
        <f>DQ21+預測IC!DS24</f>
        <v>0.97154408939055026</v>
      </c>
      <c r="DS21" s="9">
        <f>DR21+預測IC!DT24</f>
        <v>0.99867284336872031</v>
      </c>
      <c r="DT21" s="9">
        <f>DS21+預測IC!DU24</f>
        <v>1.3739417157106923</v>
      </c>
      <c r="DU21" s="9">
        <f>DT21+預測IC!DV24</f>
        <v>1.1336171849179053</v>
      </c>
      <c r="DV21" s="9">
        <f>DU21+預測IC!DW24</f>
        <v>0.99070360713595118</v>
      </c>
      <c r="DW21" s="9">
        <f>DV21+預測IC!DX24</f>
        <v>1.0198191047928189</v>
      </c>
      <c r="DX21" s="9">
        <f>DW21+預測IC!DY24</f>
        <v>1.0105559486330609</v>
      </c>
      <c r="DY21" s="9">
        <f>DX21+預測IC!DZ24</f>
        <v>0.95903714077506208</v>
      </c>
      <c r="DZ21" s="9">
        <f>DY21+預測IC!EA24</f>
        <v>0.99322838318493512</v>
      </c>
      <c r="EA21" s="9">
        <f>DZ21+預測IC!EB24</f>
        <v>1.2114454546032505</v>
      </c>
      <c r="EB21" s="9">
        <f>EA21+預測IC!EC24</f>
        <v>1.1830166428251996</v>
      </c>
      <c r="EC21" s="9">
        <f>EB21+預測IC!ED24</f>
        <v>0.99933465632104379</v>
      </c>
      <c r="ED21" s="9">
        <f>EC21+預測IC!EE24</f>
        <v>1.0352340135171125</v>
      </c>
      <c r="EE21" s="9">
        <f>ED21+預測IC!EF24</f>
        <v>0.8740878124988346</v>
      </c>
      <c r="EF21" s="3"/>
    </row>
    <row r="22" spans="1:137" ht="16">
      <c r="A22" s="6" t="s">
        <v>159</v>
      </c>
      <c r="B22" s="9">
        <v>3.1325684581971477E-2</v>
      </c>
      <c r="C22" s="9">
        <f>B22+預測IC!D25</f>
        <v>-5.7640938152385288E-2</v>
      </c>
      <c r="D22" s="9">
        <f>C22+預測IC!E25</f>
        <v>-7.270252583935069E-2</v>
      </c>
      <c r="E22" s="9">
        <f>D22+預測IC!F25</f>
        <v>-0.11768780759911401</v>
      </c>
      <c r="F22" s="9">
        <f>E22+預測IC!G25</f>
        <v>-0.16351216263647411</v>
      </c>
      <c r="G22" s="9">
        <f>F22+預測IC!H25</f>
        <v>-0.42632240383792691</v>
      </c>
      <c r="H22" s="9">
        <f>G22+預測IC!I25</f>
        <v>-0.17061953177234979</v>
      </c>
      <c r="I22" s="9">
        <f>H22+預測IC!J25</f>
        <v>-1.5325714869366597E-2</v>
      </c>
      <c r="J22" s="9">
        <f>I22+預測IC!K25</f>
        <v>0.12728186025528831</v>
      </c>
      <c r="K22" s="9">
        <f>J22+預測IC!L25</f>
        <v>0.3597262212977505</v>
      </c>
      <c r="L22" s="9">
        <f>K22+預測IC!M25</f>
        <v>0.10127630493910811</v>
      </c>
      <c r="M22" s="9">
        <f>L22+預測IC!N25</f>
        <v>-6.2529660602829301E-2</v>
      </c>
      <c r="N22" s="9">
        <f>M22+預測IC!O25</f>
        <v>-8.1937371869598444E-2</v>
      </c>
      <c r="O22" s="9">
        <f>N22+預測IC!P25</f>
        <v>-0.14041660669885814</v>
      </c>
      <c r="P22" s="9">
        <f>O22+預測IC!Q25</f>
        <v>-3.2095027709078405E-3</v>
      </c>
      <c r="Q22" s="9">
        <f>P22+預測IC!R25</f>
        <v>-8.6337141714308827E-2</v>
      </c>
      <c r="R22" s="9">
        <f>Q22+預測IC!S25</f>
        <v>3.8964161175680564E-2</v>
      </c>
      <c r="S22" s="9">
        <f>R22+預測IC!T25</f>
        <v>2.3894461375991164E-2</v>
      </c>
      <c r="T22" s="9">
        <f>S22+預測IC!U25</f>
        <v>0.17788971212438956</v>
      </c>
      <c r="U22" s="9">
        <f>T22+預測IC!V25</f>
        <v>0.12195870795827143</v>
      </c>
      <c r="V22" s="9">
        <f>U22+預測IC!W25</f>
        <v>-9.7005073846301554E-2</v>
      </c>
      <c r="W22" s="9">
        <f>V22+預測IC!X25</f>
        <v>-0.3557080737878755</v>
      </c>
      <c r="X22" s="9">
        <f>W22+預測IC!Y25</f>
        <v>-0.43477310966338978</v>
      </c>
      <c r="Y22" s="9">
        <f>X22+預測IC!Z25</f>
        <v>-0.28713270022011617</v>
      </c>
      <c r="Z22" s="9">
        <f>Y22+預測IC!AA25</f>
        <v>-0.23038425426000586</v>
      </c>
      <c r="AA22" s="9">
        <f>Z22+預測IC!AB25</f>
        <v>-0.19939286920401375</v>
      </c>
      <c r="AB22" s="9">
        <f>AA22+預測IC!AC25</f>
        <v>-3.0638069567101051E-2</v>
      </c>
      <c r="AC22" s="9">
        <f>AB22+預測IC!AD25</f>
        <v>-3.3633361137585235E-2</v>
      </c>
      <c r="AD22" s="9">
        <f>AC22+預測IC!AE25</f>
        <v>0.24953833009577847</v>
      </c>
      <c r="AE22" s="9">
        <f>AD22+預測IC!AF25</f>
        <v>0.57419765573598969</v>
      </c>
      <c r="AF22" s="9">
        <f>AE22+預測IC!AG25</f>
        <v>0.72009154867566172</v>
      </c>
      <c r="AG22" s="9">
        <f>AF22+預測IC!AH25</f>
        <v>0.5844426283249945</v>
      </c>
      <c r="AH22" s="9">
        <f>AG22+預測IC!AI25</f>
        <v>0.81851068561312379</v>
      </c>
      <c r="AI22" s="9">
        <f>AH22+預測IC!AJ25</f>
        <v>0.86592141982764115</v>
      </c>
      <c r="AJ22" s="9">
        <f>AI22+預測IC!AK25</f>
        <v>0.95902448647437599</v>
      </c>
      <c r="AK22" s="9">
        <f>AJ22+預測IC!AL25</f>
        <v>1.0103347976568628</v>
      </c>
      <c r="AL22" s="9">
        <f>AK22+預測IC!AM25</f>
        <v>1.0433205621846922</v>
      </c>
      <c r="AM22" s="9">
        <f>AL22+預測IC!AN25</f>
        <v>0.88280042142236081</v>
      </c>
      <c r="AN22" s="9">
        <f>AM22+預測IC!AO25</f>
        <v>0.79201794189274333</v>
      </c>
      <c r="AO22" s="9">
        <f>AN22+預測IC!AP25</f>
        <v>0.80246576334029296</v>
      </c>
      <c r="AP22" s="9">
        <f>AO22+預測IC!AQ25</f>
        <v>0.626753554757286</v>
      </c>
      <c r="AQ22" s="9">
        <f>AP22+預測IC!AR25</f>
        <v>0.88021435053763009</v>
      </c>
      <c r="AR22" s="9">
        <f>AQ22+預測IC!AS25</f>
        <v>0.79855072975705987</v>
      </c>
      <c r="AS22" s="9">
        <f>AR22+預測IC!AT25</f>
        <v>0.68904482679215961</v>
      </c>
      <c r="AT22" s="9">
        <f>AS22+預測IC!AU25</f>
        <v>0.89264071797374545</v>
      </c>
      <c r="AU22" s="9">
        <f>AT22+預測IC!AV25</f>
        <v>0.39337167313215665</v>
      </c>
      <c r="AV22" s="9">
        <f>AU22+預測IC!AW25</f>
        <v>0.425285666723352</v>
      </c>
      <c r="AW22" s="9">
        <f>AV22+預測IC!AX25</f>
        <v>0.41612384232307881</v>
      </c>
      <c r="AX22" s="9">
        <f>AW22+預測IC!AY25</f>
        <v>0.83847833360795176</v>
      </c>
      <c r="AY22" s="9">
        <f>AX22+預測IC!AZ25</f>
        <v>0.77302781688894484</v>
      </c>
      <c r="AZ22" s="9">
        <f>AY22+預測IC!BA25</f>
        <v>0.98199480957266683</v>
      </c>
      <c r="BA22" s="9">
        <f>AZ22+預測IC!BB25</f>
        <v>1.058710370993089</v>
      </c>
      <c r="BB22" s="9">
        <f>BA22+預測IC!BC25</f>
        <v>1.3115795528930285</v>
      </c>
      <c r="BC22" s="9">
        <f>BB22+預測IC!BD25</f>
        <v>1.3027261894771809</v>
      </c>
      <c r="BD22" s="9">
        <f>BC22+預測IC!BE25</f>
        <v>1.3461430155931664</v>
      </c>
      <c r="BE22" s="9">
        <f>BD22+預測IC!BF25</f>
        <v>1.3055999249013255</v>
      </c>
      <c r="BF22" s="9">
        <f>BE22+預測IC!BG25</f>
        <v>1.3664760832555707</v>
      </c>
      <c r="BG22" s="9">
        <f>BF22+預測IC!BH25</f>
        <v>1.3452450183223434</v>
      </c>
      <c r="BH22" s="9">
        <f>BG22+預測IC!BI25</f>
        <v>1.3321636331106301</v>
      </c>
      <c r="BI22" s="9">
        <f>BH22+預測IC!BJ25</f>
        <v>1.2741434195659878</v>
      </c>
      <c r="BJ22" s="9">
        <f>BI22+預測IC!BK25</f>
        <v>1.3706619864241056</v>
      </c>
      <c r="BK22" s="9">
        <f>BJ22+預測IC!BL25</f>
        <v>1.3163304317265909</v>
      </c>
      <c r="BL22" s="9">
        <f>BK22+預測IC!BM25</f>
        <v>1.3174531688425155</v>
      </c>
      <c r="BM22" s="9">
        <f>BL22+預測IC!BN25</f>
        <v>1.0959899459483757</v>
      </c>
      <c r="BN22" s="9">
        <f>BM22+預測IC!BO25</f>
        <v>1.1170311792911147</v>
      </c>
      <c r="BO22" s="9">
        <f>BN22+預測IC!BP25</f>
        <v>0.86963255307286058</v>
      </c>
      <c r="BP22" s="9">
        <f>BO22+預測IC!BQ25</f>
        <v>0.87572061023546022</v>
      </c>
      <c r="BQ22" s="9">
        <f>BP22+預測IC!BR25</f>
        <v>0.50887388169871817</v>
      </c>
      <c r="BR22" s="9">
        <f>BQ22+預測IC!BS25</f>
        <v>0.38040959527862217</v>
      </c>
      <c r="BS22" s="9">
        <f>BR22+預測IC!BT25</f>
        <v>0.4077311700768349</v>
      </c>
      <c r="BT22" s="9">
        <f>BS22+預測IC!BU25</f>
        <v>0.23285073145127511</v>
      </c>
      <c r="BU22" s="9">
        <f>BT22+預測IC!BV25</f>
        <v>0.54321446721842004</v>
      </c>
      <c r="BV22" s="9">
        <f>BU22+預測IC!BW25</f>
        <v>0.49251263469306078</v>
      </c>
      <c r="BW22" s="9">
        <f>BV22+預測IC!BX25</f>
        <v>0.36833836391404079</v>
      </c>
      <c r="BX22" s="9">
        <f>BW22+預測IC!BY25</f>
        <v>0.38917291294667372</v>
      </c>
      <c r="BY22" s="9">
        <f>BX22+預測IC!BZ25</f>
        <v>0.72577124076294131</v>
      </c>
      <c r="BZ22" s="9">
        <f>BY22+預測IC!CA25</f>
        <v>0.69148762091759475</v>
      </c>
      <c r="CA22" s="9">
        <f>BZ22+預測IC!CB25</f>
        <v>0.84501206277337237</v>
      </c>
      <c r="CB22" s="9">
        <f>CA22+預測IC!CC25</f>
        <v>0.70392957161364389</v>
      </c>
      <c r="CC22" s="9">
        <f>CB22+預測IC!CD25</f>
        <v>6.3182994097091272E-2</v>
      </c>
      <c r="CD22" s="9">
        <f>CC22+預測IC!CE25</f>
        <v>0.26695018464001258</v>
      </c>
      <c r="CE22" s="9">
        <f>CD22+預測IC!CF25</f>
        <v>0.31039264967050273</v>
      </c>
      <c r="CF22" s="9">
        <f>CE22+預測IC!CG25</f>
        <v>0.23528317996810258</v>
      </c>
      <c r="CG22" s="9">
        <f>CF22+預測IC!CH25</f>
        <v>0.28853910218320022</v>
      </c>
      <c r="CH22" s="9">
        <f>CG22+預測IC!CI25</f>
        <v>0.27054706305750931</v>
      </c>
      <c r="CI22" s="9">
        <f>CH22+預測IC!CJ25</f>
        <v>0.30585113737184993</v>
      </c>
      <c r="CJ22" s="9">
        <f>CI22+預測IC!CK25</f>
        <v>0.3995630687774111</v>
      </c>
      <c r="CK22" s="9">
        <f>CJ22+預測IC!CL25</f>
        <v>0.52333370597287054</v>
      </c>
      <c r="CL22" s="9">
        <f>CK22+預測IC!CM25</f>
        <v>0.53030871498609167</v>
      </c>
      <c r="CM22" s="9">
        <f>CL22+預測IC!CN25</f>
        <v>0.83852199958884932</v>
      </c>
      <c r="CN22" s="9">
        <f>CM22+預測IC!CO25</f>
        <v>0.62221296847419616</v>
      </c>
      <c r="CO22" s="9">
        <f>CN22+預測IC!CP25</f>
        <v>0.6982070236357486</v>
      </c>
      <c r="CP22" s="9">
        <f>CO22+預測IC!CQ25</f>
        <v>0.57897884381600284</v>
      </c>
      <c r="CQ22" s="9">
        <f>CP22+預測IC!CR25</f>
        <v>0.42798067334205525</v>
      </c>
      <c r="CR22" s="9">
        <f>CQ22+預測IC!CS25</f>
        <v>0.40992524685966425</v>
      </c>
      <c r="CS22" s="9">
        <f>CR22+預測IC!CT25</f>
        <v>0.30998606814848062</v>
      </c>
      <c r="CT22" s="9">
        <f>CS22+預測IC!CU25</f>
        <v>0.10788218316132381</v>
      </c>
      <c r="CU22" s="9">
        <f>CT22+預測IC!CV25</f>
        <v>0.18698535612755235</v>
      </c>
      <c r="CV22" s="9">
        <f>CU22+預測IC!CW25</f>
        <v>0.16279906833855112</v>
      </c>
      <c r="CW22" s="9">
        <f>CV22+預測IC!CX25</f>
        <v>0.10093907519127046</v>
      </c>
      <c r="CX22" s="9">
        <f>CW22+預測IC!CY25</f>
        <v>0.38264990266529031</v>
      </c>
      <c r="CY22" s="9">
        <f>CX22+預測IC!CZ25</f>
        <v>0.44393100317993123</v>
      </c>
      <c r="CZ22" s="9">
        <f>CY22+預測IC!DA25</f>
        <v>0.96170196479989367</v>
      </c>
      <c r="DA22" s="9">
        <f>CZ22+預測IC!DB25</f>
        <v>1.8262775393971049</v>
      </c>
      <c r="DB22" s="9">
        <f>DA22+預測IC!DC25</f>
        <v>1.6683286400788517</v>
      </c>
      <c r="DC22" s="9">
        <f>DB22+預測IC!DD25</f>
        <v>1.7042499426924884</v>
      </c>
      <c r="DD22" s="9">
        <f>DC22+預測IC!DE25</f>
        <v>1.6591295862890589</v>
      </c>
      <c r="DE22" s="9">
        <f>DD22+預測IC!DF25</f>
        <v>1.766523471952345</v>
      </c>
      <c r="DF22" s="9">
        <f>DE22+預測IC!DG25</f>
        <v>1.6818231670768533</v>
      </c>
      <c r="DG22" s="9">
        <f>DF22+預測IC!DH25</f>
        <v>1.6260070900005918</v>
      </c>
      <c r="DH22" s="9">
        <f>DG22+預測IC!DI25</f>
        <v>1.4082771011293607</v>
      </c>
      <c r="DI22" s="9">
        <f>DH22+預測IC!DJ25</f>
        <v>1.5283096829532794</v>
      </c>
      <c r="DJ22" s="9">
        <f>DI22+預測IC!DK25</f>
        <v>1.5856874732784236</v>
      </c>
      <c r="DK22" s="9">
        <f>DJ22+預測IC!DL25</f>
        <v>1.5198820853284898</v>
      </c>
      <c r="DL22" s="9">
        <f>DK22+預測IC!DM25</f>
        <v>1.5446928198219512</v>
      </c>
      <c r="DM22" s="9">
        <f>DL22+預測IC!DN25</f>
        <v>1.6120771030777337</v>
      </c>
      <c r="DN22" s="9">
        <f>DM22+預測IC!DO25</f>
        <v>1.6583395098490095</v>
      </c>
      <c r="DO22" s="9">
        <f>DN22+預測IC!DP25</f>
        <v>1.6787335252721083</v>
      </c>
      <c r="DP22" s="9">
        <f>DO22+預測IC!DQ25</f>
        <v>1.727116400555289</v>
      </c>
      <c r="DQ22" s="9">
        <f>DP22+預測IC!DR25</f>
        <v>1.851033755084543</v>
      </c>
      <c r="DR22" s="9">
        <f>DQ22+預測IC!DS25</f>
        <v>2.0982283065270115</v>
      </c>
      <c r="DS22" s="9">
        <f>DR22+預測IC!DT25</f>
        <v>2.0759318494572545</v>
      </c>
      <c r="DT22" s="9">
        <f>DS22+預測IC!DU25</f>
        <v>2.6011735561103544</v>
      </c>
      <c r="DU22" s="9">
        <f>DT22+預測IC!DV25</f>
        <v>2.2997301976850233</v>
      </c>
      <c r="DV22" s="9">
        <f>DU22+預測IC!DW25</f>
        <v>2.0714479610625771</v>
      </c>
      <c r="DW22" s="9">
        <f>DV22+預測IC!DX25</f>
        <v>2.0886006245816997</v>
      </c>
      <c r="DX22" s="9">
        <f>DW22+預測IC!DY25</f>
        <v>2.08840537743612</v>
      </c>
      <c r="DY22" s="9">
        <f>DX22+預測IC!DZ25</f>
        <v>2.0128409647288548</v>
      </c>
      <c r="DZ22" s="9">
        <f>DY22+預測IC!EA25</f>
        <v>2.1062030441978234</v>
      </c>
      <c r="EA22" s="9">
        <f>DZ22+預測IC!EB25</f>
        <v>2.416588927531532</v>
      </c>
      <c r="EB22" s="9">
        <f>EA22+預測IC!EC25</f>
        <v>2.2933839845758675</v>
      </c>
      <c r="EC22" s="9">
        <f>EB22+預測IC!ED25</f>
        <v>2.0990607060539483</v>
      </c>
      <c r="ED22" s="9">
        <f>EC22+預測IC!EE25</f>
        <v>2.1686062641489348</v>
      </c>
      <c r="EE22" s="9">
        <f>ED22+預測IC!EF25</f>
        <v>2.0853344873994519</v>
      </c>
      <c r="EF22" s="3"/>
    </row>
    <row r="23" spans="1:137" ht="16">
      <c r="A23" s="6" t="s">
        <v>160</v>
      </c>
      <c r="B23" s="9">
        <v>2.776696731044102E-2</v>
      </c>
      <c r="C23" s="9">
        <f>B23+預測IC!D26</f>
        <v>-5.4221411859182875E-2</v>
      </c>
      <c r="D23" s="9">
        <f>C23+預測IC!E26</f>
        <v>2.7658922751214621E-2</v>
      </c>
      <c r="E23" s="9">
        <f>D23+預測IC!F26</f>
        <v>-0.18273881291871588</v>
      </c>
      <c r="F23" s="9">
        <f>E23+預測IC!G26</f>
        <v>-0.2389603253411855</v>
      </c>
      <c r="G23" s="9">
        <f>F23+預測IC!H26</f>
        <v>-0.58978251667222437</v>
      </c>
      <c r="H23" s="9">
        <f>G23+預測IC!I26</f>
        <v>-0.34939627190130856</v>
      </c>
      <c r="I23" s="9">
        <f>H23+預測IC!J26</f>
        <v>-0.34536054696204893</v>
      </c>
      <c r="J23" s="9">
        <f>I23+預測IC!K26</f>
        <v>-0.29491621096856024</v>
      </c>
      <c r="K23" s="9">
        <f>J23+預測IC!L26</f>
        <v>3.884323350708635E-2</v>
      </c>
      <c r="L23" s="9">
        <f>K23+預測IC!M26</f>
        <v>-0.10797610539242214</v>
      </c>
      <c r="M23" s="9">
        <f>L23+預測IC!N26</f>
        <v>-0.15348914228968807</v>
      </c>
      <c r="N23" s="9">
        <f>M23+預測IC!O26</f>
        <v>-0.11684035155014434</v>
      </c>
      <c r="O23" s="9">
        <f>N23+預測IC!P26</f>
        <v>-9.3047309312204576E-2</v>
      </c>
      <c r="P23" s="9">
        <f>O23+預測IC!Q26</f>
        <v>-0.15157366454108107</v>
      </c>
      <c r="Q23" s="9">
        <f>P23+預測IC!R26</f>
        <v>-0.35729316348767803</v>
      </c>
      <c r="R23" s="9">
        <f>Q23+預測IC!S26</f>
        <v>-0.19514499236746963</v>
      </c>
      <c r="S23" s="9">
        <f>R23+預測IC!T26</f>
        <v>-0.18645702229628708</v>
      </c>
      <c r="T23" s="9">
        <f>S23+預測IC!U26</f>
        <v>0.12673902344688731</v>
      </c>
      <c r="U23" s="9">
        <f>T23+預測IC!V26</f>
        <v>0.24660989458286361</v>
      </c>
      <c r="V23" s="9">
        <f>U23+預測IC!W26</f>
        <v>-0.11185349767203559</v>
      </c>
      <c r="W23" s="9">
        <f>V23+預測IC!X26</f>
        <v>-0.50623377335570696</v>
      </c>
      <c r="X23" s="9">
        <f>W23+預測IC!Y26</f>
        <v>-0.49201246063263088</v>
      </c>
      <c r="Y23" s="9">
        <f>X23+預測IC!Z26</f>
        <v>-0.34160253494384119</v>
      </c>
      <c r="Z23" s="9">
        <f>Y23+預測IC!AA26</f>
        <v>-0.560147114634996</v>
      </c>
      <c r="AA23" s="9">
        <f>Z23+預測IC!AB26</f>
        <v>-0.25975332107801352</v>
      </c>
      <c r="AB23" s="9">
        <f>AA23+預測IC!AC26</f>
        <v>0.14199401276894108</v>
      </c>
      <c r="AC23" s="9">
        <f>AB23+預測IC!AD26</f>
        <v>8.2071865958121992E-2</v>
      </c>
      <c r="AD23" s="9">
        <f>AC23+預測IC!AE26</f>
        <v>7.4380836325339206E-2</v>
      </c>
      <c r="AE23" s="9">
        <f>AD23+預測IC!AF26</f>
        <v>0.56977024912950114</v>
      </c>
      <c r="AF23" s="9">
        <f>AE23+預測IC!AG26</f>
        <v>0.94982564171229722</v>
      </c>
      <c r="AG23" s="9">
        <f>AF23+預測IC!AH26</f>
        <v>0.64770288510572194</v>
      </c>
      <c r="AH23" s="9">
        <f>AG23+預測IC!AI26</f>
        <v>0.86790592310458026</v>
      </c>
      <c r="AI23" s="9">
        <f>AH23+預測IC!AJ26</f>
        <v>0.82484576642122531</v>
      </c>
      <c r="AJ23" s="9">
        <f>AI23+預測IC!AK26</f>
        <v>0.89930786127507978</v>
      </c>
      <c r="AK23" s="9">
        <f>AJ23+預測IC!AL26</f>
        <v>1.0067622875808213</v>
      </c>
      <c r="AL23" s="9">
        <f>AK23+預測IC!AM26</f>
        <v>1.0154976563136375</v>
      </c>
      <c r="AM23" s="9">
        <f>AL23+預測IC!AN26</f>
        <v>0.90483688437808707</v>
      </c>
      <c r="AN23" s="9">
        <f>AM23+預測IC!AO26</f>
        <v>0.80193118180029754</v>
      </c>
      <c r="AO23" s="9">
        <f>AN23+預測IC!AP26</f>
        <v>1.2183397156900082</v>
      </c>
      <c r="AP23" s="9">
        <f>AO23+預測IC!AQ26</f>
        <v>0.86184778399249007</v>
      </c>
      <c r="AQ23" s="9">
        <f>AP23+預測IC!AR26</f>
        <v>0.8821986284853045</v>
      </c>
      <c r="AR23" s="9">
        <f>AQ23+預測IC!AS26</f>
        <v>0.87891185477868172</v>
      </c>
      <c r="AS23" s="9">
        <f>AR23+預測IC!AT26</f>
        <v>0.72814287485300089</v>
      </c>
      <c r="AT23" s="9">
        <f>AS23+預測IC!AU26</f>
        <v>0.95798389053242072</v>
      </c>
      <c r="AU23" s="9">
        <f>AT23+預測IC!AV26</f>
        <v>0.93097093664222264</v>
      </c>
      <c r="AV23" s="9">
        <f>AU23+預測IC!AW26</f>
        <v>1.0416636780735817</v>
      </c>
      <c r="AW23" s="9">
        <f>AV23+預測IC!AX26</f>
        <v>0.95410130652485792</v>
      </c>
      <c r="AX23" s="9">
        <f>AW23+預測IC!AY26</f>
        <v>0.80286777996627723</v>
      </c>
      <c r="AY23" s="9">
        <f>AX23+預測IC!AZ26</f>
        <v>0.66769300159802447</v>
      </c>
      <c r="AZ23" s="9">
        <f>AY23+預測IC!BA26</f>
        <v>0.8398617813464293</v>
      </c>
      <c r="BA23" s="9">
        <f>AZ23+預測IC!BB26</f>
        <v>0.93727343295384835</v>
      </c>
      <c r="BB23" s="9">
        <f>BA23+預測IC!BC26</f>
        <v>0.93290656333946498</v>
      </c>
      <c r="BC23" s="9">
        <f>BB23+預測IC!BD26</f>
        <v>0.92444395291074888</v>
      </c>
      <c r="BD23" s="9">
        <f>BC23+預測IC!BE26</f>
        <v>0.69911853587824435</v>
      </c>
      <c r="BE23" s="9">
        <f>BD23+預測IC!BF26</f>
        <v>0.70442575388753714</v>
      </c>
      <c r="BF23" s="9">
        <f>BE23+預測IC!BG26</f>
        <v>0.94256776619140636</v>
      </c>
      <c r="BG23" s="9">
        <f>BF23+預測IC!BH26</f>
        <v>1.3271261894802571</v>
      </c>
      <c r="BH23" s="9">
        <f>BG23+預測IC!BI26</f>
        <v>1.3400151882962543</v>
      </c>
      <c r="BI23" s="9">
        <f>BH23+預測IC!BJ26</f>
        <v>1.4005824426187137</v>
      </c>
      <c r="BJ23" s="9">
        <f>BI23+預測IC!BK26</f>
        <v>1.5366782470502871</v>
      </c>
      <c r="BK23" s="9">
        <f>BJ23+預測IC!BL26</f>
        <v>1.351656425935877</v>
      </c>
      <c r="BL23" s="9">
        <f>BK23+預測IC!BM26</f>
        <v>1.2668734860968887</v>
      </c>
      <c r="BM23" s="9">
        <f>BL23+預測IC!BN26</f>
        <v>1.2469833276176689</v>
      </c>
      <c r="BN23" s="9">
        <f>BM23+預測IC!BO26</f>
        <v>1.3061360204527097</v>
      </c>
      <c r="BO23" s="9">
        <f>BN23+預測IC!BP26</f>
        <v>0.73894740614566157</v>
      </c>
      <c r="BP23" s="9">
        <f>BO23+預測IC!BQ26</f>
        <v>0.7087276538513565</v>
      </c>
      <c r="BQ23" s="9">
        <f>BP23+預測IC!BR26</f>
        <v>0.24310862292344487</v>
      </c>
      <c r="BR23" s="9">
        <f>BQ23+預測IC!BS26</f>
        <v>-5.5885615202259709E-2</v>
      </c>
      <c r="BS23" s="9">
        <f>BR23+預測IC!BT26</f>
        <v>-4.2320337241313816E-2</v>
      </c>
      <c r="BT23" s="9">
        <f>BS23+預測IC!BU26</f>
        <v>-0.46633364626206641</v>
      </c>
      <c r="BU23" s="9">
        <f>BT23+預測IC!BV26</f>
        <v>0.11103314561037803</v>
      </c>
      <c r="BV23" s="9">
        <f>BU23+預測IC!BW26</f>
        <v>-1.5234276990910567E-2</v>
      </c>
      <c r="BW23" s="9">
        <f>BV23+預測IC!BX26</f>
        <v>-0.13071012638982987</v>
      </c>
      <c r="BX23" s="9">
        <f>BW23+預測IC!BY26</f>
        <v>-0.19292655933742725</v>
      </c>
      <c r="BY23" s="9">
        <f>BX23+預測IC!BZ26</f>
        <v>-1.8402191203550161E-2</v>
      </c>
      <c r="BZ23" s="9">
        <f>BY23+預測IC!CA26</f>
        <v>-0.10375432999078329</v>
      </c>
      <c r="CA23" s="9">
        <f>BZ23+預測IC!CB26</f>
        <v>-3.9627246834741212E-2</v>
      </c>
      <c r="CB23" s="9">
        <f>CA23+預測IC!CC26</f>
        <v>-0.25302142786383169</v>
      </c>
      <c r="CC23" s="9">
        <f>CB23+預測IC!CD26</f>
        <v>-0.9443533964532147</v>
      </c>
      <c r="CD23" s="9">
        <f>CC23+預測IC!CE26</f>
        <v>-0.95596730147115139</v>
      </c>
      <c r="CE23" s="9">
        <f>CD23+預測IC!CF26</f>
        <v>-1.1765670711581315</v>
      </c>
      <c r="CF23" s="9">
        <f>CE23+預測IC!CG26</f>
        <v>-1.4371658043496087</v>
      </c>
      <c r="CG23" s="9">
        <f>CF23+預測IC!CH26</f>
        <v>-1.2540130416656075</v>
      </c>
      <c r="CH23" s="9">
        <f>CG23+預測IC!CI26</f>
        <v>-1.3989525436040919</v>
      </c>
      <c r="CI23" s="9">
        <f>CH23+預測IC!CJ26</f>
        <v>-1.1131493394976171</v>
      </c>
      <c r="CJ23" s="9">
        <f>CI23+預測IC!CK26</f>
        <v>-1.0427416490867512</v>
      </c>
      <c r="CK23" s="9">
        <f>CJ23+預測IC!CL26</f>
        <v>-0.9571207705830409</v>
      </c>
      <c r="CL23" s="9">
        <f>CK23+預測IC!CM26</f>
        <v>-0.91243223225910897</v>
      </c>
      <c r="CM23" s="9">
        <f>CL23+預測IC!CN26</f>
        <v>-0.34330973321275227</v>
      </c>
      <c r="CN23" s="9">
        <f>CM23+預測IC!CO26</f>
        <v>-0.8156227264091418</v>
      </c>
      <c r="CO23" s="9">
        <f>CN23+預測IC!CP26</f>
        <v>-0.85504761241476479</v>
      </c>
      <c r="CP23" s="9">
        <f>CO23+預測IC!CQ26</f>
        <v>-0.80360758442181113</v>
      </c>
      <c r="CQ23" s="9">
        <f>CP23+預測IC!CR26</f>
        <v>-0.94139504047051425</v>
      </c>
      <c r="CR23" s="9">
        <f>CQ23+預測IC!CS26</f>
        <v>-0.68459121764719733</v>
      </c>
      <c r="CS23" s="9">
        <f>CR23+預測IC!CT26</f>
        <v>-0.78668382111395097</v>
      </c>
      <c r="CT23" s="9">
        <f>CS23+預測IC!CU26</f>
        <v>-0.83941286592760578</v>
      </c>
      <c r="CU23" s="9">
        <f>CT23+預測IC!CV26</f>
        <v>-0.74968703076895749</v>
      </c>
      <c r="CV23" s="9">
        <f>CU23+預測IC!CW26</f>
        <v>-0.98468024604180349</v>
      </c>
      <c r="CW23" s="9">
        <f>CV23+預測IC!CX26</f>
        <v>-1.1313748717120911</v>
      </c>
      <c r="CX23" s="9">
        <f>CW23+預測IC!CY26</f>
        <v>-0.77114682494335329</v>
      </c>
      <c r="CY23" s="9">
        <f>CX23+預測IC!CZ26</f>
        <v>-0.60903991506519306</v>
      </c>
      <c r="CZ23" s="9">
        <f>CY23+預測IC!DA26</f>
        <v>0.20398248184177037</v>
      </c>
      <c r="DA23" s="9">
        <f>CZ23+預測IC!DB26</f>
        <v>1.1520920712217395</v>
      </c>
      <c r="DB23" s="9">
        <f>DA23+預測IC!DC26</f>
        <v>0.86936229249322139</v>
      </c>
      <c r="DC23" s="9">
        <f>DB23+預測IC!DD26</f>
        <v>0.8988553109089843</v>
      </c>
      <c r="DD23" s="9">
        <f>DC23+預測IC!DE26</f>
        <v>0.78759015336804628</v>
      </c>
      <c r="DE23" s="9">
        <f>DD23+預測IC!DF26</f>
        <v>0.88827740851332648</v>
      </c>
      <c r="DF23" s="9">
        <f>DE23+預測IC!DG26</f>
        <v>0.66955699607515684</v>
      </c>
      <c r="DG23" s="9">
        <f>DF23+預測IC!DH26</f>
        <v>0.58680948428950375</v>
      </c>
      <c r="DH23" s="9">
        <f>DG23+預測IC!DI26</f>
        <v>0.21066044274332096</v>
      </c>
      <c r="DI23" s="9">
        <f>DH23+預測IC!DJ26</f>
        <v>0.44003031727441033</v>
      </c>
      <c r="DJ23" s="9">
        <f>DI23+預測IC!DK26</f>
        <v>0.6600849009357912</v>
      </c>
      <c r="DK23" s="9">
        <f>DJ23+預測IC!DL26</f>
        <v>0.50682350529341713</v>
      </c>
      <c r="DL23" s="9">
        <f>DK23+預測IC!DM26</f>
        <v>0.37577963459276531</v>
      </c>
      <c r="DM23" s="9">
        <f>DL23+預測IC!DN26</f>
        <v>0.45145702294844037</v>
      </c>
      <c r="DN23" s="9">
        <f>DM23+預測IC!DO26</f>
        <v>0.50379454805667057</v>
      </c>
      <c r="DO23" s="9">
        <f>DN23+預測IC!DP26</f>
        <v>0.51570879592091723</v>
      </c>
      <c r="DP23" s="9">
        <f>DO23+預測IC!DQ26</f>
        <v>0.56452427846896169</v>
      </c>
      <c r="DQ23" s="9">
        <f>DP23+預測IC!DR26</f>
        <v>0.91179844812298816</v>
      </c>
      <c r="DR23" s="9">
        <f>DQ23+預測IC!DS26</f>
        <v>1.0558054229618024</v>
      </c>
      <c r="DS23" s="9">
        <f>DR23+預測IC!DT26</f>
        <v>1.026369696572939</v>
      </c>
      <c r="DT23" s="9">
        <f>DS23+預測IC!DU26</f>
        <v>1.7969130043288977</v>
      </c>
      <c r="DU23" s="9">
        <f>DT23+預測IC!DV26</f>
        <v>1.4754141149494111</v>
      </c>
      <c r="DV23" s="9">
        <f>DU23+預測IC!DW26</f>
        <v>1.2487567443354048</v>
      </c>
      <c r="DW23" s="9">
        <f>DV23+預測IC!DX26</f>
        <v>1.2768990669026654</v>
      </c>
      <c r="DX23" s="9">
        <f>DW23+預測IC!DY26</f>
        <v>1.4426862810341046</v>
      </c>
      <c r="DY23" s="9">
        <f>DX23+預測IC!DZ26</f>
        <v>1.5009895742663846</v>
      </c>
      <c r="DZ23" s="9">
        <f>DY23+預測IC!EA26</f>
        <v>1.5241610761130595</v>
      </c>
      <c r="EA23" s="9">
        <f>DZ23+預測IC!EB26</f>
        <v>2.1899686710904898</v>
      </c>
      <c r="EB23" s="9">
        <f>EA23+預測IC!EC26</f>
        <v>1.9333172911269634</v>
      </c>
      <c r="EC23" s="9">
        <f>EB23+預測IC!ED26</f>
        <v>1.8487771985596986</v>
      </c>
      <c r="ED23" s="9">
        <f>EC23+預測IC!EE26</f>
        <v>1.8131132156887337</v>
      </c>
      <c r="EE23" s="9">
        <f>ED23+預測IC!EF26</f>
        <v>1.6841554426102954</v>
      </c>
      <c r="EF23" s="3"/>
    </row>
    <row r="24" spans="1:137" ht="16">
      <c r="A24" s="6" t="s">
        <v>141</v>
      </c>
      <c r="B24" s="22">
        <v>-1.7446770539390338E-2</v>
      </c>
      <c r="C24" s="33">
        <f>B24+預測IC!D27</f>
        <v>3.2542899924252917E-3</v>
      </c>
      <c r="D24" s="33">
        <f>C24+預測IC!E27</f>
        <v>2.7236419247192001E-2</v>
      </c>
      <c r="E24" s="33">
        <f>D24+預測IC!F27</f>
        <v>2.0678840274368924E-2</v>
      </c>
      <c r="F24" s="33">
        <f>E24+預測IC!G27</f>
        <v>5.2523970074888612E-2</v>
      </c>
      <c r="G24" s="33">
        <f>F24+預測IC!H27</f>
        <v>8.6872502811879138E-2</v>
      </c>
      <c r="H24" s="33">
        <f>G24+預測IC!I27</f>
        <v>7.8617570030553904E-2</v>
      </c>
      <c r="I24" s="33">
        <f>H24+預測IC!J27</f>
        <v>9.1461094424606662E-2</v>
      </c>
      <c r="J24" s="33">
        <f>I24+預測IC!K27</f>
        <v>4.0442569797815839E-2</v>
      </c>
      <c r="K24" s="33">
        <f>J24+預測IC!L27</f>
        <v>4.1316512538852428E-2</v>
      </c>
      <c r="L24" s="33">
        <f>K24+預測IC!M27</f>
        <v>6.4706088044348353E-2</v>
      </c>
      <c r="M24" s="33">
        <f>L24+預測IC!N27</f>
        <v>7.7695060244681202E-2</v>
      </c>
      <c r="N24" s="33">
        <f>M24+預測IC!O27</f>
        <v>8.3549648970316082E-2</v>
      </c>
      <c r="O24" s="33">
        <f>N24+預測IC!P27</f>
        <v>0.11096285554210664</v>
      </c>
      <c r="P24" s="33">
        <f>O24+預測IC!Q27</f>
        <v>0.10724991942441378</v>
      </c>
      <c r="Q24" s="33">
        <f>P24+預測IC!R27</f>
        <v>0.13132653347223711</v>
      </c>
      <c r="R24" s="33">
        <f>Q24+預測IC!S27</f>
        <v>0.11913650817319715</v>
      </c>
      <c r="S24" s="33">
        <f>R24+預測IC!T27</f>
        <v>7.9386930013607554E-2</v>
      </c>
      <c r="T24" s="33">
        <f>S24+預測IC!U27</f>
        <v>6.2314801819580018E-3</v>
      </c>
      <c r="U24" s="33">
        <f>T24+預測IC!V27</f>
        <v>-5.2028749728156659E-2</v>
      </c>
      <c r="V24" s="33">
        <f>U24+預測IC!W27</f>
        <v>-5.1255952162648284E-2</v>
      </c>
      <c r="W24" s="33">
        <f>V24+預測IC!X27</f>
        <v>-6.6644310274293142E-3</v>
      </c>
      <c r="X24" s="33">
        <f>W24+預測IC!Y27</f>
        <v>-3.4364111077642409E-2</v>
      </c>
      <c r="Y24" s="33">
        <f>X24+預測IC!Z27</f>
        <v>-3.226910512789876E-2</v>
      </c>
      <c r="Z24" s="33">
        <f>Y24+預測IC!AA27</f>
        <v>-5.5669656120462874E-2</v>
      </c>
      <c r="AA24" s="33">
        <f>Z24+預測IC!AB27</f>
        <v>-2.3540285023140685E-2</v>
      </c>
      <c r="AB24" s="33">
        <f>AA24+預測IC!AC27</f>
        <v>1.5362988070925745E-2</v>
      </c>
      <c r="AC24" s="33">
        <f>AB24+預測IC!AD27</f>
        <v>-2.7502394100178525E-2</v>
      </c>
      <c r="AD24" s="33">
        <f>AC24+預測IC!AE27</f>
        <v>-8.8551995500263658E-3</v>
      </c>
      <c r="AE24" s="33">
        <f>AD24+預測IC!AF27</f>
        <v>6.3745687725025833E-3</v>
      </c>
      <c r="AF24" s="33">
        <f>AE24+預測IC!AG27</f>
        <v>4.2391172551395004E-2</v>
      </c>
      <c r="AG24" s="33">
        <f>AF24+預測IC!AH27</f>
        <v>5.174578393671117E-2</v>
      </c>
      <c r="AH24" s="33">
        <f>AG24+預測IC!AI27</f>
        <v>6.2494035273549312E-2</v>
      </c>
      <c r="AI24" s="33">
        <f>AH24+預測IC!AJ27</f>
        <v>7.5851789326630281E-2</v>
      </c>
      <c r="AJ24" s="33">
        <f>AI24+預測IC!AK27</f>
        <v>7.0519041997534893E-2</v>
      </c>
      <c r="AK24" s="33">
        <f>AJ24+預測IC!AL27</f>
        <v>7.1902177804796574E-2</v>
      </c>
      <c r="AL24" s="33">
        <f>AK24+預測IC!AM27</f>
        <v>9.2698106224871041E-2</v>
      </c>
      <c r="AM24" s="33">
        <f>AL24+預測IC!AN27</f>
        <v>0.12421580844526167</v>
      </c>
      <c r="AN24" s="33">
        <f>AM24+預測IC!AO27</f>
        <v>0.13045752497859112</v>
      </c>
      <c r="AO24" s="33">
        <f>AN24+預測IC!AP27</f>
        <v>0.13660278663216249</v>
      </c>
      <c r="AP24" s="33">
        <f>AO24+預測IC!AQ27</f>
        <v>0.15354914430885899</v>
      </c>
      <c r="AQ24" s="33">
        <f>AP24+預測IC!AR27</f>
        <v>0.18823197476316722</v>
      </c>
      <c r="AR24" s="33">
        <f>AQ24+預測IC!AS27</f>
        <v>0.19133056338036419</v>
      </c>
      <c r="AS24" s="33">
        <f>AR24+預測IC!AT27</f>
        <v>0.2064119105238503</v>
      </c>
      <c r="AT24" s="33">
        <f>AS24+預測IC!AU27</f>
        <v>0.18716070129398632</v>
      </c>
      <c r="AU24" s="33">
        <f>AT24+預測IC!AV27</f>
        <v>0.22587221468161775</v>
      </c>
      <c r="AV24" s="33">
        <f>AU24+預測IC!AW27</f>
        <v>0.20401526354588115</v>
      </c>
      <c r="AW24" s="33">
        <f>AV24+預測IC!AX27</f>
        <v>0.21178956425567083</v>
      </c>
      <c r="AX24" s="33">
        <f>AW24+預測IC!AY27</f>
        <v>0.25418681095099677</v>
      </c>
      <c r="AY24" s="33">
        <f>AX24+預測IC!AZ27</f>
        <v>0.22787783608983703</v>
      </c>
      <c r="AZ24" s="33">
        <f>AY24+預測IC!BA27</f>
        <v>0.23744958539855326</v>
      </c>
      <c r="BA24" s="33">
        <f>AZ24+預測IC!BB27</f>
        <v>0.21319984413227844</v>
      </c>
      <c r="BB24" s="33">
        <f>BA24+預測IC!BC27</f>
        <v>0.23336321827619427</v>
      </c>
      <c r="BC24" s="33">
        <f>BB24+預測IC!BD27</f>
        <v>0.22985821949407825</v>
      </c>
      <c r="BD24" s="33">
        <f>BC24+預測IC!BE27</f>
        <v>0.25001015459262055</v>
      </c>
      <c r="BE24" s="33">
        <f>BD24+預測IC!BF27</f>
        <v>0.25059149082339083</v>
      </c>
      <c r="BF24" s="33">
        <f>BE24+預測IC!BG27</f>
        <v>0.24537178987013822</v>
      </c>
      <c r="BG24" s="33">
        <f>BF24+預測IC!BH27</f>
        <v>0.12950002846800823</v>
      </c>
      <c r="BH24" s="33">
        <f>BG24+預測IC!BI27</f>
        <v>0.13822525416044559</v>
      </c>
      <c r="BI24" s="33">
        <f>BH24+預測IC!BJ27</f>
        <v>0.12184799318262345</v>
      </c>
      <c r="BJ24" s="33">
        <f>BI24+預測IC!BK27</f>
        <v>0.14268836478288388</v>
      </c>
      <c r="BK24" s="33">
        <f>BJ24+預測IC!BL27</f>
        <v>0.18766423688499859</v>
      </c>
      <c r="BL24" s="33">
        <f>BK24+預測IC!BM27</f>
        <v>0.21161854296686244</v>
      </c>
      <c r="BM24" s="33">
        <f>BL24+預測IC!BN27</f>
        <v>0.24185764435830504</v>
      </c>
      <c r="BN24" s="33">
        <f>BM24+預測IC!BO27</f>
        <v>0.19813175676721753</v>
      </c>
      <c r="BO24" s="33">
        <f>BN24+預測IC!BP27</f>
        <v>0.22002122633541615</v>
      </c>
      <c r="BP24" s="33">
        <f>BO24+預測IC!BQ27</f>
        <v>0.22864865659892455</v>
      </c>
      <c r="BQ24" s="33">
        <f>BP24+預測IC!BR27</f>
        <v>0.20945570260426577</v>
      </c>
      <c r="BR24" s="33">
        <f>BQ24+預測IC!BS27</f>
        <v>0.22919083249239883</v>
      </c>
      <c r="BS24" s="33">
        <f>BR24+預測IC!BT27</f>
        <v>0.27688516997609824</v>
      </c>
      <c r="BT24" s="33">
        <f>BS24+預測IC!BU27</f>
        <v>0.28833998678268163</v>
      </c>
      <c r="BU24" s="33">
        <f>BT24+預測IC!BV27</f>
        <v>0.33156860751789485</v>
      </c>
      <c r="BV24" s="33">
        <f>BU24+預測IC!BW27</f>
        <v>0.28882117708097205</v>
      </c>
      <c r="BW24" s="33">
        <f>BV24+預測IC!BX27</f>
        <v>0.27100988465317749</v>
      </c>
      <c r="BX24" s="33">
        <f>BW24+預測IC!BY27</f>
        <v>0.11985678778410189</v>
      </c>
      <c r="BY24" s="33">
        <f>BX24+預測IC!BZ27</f>
        <v>0.24408079140367717</v>
      </c>
      <c r="BZ24" s="33">
        <f>BY24+預測IC!CA27</f>
        <v>0.23952353755914751</v>
      </c>
      <c r="CA24" s="33">
        <f>BZ24+預測IC!CB27</f>
        <v>0.29973477776405871</v>
      </c>
      <c r="CB24" s="33">
        <f>CA24+預測IC!CC27</f>
        <v>0.385726811246561</v>
      </c>
      <c r="CC24" s="33">
        <f>CB24+預測IC!CD27</f>
        <v>0.37991833166419492</v>
      </c>
      <c r="CD24" s="33">
        <f>CC24+預測IC!CE27</f>
        <v>0.37387698467522684</v>
      </c>
      <c r="CE24" s="33">
        <f>CD24+預測IC!CF27</f>
        <v>0.37632930904747891</v>
      </c>
      <c r="CF24" s="33">
        <f>CE24+預測IC!CG27</f>
        <v>0.46596556098450181</v>
      </c>
      <c r="CG24" s="33">
        <f>CF24+預測IC!CH27</f>
        <v>0.53695829351125968</v>
      </c>
      <c r="CH24" s="33">
        <f>CG24+預測IC!CI27</f>
        <v>0.56412893641304307</v>
      </c>
      <c r="CI24" s="33">
        <f>CH24+預測IC!CJ27</f>
        <v>0.61659736483837313</v>
      </c>
      <c r="CJ24" s="33">
        <f>CI24+預測IC!CK27</f>
        <v>0.64607802578142259</v>
      </c>
      <c r="CK24" s="33">
        <f>CJ24+預測IC!CL27</f>
        <v>0.71290310684162383</v>
      </c>
      <c r="CL24" s="33">
        <f>CK24+預測IC!CM27</f>
        <v>0.68413087782180682</v>
      </c>
      <c r="CM24" s="33">
        <f>CL24+預測IC!CN27</f>
        <v>0.72359339372344467</v>
      </c>
      <c r="CN24" s="33">
        <f>CM24+預測IC!CO27</f>
        <v>0.69456230674608477</v>
      </c>
      <c r="CO24" s="33">
        <f>CN24+預測IC!CP27</f>
        <v>0.70854618926555268</v>
      </c>
      <c r="CP24" s="33">
        <f>CO24+預測IC!CQ27</f>
        <v>0.67626922430621883</v>
      </c>
      <c r="CQ24" s="33">
        <f>CP24+預測IC!CR27</f>
        <v>0.6793728009191129</v>
      </c>
      <c r="CR24" s="33">
        <f>CQ24+預測IC!CS27</f>
        <v>0.70496465668619601</v>
      </c>
      <c r="CS24" s="33">
        <f>CR24+預測IC!CT27</f>
        <v>0.74935654297338927</v>
      </c>
      <c r="CT24" s="33">
        <f>CS24+預測IC!CU27</f>
        <v>0.71901758442381181</v>
      </c>
      <c r="CU24" s="33">
        <f>CT24+預測IC!CV27</f>
        <v>0.7177596079692401</v>
      </c>
      <c r="CV24" s="33">
        <f>CU24+預測IC!CW27</f>
        <v>0.72009596442509805</v>
      </c>
      <c r="CW24" s="33">
        <f>CV24+預測IC!CX27</f>
        <v>0.655831819499192</v>
      </c>
      <c r="CX24" s="33">
        <f>CW24+預測IC!CY27</f>
        <v>0.66874159895818441</v>
      </c>
      <c r="CY24" s="33">
        <f>CX24+預測IC!CZ27</f>
        <v>0.54326450428732564</v>
      </c>
      <c r="CZ24" s="33">
        <f>CY24+預測IC!DA27</f>
        <v>0.55495518722711823</v>
      </c>
      <c r="DA24" s="33">
        <f>CZ24+預測IC!DB27</f>
        <v>0.56129303092785998</v>
      </c>
      <c r="DB24" s="33">
        <f>DA24+預測IC!DC27</f>
        <v>0.44398767445847448</v>
      </c>
      <c r="DC24" s="33">
        <f>DB24+預測IC!DD27</f>
        <v>0.40797680240902789</v>
      </c>
      <c r="DD24" s="33">
        <f>DC24+預測IC!DE27</f>
        <v>0.54688810648129582</v>
      </c>
      <c r="DE24" s="33">
        <f>DD24+預測IC!DF27</f>
        <v>0.49574460025519007</v>
      </c>
      <c r="DF24" s="33">
        <f>DE24+預測IC!DG27</f>
        <v>0.57247604743715907</v>
      </c>
      <c r="DG24" s="33">
        <f>DF24+預測IC!DH27</f>
        <v>0.58798482963416721</v>
      </c>
      <c r="DH24" s="33">
        <f>DG24+預測IC!DI27</f>
        <v>0.61120860330892302</v>
      </c>
      <c r="DI24" s="33">
        <f>DH24+預測IC!DJ27</f>
        <v>0.59283572694769515</v>
      </c>
      <c r="DJ24" s="33">
        <f>DI24+預測IC!DK27</f>
        <v>0.65503474103279458</v>
      </c>
      <c r="DK24" s="33">
        <f>DJ24+預測IC!DL27</f>
        <v>0.67513304551975173</v>
      </c>
      <c r="DL24" s="33">
        <f>DK24+預測IC!DM27</f>
        <v>0.68863198526781977</v>
      </c>
      <c r="DM24" s="33">
        <f>DL24+預測IC!DN27</f>
        <v>0.65837977253939894</v>
      </c>
      <c r="DN24" s="33">
        <f>DM24+預測IC!DO27</f>
        <v>0.64135693683134509</v>
      </c>
      <c r="DO24" s="33">
        <f>DN24+預測IC!DP27</f>
        <v>0.61956841355888315</v>
      </c>
      <c r="DP24" s="33">
        <f>DO24+預測IC!DQ27</f>
        <v>0.70531403814402038</v>
      </c>
      <c r="DQ24" s="33">
        <f>DP24+預測IC!DR27</f>
        <v>0.73342078174899417</v>
      </c>
      <c r="DR24" s="33">
        <f>DQ24+預測IC!DS27</f>
        <v>0.73111762194163477</v>
      </c>
      <c r="DS24" s="33">
        <f>DR24+預測IC!DT27</f>
        <v>0.78958882007312226</v>
      </c>
      <c r="DT24" s="33">
        <f>DS24+預測IC!DU27</f>
        <v>0.85724776912176992</v>
      </c>
      <c r="DU24" s="33">
        <f>DT24+預測IC!DV27</f>
        <v>0.86226853976220219</v>
      </c>
      <c r="DV24" s="33">
        <f>DU24+預測IC!DW27</f>
        <v>0.89968472343740924</v>
      </c>
      <c r="DW24" s="33">
        <f>DV24+預測IC!DX27</f>
        <v>0.98379572718345132</v>
      </c>
      <c r="DX24" s="33">
        <f>DW24+預測IC!DY27</f>
        <v>0.94696332863943844</v>
      </c>
      <c r="DY24" s="33">
        <f>DX24+預測IC!DZ27</f>
        <v>0.95005503145637549</v>
      </c>
      <c r="DZ24" s="33">
        <f>DY24+預測IC!EA27</f>
        <v>0.94809740324208092</v>
      </c>
      <c r="EA24" s="33">
        <f>DZ24+預測IC!EB27</f>
        <v>0.97455650684560069</v>
      </c>
      <c r="EB24" s="33">
        <f>EA24+預測IC!EC27</f>
        <v>0.94980396808491041</v>
      </c>
      <c r="EC24" s="33">
        <f>EB24+預測IC!ED27</f>
        <v>0.98391945906747036</v>
      </c>
      <c r="ED24" s="33">
        <f>EC24+預測IC!EE27</f>
        <v>1.0049814330565034</v>
      </c>
      <c r="EE24" s="33">
        <f>ED24+預測IC!EF27</f>
        <v>0.98470404035049752</v>
      </c>
      <c r="EF24" s="28"/>
      <c r="EG24" s="3"/>
    </row>
  </sheetData>
  <mergeCells count="1">
    <mergeCell ref="A9:B9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E5C5-1F38-4272-ACE3-8D57C4FF35CA}">
  <dimension ref="A1:EF23"/>
  <sheetViews>
    <sheetView topLeftCell="DI1" zoomScale="81" workbookViewId="0">
      <selection activeCell="EA39" sqref="EA39"/>
    </sheetView>
  </sheetViews>
  <sheetFormatPr baseColWidth="10" defaultColWidth="8.83203125" defaultRowHeight="15"/>
  <cols>
    <col min="1" max="1" width="8.33203125" style="23" customWidth="1"/>
    <col min="2" max="3" width="9.33203125" style="23" customWidth="1"/>
    <col min="11" max="11" width="8.1640625" style="23" customWidth="1"/>
    <col min="64" max="64" width="8.33203125" customWidth="1"/>
  </cols>
  <sheetData>
    <row r="1" spans="1:136" ht="16">
      <c r="A1" s="24"/>
      <c r="B1" s="24"/>
      <c r="C1" s="24"/>
      <c r="D1" s="4"/>
      <c r="E1" s="4"/>
      <c r="F1" s="4"/>
      <c r="G1" s="4"/>
      <c r="H1" s="4"/>
      <c r="I1" s="4"/>
      <c r="J1" s="4"/>
      <c r="K1" s="2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8" spans="1:136" ht="16">
      <c r="A8" s="63" t="s">
        <v>136</v>
      </c>
      <c r="B8" s="65"/>
      <c r="C8" s="10" t="s">
        <v>137</v>
      </c>
      <c r="D8" s="10">
        <v>964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</row>
    <row r="9" spans="1:136" ht="18">
      <c r="A9" s="27" t="s">
        <v>147</v>
      </c>
      <c r="B9" s="12" t="s">
        <v>3</v>
      </c>
      <c r="C9" s="12" t="s">
        <v>4</v>
      </c>
      <c r="D9" s="12" t="s">
        <v>5</v>
      </c>
      <c r="E9" s="12" t="s">
        <v>6</v>
      </c>
      <c r="F9" s="12" t="s">
        <v>7</v>
      </c>
      <c r="G9" s="12" t="s">
        <v>8</v>
      </c>
      <c r="H9" s="12" t="s">
        <v>9</v>
      </c>
      <c r="I9" s="12" t="s">
        <v>10</v>
      </c>
      <c r="J9" s="12" t="s">
        <v>11</v>
      </c>
      <c r="K9" s="12" t="s">
        <v>12</v>
      </c>
      <c r="L9" s="12" t="s">
        <v>13</v>
      </c>
      <c r="M9" s="12" t="s">
        <v>14</v>
      </c>
      <c r="N9" s="12" t="s">
        <v>15</v>
      </c>
      <c r="O9" s="12" t="s">
        <v>16</v>
      </c>
      <c r="P9" s="12" t="s">
        <v>17</v>
      </c>
      <c r="Q9" s="12" t="s">
        <v>18</v>
      </c>
      <c r="R9" s="12" t="s">
        <v>19</v>
      </c>
      <c r="S9" s="12" t="s">
        <v>20</v>
      </c>
      <c r="T9" s="12" t="s">
        <v>21</v>
      </c>
      <c r="U9" s="12" t="s">
        <v>22</v>
      </c>
      <c r="V9" s="12" t="s">
        <v>23</v>
      </c>
      <c r="W9" s="12" t="s">
        <v>24</v>
      </c>
      <c r="X9" s="12" t="s">
        <v>25</v>
      </c>
      <c r="Y9" s="12" t="s">
        <v>26</v>
      </c>
      <c r="Z9" s="12" t="s">
        <v>27</v>
      </c>
      <c r="AA9" s="12" t="s">
        <v>28</v>
      </c>
      <c r="AB9" s="12" t="s">
        <v>29</v>
      </c>
      <c r="AC9" s="12" t="s">
        <v>30</v>
      </c>
      <c r="AD9" s="12" t="s">
        <v>31</v>
      </c>
      <c r="AE9" s="12" t="s">
        <v>32</v>
      </c>
      <c r="AF9" s="12" t="s">
        <v>33</v>
      </c>
      <c r="AG9" s="12" t="s">
        <v>34</v>
      </c>
      <c r="AH9" s="12" t="s">
        <v>35</v>
      </c>
      <c r="AI9" s="12" t="s">
        <v>36</v>
      </c>
      <c r="AJ9" s="12" t="s">
        <v>37</v>
      </c>
      <c r="AK9" s="12" t="s">
        <v>38</v>
      </c>
      <c r="AL9" s="12" t="s">
        <v>39</v>
      </c>
      <c r="AM9" s="12" t="s">
        <v>40</v>
      </c>
      <c r="AN9" s="12" t="s">
        <v>41</v>
      </c>
      <c r="AO9" s="12" t="s">
        <v>42</v>
      </c>
      <c r="AP9" s="12" t="s">
        <v>43</v>
      </c>
      <c r="AQ9" s="12" t="s">
        <v>44</v>
      </c>
      <c r="AR9" s="12" t="s">
        <v>45</v>
      </c>
      <c r="AS9" s="12" t="s">
        <v>46</v>
      </c>
      <c r="AT9" s="12" t="s">
        <v>47</v>
      </c>
      <c r="AU9" s="12" t="s">
        <v>48</v>
      </c>
      <c r="AV9" s="12" t="s">
        <v>49</v>
      </c>
      <c r="AW9" s="12" t="s">
        <v>50</v>
      </c>
      <c r="AX9" s="12" t="s">
        <v>51</v>
      </c>
      <c r="AY9" s="12" t="s">
        <v>52</v>
      </c>
      <c r="AZ9" s="12" t="s">
        <v>53</v>
      </c>
      <c r="BA9" s="12" t="s">
        <v>54</v>
      </c>
      <c r="BB9" s="12" t="s">
        <v>55</v>
      </c>
      <c r="BC9" s="12" t="s">
        <v>56</v>
      </c>
      <c r="BD9" s="12" t="s">
        <v>57</v>
      </c>
      <c r="BE9" s="12" t="s">
        <v>58</v>
      </c>
      <c r="BF9" s="12" t="s">
        <v>59</v>
      </c>
      <c r="BG9" s="12" t="s">
        <v>60</v>
      </c>
      <c r="BH9" s="12" t="s">
        <v>61</v>
      </c>
      <c r="BI9" s="12" t="s">
        <v>62</v>
      </c>
      <c r="BJ9" s="12" t="s">
        <v>63</v>
      </c>
      <c r="BK9" s="12" t="s">
        <v>64</v>
      </c>
      <c r="BL9" s="12" t="s">
        <v>65</v>
      </c>
      <c r="BM9" s="12" t="s">
        <v>66</v>
      </c>
      <c r="BN9" s="12" t="s">
        <v>67</v>
      </c>
      <c r="BO9" s="12" t="s">
        <v>68</v>
      </c>
      <c r="BP9" s="12" t="s">
        <v>69</v>
      </c>
      <c r="BQ9" s="12" t="s">
        <v>70</v>
      </c>
      <c r="BR9" s="12" t="s">
        <v>71</v>
      </c>
      <c r="BS9" s="12" t="s">
        <v>72</v>
      </c>
      <c r="BT9" s="12" t="s">
        <v>73</v>
      </c>
      <c r="BU9" s="12" t="s">
        <v>74</v>
      </c>
      <c r="BV9" s="12" t="s">
        <v>75</v>
      </c>
      <c r="BW9" s="12" t="s">
        <v>76</v>
      </c>
      <c r="BX9" s="12" t="s">
        <v>77</v>
      </c>
      <c r="BY9" s="12" t="s">
        <v>78</v>
      </c>
      <c r="BZ9" s="12" t="s">
        <v>79</v>
      </c>
      <c r="CA9" s="12" t="s">
        <v>80</v>
      </c>
      <c r="CB9" s="12" t="s">
        <v>81</v>
      </c>
      <c r="CC9" s="12" t="s">
        <v>82</v>
      </c>
      <c r="CD9" s="12" t="s">
        <v>83</v>
      </c>
      <c r="CE9" s="12" t="s">
        <v>84</v>
      </c>
      <c r="CF9" s="12" t="s">
        <v>85</v>
      </c>
      <c r="CG9" s="12" t="s">
        <v>86</v>
      </c>
      <c r="CH9" s="12" t="s">
        <v>87</v>
      </c>
      <c r="CI9" s="12" t="s">
        <v>88</v>
      </c>
      <c r="CJ9" s="12" t="s">
        <v>89</v>
      </c>
      <c r="CK9" s="12" t="s">
        <v>90</v>
      </c>
      <c r="CL9" s="12" t="s">
        <v>91</v>
      </c>
      <c r="CM9" s="12" t="s">
        <v>92</v>
      </c>
      <c r="CN9" s="12" t="s">
        <v>93</v>
      </c>
      <c r="CO9" s="12" t="s">
        <v>94</v>
      </c>
      <c r="CP9" s="12" t="s">
        <v>95</v>
      </c>
      <c r="CQ9" s="12" t="s">
        <v>96</v>
      </c>
      <c r="CR9" s="12" t="s">
        <v>97</v>
      </c>
      <c r="CS9" s="12" t="s">
        <v>98</v>
      </c>
      <c r="CT9" s="12" t="s">
        <v>99</v>
      </c>
      <c r="CU9" s="12" t="s">
        <v>100</v>
      </c>
      <c r="CV9" s="12" t="s">
        <v>101</v>
      </c>
      <c r="CW9" s="12" t="s">
        <v>102</v>
      </c>
      <c r="CX9" s="12" t="s">
        <v>103</v>
      </c>
      <c r="CY9" s="12" t="s">
        <v>104</v>
      </c>
      <c r="CZ9" s="12" t="s">
        <v>105</v>
      </c>
      <c r="DA9" s="12" t="s">
        <v>106</v>
      </c>
      <c r="DB9" s="12" t="s">
        <v>107</v>
      </c>
      <c r="DC9" s="12" t="s">
        <v>108</v>
      </c>
      <c r="DD9" s="12" t="s">
        <v>109</v>
      </c>
      <c r="DE9" s="12" t="s">
        <v>110</v>
      </c>
      <c r="DF9" s="12" t="s">
        <v>111</v>
      </c>
      <c r="DG9" s="12" t="s">
        <v>112</v>
      </c>
      <c r="DH9" s="12" t="s">
        <v>113</v>
      </c>
      <c r="DI9" s="12" t="s">
        <v>114</v>
      </c>
      <c r="DJ9" s="12" t="s">
        <v>115</v>
      </c>
      <c r="DK9" s="12" t="s">
        <v>116</v>
      </c>
      <c r="DL9" s="12" t="s">
        <v>117</v>
      </c>
      <c r="DM9" s="12" t="s">
        <v>118</v>
      </c>
      <c r="DN9" s="12" t="s">
        <v>119</v>
      </c>
      <c r="DO9" s="12" t="s">
        <v>120</v>
      </c>
      <c r="DP9" s="12" t="s">
        <v>121</v>
      </c>
      <c r="DQ9" s="12" t="s">
        <v>122</v>
      </c>
      <c r="DR9" s="12" t="s">
        <v>123</v>
      </c>
      <c r="DS9" s="12" t="s">
        <v>124</v>
      </c>
      <c r="DT9" s="12" t="s">
        <v>125</v>
      </c>
      <c r="DU9" s="12" t="s">
        <v>126</v>
      </c>
      <c r="DV9" s="12" t="s">
        <v>127</v>
      </c>
      <c r="DW9" s="12" t="s">
        <v>128</v>
      </c>
      <c r="DX9" s="12" t="s">
        <v>129</v>
      </c>
      <c r="DY9" s="12" t="s">
        <v>130</v>
      </c>
      <c r="DZ9" s="12" t="s">
        <v>131</v>
      </c>
      <c r="EA9" s="12" t="s">
        <v>132</v>
      </c>
      <c r="EB9" s="12" t="s">
        <v>133</v>
      </c>
      <c r="EC9" s="12" t="s">
        <v>134</v>
      </c>
      <c r="ED9" s="12" t="s">
        <v>140</v>
      </c>
      <c r="EE9" s="12" t="s">
        <v>144</v>
      </c>
    </row>
    <row r="10" spans="1:136" ht="18">
      <c r="A10" s="6" t="s">
        <v>148</v>
      </c>
      <c r="B10" s="9">
        <v>1.4499246984096079E-2</v>
      </c>
      <c r="C10" s="11">
        <f>B10+真實IC!D14</f>
        <v>-1.793045137799109E-4</v>
      </c>
      <c r="D10" s="11">
        <f>C10+真實IC!E14</f>
        <v>1.2144200270865321E-3</v>
      </c>
      <c r="E10" s="11">
        <f>D10+真實IC!F14</f>
        <v>-5.4744964757372158E-2</v>
      </c>
      <c r="F10" s="11">
        <f>E10+真實IC!G14</f>
        <v>-1.2783510363403056E-2</v>
      </c>
      <c r="G10" s="11">
        <f>F10+真實IC!H14</f>
        <v>-2.2382768720002645E-2</v>
      </c>
      <c r="H10" s="11">
        <f>G10+真實IC!I14</f>
        <v>1.2323971014516613E-2</v>
      </c>
      <c r="I10" s="11">
        <f>H10+真實IC!J14</f>
        <v>3.5627591063247942E-2</v>
      </c>
      <c r="J10" s="11">
        <f>I10+真實IC!K14</f>
        <v>4.5592496966780673E-2</v>
      </c>
      <c r="K10" s="11">
        <f>J10+真實IC!L14</f>
        <v>7.6905231724754164E-2</v>
      </c>
      <c r="L10" s="11">
        <f>K10+真實IC!M14</f>
        <v>5.8885575211618614E-2</v>
      </c>
      <c r="M10" s="11">
        <f>L10+真實IC!N14</f>
        <v>9.3588929455081446E-2</v>
      </c>
      <c r="N10" s="11">
        <f>M10+真實IC!O14</f>
        <v>0.12037370297991301</v>
      </c>
      <c r="O10" s="11">
        <f>N10+真實IC!P14</f>
        <v>0.1201193748717559</v>
      </c>
      <c r="P10" s="11">
        <f>O10+真實IC!Q14</f>
        <v>0.14339915107787932</v>
      </c>
      <c r="Q10" s="11">
        <f>P10+真實IC!R14</f>
        <v>0.1697790123350742</v>
      </c>
      <c r="R10" s="11">
        <f>Q10+真實IC!S14</f>
        <v>0.24040152001827558</v>
      </c>
      <c r="S10" s="11">
        <f>R10+真實IC!T14</f>
        <v>0.32177242583173726</v>
      </c>
      <c r="T10" s="11">
        <f>S10+真實IC!U14</f>
        <v>0.33107322187616317</v>
      </c>
      <c r="U10" s="11">
        <f>T10+真實IC!V14</f>
        <v>0.34318640577151688</v>
      </c>
      <c r="V10" s="11">
        <f>U10+真實IC!W14</f>
        <v>0.37160406862967998</v>
      </c>
      <c r="W10" s="11">
        <f>V10+真實IC!X14</f>
        <v>0.47797350648017789</v>
      </c>
      <c r="X10" s="11">
        <f>W10+真實IC!Y14</f>
        <v>0.5269997052545542</v>
      </c>
      <c r="Y10" s="11">
        <f>X10+真實IC!Z14</f>
        <v>0.59236246362448897</v>
      </c>
      <c r="Z10" s="11">
        <f>Y10+真實IC!AA14</f>
        <v>0.5992642382367247</v>
      </c>
      <c r="AA10" s="11">
        <f>Z10+真實IC!AB14</f>
        <v>0.61311748916109232</v>
      </c>
      <c r="AB10" s="11">
        <f>AA10+真實IC!AC14</f>
        <v>0.63958167115706388</v>
      </c>
      <c r="AC10" s="11">
        <f>AB10+真實IC!AD14</f>
        <v>0.66869861277577625</v>
      </c>
      <c r="AD10" s="11">
        <f>AC10+真實IC!AE14</f>
        <v>0.71513632944276029</v>
      </c>
      <c r="AE10" s="11">
        <f>AD10+真實IC!AF14</f>
        <v>0.7373707894074516</v>
      </c>
      <c r="AF10" s="11">
        <f>AE10+真實IC!AG14</f>
        <v>0.74118571982826142</v>
      </c>
      <c r="AG10" s="11">
        <f>AF10+真實IC!AH14</f>
        <v>0.75998844965982337</v>
      </c>
      <c r="AH10" s="11">
        <f>AG10+真實IC!AI14</f>
        <v>0.75119465716756184</v>
      </c>
      <c r="AI10" s="11">
        <f>AH10+真實IC!AJ14</f>
        <v>0.77124674781046343</v>
      </c>
      <c r="AJ10" s="11">
        <f>AI10+真實IC!AK14</f>
        <v>0.78541256340694321</v>
      </c>
      <c r="AK10" s="11">
        <f>AJ10+真實IC!AL14</f>
        <v>0.83242573654706431</v>
      </c>
      <c r="AL10" s="11">
        <f>AK10+真實IC!AM14</f>
        <v>0.86096666406500455</v>
      </c>
      <c r="AM10" s="11">
        <f>AL10+真實IC!AN14</f>
        <v>0.83432103526255996</v>
      </c>
      <c r="AN10" s="11">
        <f>AM10+真實IC!AO14</f>
        <v>0.81932556441943261</v>
      </c>
      <c r="AO10" s="11">
        <f>AN10+真實IC!AP14</f>
        <v>0.85904969492466121</v>
      </c>
      <c r="AP10" s="11">
        <f>AO10+真實IC!AQ14</f>
        <v>0.86874321288294354</v>
      </c>
      <c r="AQ10" s="11">
        <f>AP10+真實IC!AR14</f>
        <v>0.89096623887053572</v>
      </c>
      <c r="AR10" s="11">
        <f>AQ10+真實IC!AS14</f>
        <v>0.91422859992636529</v>
      </c>
      <c r="AS10" s="11">
        <f>AR10+真實IC!AT14</f>
        <v>0.99111236052737439</v>
      </c>
      <c r="AT10" s="11">
        <f>AS10+真實IC!AU14</f>
        <v>0.98739882408732982</v>
      </c>
      <c r="AU10" s="11">
        <f>AT10+真實IC!AV14</f>
        <v>1.0343091310340031</v>
      </c>
      <c r="AV10" s="11">
        <f>AU10+真實IC!AW14</f>
        <v>1.0518725545909384</v>
      </c>
      <c r="AW10" s="11">
        <f>AV10+真實IC!AX14</f>
        <v>1.0923542427400437</v>
      </c>
      <c r="AX10" s="11">
        <f>AW10+真實IC!AY14</f>
        <v>1.1405107599480158</v>
      </c>
      <c r="AY10" s="11">
        <f>AX10+真實IC!AZ14</f>
        <v>1.1641253131133165</v>
      </c>
      <c r="AZ10" s="11">
        <f>AY10+真實IC!BA14</f>
        <v>1.190559642990378</v>
      </c>
      <c r="BA10" s="11">
        <f>AZ10+真實IC!BB14</f>
        <v>1.1917936151918882</v>
      </c>
      <c r="BB10" s="11">
        <f>BA10+真實IC!BC14</f>
        <v>1.2290697246234255</v>
      </c>
      <c r="BC10" s="11">
        <f>BB10+真實IC!BD14</f>
        <v>1.237291304764887</v>
      </c>
      <c r="BD10" s="11">
        <f>BC10+真實IC!BE14</f>
        <v>1.2019227596223683</v>
      </c>
      <c r="BE10" s="11">
        <f>BD10+真實IC!BF14</f>
        <v>1.2728276939927972</v>
      </c>
      <c r="BF10" s="11">
        <f>BE10+真實IC!BG14</f>
        <v>1.3015676557685518</v>
      </c>
      <c r="BG10" s="11">
        <f>BF10+真實IC!BH14</f>
        <v>1.3854915244068993</v>
      </c>
      <c r="BH10" s="11">
        <f>BG10+真實IC!BI14</f>
        <v>1.4640656757250499</v>
      </c>
      <c r="BI10" s="11">
        <f>BH10+真實IC!BJ14</f>
        <v>1.4887288019001692</v>
      </c>
      <c r="BJ10" s="11">
        <f>BI10+真實IC!BK14</f>
        <v>1.4880714184051347</v>
      </c>
      <c r="BK10" s="11">
        <f>BJ10+真實IC!BL14</f>
        <v>1.5386877843157225</v>
      </c>
      <c r="BL10" s="11">
        <f>BK10+真實IC!BM14</f>
        <v>1.5593218028224216</v>
      </c>
      <c r="BM10" s="11">
        <f>BL10+真實IC!BN14</f>
        <v>1.5736270623018564</v>
      </c>
      <c r="BN10" s="11">
        <f>BM10+真實IC!BO14</f>
        <v>1.635168341687794</v>
      </c>
      <c r="BO10" s="11">
        <f>BN10+真實IC!BP14</f>
        <v>1.6681633180307118</v>
      </c>
      <c r="BP10" s="11">
        <f>BO10+真實IC!BQ14</f>
        <v>1.7004295207764388</v>
      </c>
      <c r="BQ10" s="11">
        <f>BP10+真實IC!BR14</f>
        <v>1.7574161957373562</v>
      </c>
      <c r="BR10" s="11">
        <f>BQ10+真實IC!BS14</f>
        <v>1.790059050625749</v>
      </c>
      <c r="BS10" s="11">
        <f>BR10+真實IC!BT14</f>
        <v>1.8064238339401744</v>
      </c>
      <c r="BT10" s="11">
        <f>BS10+真實IC!BU14</f>
        <v>1.8233388511644493</v>
      </c>
      <c r="BU10" s="11">
        <f>BT10+真實IC!BV14</f>
        <v>1.8613079931072629</v>
      </c>
      <c r="BV10" s="11">
        <f>BU10+真實IC!BW14</f>
        <v>1.9057849969989131</v>
      </c>
      <c r="BW10" s="11">
        <f>BV10+真實IC!BX14</f>
        <v>1.9207533644023833</v>
      </c>
      <c r="BX10" s="11">
        <f>BW10+真實IC!BY14</f>
        <v>2.0087646791804348</v>
      </c>
      <c r="BY10" s="11">
        <f>BX10+真實IC!BZ14</f>
        <v>2.0385006709888884</v>
      </c>
      <c r="BZ10" s="11">
        <f>BY10+真實IC!CA14</f>
        <v>2.0378969825543893</v>
      </c>
      <c r="CA10" s="11">
        <f>BZ10+真實IC!CB14</f>
        <v>2.0650708453474209</v>
      </c>
      <c r="CB10" s="11">
        <f>CA10+真實IC!CC14</f>
        <v>2.0489496646403436</v>
      </c>
      <c r="CC10" s="11">
        <f>CB10+真實IC!CD14</f>
        <v>2.0979854719577653</v>
      </c>
      <c r="CD10" s="11">
        <f>CC10+真實IC!CE14</f>
        <v>2.1488020109867829</v>
      </c>
      <c r="CE10" s="11">
        <f>CD10+真實IC!CF14</f>
        <v>2.1604600762510113</v>
      </c>
      <c r="CF10" s="11">
        <f>CE10+真實IC!CG14</f>
        <v>2.1811160231764317</v>
      </c>
      <c r="CG10" s="11">
        <f>CF10+真實IC!CH14</f>
        <v>2.2136741864434288</v>
      </c>
      <c r="CH10" s="11">
        <f>CG10+真實IC!CI14</f>
        <v>2.2727679882780523</v>
      </c>
      <c r="CI10" s="11">
        <f>CH10+真實IC!CJ14</f>
        <v>2.3368273804736863</v>
      </c>
      <c r="CJ10" s="11">
        <f>CI10+真實IC!CK14</f>
        <v>2.4058199443755304</v>
      </c>
      <c r="CK10" s="11">
        <f>CJ10+真實IC!CL14</f>
        <v>2.5133347826501153</v>
      </c>
      <c r="CL10" s="11">
        <f>CK10+真實IC!CM14</f>
        <v>2.486980831811946</v>
      </c>
      <c r="CM10" s="11">
        <f>CL10+真實IC!CN14</f>
        <v>2.6431532396227673</v>
      </c>
      <c r="CN10" s="11">
        <f>CM10+真實IC!CO14</f>
        <v>2.6993350615140219</v>
      </c>
      <c r="CO10" s="11">
        <f>CN10+真實IC!CP14</f>
        <v>2.6983300394783298</v>
      </c>
      <c r="CP10" s="11">
        <f>CO10+真實IC!CQ14</f>
        <v>2.765706623813573</v>
      </c>
      <c r="CQ10" s="11">
        <f>CP10+真實IC!CR14</f>
        <v>2.8215149529378829</v>
      </c>
      <c r="CR10" s="11">
        <f>CQ10+真實IC!CS14</f>
        <v>2.8437711163139054</v>
      </c>
      <c r="CS10" s="11">
        <f>CR10+真實IC!CT14</f>
        <v>2.9094552078414746</v>
      </c>
      <c r="CT10" s="11">
        <f>CS10+真實IC!CU14</f>
        <v>2.9607728317889079</v>
      </c>
      <c r="CU10" s="11">
        <f>CT10+真實IC!CV14</f>
        <v>2.9962560263111384</v>
      </c>
      <c r="CV10" s="11">
        <f>CU10+真實IC!CW14</f>
        <v>3.0132015051891554</v>
      </c>
      <c r="CW10" s="11">
        <f>CV10+真實IC!CX14</f>
        <v>3.0439541434566184</v>
      </c>
      <c r="CX10" s="11">
        <f>CW10+真實IC!CY14</f>
        <v>3.027533547208813</v>
      </c>
      <c r="CY10" s="11">
        <f>CX10+真實IC!CZ14</f>
        <v>3.0398578092687294</v>
      </c>
      <c r="CZ10" s="11">
        <f>CY10+真實IC!DA14</f>
        <v>3.103353535557889</v>
      </c>
      <c r="DA10" s="11">
        <f>CZ10+真實IC!DB14</f>
        <v>3.0677682529139854</v>
      </c>
      <c r="DB10" s="11">
        <f>DA10+真實IC!DC14</f>
        <v>3.0920848026059633</v>
      </c>
      <c r="DC10" s="11">
        <f>DB10+真實IC!DD14</f>
        <v>3.1558786701556003</v>
      </c>
      <c r="DD10" s="11">
        <f>DC10+真實IC!DE14</f>
        <v>3.2330107693521999</v>
      </c>
      <c r="DE10" s="11">
        <f>DD10+真實IC!DF14</f>
        <v>3.221386449664331</v>
      </c>
      <c r="DF10" s="11">
        <f>DE10+真實IC!DG14</f>
        <v>3.1739920280345069</v>
      </c>
      <c r="DG10" s="11">
        <f>DF10+真實IC!DH14</f>
        <v>3.1431888728476505</v>
      </c>
      <c r="DH10" s="11">
        <f>DG10+真實IC!DI14</f>
        <v>3.113209618290151</v>
      </c>
      <c r="DI10" s="11">
        <f>DH10+真實IC!DJ14</f>
        <v>3.1599091632093255</v>
      </c>
      <c r="DJ10" s="11">
        <f>DI10+真實IC!DK14</f>
        <v>3.1609803618379062</v>
      </c>
      <c r="DK10" s="11">
        <f>DJ10+真實IC!DL14</f>
        <v>3.1732908453323083</v>
      </c>
      <c r="DL10" s="11">
        <f>DK10+真實IC!DM14</f>
        <v>3.2291054824086696</v>
      </c>
      <c r="DM10" s="11">
        <f>DL10+真實IC!DN14</f>
        <v>3.2466636651126861</v>
      </c>
      <c r="DN10" s="11">
        <f>DM10+真實IC!DO14</f>
        <v>3.265694393380584</v>
      </c>
      <c r="DO10" s="11">
        <f>DN10+真實IC!DP14</f>
        <v>3.3292153598115863</v>
      </c>
      <c r="DP10" s="11">
        <f>DO10+真實IC!DQ14</f>
        <v>3.3559027176649061</v>
      </c>
      <c r="DQ10" s="11">
        <f>DP10+真實IC!DR14</f>
        <v>3.3752800851246016</v>
      </c>
      <c r="DR10" s="11">
        <f>DQ10+真實IC!DS14</f>
        <v>3.3292558061194768</v>
      </c>
      <c r="DS10" s="11">
        <f>DR10+真實IC!DT14</f>
        <v>3.3393317372438247</v>
      </c>
      <c r="DT10" s="11">
        <f>DS10+真實IC!DU14</f>
        <v>3.3851188792182918</v>
      </c>
      <c r="DU10" s="11">
        <f>DT10+真實IC!DV14</f>
        <v>3.3840417564230458</v>
      </c>
      <c r="DV10" s="11">
        <f>DU10+真實IC!DW14</f>
        <v>3.4415231848056207</v>
      </c>
      <c r="DW10" s="11">
        <f>DV10+真實IC!DX14</f>
        <v>3.4792546690922941</v>
      </c>
      <c r="DX10" s="11">
        <f>DW10+真實IC!DY14</f>
        <v>3.4165264469975241</v>
      </c>
      <c r="DY10" s="11">
        <f>DX10+真實IC!DZ14</f>
        <v>3.4449797327423837</v>
      </c>
      <c r="DZ10" s="11">
        <f>DY10+真實IC!EA14</f>
        <v>3.5417148928600493</v>
      </c>
      <c r="EA10" s="11">
        <f>DZ10+真實IC!EB14</f>
        <v>3.5736023078929096</v>
      </c>
      <c r="EB10" s="11">
        <f>EA10+真實IC!EC14</f>
        <v>3.5952848796319379</v>
      </c>
      <c r="EC10" s="11">
        <f>EB10+真實IC!ED14</f>
        <v>3.6236659203302182</v>
      </c>
      <c r="ED10" s="11">
        <f>EC10+真實IC!EE14</f>
        <v>3.595449640062415</v>
      </c>
      <c r="EE10" s="11">
        <f>ED10+真實IC!EF14</f>
        <v>3.5636387817881845</v>
      </c>
    </row>
    <row r="11" spans="1:136" ht="16">
      <c r="A11" s="6" t="s">
        <v>149</v>
      </c>
      <c r="B11" s="9">
        <v>-7.4773642018864817E-3</v>
      </c>
      <c r="C11" s="11">
        <f>B11+真實IC!D15</f>
        <v>-2.0205042130946333E-3</v>
      </c>
      <c r="D11" s="11">
        <f>C11+真實IC!E15</f>
        <v>3.5031224901917093E-3</v>
      </c>
      <c r="E11" s="11">
        <f>D11+真實IC!F15</f>
        <v>-5.6483404202731256E-2</v>
      </c>
      <c r="F11" s="11">
        <f>E11+真實IC!G15</f>
        <v>-2.5812326757987586E-2</v>
      </c>
      <c r="G11" s="11">
        <f>F11+真實IC!H15</f>
        <v>-4.3200713785486587E-2</v>
      </c>
      <c r="H11" s="11">
        <f>G11+真實IC!I15</f>
        <v>1.4883306241060872E-2</v>
      </c>
      <c r="I11" s="11">
        <f>H11+真實IC!J15</f>
        <v>5.4739990315999174E-2</v>
      </c>
      <c r="J11" s="11">
        <f>I11+真實IC!K15</f>
        <v>7.0601679307328691E-2</v>
      </c>
      <c r="K11" s="11">
        <f>J11+真實IC!L15</f>
        <v>0.12920902785172311</v>
      </c>
      <c r="L11" s="11">
        <f>K11+真實IC!M15</f>
        <v>0.12733777707675317</v>
      </c>
      <c r="M11" s="11">
        <f>L11+真實IC!N15</f>
        <v>0.17073019454244995</v>
      </c>
      <c r="N11" s="11">
        <f>M11+真實IC!O15</f>
        <v>0.19595045198983543</v>
      </c>
      <c r="O11" s="11">
        <f>N11+真實IC!P15</f>
        <v>0.1896728043291025</v>
      </c>
      <c r="P11" s="11">
        <f>O11+真實IC!Q15</f>
        <v>0.19673232260956319</v>
      </c>
      <c r="Q11" s="11">
        <f>P11+真實IC!R15</f>
        <v>0.20440637032867001</v>
      </c>
      <c r="R11" s="11">
        <f>Q11+真實IC!S15</f>
        <v>0.29678735607283496</v>
      </c>
      <c r="S11" s="11">
        <f>R11+真實IC!T15</f>
        <v>0.39552652010119382</v>
      </c>
      <c r="T11" s="11">
        <f>S11+真實IC!U15</f>
        <v>0.42296078007865923</v>
      </c>
      <c r="U11" s="11">
        <f>T11+真實IC!V15</f>
        <v>0.4457915328461069</v>
      </c>
      <c r="V11" s="11">
        <f>U11+真實IC!W15</f>
        <v>0.47676043691758979</v>
      </c>
      <c r="W11" s="11">
        <f>V11+真實IC!X15</f>
        <v>0.62714621463639197</v>
      </c>
      <c r="X11" s="11">
        <f>W11+真實IC!Y15</f>
        <v>0.68674047661010085</v>
      </c>
      <c r="Y11" s="11">
        <f>X11+真實IC!Z15</f>
        <v>0.77633706330955266</v>
      </c>
      <c r="Z11" s="11">
        <f>Y11+真實IC!AA15</f>
        <v>0.8181340122087789</v>
      </c>
      <c r="AA11" s="11">
        <f>Z11+真實IC!AB15</f>
        <v>0.82769768059567927</v>
      </c>
      <c r="AB11" s="11">
        <f>AA11+真實IC!AC15</f>
        <v>0.89058494212346173</v>
      </c>
      <c r="AC11" s="11">
        <f>AB11+真實IC!AD15</f>
        <v>0.93319517528777451</v>
      </c>
      <c r="AD11" s="11">
        <f>AC11+真實IC!AE15</f>
        <v>1.0102665920145752</v>
      </c>
      <c r="AE11" s="11">
        <f>AD11+真實IC!AF15</f>
        <v>1.0760971382495792</v>
      </c>
      <c r="AF11" s="11">
        <f>AE11+真實IC!AG15</f>
        <v>1.0661919305225052</v>
      </c>
      <c r="AG11" s="11">
        <f>AF11+真實IC!AH15</f>
        <v>1.1201084545949713</v>
      </c>
      <c r="AH11" s="11">
        <f>AG11+真實IC!AI15</f>
        <v>1.1014624082150053</v>
      </c>
      <c r="AI11" s="11">
        <f>AH11+真實IC!AJ15</f>
        <v>1.1144981976074586</v>
      </c>
      <c r="AJ11" s="11">
        <f>AI11+真實IC!AK15</f>
        <v>1.1268177967981925</v>
      </c>
      <c r="AK11" s="11">
        <f>AJ11+真實IC!AL15</f>
        <v>1.2074172224354596</v>
      </c>
      <c r="AL11" s="11">
        <f>AK11+真實IC!AM15</f>
        <v>1.2492546504254349</v>
      </c>
      <c r="AM11" s="11">
        <f>AL11+真實IC!AN15</f>
        <v>1.2192769899055127</v>
      </c>
      <c r="AN11" s="11">
        <f>AM11+真實IC!AO15</f>
        <v>1.2209858365941482</v>
      </c>
      <c r="AO11" s="11">
        <f>AN11+真實IC!AP15</f>
        <v>1.2678950270503988</v>
      </c>
      <c r="AP11" s="11">
        <f>AO11+真實IC!AQ15</f>
        <v>1.300188374445634</v>
      </c>
      <c r="AQ11" s="11">
        <f>AP11+真實IC!AR15</f>
        <v>1.3210364182403578</v>
      </c>
      <c r="AR11" s="11">
        <f>AQ11+真實IC!AS15</f>
        <v>1.3364785490087325</v>
      </c>
      <c r="AS11" s="11">
        <f>AR11+真實IC!AT15</f>
        <v>1.4248420947383611</v>
      </c>
      <c r="AT11" s="11">
        <f>AS11+真實IC!AU15</f>
        <v>1.4405375131648337</v>
      </c>
      <c r="AU11" s="11">
        <f>AT11+真實IC!AV15</f>
        <v>1.5236992704621357</v>
      </c>
      <c r="AV11" s="11">
        <f>AU11+真實IC!AW15</f>
        <v>1.5756118796822534</v>
      </c>
      <c r="AW11" s="11">
        <f>AV11+真實IC!AX15</f>
        <v>1.6240461037480085</v>
      </c>
      <c r="AX11" s="11">
        <f>AW11+真實IC!AY15</f>
        <v>1.6923332464005563</v>
      </c>
      <c r="AY11" s="11">
        <f>AX11+真實IC!AZ15</f>
        <v>1.7235537824943263</v>
      </c>
      <c r="AZ11" s="11">
        <f>AY11+真實IC!BA15</f>
        <v>1.7497420565449691</v>
      </c>
      <c r="BA11" s="11">
        <f>AZ11+真實IC!BB15</f>
        <v>1.8042044888394428</v>
      </c>
      <c r="BB11" s="11">
        <f>BA11+真實IC!BC15</f>
        <v>1.8514955447960093</v>
      </c>
      <c r="BC11" s="11">
        <f>BB11+真實IC!BD15</f>
        <v>1.862457857972349</v>
      </c>
      <c r="BD11" s="11">
        <f>BC11+真實IC!BE15</f>
        <v>1.8186840685865657</v>
      </c>
      <c r="BE11" s="11">
        <f>BD11+真實IC!BF15</f>
        <v>1.890665623967253</v>
      </c>
      <c r="BF11" s="11">
        <f>BE11+真實IC!BG15</f>
        <v>1.9484914679518774</v>
      </c>
      <c r="BG11" s="11">
        <f>BF11+真實IC!BH15</f>
        <v>2.0108278754355076</v>
      </c>
      <c r="BH11" s="11">
        <f>BG11+真實IC!BI15</f>
        <v>2.0811673848235555</v>
      </c>
      <c r="BI11" s="11">
        <f>BH11+真實IC!BJ15</f>
        <v>2.1054334724366641</v>
      </c>
      <c r="BJ11" s="11">
        <f>BI11+真實IC!BK15</f>
        <v>2.0965550765205729</v>
      </c>
      <c r="BK11" s="11">
        <f>BJ11+真實IC!BL15</f>
        <v>2.1358655879133637</v>
      </c>
      <c r="BL11" s="11">
        <f>BK11+真實IC!BM15</f>
        <v>2.1606776416439626</v>
      </c>
      <c r="BM11" s="11">
        <f>BL11+真實IC!BN15</f>
        <v>2.1689039074500189</v>
      </c>
      <c r="BN11" s="11">
        <f>BM11+真實IC!BO15</f>
        <v>2.2514817437466244</v>
      </c>
      <c r="BO11" s="11">
        <f>BN11+真實IC!BP15</f>
        <v>2.3090797690352578</v>
      </c>
      <c r="BP11" s="11">
        <f>BO11+真實IC!BQ15</f>
        <v>2.3332562743631402</v>
      </c>
      <c r="BQ11" s="11">
        <f>BP11+真實IC!BR15</f>
        <v>2.4146844760143749</v>
      </c>
      <c r="BR11" s="11">
        <f>BQ11+真實IC!BS15</f>
        <v>2.4548649903757918</v>
      </c>
      <c r="BS11" s="11">
        <f>BR11+真實IC!BT15</f>
        <v>2.4553860620515948</v>
      </c>
      <c r="BT11" s="11">
        <f>BS11+真實IC!BU15</f>
        <v>2.4709132284727087</v>
      </c>
      <c r="BU11" s="11">
        <f>BT11+真實IC!BV15</f>
        <v>2.540727707760349</v>
      </c>
      <c r="BV11" s="11">
        <f>BU11+真實IC!BW15</f>
        <v>2.6164417133970286</v>
      </c>
      <c r="BW11" s="11">
        <f>BV11+真實IC!BX15</f>
        <v>2.6546721409973726</v>
      </c>
      <c r="BX11" s="11">
        <f>BW11+真實IC!BY15</f>
        <v>2.7435655877206289</v>
      </c>
      <c r="BY11" s="11">
        <f>BX11+真實IC!BZ15</f>
        <v>2.7931853307345507</v>
      </c>
      <c r="BZ11" s="11">
        <f>BY11+真實IC!CA15</f>
        <v>2.7821643453436988</v>
      </c>
      <c r="CA11" s="11">
        <f>BZ11+真實IC!CB15</f>
        <v>2.8081817248663938</v>
      </c>
      <c r="CB11" s="11">
        <f>CA11+真實IC!CC15</f>
        <v>2.8164065342383244</v>
      </c>
      <c r="CC11" s="11">
        <f>CB11+真實IC!CD15</f>
        <v>2.9194431268646555</v>
      </c>
      <c r="CD11" s="11">
        <f>CC11+真實IC!CE15</f>
        <v>2.9988809966518581</v>
      </c>
      <c r="CE11" s="11">
        <f>CD11+真實IC!CF15</f>
        <v>3.0098461707922644</v>
      </c>
      <c r="CF11" s="11">
        <f>CE11+真實IC!CG15</f>
        <v>3.0168549937503171</v>
      </c>
      <c r="CG11" s="11">
        <f>CF11+真實IC!CH15</f>
        <v>3.0868359848367763</v>
      </c>
      <c r="CH11" s="11">
        <f>CG11+真實IC!CI15</f>
        <v>3.1392025417228884</v>
      </c>
      <c r="CI11" s="11">
        <f>CH11+真實IC!CJ15</f>
        <v>3.2201647012852272</v>
      </c>
      <c r="CJ11" s="11">
        <f>CI11+真實IC!CK15</f>
        <v>3.2548771293946039</v>
      </c>
      <c r="CK11" s="11">
        <f>CJ11+真實IC!CL15</f>
        <v>3.3507818313707936</v>
      </c>
      <c r="CL11" s="11">
        <f>CK11+真實IC!CM15</f>
        <v>3.3367710965979152</v>
      </c>
      <c r="CM11" s="11">
        <f>CL11+真實IC!CN15</f>
        <v>3.5285047490821086</v>
      </c>
      <c r="CN11" s="11">
        <f>CM11+真實IC!CO15</f>
        <v>3.5891529845921171</v>
      </c>
      <c r="CO11" s="11">
        <f>CN11+真實IC!CP15</f>
        <v>3.6097299803322467</v>
      </c>
      <c r="CP11" s="11">
        <f>CO11+真實IC!CQ15</f>
        <v>3.6830492561418255</v>
      </c>
      <c r="CQ11" s="11">
        <f>CP11+真實IC!CR15</f>
        <v>3.7467433665460752</v>
      </c>
      <c r="CR11" s="11">
        <f>CQ11+真實IC!CS15</f>
        <v>3.7671811144225287</v>
      </c>
      <c r="CS11" s="11">
        <f>CR11+真實IC!CT15</f>
        <v>3.8620495197179712</v>
      </c>
      <c r="CT11" s="11">
        <f>CS11+真實IC!CU15</f>
        <v>3.9545135267417408</v>
      </c>
      <c r="CU11" s="11">
        <f>CT11+真實IC!CV15</f>
        <v>4.009090416373895</v>
      </c>
      <c r="CV11" s="11">
        <f>CU11+真實IC!CW15</f>
        <v>4.0310585578344256</v>
      </c>
      <c r="CW11" s="11">
        <f>CV11+真實IC!CX15</f>
        <v>4.0616413993141158</v>
      </c>
      <c r="CX11" s="11">
        <f>CW11+真實IC!CY15</f>
        <v>4.0204396474300195</v>
      </c>
      <c r="CY11" s="11">
        <f>CX11+真實IC!CZ15</f>
        <v>4.0253378635900852</v>
      </c>
      <c r="CZ11" s="11">
        <f>CY11+真實IC!DA15</f>
        <v>4.117101398973146</v>
      </c>
      <c r="DA11" s="11">
        <f>CZ11+真實IC!DB15</f>
        <v>4.0557452137358743</v>
      </c>
      <c r="DB11" s="11">
        <f>DA11+真實IC!DC15</f>
        <v>4.0832445229514454</v>
      </c>
      <c r="DC11" s="11">
        <f>DB11+真實IC!DD15</f>
        <v>4.1670505717435571</v>
      </c>
      <c r="DD11" s="11">
        <f>DC11+真實IC!DE15</f>
        <v>4.225737004867697</v>
      </c>
      <c r="DE11" s="11">
        <f>DD11+真實IC!DF15</f>
        <v>4.2084653728395143</v>
      </c>
      <c r="DF11" s="11">
        <f>DE11+真實IC!DG15</f>
        <v>4.1371296126245944</v>
      </c>
      <c r="DG11" s="11">
        <f>DF11+真實IC!DH15</f>
        <v>4.0983230956843064</v>
      </c>
      <c r="DH11" s="11">
        <f>DG11+真實IC!DI15</f>
        <v>4.0687526760498782</v>
      </c>
      <c r="DI11" s="11">
        <f>DH11+真實IC!DJ15</f>
        <v>4.1308081203510545</v>
      </c>
      <c r="DJ11" s="11">
        <f>DI11+真實IC!DK15</f>
        <v>4.1074072284554646</v>
      </c>
      <c r="DK11" s="11">
        <f>DJ11+真實IC!DL15</f>
        <v>4.1226393381911333</v>
      </c>
      <c r="DL11" s="11">
        <f>DK11+真實IC!DM15</f>
        <v>4.173183348536913</v>
      </c>
      <c r="DM11" s="11">
        <f>DL11+真實IC!DN15</f>
        <v>4.2076441356246974</v>
      </c>
      <c r="DN11" s="11">
        <f>DM11+真實IC!DO15</f>
        <v>4.2519692750469007</v>
      </c>
      <c r="DO11" s="11">
        <f>DN11+真實IC!DP15</f>
        <v>4.3233547921396278</v>
      </c>
      <c r="DP11" s="11">
        <f>DO11+真實IC!DQ15</f>
        <v>4.3427139793693641</v>
      </c>
      <c r="DQ11" s="11">
        <f>DP11+真實IC!DR15</f>
        <v>4.3671480842010943</v>
      </c>
      <c r="DR11" s="11">
        <f>DQ11+真實IC!DS15</f>
        <v>4.3372328903097674</v>
      </c>
      <c r="DS11" s="11">
        <f>DR11+真實IC!DT15</f>
        <v>4.3176590490765001</v>
      </c>
      <c r="DT11" s="11">
        <f>DS11+真實IC!DU15</f>
        <v>4.3413579028577018</v>
      </c>
      <c r="DU11" s="11">
        <f>DT11+真實IC!DV15</f>
        <v>4.3394892252553685</v>
      </c>
      <c r="DV11" s="11">
        <f>DU11+真實IC!DW15</f>
        <v>4.4077011998992832</v>
      </c>
      <c r="DW11" s="11">
        <f>DV11+真實IC!DX15</f>
        <v>4.4562959481268019</v>
      </c>
      <c r="DX11" s="11">
        <f>DW11+真實IC!DY15</f>
        <v>4.4467913233229241</v>
      </c>
      <c r="DY11" s="11">
        <f>DX11+真實IC!DZ15</f>
        <v>4.4894101400935948</v>
      </c>
      <c r="DZ11" s="11">
        <f>DY11+真實IC!EA15</f>
        <v>4.6257666883907183</v>
      </c>
      <c r="EA11" s="11">
        <f>DZ11+真實IC!EB15</f>
        <v>4.6838262847040495</v>
      </c>
      <c r="EB11" s="11">
        <f>EA11+真實IC!EC15</f>
        <v>4.6853022288027333</v>
      </c>
      <c r="EC11" s="11">
        <f>EB11+真實IC!ED15</f>
        <v>4.6975872935684766</v>
      </c>
      <c r="ED11" s="11">
        <f>EC11+真實IC!EE15</f>
        <v>4.6617198136676565</v>
      </c>
      <c r="EE11" s="11">
        <f>ED11+真實IC!EF15</f>
        <v>4.6138405481753484</v>
      </c>
    </row>
    <row r="12" spans="1:136" ht="16">
      <c r="A12" s="6" t="s">
        <v>150</v>
      </c>
      <c r="B12" s="9">
        <v>-3.3228977675766193E-2</v>
      </c>
      <c r="C12" s="11">
        <f>B12+真實IC!D16</f>
        <v>0.10841467107685951</v>
      </c>
      <c r="D12" s="11">
        <f>C12+真實IC!E16</f>
        <v>0.15633541709012874</v>
      </c>
      <c r="E12" s="11">
        <f>D12+真實IC!F16</f>
        <v>9.5993512184096186E-2</v>
      </c>
      <c r="F12" s="11">
        <f>E12+真實IC!G16</f>
        <v>9.8153419588275462E-2</v>
      </c>
      <c r="G12" s="11">
        <f>F12+真實IC!H16</f>
        <v>0.10966168045039904</v>
      </c>
      <c r="H12" s="11">
        <f>G12+真實IC!I16</f>
        <v>0.13880756845012585</v>
      </c>
      <c r="I12" s="11">
        <f>H12+真實IC!J16</f>
        <v>0.21088199607056096</v>
      </c>
      <c r="J12" s="11">
        <f>I12+真實IC!K16</f>
        <v>0.24391371301934536</v>
      </c>
      <c r="K12" s="11">
        <f>J12+真實IC!L16</f>
        <v>0.35427114374191587</v>
      </c>
      <c r="L12" s="11">
        <f>K12+真實IC!M16</f>
        <v>0.3217465303007716</v>
      </c>
      <c r="M12" s="11">
        <f>L12+真實IC!N16</f>
        <v>0.37911595695779365</v>
      </c>
      <c r="N12" s="11">
        <f>M12+真實IC!O16</f>
        <v>0.38933663820839726</v>
      </c>
      <c r="O12" s="11">
        <f>N12+真實IC!P16</f>
        <v>0.39587805916654767</v>
      </c>
      <c r="P12" s="11">
        <f>O12+真實IC!Q16</f>
        <v>0.4430168328641923</v>
      </c>
      <c r="Q12" s="11">
        <f>P12+真實IC!R16</f>
        <v>0.46687825709772063</v>
      </c>
      <c r="R12" s="11">
        <f>Q12+真實IC!S16</f>
        <v>0.56867298450708381</v>
      </c>
      <c r="S12" s="11">
        <f>R12+真實IC!T16</f>
        <v>0.7124598297033331</v>
      </c>
      <c r="T12" s="11">
        <f>S12+真實IC!U16</f>
        <v>0.74764285198318114</v>
      </c>
      <c r="U12" s="11">
        <f>T12+真實IC!V16</f>
        <v>0.80682061031983998</v>
      </c>
      <c r="V12" s="11">
        <f>U12+真實IC!W16</f>
        <v>0.85461561305336009</v>
      </c>
      <c r="W12" s="11">
        <f>V12+真實IC!X16</f>
        <v>1.0727261481702388</v>
      </c>
      <c r="X12" s="11">
        <f>W12+真實IC!Y16</f>
        <v>1.1026825804428291</v>
      </c>
      <c r="Y12" s="11">
        <f>X12+真實IC!Z16</f>
        <v>1.24842643840485</v>
      </c>
      <c r="Z12" s="11">
        <f>Y12+真實IC!AA16</f>
        <v>1.3555098978396147</v>
      </c>
      <c r="AA12" s="11">
        <f>Z12+真實IC!AB16</f>
        <v>1.3897743643574059</v>
      </c>
      <c r="AB12" s="11">
        <f>AA12+真實IC!AC16</f>
        <v>1.4580956985481903</v>
      </c>
      <c r="AC12" s="11">
        <f>AB12+真實IC!AD16</f>
        <v>1.4963155548157847</v>
      </c>
      <c r="AD12" s="11">
        <f>AC12+真實IC!AE16</f>
        <v>1.6131524746553507</v>
      </c>
      <c r="AE12" s="11">
        <f>AD12+真實IC!AF16</f>
        <v>1.7696859480135942</v>
      </c>
      <c r="AF12" s="11">
        <f>AE12+真實IC!AG16</f>
        <v>1.7443566530026411</v>
      </c>
      <c r="AG12" s="11">
        <f>AF12+真實IC!AH16</f>
        <v>1.823608442285316</v>
      </c>
      <c r="AH12" s="11">
        <f>AG12+真實IC!AI16</f>
        <v>1.8590710861839279</v>
      </c>
      <c r="AI12" s="11">
        <f>AH12+真實IC!AJ16</f>
        <v>1.885130635531743</v>
      </c>
      <c r="AJ12" s="11">
        <f>AI12+真實IC!AK16</f>
        <v>1.8813744588169932</v>
      </c>
      <c r="AK12" s="11">
        <f>AJ12+真實IC!AL16</f>
        <v>1.9833187993647194</v>
      </c>
      <c r="AL12" s="11">
        <f>AK12+真實IC!AM16</f>
        <v>2.0113330280109323</v>
      </c>
      <c r="AM12" s="11">
        <f>AL12+真實IC!AN16</f>
        <v>1.9922005047856457</v>
      </c>
      <c r="AN12" s="11">
        <f>AM12+真實IC!AO16</f>
        <v>2.0302448573277072</v>
      </c>
      <c r="AO12" s="11">
        <f>AN12+真實IC!AP16</f>
        <v>2.1074574494325322</v>
      </c>
      <c r="AP12" s="11">
        <f>AO12+真實IC!AQ16</f>
        <v>2.1569769879370551</v>
      </c>
      <c r="AQ12" s="11">
        <f>AP12+真實IC!AR16</f>
        <v>2.1645596796044941</v>
      </c>
      <c r="AR12" s="11">
        <f>AQ12+真實IC!AS16</f>
        <v>2.191742930889613</v>
      </c>
      <c r="AS12" s="11">
        <f>AR12+真實IC!AT16</f>
        <v>2.3188795932571877</v>
      </c>
      <c r="AT12" s="11">
        <f>AS12+真實IC!AU16</f>
        <v>2.3763012063713216</v>
      </c>
      <c r="AU12" s="11">
        <f>AT12+真實IC!AV16</f>
        <v>2.3989767008995408</v>
      </c>
      <c r="AV12" s="11">
        <f>AU12+真實IC!AW16</f>
        <v>2.5236872283466858</v>
      </c>
      <c r="AW12" s="11">
        <f>AV12+真實IC!AX16</f>
        <v>2.5773899456842613</v>
      </c>
      <c r="AX12" s="11">
        <f>AW12+真實IC!AY16</f>
        <v>2.7206384606302922</v>
      </c>
      <c r="AY12" s="11">
        <f>AX12+真實IC!AZ16</f>
        <v>2.7817090411115317</v>
      </c>
      <c r="AZ12" s="11">
        <f>AY12+真實IC!BA16</f>
        <v>2.8485988726743803</v>
      </c>
      <c r="BA12" s="11">
        <f>AZ12+真實IC!BB16</f>
        <v>2.9885807640358859</v>
      </c>
      <c r="BB12" s="11">
        <f>BA12+真實IC!BC16</f>
        <v>3.0227830660656041</v>
      </c>
      <c r="BC12" s="11">
        <f>BB12+真實IC!BD16</f>
        <v>3.0768727187518774</v>
      </c>
      <c r="BD12" s="11">
        <f>BC12+真實IC!BE16</f>
        <v>3.0067909486025486</v>
      </c>
      <c r="BE12" s="11">
        <f>BD12+真實IC!BF16</f>
        <v>3.1169634796784944</v>
      </c>
      <c r="BF12" s="11">
        <f>BE12+真實IC!BG16</f>
        <v>3.2174382552233545</v>
      </c>
      <c r="BG12" s="11">
        <f>BF12+真實IC!BH16</f>
        <v>3.2895254194498471</v>
      </c>
      <c r="BH12" s="11">
        <f>BG12+真實IC!BI16</f>
        <v>3.3323554862224056</v>
      </c>
      <c r="BI12" s="11">
        <f>BH12+真實IC!BJ16</f>
        <v>3.4009596818247085</v>
      </c>
      <c r="BJ12" s="11">
        <f>BI12+真實IC!BK16</f>
        <v>3.36726826195394</v>
      </c>
      <c r="BK12" s="11">
        <f>BJ12+真實IC!BL16</f>
        <v>3.4097648801246621</v>
      </c>
      <c r="BL12" s="11">
        <f>BK12+真實IC!BM16</f>
        <v>3.4268951605653504</v>
      </c>
      <c r="BM12" s="11">
        <f>BL12+真實IC!BN16</f>
        <v>3.5096878437861654</v>
      </c>
      <c r="BN12" s="11">
        <f>BM12+真實IC!BO16</f>
        <v>3.5298287748285997</v>
      </c>
      <c r="BO12" s="11">
        <f>BN12+真實IC!BP16</f>
        <v>3.6001481192004756</v>
      </c>
      <c r="BP12" s="11">
        <f>BO12+真實IC!BQ16</f>
        <v>3.6142032146218894</v>
      </c>
      <c r="BQ12" s="11">
        <f>BP12+真實IC!BR16</f>
        <v>3.7010313992177784</v>
      </c>
      <c r="BR12" s="11">
        <f>BQ12+真實IC!BS16</f>
        <v>3.7313641232045489</v>
      </c>
      <c r="BS12" s="11">
        <f>BR12+真實IC!BT16</f>
        <v>3.7006376470787843</v>
      </c>
      <c r="BT12" s="11">
        <f>BS12+真實IC!BU16</f>
        <v>3.7186401608111663</v>
      </c>
      <c r="BU12" s="11">
        <f>BT12+真實IC!BV16</f>
        <v>3.8204094214100097</v>
      </c>
      <c r="BV12" s="11">
        <f>BU12+真實IC!BW16</f>
        <v>3.951306929967195</v>
      </c>
      <c r="BW12" s="11">
        <f>BV12+真實IC!BX16</f>
        <v>4.0198983652199587</v>
      </c>
      <c r="BX12" s="11">
        <f>BW12+真實IC!BY16</f>
        <v>4.0865083376843412</v>
      </c>
      <c r="BY12" s="11">
        <f>BX12+真實IC!BZ16</f>
        <v>4.1130667428151453</v>
      </c>
      <c r="BZ12" s="11">
        <f>BY12+真實IC!CA16</f>
        <v>4.0165504182337619</v>
      </c>
      <c r="CA12" s="11">
        <f>BZ12+真實IC!CB16</f>
        <v>4.0760274785273021</v>
      </c>
      <c r="CB12" s="11">
        <f>CA12+真實IC!CC16</f>
        <v>4.1050031600136707</v>
      </c>
      <c r="CC12" s="11">
        <f>CB12+真實IC!CD16</f>
        <v>4.2015908987060433</v>
      </c>
      <c r="CD12" s="11">
        <f>CC12+真實IC!CE16</f>
        <v>4.3159440073331377</v>
      </c>
      <c r="CE12" s="11">
        <f>CD12+真實IC!CF16</f>
        <v>4.3366793056530168</v>
      </c>
      <c r="CF12" s="11">
        <f>CE12+真實IC!CG16</f>
        <v>4.3328244596866083</v>
      </c>
      <c r="CG12" s="11">
        <f>CF12+真實IC!CH16</f>
        <v>4.3580028608883783</v>
      </c>
      <c r="CH12" s="11">
        <f>CG12+真實IC!CI16</f>
        <v>4.4226318214756928</v>
      </c>
      <c r="CI12" s="11">
        <f>CH12+真實IC!CJ16</f>
        <v>4.5479489240697948</v>
      </c>
      <c r="CJ12" s="11">
        <f>CI12+真實IC!CK16</f>
        <v>4.59821168276574</v>
      </c>
      <c r="CK12" s="11">
        <f>CJ12+真實IC!CL16</f>
        <v>4.6182786241300056</v>
      </c>
      <c r="CL12" s="11">
        <f>CK12+真實IC!CM16</f>
        <v>4.6233757310077532</v>
      </c>
      <c r="CM12" s="11">
        <f>CL12+真實IC!CN16</f>
        <v>4.8412501470344278</v>
      </c>
      <c r="CN12" s="11">
        <f>CM12+真實IC!CO16</f>
        <v>4.9599101324537651</v>
      </c>
      <c r="CO12" s="11">
        <f>CN12+真實IC!CP16</f>
        <v>5.0535694901948069</v>
      </c>
      <c r="CP12" s="11">
        <f>CO12+真實IC!CQ16</f>
        <v>5.1460222693549404</v>
      </c>
      <c r="CQ12" s="11">
        <f>CP12+真實IC!CR16</f>
        <v>5.2716119057586637</v>
      </c>
      <c r="CR12" s="11">
        <f>CQ12+真實IC!CS16</f>
        <v>5.2498003893555385</v>
      </c>
      <c r="CS12" s="11">
        <f>CR12+真實IC!CT16</f>
        <v>5.3494774732080916</v>
      </c>
      <c r="CT12" s="11">
        <f>CS12+真實IC!CU16</f>
        <v>5.4714213600915196</v>
      </c>
      <c r="CU12" s="11">
        <f>CT12+真實IC!CV16</f>
        <v>5.5300964371468107</v>
      </c>
      <c r="CV12" s="11">
        <f>CU12+真實IC!CW16</f>
        <v>5.5214230878888415</v>
      </c>
      <c r="CW12" s="11">
        <f>CV12+真實IC!CX16</f>
        <v>5.6120623152387648</v>
      </c>
      <c r="CX12" s="11">
        <f>CW12+真實IC!CY16</f>
        <v>5.5157011851114808</v>
      </c>
      <c r="CY12" s="11">
        <f>CX12+真實IC!CZ16</f>
        <v>5.5260025847699037</v>
      </c>
      <c r="CZ12" s="11">
        <f>CY12+真實IC!DA16</f>
        <v>5.6162577709523891</v>
      </c>
      <c r="DA12" s="11">
        <f>CZ12+真實IC!DB16</f>
        <v>5.5260187573955877</v>
      </c>
      <c r="DB12" s="11">
        <f>DA12+真實IC!DC16</f>
        <v>5.5456058361474945</v>
      </c>
      <c r="DC12" s="11">
        <f>DB12+真實IC!DD16</f>
        <v>5.6406322125698614</v>
      </c>
      <c r="DD12" s="11">
        <f>DC12+真實IC!DE16</f>
        <v>5.6700335366297043</v>
      </c>
      <c r="DE12" s="11">
        <f>DD12+真實IC!DF16</f>
        <v>5.6058531287586497</v>
      </c>
      <c r="DF12" s="11">
        <f>DE12+真實IC!DG16</f>
        <v>5.5185283230001163</v>
      </c>
      <c r="DG12" s="11">
        <f>DF12+真實IC!DH16</f>
        <v>5.5101150826324456</v>
      </c>
      <c r="DH12" s="11">
        <f>DG12+真實IC!DI16</f>
        <v>5.4694559479968738</v>
      </c>
      <c r="DI12" s="11">
        <f>DH12+真實IC!DJ16</f>
        <v>5.5453757228584211</v>
      </c>
      <c r="DJ12" s="11">
        <f>DI12+真實IC!DK16</f>
        <v>5.4679624385682848</v>
      </c>
      <c r="DK12" s="11">
        <f>DJ12+真實IC!DL16</f>
        <v>5.5168511713951505</v>
      </c>
      <c r="DL12" s="11">
        <f>DK12+真實IC!DM16</f>
        <v>5.5068097889917729</v>
      </c>
      <c r="DM12" s="11">
        <f>DL12+真實IC!DN16</f>
        <v>5.5261136289461499</v>
      </c>
      <c r="DN12" s="11">
        <f>DM12+真實IC!DO16</f>
        <v>5.5964021778906812</v>
      </c>
      <c r="DO12" s="11">
        <f>DN12+真實IC!DP16</f>
        <v>5.6625312749018493</v>
      </c>
      <c r="DP12" s="11">
        <f>DO12+真實IC!DQ16</f>
        <v>5.7087563514978923</v>
      </c>
      <c r="DQ12" s="11">
        <f>DP12+真實IC!DR16</f>
        <v>5.6945900185246678</v>
      </c>
      <c r="DR12" s="11">
        <f>DQ12+真實IC!DS16</f>
        <v>5.6051522641357003</v>
      </c>
      <c r="DS12" s="11">
        <f>DR12+真實IC!DT16</f>
        <v>5.6373005067744435</v>
      </c>
      <c r="DT12" s="11">
        <f>DS12+真實IC!DU16</f>
        <v>5.7562180933420164</v>
      </c>
      <c r="DU12" s="11">
        <f>DT12+真實IC!DV16</f>
        <v>5.7551627910529115</v>
      </c>
      <c r="DV12" s="11">
        <f>DU12+真實IC!DW16</f>
        <v>5.8338294980770149</v>
      </c>
      <c r="DW12" s="11">
        <f>DV12+真實IC!DX16</f>
        <v>5.8991205740058872</v>
      </c>
      <c r="DX12" s="11">
        <f>DW12+真實IC!DY16</f>
        <v>5.8514595874035464</v>
      </c>
      <c r="DY12" s="11">
        <f>DX12+真實IC!DZ16</f>
        <v>5.8691895491642798</v>
      </c>
      <c r="DZ12" s="11">
        <f>DY12+真實IC!EA16</f>
        <v>6.0615397084416731</v>
      </c>
      <c r="EA12" s="11">
        <f>DZ12+真實IC!EB16</f>
        <v>6.1496984901233649</v>
      </c>
      <c r="EB12" s="11">
        <f>EA12+真實IC!EC16</f>
        <v>6.1428847963923543</v>
      </c>
      <c r="EC12" s="11">
        <f>EB12+真實IC!ED16</f>
        <v>6.1755066968777799</v>
      </c>
      <c r="ED12" s="11">
        <f>EC12+真實IC!EE16</f>
        <v>6.1330009575764217</v>
      </c>
      <c r="EE12" s="11">
        <f>ED12+真實IC!EF16</f>
        <v>6.0480495730999548</v>
      </c>
    </row>
    <row r="13" spans="1:136" ht="16">
      <c r="A13" s="6" t="s">
        <v>151</v>
      </c>
      <c r="B13" s="9">
        <v>-3.6350225217569643E-2</v>
      </c>
      <c r="C13" s="11">
        <f>B13+真實IC!D17</f>
        <v>0.23668464747805634</v>
      </c>
      <c r="D13" s="11">
        <f>C13+真實IC!E17</f>
        <v>0.3320292529490268</v>
      </c>
      <c r="E13" s="11">
        <f>D13+真實IC!F17</f>
        <v>0.36695068950572418</v>
      </c>
      <c r="F13" s="11">
        <f>E13+真實IC!G17</f>
        <v>0.46304068740456178</v>
      </c>
      <c r="G13" s="11">
        <f>F13+真實IC!H17</f>
        <v>0.46428441346266686</v>
      </c>
      <c r="H13" s="11">
        <f>G13+真實IC!I17</f>
        <v>0.48725417421921774</v>
      </c>
      <c r="I13" s="11">
        <f>H13+真實IC!J17</f>
        <v>0.50646176638660112</v>
      </c>
      <c r="J13" s="11">
        <f>I13+真實IC!K17</f>
        <v>0.5108864890927709</v>
      </c>
      <c r="K13" s="11">
        <f>J13+真實IC!L17</f>
        <v>0.53557032612963917</v>
      </c>
      <c r="L13" s="11">
        <f>K13+真實IC!M17</f>
        <v>0.60324575402363045</v>
      </c>
      <c r="M13" s="11">
        <f>L13+真實IC!N17</f>
        <v>0.71304194844876412</v>
      </c>
      <c r="N13" s="11">
        <f>M13+真實IC!O17</f>
        <v>0.65973769849057451</v>
      </c>
      <c r="O13" s="11">
        <f>N13+真實IC!P17</f>
        <v>0.68163426833579854</v>
      </c>
      <c r="P13" s="11">
        <f>O13+真實IC!Q17</f>
        <v>0.7431061378288023</v>
      </c>
      <c r="Q13" s="11">
        <f>P13+真實IC!R17</f>
        <v>0.75542950835265932</v>
      </c>
      <c r="R13" s="11">
        <f>Q13+真實IC!S17</f>
        <v>0.89875032783295705</v>
      </c>
      <c r="S13" s="11">
        <f>R13+真實IC!T17</f>
        <v>1.0972426141925078</v>
      </c>
      <c r="T13" s="11">
        <f>S13+真實IC!U17</f>
        <v>1.1324557516452001</v>
      </c>
      <c r="U13" s="11">
        <f>T13+真實IC!V17</f>
        <v>1.3201219440894529</v>
      </c>
      <c r="V13" s="11">
        <f>U13+真實IC!W17</f>
        <v>1.3707933683344435</v>
      </c>
      <c r="W13" s="11">
        <f>V13+真實IC!X17</f>
        <v>1.6226566196230015</v>
      </c>
      <c r="X13" s="11">
        <f>W13+真實IC!Y17</f>
        <v>1.6319632185043706</v>
      </c>
      <c r="Y13" s="11">
        <f>X13+真實IC!Z17</f>
        <v>1.7171854231910455</v>
      </c>
      <c r="Z13" s="11">
        <f>Y13+真實IC!AA17</f>
        <v>1.8305306329235584</v>
      </c>
      <c r="AA13" s="11">
        <f>Z13+真實IC!AB17</f>
        <v>1.8637516487634174</v>
      </c>
      <c r="AB13" s="11">
        <f>AA13+真實IC!AC17</f>
        <v>2.0228760027706181</v>
      </c>
      <c r="AC13" s="11">
        <f>AB13+真實IC!AD17</f>
        <v>2.0151477906379323</v>
      </c>
      <c r="AD13" s="11">
        <f>AC13+真實IC!AE17</f>
        <v>2.2269404336852041</v>
      </c>
      <c r="AE13" s="11">
        <f>AD13+真實IC!AF17</f>
        <v>2.43036651535474</v>
      </c>
      <c r="AF13" s="11">
        <f>AE13+真實IC!AG17</f>
        <v>2.3860419711396643</v>
      </c>
      <c r="AG13" s="11">
        <f>AF13+真實IC!AH17</f>
        <v>2.5510817728298458</v>
      </c>
      <c r="AH13" s="11">
        <f>AG13+真實IC!AI17</f>
        <v>2.5759310299623768</v>
      </c>
      <c r="AI13" s="11">
        <f>AH13+真實IC!AJ17</f>
        <v>2.6258981387168636</v>
      </c>
      <c r="AJ13" s="11">
        <f>AI13+真實IC!AK17</f>
        <v>2.6278587860289315</v>
      </c>
      <c r="AK13" s="11">
        <f>AJ13+真實IC!AL17</f>
        <v>2.7176426363903134</v>
      </c>
      <c r="AL13" s="11">
        <f>AK13+真實IC!AM17</f>
        <v>2.6965939713808345</v>
      </c>
      <c r="AM13" s="11">
        <f>AL13+真實IC!AN17</f>
        <v>2.6610935111156326</v>
      </c>
      <c r="AN13" s="11">
        <f>AM13+真實IC!AO17</f>
        <v>2.7124780313555998</v>
      </c>
      <c r="AO13" s="11">
        <f>AN13+真實IC!AP17</f>
        <v>2.7875521908398038</v>
      </c>
      <c r="AP13" s="11">
        <f>AO13+真實IC!AQ17</f>
        <v>2.9137344773790761</v>
      </c>
      <c r="AQ13" s="11">
        <f>AP13+真實IC!AR17</f>
        <v>2.9314683031383155</v>
      </c>
      <c r="AR13" s="11">
        <f>AQ13+真實IC!AS17</f>
        <v>2.9322679329461918</v>
      </c>
      <c r="AS13" s="11">
        <f>AR13+真實IC!AT17</f>
        <v>3.0509301394756076</v>
      </c>
      <c r="AT13" s="11">
        <f>AS13+真實IC!AU17</f>
        <v>3.1281042167255695</v>
      </c>
      <c r="AU13" s="11">
        <f>AT13+真實IC!AV17</f>
        <v>3.1236409651579797</v>
      </c>
      <c r="AV13" s="11">
        <f>AU13+真實IC!AW17</f>
        <v>3.3130017358269011</v>
      </c>
      <c r="AW13" s="11">
        <f>AV13+真實IC!AX17</f>
        <v>3.426178104713351</v>
      </c>
      <c r="AX13" s="11">
        <f>AW13+真實IC!AY17</f>
        <v>3.6261843745184583</v>
      </c>
      <c r="AY13" s="11">
        <f>AX13+真實IC!AZ17</f>
        <v>3.6940307036371087</v>
      </c>
      <c r="AZ13" s="11">
        <f>AY13+真實IC!BA17</f>
        <v>3.6788789651433116</v>
      </c>
      <c r="BA13" s="11">
        <f>AZ13+真實IC!BB17</f>
        <v>3.7635437568117123</v>
      </c>
      <c r="BB13" s="11">
        <f>BA13+真實IC!BC17</f>
        <v>3.8226165657879698</v>
      </c>
      <c r="BC13" s="11">
        <f>BB13+真實IC!BD17</f>
        <v>3.8322640469281914</v>
      </c>
      <c r="BD13" s="11">
        <f>BC13+真實IC!BE17</f>
        <v>3.7908660762312834</v>
      </c>
      <c r="BE13" s="11">
        <f>BD13+真實IC!BF17</f>
        <v>3.918118388350476</v>
      </c>
      <c r="BF13" s="11">
        <f>BE13+真實IC!BG17</f>
        <v>4.0472882790295222</v>
      </c>
      <c r="BG13" s="11">
        <f>BF13+真實IC!BH17</f>
        <v>4.1157245466339551</v>
      </c>
      <c r="BH13" s="11">
        <f>BG13+真實IC!BI17</f>
        <v>4.251078528815138</v>
      </c>
      <c r="BI13" s="11">
        <f>BH13+真實IC!BJ17</f>
        <v>4.3811887838513073</v>
      </c>
      <c r="BJ13" s="11">
        <f>BI13+真實IC!BK17</f>
        <v>4.426793716151721</v>
      </c>
      <c r="BK13" s="11">
        <f>BJ13+真實IC!BL17</f>
        <v>4.44790638285179</v>
      </c>
      <c r="BL13" s="11">
        <f>BK13+真實IC!BM17</f>
        <v>4.4590329162480193</v>
      </c>
      <c r="BM13" s="11">
        <f>BL13+真實IC!BN17</f>
        <v>4.5603378841727595</v>
      </c>
      <c r="BN13" s="11">
        <f>BM13+真實IC!BO17</f>
        <v>4.5892759749670926</v>
      </c>
      <c r="BO13" s="11">
        <f>BN13+真實IC!BP17</f>
        <v>4.7275516072497252</v>
      </c>
      <c r="BP13" s="11">
        <f>BO13+真實IC!BQ17</f>
        <v>4.7217439146029774</v>
      </c>
      <c r="BQ13" s="11">
        <f>BP13+真實IC!BR17</f>
        <v>4.8535442423652286</v>
      </c>
      <c r="BR13" s="11">
        <f>BQ13+真實IC!BS17</f>
        <v>4.8654101532738405</v>
      </c>
      <c r="BS13" s="11">
        <f>BR13+真實IC!BT17</f>
        <v>4.8055592171819894</v>
      </c>
      <c r="BT13" s="11">
        <f>BS13+真實IC!BU17</f>
        <v>4.790419134783126</v>
      </c>
      <c r="BU13" s="11">
        <f>BT13+真實IC!BV17</f>
        <v>4.9550129820475197</v>
      </c>
      <c r="BV13" s="11">
        <f>BU13+真實IC!BW17</f>
        <v>5.2538919716234478</v>
      </c>
      <c r="BW13" s="11">
        <f>BV13+真實IC!BX17</f>
        <v>5.3197571675553181</v>
      </c>
      <c r="BX13" s="11">
        <f>BW13+真實IC!BY17</f>
        <v>5.3371161299725296</v>
      </c>
      <c r="BY13" s="11">
        <f>BX13+真實IC!BZ17</f>
        <v>5.3498888763813541</v>
      </c>
      <c r="BZ13" s="11">
        <f>BY13+真實IC!CA17</f>
        <v>5.2569683425725602</v>
      </c>
      <c r="CA13" s="11">
        <f>BZ13+真實IC!CB17</f>
        <v>5.3496524480957977</v>
      </c>
      <c r="CB13" s="11">
        <f>CA13+真實IC!CC17</f>
        <v>5.3142939049232814</v>
      </c>
      <c r="CC13" s="11">
        <f>CB13+真實IC!CD17</f>
        <v>5.3044021404080768</v>
      </c>
      <c r="CD13" s="11">
        <f>CC13+真實IC!CE17</f>
        <v>5.4018928855535115</v>
      </c>
      <c r="CE13" s="11">
        <f>CD13+真實IC!CF17</f>
        <v>5.4471035562136878</v>
      </c>
      <c r="CF13" s="11">
        <f>CE13+真實IC!CG17</f>
        <v>5.4716155042958485</v>
      </c>
      <c r="CG13" s="11">
        <f>CF13+真實IC!CH17</f>
        <v>5.5069077405690301</v>
      </c>
      <c r="CH13" s="11">
        <f>CG13+真實IC!CI17</f>
        <v>5.6024955384616275</v>
      </c>
      <c r="CI13" s="11">
        <f>CH13+真實IC!CJ17</f>
        <v>5.6594630973986302</v>
      </c>
      <c r="CJ13" s="11">
        <f>CI13+真實IC!CK17</f>
        <v>5.6809203183111112</v>
      </c>
      <c r="CK13" s="11">
        <f>CJ13+真實IC!CL17</f>
        <v>5.7459468547504366</v>
      </c>
      <c r="CL13" s="11">
        <f>CK13+真實IC!CM17</f>
        <v>5.7925733905430352</v>
      </c>
      <c r="CM13" s="11">
        <f>CL13+真實IC!CN17</f>
        <v>6.1003319174812924</v>
      </c>
      <c r="CN13" s="11">
        <f>CM13+真實IC!CO17</f>
        <v>6.2997881412995582</v>
      </c>
      <c r="CO13" s="11">
        <f>CN13+真實IC!CP17</f>
        <v>6.4298868889732983</v>
      </c>
      <c r="CP13" s="11">
        <f>CO13+真實IC!CQ17</f>
        <v>6.4969759047172611</v>
      </c>
      <c r="CQ13" s="11">
        <f>CP13+真實IC!CR17</f>
        <v>6.633454019161146</v>
      </c>
      <c r="CR13" s="11">
        <f>CQ13+真實IC!CS17</f>
        <v>6.5735414889609123</v>
      </c>
      <c r="CS13" s="11">
        <f>CR13+真實IC!CT17</f>
        <v>6.742277555233894</v>
      </c>
      <c r="CT13" s="11">
        <f>CS13+真實IC!CU17</f>
        <v>6.9265476742824372</v>
      </c>
      <c r="CU13" s="11">
        <f>CT13+真實IC!CV17</f>
        <v>7.0111895173735768</v>
      </c>
      <c r="CV13" s="11">
        <f>CU13+真實IC!CW17</f>
        <v>7.0531722780021076</v>
      </c>
      <c r="CW13" s="11">
        <f>CV13+真實IC!CX17</f>
        <v>7.2055600568936757</v>
      </c>
      <c r="CX13" s="11">
        <f>CW13+真實IC!CY17</f>
        <v>7.1126121525583175</v>
      </c>
      <c r="CY13" s="11">
        <f>CX13+真實IC!CZ17</f>
        <v>7.1363754876987997</v>
      </c>
      <c r="CZ13" s="11">
        <f>CY13+真實IC!DA17</f>
        <v>7.2990465354415823</v>
      </c>
      <c r="DA13" s="11">
        <f>CZ13+真實IC!DB17</f>
        <v>7.0893831333623663</v>
      </c>
      <c r="DB13" s="11">
        <f>DA13+真實IC!DC17</f>
        <v>7.1741300677164865</v>
      </c>
      <c r="DC13" s="11">
        <f>DB13+真實IC!DD17</f>
        <v>7.2743288181649977</v>
      </c>
      <c r="DD13" s="11">
        <f>DC13+真實IC!DE17</f>
        <v>7.2520152791457413</v>
      </c>
      <c r="DE13" s="11">
        <f>DD13+真實IC!DF17</f>
        <v>7.2580698054183452</v>
      </c>
      <c r="DF13" s="11">
        <f>DE13+真實IC!DG17</f>
        <v>7.1449782425779853</v>
      </c>
      <c r="DG13" s="11">
        <f>DF13+真實IC!DH17</f>
        <v>7.1459166573450723</v>
      </c>
      <c r="DH13" s="11">
        <f>DG13+真實IC!DI17</f>
        <v>7.091808338687942</v>
      </c>
      <c r="DI13" s="11">
        <f>DH13+真實IC!DJ17</f>
        <v>7.1419263472939036</v>
      </c>
      <c r="DJ13" s="11">
        <f>DI13+真實IC!DK17</f>
        <v>7.0697377494881062</v>
      </c>
      <c r="DK13" s="11">
        <f>DJ13+真實IC!DL17</f>
        <v>7.145065360836675</v>
      </c>
      <c r="DL13" s="11">
        <f>DK13+真實IC!DM17</f>
        <v>7.0927475475959039</v>
      </c>
      <c r="DM13" s="11">
        <f>DL13+真實IC!DN17</f>
        <v>7.0457828574330916</v>
      </c>
      <c r="DN13" s="11">
        <f>DM13+真實IC!DO17</f>
        <v>7.0798872731821891</v>
      </c>
      <c r="DO13" s="11">
        <f>DN13+真實IC!DP17</f>
        <v>7.2253292043337662</v>
      </c>
      <c r="DP13" s="11">
        <f>DO13+真實IC!DQ17</f>
        <v>7.2672457236553152</v>
      </c>
      <c r="DQ13" s="11">
        <f>DP13+真實IC!DR17</f>
        <v>7.2310708060913278</v>
      </c>
      <c r="DR13" s="11">
        <f>DQ13+真實IC!DS17</f>
        <v>7.2214992636325634</v>
      </c>
      <c r="DS13" s="11">
        <f>DR13+真實IC!DT17</f>
        <v>7.2706588284646134</v>
      </c>
      <c r="DT13" s="11">
        <f>DS13+真實IC!DU17</f>
        <v>7.4592994733670013</v>
      </c>
      <c r="DU13" s="11">
        <f>DT13+真實IC!DV17</f>
        <v>7.4754896187883269</v>
      </c>
      <c r="DV13" s="11">
        <f>DU13+真實IC!DW17</f>
        <v>7.5344932860398792</v>
      </c>
      <c r="DW13" s="11">
        <f>DV13+真實IC!DX17</f>
        <v>7.6468970388713142</v>
      </c>
      <c r="DX13" s="11">
        <f>DW13+真實IC!DY17</f>
        <v>7.7305706735638529</v>
      </c>
      <c r="DY13" s="11">
        <f>DX13+真實IC!DZ17</f>
        <v>7.7149061278649453</v>
      </c>
      <c r="DZ13" s="11">
        <f>DY13+真實IC!EA17</f>
        <v>7.8601589188706926</v>
      </c>
      <c r="EA13" s="11">
        <f>DZ13+真實IC!EB17</f>
        <v>7.9354533089395467</v>
      </c>
      <c r="EB13" s="11">
        <f>EA13+真實IC!EC17</f>
        <v>7.9496015775077531</v>
      </c>
      <c r="EC13" s="11">
        <f>EB13+真實IC!ED17</f>
        <v>8.0088594552068049</v>
      </c>
      <c r="ED13" s="11">
        <f>EC13+真實IC!EE17</f>
        <v>7.9595152752666456</v>
      </c>
      <c r="EE13" s="11">
        <f>ED13+真實IC!EF17</f>
        <v>7.7998318361436789</v>
      </c>
    </row>
    <row r="14" spans="1:136" ht="16">
      <c r="A14" s="6" t="s">
        <v>152</v>
      </c>
      <c r="B14" s="9">
        <v>-3.9435389831589437E-2</v>
      </c>
      <c r="C14" s="11">
        <f>B14+真實IC!D18</f>
        <v>0.19490258712839964</v>
      </c>
      <c r="D14" s="11">
        <f>C14+真實IC!E18</f>
        <v>0.28160675855695294</v>
      </c>
      <c r="E14" s="11">
        <f>D14+真實IC!F18</f>
        <v>0.36032223046128392</v>
      </c>
      <c r="F14" s="11">
        <f>E14+真實IC!G18</f>
        <v>0.46935338002892191</v>
      </c>
      <c r="G14" s="11">
        <f>F14+真實IC!H18</f>
        <v>0.47000272948574495</v>
      </c>
      <c r="H14" s="11">
        <f>G14+真實IC!I18</f>
        <v>0.49724300276133537</v>
      </c>
      <c r="I14" s="11">
        <f>H14+真實IC!J18</f>
        <v>0.53864997887405863</v>
      </c>
      <c r="J14" s="11">
        <f>I14+真實IC!K18</f>
        <v>0.51909529730753268</v>
      </c>
      <c r="K14" s="11">
        <f>J14+真實IC!L18</f>
        <v>0.52303507968075336</v>
      </c>
      <c r="L14" s="11">
        <f>K14+真實IC!M18</f>
        <v>0.57242726466842253</v>
      </c>
      <c r="M14" s="11">
        <f>L14+真實IC!N18</f>
        <v>0.69266976294761928</v>
      </c>
      <c r="N14" s="11">
        <f>M14+真實IC!O18</f>
        <v>0.62647040715380142</v>
      </c>
      <c r="O14" s="11">
        <f>N14+真實IC!P18</f>
        <v>0.63465858666813335</v>
      </c>
      <c r="P14" s="11">
        <f>O14+真實IC!Q18</f>
        <v>0.71095771939648078</v>
      </c>
      <c r="Q14" s="11">
        <f>P14+真實IC!R18</f>
        <v>0.70999762247387832</v>
      </c>
      <c r="R14" s="11">
        <f>Q14+真實IC!S18</f>
        <v>0.85543443843082134</v>
      </c>
      <c r="S14" s="11">
        <f>R14+真實IC!T18</f>
        <v>1.0799942379258793</v>
      </c>
      <c r="T14" s="11">
        <f>S14+真實IC!U18</f>
        <v>1.1076424719987099</v>
      </c>
      <c r="U14" s="11">
        <f>T14+真實IC!V18</f>
        <v>1.3342008265518359</v>
      </c>
      <c r="V14" s="11">
        <f>U14+真實IC!W18</f>
        <v>1.4358321836830112</v>
      </c>
      <c r="W14" s="11">
        <f>V14+真實IC!X18</f>
        <v>1.7069631418403464</v>
      </c>
      <c r="X14" s="11">
        <f>W14+真實IC!Y18</f>
        <v>1.7793361260202818</v>
      </c>
      <c r="Y14" s="11">
        <f>X14+真實IC!Z18</f>
        <v>1.8745569810230416</v>
      </c>
      <c r="Z14" s="11">
        <f>Y14+真實IC!AA18</f>
        <v>2.0033644856394424</v>
      </c>
      <c r="AA14" s="11">
        <f>Z14+真實IC!AB18</f>
        <v>2.0303263554158089</v>
      </c>
      <c r="AB14" s="11">
        <f>AA14+真實IC!AC18</f>
        <v>2.1729427174723934</v>
      </c>
      <c r="AC14" s="11">
        <f>AB14+真實IC!AD18</f>
        <v>2.1686276670369975</v>
      </c>
      <c r="AD14" s="11">
        <f>AC14+真實IC!AE18</f>
        <v>2.3782559082139079</v>
      </c>
      <c r="AE14" s="11">
        <f>AD14+真實IC!AF18</f>
        <v>2.5852046467103937</v>
      </c>
      <c r="AF14" s="11">
        <f>AE14+真實IC!AG18</f>
        <v>2.5414284869746213</v>
      </c>
      <c r="AG14" s="11">
        <f>AF14+真實IC!AH18</f>
        <v>2.7187046773550421</v>
      </c>
      <c r="AH14" s="11">
        <f>AG14+真實IC!AI18</f>
        <v>2.7520879330266892</v>
      </c>
      <c r="AI14" s="11">
        <f>AH14+真實IC!AJ18</f>
        <v>2.8076461766025393</v>
      </c>
      <c r="AJ14" s="11">
        <f>AI14+真實IC!AK18</f>
        <v>2.8288687085986841</v>
      </c>
      <c r="AK14" s="11">
        <f>AJ14+真實IC!AL18</f>
        <v>2.9090900383959259</v>
      </c>
      <c r="AL14" s="11">
        <f>AK14+真實IC!AM18</f>
        <v>2.8801111773313823</v>
      </c>
      <c r="AM14" s="11">
        <f>AL14+真實IC!AN18</f>
        <v>2.8580786593888683</v>
      </c>
      <c r="AN14" s="11">
        <f>AM14+真實IC!AO18</f>
        <v>2.8991688127506094</v>
      </c>
      <c r="AO14" s="11">
        <f>AN14+真實IC!AP18</f>
        <v>2.9503019308678406</v>
      </c>
      <c r="AP14" s="11">
        <f>AO14+真實IC!AQ18</f>
        <v>3.076696045750424</v>
      </c>
      <c r="AQ14" s="11">
        <f>AP14+真實IC!AR18</f>
        <v>3.1110680248106948</v>
      </c>
      <c r="AR14" s="11">
        <f>AQ14+真實IC!AS18</f>
        <v>3.1027829016976218</v>
      </c>
      <c r="AS14" s="11">
        <f>AR14+真實IC!AT18</f>
        <v>3.2342939992409931</v>
      </c>
      <c r="AT14" s="11">
        <f>AS14+真實IC!AU18</f>
        <v>3.316384271083995</v>
      </c>
      <c r="AU14" s="11">
        <f>AT14+真實IC!AV18</f>
        <v>3.2951630365307709</v>
      </c>
      <c r="AV14" s="11">
        <f>AU14+真實IC!AW18</f>
        <v>3.5110575194430007</v>
      </c>
      <c r="AW14" s="11">
        <f>AV14+真實IC!AX18</f>
        <v>3.5371376132836714</v>
      </c>
      <c r="AX14" s="11">
        <f>AW14+真實IC!AY18</f>
        <v>3.7630701018419774</v>
      </c>
      <c r="AY14" s="11">
        <f>AX14+真實IC!AZ18</f>
        <v>3.85122028336255</v>
      </c>
      <c r="AZ14" s="11">
        <f>AY14+真實IC!BA18</f>
        <v>3.8851318453472485</v>
      </c>
      <c r="BA14" s="11">
        <f>AZ14+真實IC!BB18</f>
        <v>4.0038935480885716</v>
      </c>
      <c r="BB14" s="11">
        <f>BA14+真實IC!BC18</f>
        <v>4.0734106946342585</v>
      </c>
      <c r="BC14" s="11">
        <f>BB14+真實IC!BD18</f>
        <v>4.0564744767098988</v>
      </c>
      <c r="BD14" s="11">
        <f>BC14+真實IC!BE18</f>
        <v>3.9952768327834396</v>
      </c>
      <c r="BE14" s="11">
        <f>BD14+真實IC!BF18</f>
        <v>4.1539691836806423</v>
      </c>
      <c r="BF14" s="11">
        <f>BE14+真實IC!BG18</f>
        <v>4.2747480746068609</v>
      </c>
      <c r="BG14" s="11">
        <f>BF14+真實IC!BH18</f>
        <v>4.3563689121205442</v>
      </c>
      <c r="BH14" s="11">
        <f>BG14+真實IC!BI18</f>
        <v>4.4787360376478871</v>
      </c>
      <c r="BI14" s="11">
        <f>BH14+真實IC!BJ18</f>
        <v>4.5753028411734249</v>
      </c>
      <c r="BJ14" s="11">
        <f>BI14+真實IC!BK18</f>
        <v>4.6266744656994367</v>
      </c>
      <c r="BK14" s="11">
        <f>BJ14+真實IC!BL18</f>
        <v>4.6364896341669457</v>
      </c>
      <c r="BL14" s="11">
        <f>BK14+真實IC!BM18</f>
        <v>4.635051373488114</v>
      </c>
      <c r="BM14" s="11">
        <f>BL14+真實IC!BN18</f>
        <v>4.7363152768723564</v>
      </c>
      <c r="BN14" s="11">
        <f>BM14+真實IC!BO18</f>
        <v>4.7658025438042584</v>
      </c>
      <c r="BO14" s="11">
        <f>BN14+真實IC!BP18</f>
        <v>4.8917654982006509</v>
      </c>
      <c r="BP14" s="11">
        <f>BO14+真實IC!BQ18</f>
        <v>4.9144175858542161</v>
      </c>
      <c r="BQ14" s="11">
        <f>BP14+真實IC!BR18</f>
        <v>5.0619396139548991</v>
      </c>
      <c r="BR14" s="11">
        <f>BQ14+真實IC!BS18</f>
        <v>5.0939466011477821</v>
      </c>
      <c r="BS14" s="11">
        <f>BR14+真實IC!BT18</f>
        <v>5.0472857186542637</v>
      </c>
      <c r="BT14" s="11">
        <f>BS14+真實IC!BU18</f>
        <v>5.0322211411176614</v>
      </c>
      <c r="BU14" s="11">
        <f>BT14+真實IC!BV18</f>
        <v>5.2065059008736272</v>
      </c>
      <c r="BV14" s="11">
        <f>BU14+真實IC!BW18</f>
        <v>5.5244767354119944</v>
      </c>
      <c r="BW14" s="11">
        <f>BV14+真實IC!BX18</f>
        <v>5.5939364520082551</v>
      </c>
      <c r="BX14" s="11">
        <f>BW14+真實IC!BY18</f>
        <v>5.6549711787396344</v>
      </c>
      <c r="BY14" s="11">
        <f>BX14+真實IC!BZ18</f>
        <v>5.6265694071821004</v>
      </c>
      <c r="BZ14" s="11">
        <f>BY14+真實IC!CA18</f>
        <v>5.4960995233438643</v>
      </c>
      <c r="CA14" s="11">
        <f>BZ14+真實IC!CB18</f>
        <v>5.6119650723330192</v>
      </c>
      <c r="CB14" s="11">
        <f>CA14+真實IC!CC18</f>
        <v>5.5912819116318344</v>
      </c>
      <c r="CC14" s="11">
        <f>CB14+真實IC!CD18</f>
        <v>5.6562168350490794</v>
      </c>
      <c r="CD14" s="11">
        <f>CC14+真實IC!CE18</f>
        <v>5.7775272484510394</v>
      </c>
      <c r="CE14" s="11">
        <f>CD14+真實IC!CF18</f>
        <v>5.7655336080033406</v>
      </c>
      <c r="CF14" s="11">
        <f>CE14+真實IC!CG18</f>
        <v>5.8200222459702928</v>
      </c>
      <c r="CG14" s="11">
        <f>CF14+真實IC!CH18</f>
        <v>5.8797335094791423</v>
      </c>
      <c r="CH14" s="11">
        <f>CG14+真實IC!CI18</f>
        <v>5.9818689812386081</v>
      </c>
      <c r="CI14" s="11">
        <f>CH14+真實IC!CJ18</f>
        <v>6.0366574437173499</v>
      </c>
      <c r="CJ14" s="11">
        <f>CI14+真實IC!CK18</f>
        <v>6.097381546348994</v>
      </c>
      <c r="CK14" s="11">
        <f>CJ14+真實IC!CL18</f>
        <v>6.1657020124836794</v>
      </c>
      <c r="CL14" s="11">
        <f>CK14+真實IC!CM18</f>
        <v>6.172701739229332</v>
      </c>
      <c r="CM14" s="11">
        <f>CL14+真實IC!CN18</f>
        <v>6.4746977214219186</v>
      </c>
      <c r="CN14" s="11">
        <f>CM14+真實IC!CO18</f>
        <v>6.6787995481656388</v>
      </c>
      <c r="CO14" s="11">
        <f>CN14+真實IC!CP18</f>
        <v>6.7899509983672832</v>
      </c>
      <c r="CP14" s="11">
        <f>CO14+真實IC!CQ18</f>
        <v>6.8815903883027882</v>
      </c>
      <c r="CQ14" s="11">
        <f>CP14+真實IC!CR18</f>
        <v>7.0156278036693625</v>
      </c>
      <c r="CR14" s="11">
        <f>CQ14+真實IC!CS18</f>
        <v>6.9263369741802396</v>
      </c>
      <c r="CS14" s="11">
        <f>CR14+真實IC!CT18</f>
        <v>7.0833159708566527</v>
      </c>
      <c r="CT14" s="11">
        <f>CS14+真實IC!CU18</f>
        <v>7.2514293487001389</v>
      </c>
      <c r="CU14" s="11">
        <f>CT14+真實IC!CV18</f>
        <v>7.3415264035325816</v>
      </c>
      <c r="CV14" s="11">
        <f>CU14+真實IC!CW18</f>
        <v>7.3934606633615285</v>
      </c>
      <c r="CW14" s="11">
        <f>CV14+真實IC!CX18</f>
        <v>7.5557266386641446</v>
      </c>
      <c r="CX14" s="11">
        <f>CW14+真實IC!CY18</f>
        <v>7.4744460007899303</v>
      </c>
      <c r="CY14" s="11">
        <f>CX14+真實IC!CZ18</f>
        <v>7.5071708230320748</v>
      </c>
      <c r="CZ14" s="11">
        <f>CY14+真實IC!DA18</f>
        <v>7.6750005135471833</v>
      </c>
      <c r="DA14" s="11">
        <f>CZ14+真實IC!DB18</f>
        <v>7.4433351676455395</v>
      </c>
      <c r="DB14" s="11">
        <f>DA14+真實IC!DC18</f>
        <v>7.539468505943927</v>
      </c>
      <c r="DC14" s="11">
        <f>DB14+真實IC!DD18</f>
        <v>7.637361539646788</v>
      </c>
      <c r="DD14" s="11">
        <f>DC14+真實IC!DE18</f>
        <v>7.5867299101441175</v>
      </c>
      <c r="DE14" s="11">
        <f>DD14+真實IC!DF18</f>
        <v>7.5894279236964435</v>
      </c>
      <c r="DF14" s="11">
        <f>DE14+真實IC!DG18</f>
        <v>7.4630560038459706</v>
      </c>
      <c r="DG14" s="11">
        <f>DF14+真實IC!DH18</f>
        <v>7.4590771718814155</v>
      </c>
      <c r="DH14" s="11">
        <f>DG14+真實IC!DI18</f>
        <v>7.4136776739801542</v>
      </c>
      <c r="DI14" s="11">
        <f>DH14+真實IC!DJ18</f>
        <v>7.4797290043844065</v>
      </c>
      <c r="DJ14" s="11">
        <f>DI14+真實IC!DK18</f>
        <v>7.4220432350371475</v>
      </c>
      <c r="DK14" s="11">
        <f>DJ14+真實IC!DL18</f>
        <v>7.4775170175145407</v>
      </c>
      <c r="DL14" s="11">
        <f>DK14+真實IC!DM18</f>
        <v>7.42656325447496</v>
      </c>
      <c r="DM14" s="11">
        <f>DL14+真實IC!DN18</f>
        <v>7.3688836842281749</v>
      </c>
      <c r="DN14" s="11">
        <f>DM14+真實IC!DO18</f>
        <v>7.4154475507079525</v>
      </c>
      <c r="DO14" s="11">
        <f>DN14+真實IC!DP18</f>
        <v>7.5504490816377059</v>
      </c>
      <c r="DP14" s="11">
        <f>DO14+真實IC!DQ18</f>
        <v>7.5919024922566489</v>
      </c>
      <c r="DQ14" s="11">
        <f>DP14+真實IC!DR18</f>
        <v>7.5655371120625059</v>
      </c>
      <c r="DR14" s="11">
        <f>DQ14+真實IC!DS18</f>
        <v>7.5759601364390212</v>
      </c>
      <c r="DS14" s="11">
        <f>DR14+真實IC!DT18</f>
        <v>7.622734471708986</v>
      </c>
      <c r="DT14" s="11">
        <f>DS14+真實IC!DU18</f>
        <v>7.8128427141549039</v>
      </c>
      <c r="DU14" s="11">
        <f>DT14+真實IC!DV18</f>
        <v>7.823517629948447</v>
      </c>
      <c r="DV14" s="11">
        <f>DU14+真實IC!DW18</f>
        <v>7.872065374821398</v>
      </c>
      <c r="DW14" s="11">
        <f>DV14+真實IC!DX18</f>
        <v>7.9772073768607488</v>
      </c>
      <c r="DX14" s="11">
        <f>DW14+真實IC!DY18</f>
        <v>8.0721922410819857</v>
      </c>
      <c r="DY14" s="11">
        <f>DX14+真實IC!DZ18</f>
        <v>8.0570999937680217</v>
      </c>
      <c r="DZ14" s="11">
        <f>DY14+真實IC!EA18</f>
        <v>8.2050458053150646</v>
      </c>
      <c r="EA14" s="11">
        <f>DZ14+真實IC!EB18</f>
        <v>8.2939547592743565</v>
      </c>
      <c r="EB14" s="11">
        <f>EA14+真實IC!EC18</f>
        <v>8.310280277206374</v>
      </c>
      <c r="EC14" s="11">
        <f>EB14+真實IC!ED18</f>
        <v>8.3684954692839657</v>
      </c>
      <c r="ED14" s="11">
        <f>EC14+真實IC!EE18</f>
        <v>8.3092544726287798</v>
      </c>
      <c r="EE14" s="11">
        <f>ED14+真實IC!EF18</f>
        <v>8.1512627233587693</v>
      </c>
    </row>
    <row r="15" spans="1:136" ht="16">
      <c r="A15" s="6" t="s">
        <v>153</v>
      </c>
      <c r="B15" s="9">
        <v>-3.8913468982799758E-2</v>
      </c>
      <c r="C15" s="11">
        <f>B15+真實IC!D19</f>
        <v>0.12963389287697452</v>
      </c>
      <c r="D15" s="11">
        <f>C15+真實IC!E19</f>
        <v>0.22630500206958534</v>
      </c>
      <c r="E15" s="11">
        <f>D15+真實IC!F19</f>
        <v>0.30705716622190443</v>
      </c>
      <c r="F15" s="11">
        <f>E15+真實IC!G19</f>
        <v>0.441789827403127</v>
      </c>
      <c r="G15" s="11">
        <f>F15+真實IC!H19</f>
        <v>0.43384697055512533</v>
      </c>
      <c r="H15" s="11">
        <f>G15+真實IC!I19</f>
        <v>0.4580660051948835</v>
      </c>
      <c r="I15" s="11">
        <f>H15+真實IC!J19</f>
        <v>0.48682183434489734</v>
      </c>
      <c r="J15" s="11">
        <f>I15+真實IC!K19</f>
        <v>0.48222361046835177</v>
      </c>
      <c r="K15" s="11">
        <f>J15+真實IC!L19</f>
        <v>0.49479618463439456</v>
      </c>
      <c r="L15" s="11">
        <f>K15+真實IC!M19</f>
        <v>0.54474338643817433</v>
      </c>
      <c r="M15" s="11">
        <f>L15+真實IC!N19</f>
        <v>0.65402121326798013</v>
      </c>
      <c r="N15" s="11">
        <f>M15+真實IC!O19</f>
        <v>0.58403756598837864</v>
      </c>
      <c r="O15" s="11">
        <f>N15+真實IC!P19</f>
        <v>0.5974205127317469</v>
      </c>
      <c r="P15" s="11">
        <f>O15+真實IC!Q19</f>
        <v>0.67279797758562332</v>
      </c>
      <c r="Q15" s="11">
        <f>P15+真實IC!R19</f>
        <v>0.66936878014900902</v>
      </c>
      <c r="R15" s="11">
        <f>Q15+真實IC!S19</f>
        <v>0.83802687986947089</v>
      </c>
      <c r="S15" s="11">
        <f>R15+真實IC!T19</f>
        <v>1.0424407011426808</v>
      </c>
      <c r="T15" s="11">
        <f>S15+真實IC!U19</f>
        <v>1.0505010241298471</v>
      </c>
      <c r="U15" s="11">
        <f>T15+真實IC!V19</f>
        <v>1.2345641245749692</v>
      </c>
      <c r="V15" s="11">
        <f>U15+真實IC!W19</f>
        <v>1.3632313789326378</v>
      </c>
      <c r="W15" s="11">
        <f>V15+真實IC!X19</f>
        <v>1.6345673272283092</v>
      </c>
      <c r="X15" s="11">
        <f>W15+真實IC!Y19</f>
        <v>1.7236624864944896</v>
      </c>
      <c r="Y15" s="11">
        <f>X15+真實IC!Z19</f>
        <v>1.8647274247225365</v>
      </c>
      <c r="Z15" s="11">
        <f>Y15+真實IC!AA19</f>
        <v>1.9819551267149949</v>
      </c>
      <c r="AA15" s="11">
        <f>Z15+真實IC!AB19</f>
        <v>2.0204853581883118</v>
      </c>
      <c r="AB15" s="11">
        <f>AA15+真實IC!AC19</f>
        <v>2.2180770817322251</v>
      </c>
      <c r="AC15" s="11">
        <f>AB15+真實IC!AD19</f>
        <v>2.2277293558552165</v>
      </c>
      <c r="AD15" s="11">
        <f>AC15+真實IC!AE19</f>
        <v>2.4498520602836673</v>
      </c>
      <c r="AE15" s="11">
        <f>AD15+真實IC!AF19</f>
        <v>2.6610652749398338</v>
      </c>
      <c r="AF15" s="11">
        <f>AE15+真實IC!AG19</f>
        <v>2.598425133368695</v>
      </c>
      <c r="AG15" s="11">
        <f>AF15+真實IC!AH19</f>
        <v>2.8144143818521457</v>
      </c>
      <c r="AH15" s="11">
        <f>AG15+真實IC!AI19</f>
        <v>2.8714523575076321</v>
      </c>
      <c r="AI15" s="11">
        <f>AH15+真實IC!AJ19</f>
        <v>2.9230194497650737</v>
      </c>
      <c r="AJ15" s="11">
        <f>AI15+真實IC!AK19</f>
        <v>2.9408530686648175</v>
      </c>
      <c r="AK15" s="11">
        <f>AJ15+真實IC!AL19</f>
        <v>3.0172796163589624</v>
      </c>
      <c r="AL15" s="11">
        <f>AK15+真實IC!AM19</f>
        <v>2.9877584734680553</v>
      </c>
      <c r="AM15" s="11">
        <f>AL15+真實IC!AN19</f>
        <v>2.9942146088413435</v>
      </c>
      <c r="AN15" s="11">
        <f>AM15+真實IC!AO19</f>
        <v>3.0709091364639667</v>
      </c>
      <c r="AO15" s="11">
        <f>AN15+真實IC!AP19</f>
        <v>3.1308715778245975</v>
      </c>
      <c r="AP15" s="11">
        <f>AO15+真實IC!AQ19</f>
        <v>3.2435947051583263</v>
      </c>
      <c r="AQ15" s="11">
        <f>AP15+真實IC!AR19</f>
        <v>3.2893973307156292</v>
      </c>
      <c r="AR15" s="11">
        <f>AQ15+真實IC!AS19</f>
        <v>3.2993163709241333</v>
      </c>
      <c r="AS15" s="11">
        <f>AR15+真實IC!AT19</f>
        <v>3.4421649500774216</v>
      </c>
      <c r="AT15" s="11">
        <f>AS15+真實IC!AU19</f>
        <v>3.5578645596115264</v>
      </c>
      <c r="AU15" s="11">
        <f>AT15+真實IC!AV19</f>
        <v>3.4965892002036378</v>
      </c>
      <c r="AV15" s="11">
        <f>AU15+真實IC!AW19</f>
        <v>3.7468290654297816</v>
      </c>
      <c r="AW15" s="11">
        <f>AV15+真實IC!AX19</f>
        <v>3.7760183073232456</v>
      </c>
      <c r="AX15" s="11">
        <f>AW15+真實IC!AY19</f>
        <v>4.0140977504116604</v>
      </c>
      <c r="AY15" s="11">
        <f>AX15+真實IC!AZ19</f>
        <v>4.0845919813280949</v>
      </c>
      <c r="AZ15" s="11">
        <f>AY15+真實IC!BA19</f>
        <v>4.1233635965757856</v>
      </c>
      <c r="BA15" s="11">
        <f>AZ15+真實IC!BB19</f>
        <v>4.2565902570105392</v>
      </c>
      <c r="BB15" s="11">
        <f>BA15+真實IC!BC19</f>
        <v>4.3079390091449206</v>
      </c>
      <c r="BC15" s="11">
        <f>BB15+真實IC!BD19</f>
        <v>4.3214138389695451</v>
      </c>
      <c r="BD15" s="11">
        <f>BC15+真實IC!BE19</f>
        <v>4.2773035856247068</v>
      </c>
      <c r="BE15" s="11">
        <f>BD15+真實IC!BF19</f>
        <v>4.3323643425115206</v>
      </c>
      <c r="BF15" s="11">
        <f>BE15+真實IC!BG19</f>
        <v>4.4449853891434739</v>
      </c>
      <c r="BG15" s="11">
        <f>BF15+真實IC!BH19</f>
        <v>4.534142384681811</v>
      </c>
      <c r="BH15" s="11">
        <f>BG15+真實IC!BI19</f>
        <v>4.6524421193739149</v>
      </c>
      <c r="BI15" s="11">
        <f>BH15+真實IC!BJ19</f>
        <v>4.7503103637423392</v>
      </c>
      <c r="BJ15" s="11">
        <f>BI15+真實IC!BK19</f>
        <v>4.7670616904927199</v>
      </c>
      <c r="BK15" s="11">
        <f>BJ15+真實IC!BL19</f>
        <v>4.7783842733126649</v>
      </c>
      <c r="BL15" s="11">
        <f>BK15+真實IC!BM19</f>
        <v>4.76987566398578</v>
      </c>
      <c r="BM15" s="11">
        <f>BL15+真實IC!BN19</f>
        <v>4.8631311391659473</v>
      </c>
      <c r="BN15" s="11">
        <f>BM15+真實IC!BO19</f>
        <v>4.8953284248672144</v>
      </c>
      <c r="BO15" s="11">
        <f>BN15+真實IC!BP19</f>
        <v>5.0450556750632538</v>
      </c>
      <c r="BP15" s="11">
        <f>BO15+真實IC!BQ19</f>
        <v>5.0642164115250567</v>
      </c>
      <c r="BQ15" s="11">
        <f>BP15+真實IC!BR19</f>
        <v>5.2425045086196445</v>
      </c>
      <c r="BR15" s="11">
        <f>BQ15+真實IC!BS19</f>
        <v>5.26341052683334</v>
      </c>
      <c r="BS15" s="11">
        <f>BR15+真實IC!BT19</f>
        <v>5.2107603665713622</v>
      </c>
      <c r="BT15" s="11">
        <f>BS15+真實IC!BU19</f>
        <v>5.1722499816998075</v>
      </c>
      <c r="BU15" s="11">
        <f>BT15+真實IC!BV19</f>
        <v>5.3607188190006747</v>
      </c>
      <c r="BV15" s="11">
        <f>BU15+真實IC!BW19</f>
        <v>5.5690556445180635</v>
      </c>
      <c r="BW15" s="11">
        <f>BV15+真實IC!BX19</f>
        <v>5.6409579489950215</v>
      </c>
      <c r="BX15" s="11">
        <f>BW15+真實IC!BY19</f>
        <v>5.6923158798527123</v>
      </c>
      <c r="BY15" s="11">
        <f>BX15+真實IC!BZ19</f>
        <v>5.6667895770424135</v>
      </c>
      <c r="BZ15" s="11">
        <f>BY15+真實IC!CA19</f>
        <v>5.5359117292664397</v>
      </c>
      <c r="CA15" s="11">
        <f>BZ15+真實IC!CB19</f>
        <v>5.6450775662871839</v>
      </c>
      <c r="CB15" s="11">
        <f>CA15+真實IC!CC19</f>
        <v>5.5303967194334058</v>
      </c>
      <c r="CC15" s="11">
        <f>CB15+真實IC!CD19</f>
        <v>5.5909761697921931</v>
      </c>
      <c r="CD15" s="11">
        <f>CC15+真實IC!CE19</f>
        <v>5.7034707610876003</v>
      </c>
      <c r="CE15" s="11">
        <f>CD15+真實IC!CF19</f>
        <v>5.7040302430533352</v>
      </c>
      <c r="CF15" s="11">
        <f>CE15+真實IC!CG19</f>
        <v>5.7998788161406276</v>
      </c>
      <c r="CG15" s="11">
        <f>CF15+真實IC!CH19</f>
        <v>5.9157181825318004</v>
      </c>
      <c r="CH15" s="11">
        <f>CG15+真實IC!CI19</f>
        <v>6.0461687447823325</v>
      </c>
      <c r="CI15" s="11">
        <f>CH15+真實IC!CJ19</f>
        <v>6.1273331316823318</v>
      </c>
      <c r="CJ15" s="11">
        <f>CI15+真實IC!CK19</f>
        <v>6.1793803546054944</v>
      </c>
      <c r="CK15" s="11">
        <f>CJ15+真實IC!CL19</f>
        <v>6.1824494986067942</v>
      </c>
      <c r="CL15" s="11">
        <f>CK15+真實IC!CM19</f>
        <v>6.180779525713441</v>
      </c>
      <c r="CM15" s="11">
        <f>CL15+真實IC!CN19</f>
        <v>6.5203337794569078</v>
      </c>
      <c r="CN15" s="11">
        <f>CM15+真實IC!CO19</f>
        <v>6.7030316252057487</v>
      </c>
      <c r="CO15" s="11">
        <f>CN15+真實IC!CP19</f>
        <v>6.8112530087146377</v>
      </c>
      <c r="CP15" s="11">
        <f>CO15+真實IC!CQ19</f>
        <v>6.9031407704285321</v>
      </c>
      <c r="CQ15" s="11">
        <f>CP15+真實IC!CR19</f>
        <v>7.0662508164662787</v>
      </c>
      <c r="CR15" s="11">
        <f>CQ15+真實IC!CS19</f>
        <v>6.9777309200653255</v>
      </c>
      <c r="CS15" s="11">
        <f>CR15+真實IC!CT19</f>
        <v>7.092237491638798</v>
      </c>
      <c r="CT15" s="11">
        <f>CS15+真實IC!CU19</f>
        <v>7.2630989303265565</v>
      </c>
      <c r="CU15" s="11">
        <f>CT15+真實IC!CV19</f>
        <v>7.3295565782325074</v>
      </c>
      <c r="CV15" s="11">
        <f>CU15+真實IC!CW19</f>
        <v>7.3853596640024994</v>
      </c>
      <c r="CW15" s="11">
        <f>CV15+真實IC!CX19</f>
        <v>7.5103695194022171</v>
      </c>
      <c r="CX15" s="11">
        <f>CW15+真實IC!CY19</f>
        <v>7.4347606059924116</v>
      </c>
      <c r="CY15" s="11">
        <f>CX15+真實IC!CZ19</f>
        <v>7.4663532903727523</v>
      </c>
      <c r="CZ15" s="11">
        <f>CY15+真實IC!DA19</f>
        <v>7.6836484126585516</v>
      </c>
      <c r="DA15" s="11">
        <f>CZ15+真實IC!DB19</f>
        <v>7.459331441363469</v>
      </c>
      <c r="DB15" s="11">
        <f>DA15+真實IC!DC19</f>
        <v>7.5717778252026742</v>
      </c>
      <c r="DC15" s="11">
        <f>DB15+真實IC!DD19</f>
        <v>7.6610343635235614</v>
      </c>
      <c r="DD15" s="11">
        <f>DC15+真實IC!DE19</f>
        <v>7.6074648083684409</v>
      </c>
      <c r="DE15" s="11">
        <f>DD15+真實IC!DF19</f>
        <v>7.6231392533049709</v>
      </c>
      <c r="DF15" s="11">
        <f>DE15+真實IC!DG19</f>
        <v>7.4999267871743314</v>
      </c>
      <c r="DG15" s="11">
        <f>DF15+真實IC!DH19</f>
        <v>7.487272892511819</v>
      </c>
      <c r="DH15" s="11">
        <f>DG15+真實IC!DI19</f>
        <v>7.4522283564458736</v>
      </c>
      <c r="DI15" s="11">
        <f>DH15+真實IC!DJ19</f>
        <v>7.5333668907194609</v>
      </c>
      <c r="DJ15" s="11">
        <f>DI15+真實IC!DK19</f>
        <v>7.4652487792305759</v>
      </c>
      <c r="DK15" s="11">
        <f>DJ15+真實IC!DL19</f>
        <v>7.5017112902159617</v>
      </c>
      <c r="DL15" s="11">
        <f>DK15+真實IC!DM19</f>
        <v>7.4398447726060306</v>
      </c>
      <c r="DM15" s="11">
        <f>DL15+真實IC!DN19</f>
        <v>7.4070479376651504</v>
      </c>
      <c r="DN15" s="11">
        <f>DM15+真實IC!DO19</f>
        <v>7.4722984820166038</v>
      </c>
      <c r="DO15" s="11">
        <f>DN15+真實IC!DP19</f>
        <v>7.5940811067744631</v>
      </c>
      <c r="DP15" s="11">
        <f>DO15+真實IC!DQ19</f>
        <v>7.6664629048707482</v>
      </c>
      <c r="DQ15" s="11">
        <f>DP15+真實IC!DR19</f>
        <v>7.6369005837180453</v>
      </c>
      <c r="DR15" s="11">
        <f>DQ15+真實IC!DS19</f>
        <v>7.6434061199495176</v>
      </c>
      <c r="DS15" s="11">
        <f>DR15+真實IC!DT19</f>
        <v>7.6361819431279638</v>
      </c>
      <c r="DT15" s="11">
        <f>DS15+真實IC!DU19</f>
        <v>7.7957370426064072</v>
      </c>
      <c r="DU15" s="11">
        <f>DT15+真實IC!DV19</f>
        <v>7.8192367233309898</v>
      </c>
      <c r="DV15" s="11">
        <f>DU15+真實IC!DW19</f>
        <v>7.8817984990505643</v>
      </c>
      <c r="DW15" s="11">
        <f>DV15+真實IC!DX19</f>
        <v>7.9926195774851729</v>
      </c>
      <c r="DX15" s="11">
        <f>DW15+真實IC!DY19</f>
        <v>8.1186301153862281</v>
      </c>
      <c r="DY15" s="11">
        <f>DX15+真實IC!DZ19</f>
        <v>8.1477373041453429</v>
      </c>
      <c r="DZ15" s="11">
        <f>DY15+真實IC!EA19</f>
        <v>8.2795879285704821</v>
      </c>
      <c r="EA15" s="11">
        <f>DZ15+真實IC!EB19</f>
        <v>8.3664466423451103</v>
      </c>
      <c r="EB15" s="11">
        <f>EA15+真實IC!EC19</f>
        <v>8.3562261369792594</v>
      </c>
      <c r="EC15" s="11">
        <f>EB15+真實IC!ED19</f>
        <v>8.4315771295005071</v>
      </c>
      <c r="ED15" s="11">
        <f>EC15+真實IC!EE19</f>
        <v>8.3672984295316173</v>
      </c>
      <c r="EE15" s="11">
        <f>ED15+真實IC!EF19</f>
        <v>8.2274835817054139</v>
      </c>
    </row>
    <row r="16" spans="1:136" ht="16">
      <c r="A16" s="6" t="s">
        <v>154</v>
      </c>
      <c r="B16" s="9">
        <v>-5.9146797802220617E-2</v>
      </c>
      <c r="C16" s="11">
        <f>B16+真實IC!D20</f>
        <v>0.12487209160094559</v>
      </c>
      <c r="D16" s="11">
        <f>C16+真實IC!E20</f>
        <v>0.2253477146040378</v>
      </c>
      <c r="E16" s="11">
        <f>D16+真實IC!F20</f>
        <v>0.34473067470622759</v>
      </c>
      <c r="F16" s="11">
        <f>E16+真實IC!G20</f>
        <v>0.50872458273343268</v>
      </c>
      <c r="G16" s="11">
        <f>F16+真實IC!H20</f>
        <v>0.50010235497898836</v>
      </c>
      <c r="H16" s="11">
        <f>G16+真實IC!I20</f>
        <v>0.53073906219038214</v>
      </c>
      <c r="I16" s="11">
        <f>H16+真實IC!J20</f>
        <v>0.51910436779619051</v>
      </c>
      <c r="J16" s="11">
        <f>I16+真實IC!K20</f>
        <v>0.50440080699254009</v>
      </c>
      <c r="K16" s="11">
        <f>J16+真實IC!L20</f>
        <v>0.53372365994032911</v>
      </c>
      <c r="L16" s="11">
        <f>K16+真實IC!M20</f>
        <v>0.60374928617040247</v>
      </c>
      <c r="M16" s="11">
        <f>L16+真實IC!N20</f>
        <v>0.74495677466669852</v>
      </c>
      <c r="N16" s="11">
        <f>M16+真實IC!O20</f>
        <v>0.67558608554934274</v>
      </c>
      <c r="O16" s="11">
        <f>N16+真實IC!P20</f>
        <v>0.68391417140325172</v>
      </c>
      <c r="P16" s="11">
        <f>O16+真實IC!Q20</f>
        <v>0.75932374232491839</v>
      </c>
      <c r="Q16" s="11">
        <f>P16+真實IC!R20</f>
        <v>0.75601731833570007</v>
      </c>
      <c r="R16" s="11">
        <f>Q16+真實IC!S20</f>
        <v>0.94798318429742934</v>
      </c>
      <c r="S16" s="11">
        <f>R16+真實IC!T20</f>
        <v>1.1732965583364299</v>
      </c>
      <c r="T16" s="11">
        <f>S16+真實IC!U20</f>
        <v>1.1804422261788063</v>
      </c>
      <c r="U16" s="11">
        <f>T16+真實IC!V20</f>
        <v>1.4105714353078642</v>
      </c>
      <c r="V16" s="11">
        <f>U16+真實IC!W20</f>
        <v>1.5767062645771632</v>
      </c>
      <c r="W16" s="11">
        <f>V16+真實IC!X20</f>
        <v>1.8587428535134776</v>
      </c>
      <c r="X16" s="11">
        <f>W16+真實IC!Y20</f>
        <v>1.9111249196212241</v>
      </c>
      <c r="Y16" s="11">
        <f>X16+真實IC!Z20</f>
        <v>2.0560746989922309</v>
      </c>
      <c r="Z16" s="11">
        <f>Y16+真實IC!AA20</f>
        <v>2.1604923084759653</v>
      </c>
      <c r="AA16" s="11">
        <f>Z16+真實IC!AB20</f>
        <v>2.1972837198396076</v>
      </c>
      <c r="AB16" s="11">
        <f>AA16+真實IC!AC20</f>
        <v>2.3889185407205296</v>
      </c>
      <c r="AC16" s="11">
        <f>AB16+真實IC!AD20</f>
        <v>2.4070622828996417</v>
      </c>
      <c r="AD16" s="11">
        <f>AC16+真實IC!AE20</f>
        <v>2.6654536318148501</v>
      </c>
      <c r="AE16" s="11">
        <f>AD16+真實IC!AF20</f>
        <v>2.9212229228818094</v>
      </c>
      <c r="AF16" s="11">
        <f>AE16+真實IC!AG20</f>
        <v>2.8395029429890557</v>
      </c>
      <c r="AG16" s="11">
        <f>AF16+真實IC!AH20</f>
        <v>3.1317455537095125</v>
      </c>
      <c r="AH16" s="11">
        <f>AG16+真實IC!AI20</f>
        <v>3.2131693037606821</v>
      </c>
      <c r="AI16" s="11">
        <f>AH16+真實IC!AJ20</f>
        <v>3.2691075541488752</v>
      </c>
      <c r="AJ16" s="11">
        <f>AI16+真實IC!AK20</f>
        <v>3.2837501426072109</v>
      </c>
      <c r="AK16" s="11">
        <f>AJ16+真實IC!AL20</f>
        <v>3.4082741505369127</v>
      </c>
      <c r="AL16" s="11">
        <f>AK16+真實IC!AM20</f>
        <v>3.3684708346335785</v>
      </c>
      <c r="AM16" s="11">
        <f>AL16+真實IC!AN20</f>
        <v>3.3656764168736406</v>
      </c>
      <c r="AN16" s="11">
        <f>AM16+真實IC!AO20</f>
        <v>3.3410921364288337</v>
      </c>
      <c r="AO16" s="11">
        <f>AN16+真實IC!AP20</f>
        <v>3.4380429108599828</v>
      </c>
      <c r="AP16" s="11">
        <f>AO16+真實IC!AQ20</f>
        <v>3.5723901934133853</v>
      </c>
      <c r="AQ16" s="11">
        <f>AP16+真實IC!AR20</f>
        <v>3.6113926674761494</v>
      </c>
      <c r="AR16" s="11">
        <f>AQ16+真實IC!AS20</f>
        <v>3.6118982775623816</v>
      </c>
      <c r="AS16" s="11">
        <f>AR16+真實IC!AT20</f>
        <v>3.7638833916533887</v>
      </c>
      <c r="AT16" s="11">
        <f>AS16+真實IC!AU20</f>
        <v>3.9027816062996084</v>
      </c>
      <c r="AU16" s="11">
        <f>AT16+真實IC!AV20</f>
        <v>3.8567500225904365</v>
      </c>
      <c r="AV16" s="11">
        <f>AU16+真實IC!AW20</f>
        <v>4.0701371595810549</v>
      </c>
      <c r="AW16" s="11">
        <f>AV16+真實IC!AX20</f>
        <v>4.1377867665229608</v>
      </c>
      <c r="AX16" s="11">
        <f>AW16+真實IC!AY20</f>
        <v>4.3911255508291873</v>
      </c>
      <c r="AY16" s="11">
        <f>AX16+真實IC!AZ20</f>
        <v>4.4427718782226959</v>
      </c>
      <c r="AZ16" s="11">
        <f>AY16+真實IC!BA20</f>
        <v>4.4780741182294594</v>
      </c>
      <c r="BA16" s="11">
        <f>AZ16+真實IC!BB20</f>
        <v>4.6376807581432677</v>
      </c>
      <c r="BB16" s="11">
        <f>BA16+真實IC!BC20</f>
        <v>4.7557222724640082</v>
      </c>
      <c r="BC16" s="11">
        <f>BB16+真實IC!BD20</f>
        <v>4.7595796227431375</v>
      </c>
      <c r="BD16" s="11">
        <f>BC16+真實IC!BE20</f>
        <v>4.6684067698872154</v>
      </c>
      <c r="BE16" s="11">
        <f>BD16+真實IC!BF20</f>
        <v>4.7078959074491884</v>
      </c>
      <c r="BF16" s="11">
        <f>BE16+真實IC!BG20</f>
        <v>4.747581289243767</v>
      </c>
      <c r="BG16" s="11">
        <f>BF16+真實IC!BH20</f>
        <v>4.8146264422133527</v>
      </c>
      <c r="BH16" s="11">
        <f>BG16+真實IC!BI20</f>
        <v>4.911847381446</v>
      </c>
      <c r="BI16" s="11">
        <f>BH16+真實IC!BJ20</f>
        <v>5.0103812381314219</v>
      </c>
      <c r="BJ16" s="11">
        <f>BI16+真實IC!BK20</f>
        <v>5.0113623220345387</v>
      </c>
      <c r="BK16" s="11">
        <f>BJ16+真實IC!BL20</f>
        <v>5.0379786479305668</v>
      </c>
      <c r="BL16" s="11">
        <f>BK16+真實IC!BM20</f>
        <v>5.0222424318554557</v>
      </c>
      <c r="BM16" s="11">
        <f>BL16+真實IC!BN20</f>
        <v>5.154099526484555</v>
      </c>
      <c r="BN16" s="11">
        <f>BM16+真實IC!BO20</f>
        <v>5.1840711146289093</v>
      </c>
      <c r="BO16" s="11">
        <f>BN16+真實IC!BP20</f>
        <v>5.3489444813908502</v>
      </c>
      <c r="BP16" s="11">
        <f>BO16+真實IC!BQ20</f>
        <v>5.3534686745035156</v>
      </c>
      <c r="BQ16" s="11">
        <f>BP16+真實IC!BR20</f>
        <v>5.5276560481542392</v>
      </c>
      <c r="BR16" s="11">
        <f>BQ16+真實IC!BS20</f>
        <v>5.5605293047302711</v>
      </c>
      <c r="BS16" s="11">
        <f>BR16+真實IC!BT20</f>
        <v>5.4989839818375659</v>
      </c>
      <c r="BT16" s="11">
        <f>BS16+真實IC!BU20</f>
        <v>5.5079046489430787</v>
      </c>
      <c r="BU16" s="11">
        <f>BT16+真實IC!BV20</f>
        <v>5.6977872159931335</v>
      </c>
      <c r="BV16" s="11">
        <f>BU16+真實IC!BW20</f>
        <v>5.9161627151241225</v>
      </c>
      <c r="BW16" s="11">
        <f>BV16+真實IC!BX20</f>
        <v>5.9161376342044623</v>
      </c>
      <c r="BX16" s="11">
        <f>BW16+真實IC!BY20</f>
        <v>5.9467827409633696</v>
      </c>
      <c r="BY16" s="11">
        <f>BX16+真實IC!BZ20</f>
        <v>5.9557309829027005</v>
      </c>
      <c r="BZ16" s="11">
        <f>BY16+真實IC!CA20</f>
        <v>5.8414049959506116</v>
      </c>
      <c r="CA16" s="11">
        <f>BZ16+真實IC!CB20</f>
        <v>5.9387922789300207</v>
      </c>
      <c r="CB16" s="11">
        <f>CA16+真實IC!CC20</f>
        <v>5.833194216214129</v>
      </c>
      <c r="CC16" s="11">
        <f>CB16+真實IC!CD20</f>
        <v>5.883518261195948</v>
      </c>
      <c r="CD16" s="11">
        <f>CC16+真實IC!CE20</f>
        <v>6.0135938468131949</v>
      </c>
      <c r="CE16" s="11">
        <f>CD16+真實IC!CF20</f>
        <v>6.0261574290734288</v>
      </c>
      <c r="CF16" s="11">
        <f>CE16+真實IC!CG20</f>
        <v>6.1517917695244977</v>
      </c>
      <c r="CG16" s="11">
        <f>CF16+真實IC!CH20</f>
        <v>6.273778043207014</v>
      </c>
      <c r="CH16" s="11">
        <f>CG16+真實IC!CI20</f>
        <v>6.4011263360890363</v>
      </c>
      <c r="CI16" s="11">
        <f>CH16+真實IC!CJ20</f>
        <v>6.4752903845521779</v>
      </c>
      <c r="CJ16" s="11">
        <f>CI16+真實IC!CK20</f>
        <v>6.5169205836947617</v>
      </c>
      <c r="CK16" s="11">
        <f>CJ16+真實IC!CL20</f>
        <v>6.5284882959182866</v>
      </c>
      <c r="CL16" s="11">
        <f>CK16+真實IC!CM20</f>
        <v>6.5129395455762831</v>
      </c>
      <c r="CM16" s="11">
        <f>CL16+真實IC!CN20</f>
        <v>6.8620200657341002</v>
      </c>
      <c r="CN16" s="11">
        <f>CM16+真實IC!CO20</f>
        <v>7.0787974685978892</v>
      </c>
      <c r="CO16" s="11">
        <f>CN16+真實IC!CP20</f>
        <v>7.1950677884058223</v>
      </c>
      <c r="CP16" s="11">
        <f>CO16+真實IC!CQ20</f>
        <v>7.2868480054145719</v>
      </c>
      <c r="CQ16" s="11">
        <f>CP16+真實IC!CR20</f>
        <v>7.4394613259599485</v>
      </c>
      <c r="CR16" s="11">
        <f>CQ16+真實IC!CS20</f>
        <v>7.3100639840135102</v>
      </c>
      <c r="CS16" s="11">
        <f>CR16+真實IC!CT20</f>
        <v>7.4109618350565469</v>
      </c>
      <c r="CT16" s="11">
        <f>CS16+真實IC!CU20</f>
        <v>7.6031935794224204</v>
      </c>
      <c r="CU16" s="11">
        <f>CT16+真實IC!CV20</f>
        <v>7.6528421533720525</v>
      </c>
      <c r="CV16" s="11">
        <f>CU16+真實IC!CW20</f>
        <v>7.7198409334823861</v>
      </c>
      <c r="CW16" s="11">
        <f>CV16+真實IC!CX20</f>
        <v>7.8729166230915393</v>
      </c>
      <c r="CX16" s="11">
        <f>CW16+真實IC!CY20</f>
        <v>7.7797382391836321</v>
      </c>
      <c r="CY16" s="11">
        <f>CX16+真實IC!CZ20</f>
        <v>7.8711974525963342</v>
      </c>
      <c r="CZ16" s="11">
        <f>CY16+真實IC!DA20</f>
        <v>8.0934887985238255</v>
      </c>
      <c r="DA16" s="11">
        <f>CZ16+真實IC!DB20</f>
        <v>7.8711066860004433</v>
      </c>
      <c r="DB16" s="11">
        <f>DA16+真實IC!DC20</f>
        <v>8.0229631699041892</v>
      </c>
      <c r="DC16" s="11">
        <f>DB16+真實IC!DD20</f>
        <v>8.0846525515443997</v>
      </c>
      <c r="DD16" s="11">
        <f>DC16+真實IC!DE20</f>
        <v>8.0741365263077789</v>
      </c>
      <c r="DE16" s="11">
        <f>DD16+真實IC!DF20</f>
        <v>8.102208501385741</v>
      </c>
      <c r="DF16" s="11">
        <f>DE16+真實IC!DG20</f>
        <v>7.9839914081121455</v>
      </c>
      <c r="DG16" s="11">
        <f>DF16+真實IC!DH20</f>
        <v>7.970941375495217</v>
      </c>
      <c r="DH16" s="11">
        <f>DG16+真實IC!DI20</f>
        <v>7.9523281274647992</v>
      </c>
      <c r="DI16" s="11">
        <f>DH16+真實IC!DJ20</f>
        <v>8.0286564819726784</v>
      </c>
      <c r="DJ16" s="11">
        <f>DI16+真實IC!DK20</f>
        <v>7.9714058919860529</v>
      </c>
      <c r="DK16" s="11">
        <f>DJ16+真實IC!DL20</f>
        <v>8.0085888313967608</v>
      </c>
      <c r="DL16" s="11">
        <f>DK16+真實IC!DM20</f>
        <v>7.943571728147135</v>
      </c>
      <c r="DM16" s="11">
        <f>DL16+真實IC!DN20</f>
        <v>7.8811098724783077</v>
      </c>
      <c r="DN16" s="11">
        <f>DM16+真實IC!DO20</f>
        <v>7.9113088899398978</v>
      </c>
      <c r="DO16" s="11">
        <f>DN16+真實IC!DP20</f>
        <v>8.029641787074036</v>
      </c>
      <c r="DP16" s="11">
        <f>DO16+真實IC!DQ20</f>
        <v>8.1204464803752998</v>
      </c>
      <c r="DQ16" s="11">
        <f>DP16+真實IC!DR20</f>
        <v>8.0819803107219652</v>
      </c>
      <c r="DR16" s="11">
        <f>DQ16+真實IC!DS20</f>
        <v>8.1073659619791041</v>
      </c>
      <c r="DS16" s="11">
        <f>DR16+真實IC!DT20</f>
        <v>8.1033828343893965</v>
      </c>
      <c r="DT16" s="11">
        <f>DS16+真實IC!DU20</f>
        <v>8.2659716188136461</v>
      </c>
      <c r="DU16" s="11">
        <f>DT16+真實IC!DV20</f>
        <v>8.2835168241424881</v>
      </c>
      <c r="DV16" s="11">
        <f>DU16+真實IC!DW20</f>
        <v>8.3377096559135602</v>
      </c>
      <c r="DW16" s="11">
        <f>DV16+真實IC!DX20</f>
        <v>8.4572253040361112</v>
      </c>
      <c r="DX16" s="11">
        <f>DW16+真實IC!DY20</f>
        <v>8.6229884086981148</v>
      </c>
      <c r="DY16" s="11">
        <f>DX16+真實IC!DZ20</f>
        <v>8.6345479512582379</v>
      </c>
      <c r="DZ16" s="11">
        <f>DY16+真實IC!EA20</f>
        <v>8.7306450708282348</v>
      </c>
      <c r="EA16" s="11">
        <f>DZ16+真實IC!EB20</f>
        <v>8.8326235483455378</v>
      </c>
      <c r="EB16" s="11">
        <f>EA16+真實IC!EC20</f>
        <v>8.8421464253274618</v>
      </c>
      <c r="EC16" s="11">
        <f>EB16+真實IC!ED20</f>
        <v>8.9232585390598764</v>
      </c>
      <c r="ED16" s="11">
        <f>EC16+真實IC!EE20</f>
        <v>8.8702434987445127</v>
      </c>
      <c r="EE16" s="11">
        <f>ED16+真實IC!EF20</f>
        <v>8.7153073960547651</v>
      </c>
    </row>
    <row r="17" spans="1:136" ht="16">
      <c r="A17" s="6" t="s">
        <v>155</v>
      </c>
      <c r="B17" s="9">
        <v>-7.386192988077088E-2</v>
      </c>
      <c r="C17" s="11">
        <f>B17+真實IC!D21</f>
        <v>0.14568093850151842</v>
      </c>
      <c r="D17" s="11">
        <f>C17+真實IC!E21</f>
        <v>0.28626461509284962</v>
      </c>
      <c r="E17" s="11">
        <f>D17+真實IC!F21</f>
        <v>0.46395327689841015</v>
      </c>
      <c r="F17" s="11">
        <f>E17+真實IC!G21</f>
        <v>0.69974844626632149</v>
      </c>
      <c r="G17" s="11">
        <f>F17+真實IC!H21</f>
        <v>0.71181723472880643</v>
      </c>
      <c r="H17" s="11">
        <f>G17+真實IC!I21</f>
        <v>0.72789222232445983</v>
      </c>
      <c r="I17" s="11">
        <f>H17+真實IC!J21</f>
        <v>0.69361550426196317</v>
      </c>
      <c r="J17" s="11">
        <f>I17+真實IC!K21</f>
        <v>0.71077329593141692</v>
      </c>
      <c r="K17" s="11">
        <f>J17+真實IC!L21</f>
        <v>0.74956009420707959</v>
      </c>
      <c r="L17" s="11">
        <f>K17+真實IC!M21</f>
        <v>0.81136879126858397</v>
      </c>
      <c r="M17" s="11">
        <f>L17+真實IC!N21</f>
        <v>0.9632123724165641</v>
      </c>
      <c r="N17" s="11">
        <f>M17+真實IC!O21</f>
        <v>0.87695772972449504</v>
      </c>
      <c r="O17" s="11">
        <f>N17+真實IC!P21</f>
        <v>0.90047089054901508</v>
      </c>
      <c r="P17" s="11">
        <f>O17+真實IC!Q21</f>
        <v>0.98844872329095956</v>
      </c>
      <c r="Q17" s="11">
        <f>P17+真實IC!R21</f>
        <v>0.98484597016495123</v>
      </c>
      <c r="R17" s="11">
        <f>Q17+真實IC!S21</f>
        <v>1.1653666093176303</v>
      </c>
      <c r="S17" s="11">
        <f>R17+真實IC!T21</f>
        <v>1.389716186216102</v>
      </c>
      <c r="T17" s="11">
        <f>S17+真實IC!U21</f>
        <v>1.4155261134241526</v>
      </c>
      <c r="U17" s="11">
        <f>T17+真實IC!V21</f>
        <v>1.710228509548994</v>
      </c>
      <c r="V17" s="11">
        <f>U17+真實IC!W21</f>
        <v>1.8849632728512256</v>
      </c>
      <c r="W17" s="11">
        <f>V17+真實IC!X21</f>
        <v>2.1646527242808991</v>
      </c>
      <c r="X17" s="11">
        <f>W17+真實IC!Y21</f>
        <v>2.2460675747626815</v>
      </c>
      <c r="Y17" s="11">
        <f>X17+真實IC!Z21</f>
        <v>2.3647567283015554</v>
      </c>
      <c r="Z17" s="11">
        <f>Y17+真實IC!AA21</f>
        <v>2.4663840401374522</v>
      </c>
      <c r="AA17" s="11">
        <f>Z17+真實IC!AB21</f>
        <v>2.5244678403568268</v>
      </c>
      <c r="AB17" s="11">
        <f>AA17+真實IC!AC21</f>
        <v>2.6921509351958361</v>
      </c>
      <c r="AC17" s="11">
        <f>AB17+真實IC!AD21</f>
        <v>2.7226347232151267</v>
      </c>
      <c r="AD17" s="11">
        <f>AC17+真實IC!AE21</f>
        <v>3.0311275811404954</v>
      </c>
      <c r="AE17" s="11">
        <f>AD17+真實IC!AF21</f>
        <v>3.3065628279220856</v>
      </c>
      <c r="AF17" s="11">
        <f>AE17+真實IC!AG21</f>
        <v>3.2650757244777737</v>
      </c>
      <c r="AG17" s="11">
        <f>AF17+真實IC!AH21</f>
        <v>3.5647109404396051</v>
      </c>
      <c r="AH17" s="11">
        <f>AG17+真實IC!AI21</f>
        <v>3.6124772931994014</v>
      </c>
      <c r="AI17" s="11">
        <f>AH17+真實IC!AJ21</f>
        <v>3.6702698771490621</v>
      </c>
      <c r="AJ17" s="11">
        <f>AI17+真實IC!AK21</f>
        <v>3.6764459853755742</v>
      </c>
      <c r="AK17" s="11">
        <f>AJ17+真實IC!AL21</f>
        <v>3.7987181534165138</v>
      </c>
      <c r="AL17" s="11">
        <f>AK17+真實IC!AM21</f>
        <v>3.7543471679762068</v>
      </c>
      <c r="AM17" s="11">
        <f>AL17+真實IC!AN21</f>
        <v>3.7645867162459199</v>
      </c>
      <c r="AN17" s="11">
        <f>AM17+真實IC!AO21</f>
        <v>3.7086965901168054</v>
      </c>
      <c r="AO17" s="11">
        <f>AN17+真實IC!AP21</f>
        <v>3.7975275406149387</v>
      </c>
      <c r="AP17" s="11">
        <f>AO17+真實IC!AQ21</f>
        <v>3.9327871434080182</v>
      </c>
      <c r="AQ17" s="11">
        <f>AP17+真實IC!AR21</f>
        <v>3.8916426285124421</v>
      </c>
      <c r="AR17" s="11">
        <f>AQ17+真實IC!AS21</f>
        <v>3.9131100911289107</v>
      </c>
      <c r="AS17" s="11">
        <f>AR17+真實IC!AT21</f>
        <v>4.0842573980720598</v>
      </c>
      <c r="AT17" s="11">
        <f>AS17+真實IC!AU21</f>
        <v>4.2372720245463205</v>
      </c>
      <c r="AU17" s="11">
        <f>AT17+真實IC!AV21</f>
        <v>4.1731257079000823</v>
      </c>
      <c r="AV17" s="11">
        <f>AU17+真實IC!AW21</f>
        <v>4.3449672942925037</v>
      </c>
      <c r="AW17" s="11">
        <f>AV17+真實IC!AX21</f>
        <v>4.3980162997628351</v>
      </c>
      <c r="AX17" s="11">
        <f>AW17+真實IC!AY21</f>
        <v>4.6827246916732008</v>
      </c>
      <c r="AY17" s="11">
        <f>AX17+真實IC!AZ21</f>
        <v>4.7983362200426249</v>
      </c>
      <c r="AZ17" s="11">
        <f>AY17+真實IC!BA21</f>
        <v>4.7998452365984603</v>
      </c>
      <c r="BA17" s="11">
        <f>AZ17+真實IC!BB21</f>
        <v>4.9982408307881032</v>
      </c>
      <c r="BB17" s="11">
        <f>BA17+真實IC!BC21</f>
        <v>5.0918453380735675</v>
      </c>
      <c r="BC17" s="11">
        <f>BB17+真實IC!BD21</f>
        <v>5.0775252912977251</v>
      </c>
      <c r="BD17" s="11">
        <f>BC17+真實IC!BE21</f>
        <v>4.9880445695373536</v>
      </c>
      <c r="BE17" s="11">
        <f>BD17+真實IC!BF21</f>
        <v>5.0356831488396443</v>
      </c>
      <c r="BF17" s="11">
        <f>BE17+真實IC!BG21</f>
        <v>5.1048348382486717</v>
      </c>
      <c r="BG17" s="11">
        <f>BF17+真實IC!BH21</f>
        <v>5.1427592320014028</v>
      </c>
      <c r="BH17" s="11">
        <f>BG17+真實IC!BI21</f>
        <v>5.2749583617178466</v>
      </c>
      <c r="BI17" s="11">
        <f>BH17+真實IC!BJ21</f>
        <v>5.333870578890302</v>
      </c>
      <c r="BJ17" s="11">
        <f>BI17+真實IC!BK21</f>
        <v>5.2643515422608607</v>
      </c>
      <c r="BK17" s="11">
        <f>BJ17+真實IC!BL21</f>
        <v>5.2813775378050236</v>
      </c>
      <c r="BL17" s="11">
        <f>BK17+真實IC!BM21</f>
        <v>5.2785107462718832</v>
      </c>
      <c r="BM17" s="11">
        <f>BL17+真實IC!BN21</f>
        <v>5.4449447834807705</v>
      </c>
      <c r="BN17" s="11">
        <f>BM17+真實IC!BO21</f>
        <v>5.4830996469499489</v>
      </c>
      <c r="BO17" s="11">
        <f>BN17+真實IC!BP21</f>
        <v>5.6363873814359078</v>
      </c>
      <c r="BP17" s="11">
        <f>BO17+真實IC!BQ21</f>
        <v>5.6365912665360511</v>
      </c>
      <c r="BQ17" s="11">
        <f>BP17+真實IC!BR21</f>
        <v>5.829314753448644</v>
      </c>
      <c r="BR17" s="11">
        <f>BQ17+真實IC!BS21</f>
        <v>5.8258148215090051</v>
      </c>
      <c r="BS17" s="11">
        <f>BR17+真實IC!BT21</f>
        <v>5.7434914178316934</v>
      </c>
      <c r="BT17" s="11">
        <f>BS17+真實IC!BU21</f>
        <v>5.7867380527652337</v>
      </c>
      <c r="BU17" s="11">
        <f>BT17+真實IC!BV21</f>
        <v>5.957349996814461</v>
      </c>
      <c r="BV17" s="11">
        <f>BU17+真實IC!BW21</f>
        <v>6.2648030036241948</v>
      </c>
      <c r="BW17" s="11">
        <f>BV17+真實IC!BX21</f>
        <v>6.2414287879126773</v>
      </c>
      <c r="BX17" s="11">
        <f>BW17+真實IC!BY21</f>
        <v>6.2270944486066995</v>
      </c>
      <c r="BY17" s="11">
        <f>BX17+真實IC!BZ21</f>
        <v>6.281333117424289</v>
      </c>
      <c r="BZ17" s="11">
        <f>BY17+真實IC!CA21</f>
        <v>6.225117973591046</v>
      </c>
      <c r="CA17" s="11">
        <f>BZ17+真實IC!CB21</f>
        <v>6.3040947812095718</v>
      </c>
      <c r="CB17" s="11">
        <f>CA17+真實IC!CC21</f>
        <v>6.1986780241908477</v>
      </c>
      <c r="CC17" s="11">
        <f>CB17+真實IC!CD21</f>
        <v>6.2023098890120183</v>
      </c>
      <c r="CD17" s="11">
        <f>CC17+真實IC!CE21</f>
        <v>6.3167242485251514</v>
      </c>
      <c r="CE17" s="11">
        <f>CD17+真實IC!CF21</f>
        <v>6.3279876549077656</v>
      </c>
      <c r="CF17" s="11">
        <f>CE17+真實IC!CG21</f>
        <v>6.4299798375129278</v>
      </c>
      <c r="CG17" s="11">
        <f>CF17+真實IC!CH21</f>
        <v>6.5377338786051098</v>
      </c>
      <c r="CH17" s="11">
        <f>CG17+真實IC!CI21</f>
        <v>6.6807261996428418</v>
      </c>
      <c r="CI17" s="11">
        <f>CH17+真實IC!CJ21</f>
        <v>6.8025023895855536</v>
      </c>
      <c r="CJ17" s="11">
        <f>CI17+真實IC!CK21</f>
        <v>6.8586808317544463</v>
      </c>
      <c r="CK17" s="11">
        <f>CJ17+真實IC!CL21</f>
        <v>6.9086955447150276</v>
      </c>
      <c r="CL17" s="11">
        <f>CK17+真實IC!CM21</f>
        <v>6.8331136737170333</v>
      </c>
      <c r="CM17" s="11">
        <f>CL17+真實IC!CN21</f>
        <v>7.2280172112485408</v>
      </c>
      <c r="CN17" s="11">
        <f>CM17+真實IC!CO21</f>
        <v>7.4617239104889634</v>
      </c>
      <c r="CO17" s="11">
        <f>CN17+真實IC!CP21</f>
        <v>7.5991386352467991</v>
      </c>
      <c r="CP17" s="11">
        <f>CO17+真實IC!CQ21</f>
        <v>7.684710511799719</v>
      </c>
      <c r="CQ17" s="11">
        <f>CP17+真實IC!CR21</f>
        <v>7.8463068798262601</v>
      </c>
      <c r="CR17" s="11">
        <f>CQ17+真實IC!CS21</f>
        <v>7.7223604213265897</v>
      </c>
      <c r="CS17" s="11">
        <f>CR17+真實IC!CT21</f>
        <v>7.8592349873944389</v>
      </c>
      <c r="CT17" s="11">
        <f>CS17+真實IC!CU21</f>
        <v>8.0698915260033495</v>
      </c>
      <c r="CU17" s="11">
        <f>CT17+真實IC!CV21</f>
        <v>8.0862016955179303</v>
      </c>
      <c r="CV17" s="11">
        <f>CU17+真實IC!CW21</f>
        <v>8.1472554234753503</v>
      </c>
      <c r="CW17" s="11">
        <f>CV17+真實IC!CX21</f>
        <v>8.2954057142798554</v>
      </c>
      <c r="CX17" s="11">
        <f>CW17+真實IC!CY21</f>
        <v>8.1875135948226649</v>
      </c>
      <c r="CY17" s="11">
        <f>CX17+真實IC!CZ21</f>
        <v>8.2450128579111777</v>
      </c>
      <c r="CZ17" s="11">
        <f>CY17+真實IC!DA21</f>
        <v>8.4660614268414172</v>
      </c>
      <c r="DA17" s="11">
        <f>CZ17+真實IC!DB21</f>
        <v>8.1799229729401102</v>
      </c>
      <c r="DB17" s="11">
        <f>DA17+真實IC!DC21</f>
        <v>8.3837680125186207</v>
      </c>
      <c r="DC17" s="11">
        <f>DB17+真實IC!DD21</f>
        <v>8.4282592518124506</v>
      </c>
      <c r="DD17" s="11">
        <f>DC17+真實IC!DE21</f>
        <v>8.4314767029127999</v>
      </c>
      <c r="DE17" s="11">
        <f>DD17+真實IC!DF21</f>
        <v>8.452773045339967</v>
      </c>
      <c r="DF17" s="11">
        <f>DE17+真實IC!DG21</f>
        <v>8.3262822475024461</v>
      </c>
      <c r="DG17" s="11">
        <f>DF17+真實IC!DH21</f>
        <v>8.2830616420191951</v>
      </c>
      <c r="DH17" s="11">
        <f>DG17+真實IC!DI21</f>
        <v>8.2244146090079262</v>
      </c>
      <c r="DI17" s="11">
        <f>DH17+真實IC!DJ21</f>
        <v>8.3411566329703248</v>
      </c>
      <c r="DJ17" s="11">
        <f>DI17+真實IC!DK21</f>
        <v>8.3251723433956606</v>
      </c>
      <c r="DK17" s="11">
        <f>DJ17+真實IC!DL21</f>
        <v>8.3531386370490228</v>
      </c>
      <c r="DL17" s="11">
        <f>DK17+真實IC!DM21</f>
        <v>8.3057641965229703</v>
      </c>
      <c r="DM17" s="11">
        <f>DL17+真實IC!DN21</f>
        <v>8.2409826308977419</v>
      </c>
      <c r="DN17" s="11">
        <f>DM17+真實IC!DO21</f>
        <v>8.2896881507583355</v>
      </c>
      <c r="DO17" s="11">
        <f>DN17+真實IC!DP21</f>
        <v>8.3918838248995584</v>
      </c>
      <c r="DP17" s="11">
        <f>DO17+真實IC!DQ21</f>
        <v>8.5031313313106374</v>
      </c>
      <c r="DQ17" s="11">
        <f>DP17+真實IC!DR21</f>
        <v>8.466995364072714</v>
      </c>
      <c r="DR17" s="11">
        <f>DQ17+真實IC!DS21</f>
        <v>8.5119143272245932</v>
      </c>
      <c r="DS17" s="11">
        <f>DR17+真實IC!DT21</f>
        <v>8.4980432989004822</v>
      </c>
      <c r="DT17" s="11">
        <f>DS17+真實IC!DU21</f>
        <v>8.6925627383634616</v>
      </c>
      <c r="DU17" s="11">
        <f>DT17+真實IC!DV21</f>
        <v>8.7373237740075105</v>
      </c>
      <c r="DV17" s="11">
        <f>DU17+真實IC!DW21</f>
        <v>8.7438319447796129</v>
      </c>
      <c r="DW17" s="11">
        <f>DV17+真實IC!DX21</f>
        <v>8.9058657946396185</v>
      </c>
      <c r="DX17" s="11">
        <f>DW17+真實IC!DY21</f>
        <v>9.0579852042441047</v>
      </c>
      <c r="DY17" s="11">
        <f>DX17+真實IC!DZ21</f>
        <v>9.1202238790370629</v>
      </c>
      <c r="DZ17" s="11">
        <f>DY17+真實IC!EA21</f>
        <v>9.1982544617149173</v>
      </c>
      <c r="EA17" s="11">
        <f>DZ17+真實IC!EB21</f>
        <v>9.3239304598660606</v>
      </c>
      <c r="EB17" s="11">
        <f>EA17+真實IC!EC21</f>
        <v>9.3746916407186838</v>
      </c>
      <c r="EC17" s="11">
        <f>EB17+真實IC!ED21</f>
        <v>9.4633892487902642</v>
      </c>
      <c r="ED17" s="11">
        <f>EC17+真實IC!EE21</f>
        <v>9.4405733629463509</v>
      </c>
      <c r="EE17" s="11">
        <f>ED17+真實IC!EF21</f>
        <v>9.2723364275489928</v>
      </c>
    </row>
    <row r="18" spans="1:136" ht="16">
      <c r="A18" s="6" t="s">
        <v>156</v>
      </c>
      <c r="B18" s="9">
        <v>1.1241331728202891E-2</v>
      </c>
      <c r="C18" s="11">
        <f>B18+真實IC!D22</f>
        <v>0.23382772541697869</v>
      </c>
      <c r="D18" s="11">
        <f>C18+真實IC!E22</f>
        <v>0.37995263068122459</v>
      </c>
      <c r="E18" s="11">
        <f>D18+真實IC!F22</f>
        <v>0.58548389501439879</v>
      </c>
      <c r="F18" s="11">
        <f>E18+真實IC!G22</f>
        <v>0.89231305145450523</v>
      </c>
      <c r="G18" s="11">
        <f>F18+真實IC!H22</f>
        <v>0.88073002537592748</v>
      </c>
      <c r="H18" s="11">
        <f>G18+真實IC!I22</f>
        <v>0.90673526959743234</v>
      </c>
      <c r="I18" s="11">
        <f>H18+真實IC!J22</f>
        <v>0.86388453491381734</v>
      </c>
      <c r="J18" s="11">
        <f>I18+真實IC!K22</f>
        <v>0.87469596360635227</v>
      </c>
      <c r="K18" s="11">
        <f>J18+真實IC!L22</f>
        <v>0.90839929530227881</v>
      </c>
      <c r="L18" s="11">
        <f>K18+真實IC!M22</f>
        <v>0.94519511988807026</v>
      </c>
      <c r="M18" s="11">
        <f>L18+真實IC!N22</f>
        <v>1.113338708077614</v>
      </c>
      <c r="N18" s="11">
        <f>M18+真實IC!O22</f>
        <v>0.99568736082882547</v>
      </c>
      <c r="O18" s="11">
        <f>N18+真實IC!P22</f>
        <v>1.038826039717353</v>
      </c>
      <c r="P18" s="11">
        <f>O18+真實IC!Q22</f>
        <v>1.1242383907179825</v>
      </c>
      <c r="Q18" s="11">
        <f>P18+真實IC!R22</f>
        <v>1.094747820387622</v>
      </c>
      <c r="R18" s="11">
        <f>Q18+真實IC!S22</f>
        <v>1.2165017758170991</v>
      </c>
      <c r="S18" s="11">
        <f>R18+真實IC!T22</f>
        <v>1.4709231910211971</v>
      </c>
      <c r="T18" s="11">
        <f>S18+真實IC!U22</f>
        <v>1.5018951036708577</v>
      </c>
      <c r="U18" s="11">
        <f>T18+真實IC!V22</f>
        <v>1.7474312230103528</v>
      </c>
      <c r="V18" s="11">
        <f>U18+真實IC!W22</f>
        <v>1.9738748850934542</v>
      </c>
      <c r="W18" s="11">
        <f>V18+真實IC!X22</f>
        <v>2.1972579925215916</v>
      </c>
      <c r="X18" s="11">
        <f>W18+真實IC!Y22</f>
        <v>2.2783691171256537</v>
      </c>
      <c r="Y18" s="11">
        <f>X18+真實IC!Z22</f>
        <v>2.3973323878794814</v>
      </c>
      <c r="Z18" s="11">
        <f>Y18+真實IC!AA22</f>
        <v>2.5208227610821607</v>
      </c>
      <c r="AA18" s="11">
        <f>Z18+真實IC!AB22</f>
        <v>2.5952622190039443</v>
      </c>
      <c r="AB18" s="11">
        <f>AA18+真實IC!AC22</f>
        <v>2.7481518196579362</v>
      </c>
      <c r="AC18" s="11">
        <f>AB18+真實IC!AD22</f>
        <v>2.867000663991345</v>
      </c>
      <c r="AD18" s="11">
        <f>AC18+真實IC!AE22</f>
        <v>3.0282218711464561</v>
      </c>
      <c r="AE18" s="11">
        <f>AD18+真實IC!AF22</f>
        <v>3.3343298976149325</v>
      </c>
      <c r="AF18" s="11">
        <f>AE18+真實IC!AG22</f>
        <v>3.3021666487332562</v>
      </c>
      <c r="AG18" s="11">
        <f>AF18+真實IC!AH22</f>
        <v>3.7109242484099396</v>
      </c>
      <c r="AH18" s="11">
        <f>AG18+真實IC!AI22</f>
        <v>3.7942036021606631</v>
      </c>
      <c r="AI18" s="11">
        <f>AH18+真實IC!AJ22</f>
        <v>3.8577328482825575</v>
      </c>
      <c r="AJ18" s="11">
        <f>AI18+真實IC!AK22</f>
        <v>3.8894557616454626</v>
      </c>
      <c r="AK18" s="11">
        <f>AJ18+真實IC!AL22</f>
        <v>4.0441902298808827</v>
      </c>
      <c r="AL18" s="11">
        <f>AK18+真實IC!AM22</f>
        <v>4.0876318048826761</v>
      </c>
      <c r="AM18" s="11">
        <f>AL18+真實IC!AN22</f>
        <v>4.0531872858938307</v>
      </c>
      <c r="AN18" s="11">
        <f>AM18+真實IC!AO22</f>
        <v>4.0040789912544312</v>
      </c>
      <c r="AO18" s="11">
        <f>AN18+真實IC!AP22</f>
        <v>4.1023099159752414</v>
      </c>
      <c r="AP18" s="11">
        <f>AO18+真實IC!AQ22</f>
        <v>4.24681634405467</v>
      </c>
      <c r="AQ18" s="11">
        <f>AP18+真實IC!AR22</f>
        <v>4.2170773442043687</v>
      </c>
      <c r="AR18" s="11">
        <f>AQ18+真實IC!AS22</f>
        <v>4.2340901598214273</v>
      </c>
      <c r="AS18" s="11">
        <f>AR18+真實IC!AT22</f>
        <v>4.4273535043218226</v>
      </c>
      <c r="AT18" s="11">
        <f>AS18+真實IC!AU22</f>
        <v>4.5704261452489883</v>
      </c>
      <c r="AU18" s="11">
        <f>AT18+真實IC!AV22</f>
        <v>4.509608463397921</v>
      </c>
      <c r="AV18" s="11">
        <f>AU18+真實IC!AW22</f>
        <v>4.7634233227309997</v>
      </c>
      <c r="AW18" s="11">
        <f>AV18+真實IC!AX22</f>
        <v>4.8024688165289842</v>
      </c>
      <c r="AX18" s="11">
        <f>AW18+真實IC!AY22</f>
        <v>5.1574042916793115</v>
      </c>
      <c r="AY18" s="11">
        <f>AX18+真實IC!AZ22</f>
        <v>5.313678299385975</v>
      </c>
      <c r="AZ18" s="11">
        <f>AY18+真實IC!BA22</f>
        <v>5.4157558697067545</v>
      </c>
      <c r="BA18" s="11">
        <f>AZ18+真實IC!BB22</f>
        <v>5.6295905737027239</v>
      </c>
      <c r="BB18" s="11">
        <f>BA18+真實IC!BC22</f>
        <v>5.7164073250680376</v>
      </c>
      <c r="BC18" s="11">
        <f>BB18+真實IC!BD22</f>
        <v>5.7050990296817998</v>
      </c>
      <c r="BD18" s="11">
        <f>BC18+真實IC!BE22</f>
        <v>5.6068206549474437</v>
      </c>
      <c r="BE18" s="11">
        <f>BD18+真實IC!BF22</f>
        <v>5.6666700084561406</v>
      </c>
      <c r="BF18" s="11">
        <f>BE18+真實IC!BG22</f>
        <v>5.7227093373544262</v>
      </c>
      <c r="BG18" s="11">
        <f>BF18+真實IC!BH22</f>
        <v>5.794209324113031</v>
      </c>
      <c r="BH18" s="11">
        <f>BG18+真實IC!BI22</f>
        <v>5.9346782491134045</v>
      </c>
      <c r="BI18" s="11">
        <f>BH18+真實IC!BJ22</f>
        <v>5.9838180329246784</v>
      </c>
      <c r="BJ18" s="11">
        <f>BI18+真實IC!BK22</f>
        <v>5.8812197487702331</v>
      </c>
      <c r="BK18" s="11">
        <f>BJ18+真實IC!BL22</f>
        <v>5.8990677308585457</v>
      </c>
      <c r="BL18" s="11">
        <f>BK18+真實IC!BM22</f>
        <v>5.9084899340068651</v>
      </c>
      <c r="BM18" s="11">
        <f>BL18+真實IC!BN22</f>
        <v>6.1451584887891642</v>
      </c>
      <c r="BN18" s="11">
        <f>BM18+真實IC!BO22</f>
        <v>6.2108144428204444</v>
      </c>
      <c r="BO18" s="11">
        <f>BN18+真實IC!BP22</f>
        <v>6.4100432663048119</v>
      </c>
      <c r="BP18" s="11">
        <f>BO18+真實IC!BQ22</f>
        <v>6.3691757922737153</v>
      </c>
      <c r="BQ18" s="11">
        <f>BP18+真實IC!BR22</f>
        <v>6.5833658503504484</v>
      </c>
      <c r="BR18" s="11">
        <f>BQ18+真實IC!BS22</f>
        <v>6.550829652625592</v>
      </c>
      <c r="BS18" s="11">
        <f>BR18+真實IC!BT22</f>
        <v>6.4542991514111359</v>
      </c>
      <c r="BT18" s="11">
        <f>BS18+真實IC!BU22</f>
        <v>6.413615554306201</v>
      </c>
      <c r="BU18" s="11">
        <f>BT18+真實IC!BV22</f>
        <v>6.5430532323874839</v>
      </c>
      <c r="BV18" s="11">
        <f>BU18+真實IC!BW22</f>
        <v>6.8948827824358885</v>
      </c>
      <c r="BW18" s="11">
        <f>BV18+真實IC!BX22</f>
        <v>6.8746993219870296</v>
      </c>
      <c r="BX18" s="11">
        <f>BW18+真實IC!BY22</f>
        <v>6.8654045336459397</v>
      </c>
      <c r="BY18" s="11">
        <f>BX18+真實IC!BZ22</f>
        <v>6.8916543324052961</v>
      </c>
      <c r="BZ18" s="11">
        <f>BY18+真實IC!CA22</f>
        <v>6.9159028671447222</v>
      </c>
      <c r="CA18" s="11">
        <f>BZ18+真實IC!CB22</f>
        <v>6.9157951120436936</v>
      </c>
      <c r="CB18" s="11">
        <f>CA18+真實IC!CC22</f>
        <v>6.8143657310786994</v>
      </c>
      <c r="CC18" s="11">
        <f>CB18+真實IC!CD22</f>
        <v>6.7911577016778448</v>
      </c>
      <c r="CD18" s="11">
        <f>CC18+真實IC!CE22</f>
        <v>6.9049261752974704</v>
      </c>
      <c r="CE18" s="11">
        <f>CD18+真實IC!CF22</f>
        <v>6.9190211345618806</v>
      </c>
      <c r="CF18" s="11">
        <f>CE18+真實IC!CG22</f>
        <v>7.0280117570132807</v>
      </c>
      <c r="CG18" s="11">
        <f>CF18+真實IC!CH22</f>
        <v>7.1271076542748339</v>
      </c>
      <c r="CH18" s="11">
        <f>CG18+真實IC!CI22</f>
        <v>7.3099583691979824</v>
      </c>
      <c r="CI18" s="11">
        <f>CH18+真實IC!CJ22</f>
        <v>7.4659279321380545</v>
      </c>
      <c r="CJ18" s="11">
        <f>CI18+真實IC!CK22</f>
        <v>7.4754419015602274</v>
      </c>
      <c r="CK18" s="11">
        <f>CJ18+真實IC!CL22</f>
        <v>7.5345440722661179</v>
      </c>
      <c r="CL18" s="11">
        <f>CK18+真實IC!CM22</f>
        <v>7.4550893450847822</v>
      </c>
      <c r="CM18" s="11">
        <f>CL18+真實IC!CN22</f>
        <v>7.8201706642338893</v>
      </c>
      <c r="CN18" s="11">
        <f>CM18+真實IC!CO22</f>
        <v>8.0344397177281444</v>
      </c>
      <c r="CO18" s="11">
        <f>CN18+真實IC!CP22</f>
        <v>8.1911004729233277</v>
      </c>
      <c r="CP18" s="11">
        <f>CO18+真實IC!CQ22</f>
        <v>8.2654031025085057</v>
      </c>
      <c r="CQ18" s="11">
        <f>CP18+真實IC!CR22</f>
        <v>8.4132358460042216</v>
      </c>
      <c r="CR18" s="11">
        <f>CQ18+真實IC!CS22</f>
        <v>8.3198098756965067</v>
      </c>
      <c r="CS18" s="11">
        <f>CR18+真實IC!CT22</f>
        <v>8.4303538356279137</v>
      </c>
      <c r="CT18" s="11">
        <f>CS18+真實IC!CU22</f>
        <v>8.6198857860382159</v>
      </c>
      <c r="CU18" s="11">
        <f>CT18+真實IC!CV22</f>
        <v>8.6470228248251129</v>
      </c>
      <c r="CV18" s="11">
        <f>CU18+真實IC!CW22</f>
        <v>8.7267175305523015</v>
      </c>
      <c r="CW18" s="11">
        <f>CV18+真實IC!CX22</f>
        <v>8.8718717185521676</v>
      </c>
      <c r="CX18" s="11">
        <f>CW18+真實IC!CY22</f>
        <v>8.7709050614403434</v>
      </c>
      <c r="CY18" s="11">
        <f>CX18+真實IC!CZ22</f>
        <v>8.7839676953026746</v>
      </c>
      <c r="CZ18" s="11">
        <f>CY18+真實IC!DA22</f>
        <v>8.9156314684121956</v>
      </c>
      <c r="DA18" s="11">
        <f>CZ18+真實IC!DB22</f>
        <v>8.5331415481458031</v>
      </c>
      <c r="DB18" s="11">
        <f>DA18+真實IC!DC22</f>
        <v>8.6739767455410224</v>
      </c>
      <c r="DC18" s="11">
        <f>DB18+真實IC!DD22</f>
        <v>8.7334765551848506</v>
      </c>
      <c r="DD18" s="11">
        <f>DC18+真實IC!DE22</f>
        <v>8.6978521059730998</v>
      </c>
      <c r="DE18" s="11">
        <f>DD18+真實IC!DF22</f>
        <v>8.7433520644638989</v>
      </c>
      <c r="DF18" s="11">
        <f>DE18+真實IC!DG22</f>
        <v>8.6192787564797779</v>
      </c>
      <c r="DG18" s="11">
        <f>DF18+真實IC!DH22</f>
        <v>8.5712203442942752</v>
      </c>
      <c r="DH18" s="11">
        <f>DG18+真實IC!DI22</f>
        <v>8.4969720087021816</v>
      </c>
      <c r="DI18" s="11">
        <f>DH18+真實IC!DJ22</f>
        <v>8.6673084682410284</v>
      </c>
      <c r="DJ18" s="11">
        <f>DI18+真實IC!DK22</f>
        <v>8.6465428097530328</v>
      </c>
      <c r="DK18" s="11">
        <f>DJ18+真實IC!DL22</f>
        <v>8.6567764288873637</v>
      </c>
      <c r="DL18" s="11">
        <f>DK18+真實IC!DM22</f>
        <v>8.5329521344669086</v>
      </c>
      <c r="DM18" s="11">
        <f>DL18+真實IC!DN22</f>
        <v>8.4820998081940839</v>
      </c>
      <c r="DN18" s="11">
        <f>DM18+真實IC!DO22</f>
        <v>8.5319206628709807</v>
      </c>
      <c r="DO18" s="11">
        <f>DN18+真實IC!DP22</f>
        <v>8.6033798418986365</v>
      </c>
      <c r="DP18" s="11">
        <f>DO18+真實IC!DQ22</f>
        <v>8.7380106008002176</v>
      </c>
      <c r="DQ18" s="11">
        <f>DP18+真實IC!DR22</f>
        <v>8.7092074863231126</v>
      </c>
      <c r="DR18" s="11">
        <f>DQ18+真實IC!DS22</f>
        <v>8.6394147284248302</v>
      </c>
      <c r="DS18" s="11">
        <f>DR18+真實IC!DT22</f>
        <v>8.6305540014953568</v>
      </c>
      <c r="DT18" s="11">
        <f>DS18+真實IC!DU22</f>
        <v>8.903198329337302</v>
      </c>
      <c r="DU18" s="11">
        <f>DT18+真實IC!DV22</f>
        <v>8.9442741666976797</v>
      </c>
      <c r="DV18" s="11">
        <f>DU18+真實IC!DW22</f>
        <v>8.9609814809256889</v>
      </c>
      <c r="DW18" s="11">
        <f>DV18+真實IC!DX22</f>
        <v>9.171638147066334</v>
      </c>
      <c r="DX18" s="11">
        <f>DW18+真實IC!DY22</f>
        <v>9.3590399771055264</v>
      </c>
      <c r="DY18" s="11">
        <f>DX18+真實IC!DZ22</f>
        <v>9.3860560498741172</v>
      </c>
      <c r="DZ18" s="11">
        <f>DY18+真實IC!EA22</f>
        <v>9.4038283921942725</v>
      </c>
      <c r="EA18" s="11">
        <f>DZ18+真實IC!EB22</f>
        <v>9.6140778808807426</v>
      </c>
      <c r="EB18" s="11">
        <f>EA18+真實IC!EC22</f>
        <v>9.6737020326632077</v>
      </c>
      <c r="EC18" s="11">
        <f>EB18+真實IC!ED22</f>
        <v>9.7987684181478958</v>
      </c>
      <c r="ED18" s="11">
        <f>EC18+真實IC!EE22</f>
        <v>9.7787508308508766</v>
      </c>
      <c r="EE18" s="11">
        <f>ED18+真實IC!EF22</f>
        <v>9.5692090883839569</v>
      </c>
    </row>
    <row r="19" spans="1:136" ht="16">
      <c r="A19" s="6" t="s">
        <v>157</v>
      </c>
      <c r="B19" s="9">
        <v>1.038483447742689E-2</v>
      </c>
      <c r="C19" s="11">
        <f>B19+真實IC!D23</f>
        <v>0.33539311611962908</v>
      </c>
      <c r="D19" s="11">
        <f>C19+真實IC!E23</f>
        <v>0.37911067099935009</v>
      </c>
      <c r="E19" s="11">
        <f>D19+真實IC!F23</f>
        <v>0.5631492526054801</v>
      </c>
      <c r="F19" s="11">
        <f>E19+真實IC!G23</f>
        <v>0.83888160328771644</v>
      </c>
      <c r="G19" s="11">
        <f>F19+真實IC!H23</f>
        <v>0.87672568031600884</v>
      </c>
      <c r="H19" s="11">
        <f>G19+真實IC!I23</f>
        <v>0.93212807728622027</v>
      </c>
      <c r="I19" s="11">
        <f>H19+真實IC!J23</f>
        <v>0.89270568429891728</v>
      </c>
      <c r="J19" s="11">
        <f>I19+真實IC!K23</f>
        <v>0.89845688563770354</v>
      </c>
      <c r="K19" s="11">
        <f>J19+真實IC!L23</f>
        <v>1.01651900304892</v>
      </c>
      <c r="L19" s="11">
        <f>K19+真實IC!M23</f>
        <v>1.0152366878594057</v>
      </c>
      <c r="M19" s="11">
        <f>L19+真實IC!N23</f>
        <v>1.1542873637202056</v>
      </c>
      <c r="N19" s="11">
        <f>M19+真實IC!O23</f>
        <v>1.0733263878448871</v>
      </c>
      <c r="O19" s="11">
        <f>N19+真實IC!P23</f>
        <v>1.1132181107049899</v>
      </c>
      <c r="P19" s="11">
        <f>O19+真實IC!Q23</f>
        <v>1.2347933753601397</v>
      </c>
      <c r="Q19" s="11">
        <f>P19+真實IC!R23</f>
        <v>1.2452819518598528</v>
      </c>
      <c r="R19" s="11">
        <f>Q19+真實IC!S23</f>
        <v>1.4091581065851131</v>
      </c>
      <c r="S19" s="11">
        <f>R19+真實IC!T23</f>
        <v>1.6799192791382906</v>
      </c>
      <c r="T19" s="11">
        <f>S19+真實IC!U23</f>
        <v>1.7125308599869007</v>
      </c>
      <c r="U19" s="11">
        <f>T19+真實IC!V23</f>
        <v>1.9625951398214239</v>
      </c>
      <c r="V19" s="11">
        <f>U19+真實IC!W23</f>
        <v>2.2855156885096108</v>
      </c>
      <c r="W19" s="11">
        <f>V19+真實IC!X23</f>
        <v>2.5544439835558079</v>
      </c>
      <c r="X19" s="11">
        <f>W19+真實IC!Y23</f>
        <v>2.6914489557761869</v>
      </c>
      <c r="Y19" s="11">
        <f>X19+真實IC!Z23</f>
        <v>2.8276605178911511</v>
      </c>
      <c r="Z19" s="11">
        <f>Y19+真實IC!AA23</f>
        <v>2.9400691838830477</v>
      </c>
      <c r="AA19" s="11">
        <f>Z19+真實IC!AB23</f>
        <v>3.0248544388997569</v>
      </c>
      <c r="AB19" s="11">
        <f>AA19+真實IC!AC23</f>
        <v>3.2538144540642917</v>
      </c>
      <c r="AC19" s="11">
        <f>AB19+真實IC!AD23</f>
        <v>3.357761629040906</v>
      </c>
      <c r="AD19" s="11">
        <f>AC19+真實IC!AE23</f>
        <v>3.4858666078371519</v>
      </c>
      <c r="AE19" s="11">
        <f>AD19+真實IC!AF23</f>
        <v>3.7624669235713952</v>
      </c>
      <c r="AF19" s="11">
        <f>AE19+真實IC!AG23</f>
        <v>3.7514203514649513</v>
      </c>
      <c r="AG19" s="11">
        <f>AF19+真實IC!AH23</f>
        <v>4.2700949463192996</v>
      </c>
      <c r="AH19" s="11">
        <f>AG19+真實IC!AI23</f>
        <v>4.3378246269144505</v>
      </c>
      <c r="AI19" s="11">
        <f>AH19+真實IC!AJ23</f>
        <v>4.3759080740470297</v>
      </c>
      <c r="AJ19" s="11">
        <f>AI19+真實IC!AK23</f>
        <v>4.4166654703029407</v>
      </c>
      <c r="AK19" s="11">
        <f>AJ19+真實IC!AL23</f>
        <v>4.5484178066211687</v>
      </c>
      <c r="AL19" s="11">
        <f>AK19+真實IC!AM23</f>
        <v>4.6400159761709112</v>
      </c>
      <c r="AM19" s="11">
        <f>AL19+真實IC!AN23</f>
        <v>4.6182269466250903</v>
      </c>
      <c r="AN19" s="11">
        <f>AM19+真實IC!AO23</f>
        <v>4.5326591717112032</v>
      </c>
      <c r="AO19" s="11">
        <f>AN19+真實IC!AP23</f>
        <v>4.674630140396423</v>
      </c>
      <c r="AP19" s="11">
        <f>AO19+真實IC!AQ23</f>
        <v>4.7600010405086666</v>
      </c>
      <c r="AQ19" s="11">
        <f>AP19+真實IC!AR23</f>
        <v>4.7258031398778426</v>
      </c>
      <c r="AR19" s="11">
        <f>AQ19+真實IC!AS23</f>
        <v>4.7030180075185832</v>
      </c>
      <c r="AS19" s="11">
        <f>AR19+真實IC!AT23</f>
        <v>4.8935447547541528</v>
      </c>
      <c r="AT19" s="11">
        <f>AS19+真實IC!AU23</f>
        <v>4.9570000843674329</v>
      </c>
      <c r="AU19" s="11">
        <f>AT19+真實IC!AV23</f>
        <v>4.8665832440856036</v>
      </c>
      <c r="AV19" s="11">
        <f>AU19+真實IC!AW23</f>
        <v>5.1851525609820595</v>
      </c>
      <c r="AW19" s="11">
        <f>AV19+真實IC!AX23</f>
        <v>5.1574452708652361</v>
      </c>
      <c r="AX19" s="11">
        <f>AW19+真實IC!AY23</f>
        <v>5.4704297267559108</v>
      </c>
      <c r="AY19" s="11">
        <f>AX19+真實IC!AZ23</f>
        <v>5.5634891208845039</v>
      </c>
      <c r="AZ19" s="11">
        <f>AY19+真實IC!BA23</f>
        <v>5.5827823285202109</v>
      </c>
      <c r="BA19" s="11">
        <f>AZ19+真實IC!BB23</f>
        <v>5.7544994636982576</v>
      </c>
      <c r="BB19" s="11">
        <f>BA19+真實IC!BC23</f>
        <v>5.866472774564075</v>
      </c>
      <c r="BC19" s="11">
        <f>BB19+真實IC!BD23</f>
        <v>5.8361847952561616</v>
      </c>
      <c r="BD19" s="11">
        <f>BC19+真實IC!BE23</f>
        <v>5.6994394393481969</v>
      </c>
      <c r="BE19" s="11">
        <f>BD19+真實IC!BF23</f>
        <v>5.6979988894427107</v>
      </c>
      <c r="BF19" s="11">
        <f>BE19+真實IC!BG23</f>
        <v>5.7068375155980586</v>
      </c>
      <c r="BG19" s="11">
        <f>BF19+真實IC!BH23</f>
        <v>5.7028307574824275</v>
      </c>
      <c r="BH19" s="11">
        <f>BG19+真實IC!BI23</f>
        <v>5.810354767539379</v>
      </c>
      <c r="BI19" s="11">
        <f>BH19+真實IC!BJ23</f>
        <v>5.8423372819503712</v>
      </c>
      <c r="BJ19" s="11">
        <f>BI19+真實IC!BK23</f>
        <v>5.7593641200603054</v>
      </c>
      <c r="BK19" s="11">
        <f>BJ19+真實IC!BL23</f>
        <v>5.8111096024882789</v>
      </c>
      <c r="BL19" s="11">
        <f>BK19+真實IC!BM23</f>
        <v>5.8139524297042717</v>
      </c>
      <c r="BM19" s="11">
        <f>BL19+真實IC!BN23</f>
        <v>6.0551345138310078</v>
      </c>
      <c r="BN19" s="11">
        <f>BM19+真實IC!BO23</f>
        <v>6.129484687414763</v>
      </c>
      <c r="BO19" s="11">
        <f>BN19+真實IC!BP23</f>
        <v>6.3342189030420446</v>
      </c>
      <c r="BP19" s="11">
        <f>BO19+真實IC!BQ23</f>
        <v>6.2793020348293407</v>
      </c>
      <c r="BQ19" s="11">
        <f>BP19+真實IC!BR23</f>
        <v>6.5665775761417402</v>
      </c>
      <c r="BR19" s="11">
        <f>BQ19+真實IC!BS23</f>
        <v>6.5008357551813925</v>
      </c>
      <c r="BS19" s="11">
        <f>BR19+真實IC!BT23</f>
        <v>6.4078835518331356</v>
      </c>
      <c r="BT19" s="11">
        <f>BS19+真實IC!BU23</f>
        <v>6.4208801588350752</v>
      </c>
      <c r="BU19" s="11">
        <f>BT19+真實IC!BV23</f>
        <v>6.6090371708760562</v>
      </c>
      <c r="BV19" s="11">
        <f>BU19+真實IC!BW23</f>
        <v>6.7934978415964657</v>
      </c>
      <c r="BW19" s="11">
        <f>BV19+真實IC!BX23</f>
        <v>6.7634549592927691</v>
      </c>
      <c r="BX19" s="11">
        <f>BW19+真實IC!BY23</f>
        <v>6.6421717082744998</v>
      </c>
      <c r="BY19" s="11">
        <f>BX19+真實IC!BZ23</f>
        <v>6.8861426424656251</v>
      </c>
      <c r="BZ19" s="11">
        <f>BY19+真實IC!CA23</f>
        <v>6.9242215819408912</v>
      </c>
      <c r="CA19" s="11">
        <f>BZ19+真實IC!CB23</f>
        <v>6.9976876813458206</v>
      </c>
      <c r="CB19" s="11">
        <f>CA19+真實IC!CC23</f>
        <v>6.9443801034063668</v>
      </c>
      <c r="CC19" s="11">
        <f>CB19+真實IC!CD23</f>
        <v>6.9486218561228501</v>
      </c>
      <c r="CD19" s="11">
        <f>CC19+真實IC!CE23</f>
        <v>7.0939968165668379</v>
      </c>
      <c r="CE19" s="11">
        <f>CD19+真實IC!CF23</f>
        <v>7.1116155156473502</v>
      </c>
      <c r="CF19" s="11">
        <f>CE19+真實IC!CG23</f>
        <v>7.2438749378839438</v>
      </c>
      <c r="CG19" s="11">
        <f>CF19+真實IC!CH23</f>
        <v>7.2460946249529687</v>
      </c>
      <c r="CH19" s="11">
        <f>CG19+真實IC!CI23</f>
        <v>7.3976342763313649</v>
      </c>
      <c r="CI19" s="11">
        <f>CH19+真實IC!CJ23</f>
        <v>7.4731622850503019</v>
      </c>
      <c r="CJ19" s="11">
        <f>CI19+真實IC!CK23</f>
        <v>7.5268561582636604</v>
      </c>
      <c r="CK19" s="11">
        <f>CJ19+真實IC!CL23</f>
        <v>7.709456727563313</v>
      </c>
      <c r="CL19" s="11">
        <f>CK19+真實IC!CM23</f>
        <v>7.6464623947028887</v>
      </c>
      <c r="CM19" s="11">
        <f>CL19+真實IC!CN23</f>
        <v>7.9502174911154357</v>
      </c>
      <c r="CN19" s="11">
        <f>CM19+真實IC!CO23</f>
        <v>8.1726430803258374</v>
      </c>
      <c r="CO19" s="11">
        <f>CN19+真實IC!CP23</f>
        <v>8.2709503864498881</v>
      </c>
      <c r="CP19" s="11">
        <f>CO19+真實IC!CQ23</f>
        <v>8.3920237665066324</v>
      </c>
      <c r="CQ19" s="11">
        <f>CP19+真實IC!CR23</f>
        <v>8.5074438106344026</v>
      </c>
      <c r="CR19" s="11">
        <f>CQ19+真實IC!CS23</f>
        <v>8.4536608949975864</v>
      </c>
      <c r="CS19" s="11">
        <f>CR19+真實IC!CT23</f>
        <v>8.5209011583011716</v>
      </c>
      <c r="CT19" s="11">
        <f>CS19+真實IC!CU23</f>
        <v>8.7539908732902081</v>
      </c>
      <c r="CU19" s="11">
        <f>CT19+真實IC!CV23</f>
        <v>8.8106975856365715</v>
      </c>
      <c r="CV19" s="11">
        <f>CU19+真實IC!CW23</f>
        <v>8.891871655239644</v>
      </c>
      <c r="CW19" s="11">
        <f>CV19+真實IC!CX23</f>
        <v>9.0488405021512559</v>
      </c>
      <c r="CX19" s="11">
        <f>CW19+真實IC!CY23</f>
        <v>8.8963881959059368</v>
      </c>
      <c r="CY19" s="11">
        <f>CX19+真實IC!CZ23</f>
        <v>8.9102354023176371</v>
      </c>
      <c r="CZ19" s="11">
        <f>CY19+真實IC!DA23</f>
        <v>9.0282380727193985</v>
      </c>
      <c r="DA19" s="11">
        <f>CZ19+真實IC!DB23</f>
        <v>8.5558873372487216</v>
      </c>
      <c r="DB19" s="11">
        <f>DA19+真實IC!DC23</f>
        <v>8.732693599639795</v>
      </c>
      <c r="DC19" s="11">
        <f>DB19+真實IC!DD23</f>
        <v>8.8080915954553607</v>
      </c>
      <c r="DD19" s="11">
        <f>DC19+真實IC!DE23</f>
        <v>8.8069103178351149</v>
      </c>
      <c r="DE19" s="11">
        <f>DD19+真實IC!DF23</f>
        <v>8.9557192203248572</v>
      </c>
      <c r="DF19" s="11">
        <f>DE19+真實IC!DG23</f>
        <v>8.8075342891931285</v>
      </c>
      <c r="DG19" s="11">
        <f>DF19+真實IC!DH23</f>
        <v>8.8178898606949865</v>
      </c>
      <c r="DH19" s="11">
        <f>DG19+真實IC!DI23</f>
        <v>8.727740657977165</v>
      </c>
      <c r="DI19" s="11">
        <f>DH19+真實IC!DJ23</f>
        <v>8.9345660032561423</v>
      </c>
      <c r="DJ19" s="11">
        <f>DI19+真實IC!DK23</f>
        <v>8.913599941104124</v>
      </c>
      <c r="DK19" s="11">
        <f>DJ19+真實IC!DL23</f>
        <v>8.8670073698378395</v>
      </c>
      <c r="DL19" s="11">
        <f>DK19+真實IC!DM23</f>
        <v>8.8264781100711538</v>
      </c>
      <c r="DM19" s="11">
        <f>DL19+真實IC!DN23</f>
        <v>8.84956254952764</v>
      </c>
      <c r="DN19" s="11">
        <f>DM19+真實IC!DO23</f>
        <v>8.8310037404698534</v>
      </c>
      <c r="DO19" s="11">
        <f>DN19+真實IC!DP23</f>
        <v>8.8821308278198856</v>
      </c>
      <c r="DP19" s="11">
        <f>DO19+真實IC!DQ23</f>
        <v>8.9690260085462743</v>
      </c>
      <c r="DQ19" s="11">
        <f>DP19+真實IC!DR23</f>
        <v>8.922801188323735</v>
      </c>
      <c r="DR19" s="11">
        <f>DQ19+真實IC!DS23</f>
        <v>8.8381957547181997</v>
      </c>
      <c r="DS19" s="11">
        <f>DR19+真實IC!DT23</f>
        <v>8.8735353775372392</v>
      </c>
      <c r="DT19" s="11">
        <f>DS19+真實IC!DU23</f>
        <v>9.2133420163948063</v>
      </c>
      <c r="DU19" s="11">
        <f>DT19+真實IC!DV23</f>
        <v>9.2051760882712124</v>
      </c>
      <c r="DV19" s="11">
        <f>DU19+真實IC!DW23</f>
        <v>9.1515917953528447</v>
      </c>
      <c r="DW19" s="11">
        <f>DV19+真實IC!DX23</f>
        <v>9.4024182662660412</v>
      </c>
      <c r="DX19" s="11">
        <f>DW19+真實IC!DY23</f>
        <v>9.6280801474540301</v>
      </c>
      <c r="DY19" s="11">
        <f>DX19+真實IC!DZ23</f>
        <v>9.6568976524518515</v>
      </c>
      <c r="DZ19" s="11">
        <f>DY19+真實IC!EA23</f>
        <v>9.6586976690658748</v>
      </c>
      <c r="EA19" s="11">
        <f>DZ19+真實IC!EB23</f>
        <v>9.8938959525738408</v>
      </c>
      <c r="EB19" s="11">
        <f>EA19+真實IC!EC23</f>
        <v>10.025922581691365</v>
      </c>
      <c r="EC19" s="11">
        <f>EB19+真實IC!ED23</f>
        <v>10.217359565747104</v>
      </c>
      <c r="ED19" s="11">
        <f>EC19+真實IC!EE23</f>
        <v>10.228315511153978</v>
      </c>
      <c r="EE19" s="11">
        <f>ED19+真實IC!EF23</f>
        <v>10.049661231520989</v>
      </c>
    </row>
    <row r="20" spans="1:136" ht="16">
      <c r="A20" s="6" t="s">
        <v>158</v>
      </c>
      <c r="B20" s="9">
        <v>2.5922326608526759E-2</v>
      </c>
      <c r="C20" s="11">
        <f>B20+真實IC!D24</f>
        <v>0.4433442512485557</v>
      </c>
      <c r="D20" s="11">
        <f>C20+真實IC!E24</f>
        <v>0.46557466350779381</v>
      </c>
      <c r="E20" s="11">
        <f>D20+真實IC!F24</f>
        <v>0.53340572442907142</v>
      </c>
      <c r="F20" s="11">
        <f>E20+真實IC!G24</f>
        <v>0.70162380302474769</v>
      </c>
      <c r="G20" s="11">
        <f>F20+真實IC!H24</f>
        <v>0.93142934751614825</v>
      </c>
      <c r="H20" s="11">
        <f>G20+真實IC!I24</f>
        <v>0.98394929118084218</v>
      </c>
      <c r="I20" s="11">
        <f>H20+真實IC!J24</f>
        <v>0.97597162290967798</v>
      </c>
      <c r="J20" s="11">
        <f>I20+真實IC!K24</f>
        <v>0.98571082826552525</v>
      </c>
      <c r="K20" s="11">
        <f>J20+真實IC!L24</f>
        <v>1.1169183190032335</v>
      </c>
      <c r="L20" s="11">
        <f>K20+真實IC!M24</f>
        <v>1.0713667231837429</v>
      </c>
      <c r="M20" s="11">
        <f>L20+真實IC!N24</f>
        <v>1.1693975839913757</v>
      </c>
      <c r="N20" s="11">
        <f>M20+真實IC!O24</f>
        <v>1.0396894090176825</v>
      </c>
      <c r="O20" s="11">
        <f>N20+真實IC!P24</f>
        <v>1.0825478975366725</v>
      </c>
      <c r="P20" s="11">
        <f>O20+真實IC!Q24</f>
        <v>1.2530040839079317</v>
      </c>
      <c r="Q20" s="11">
        <f>P20+真實IC!R24</f>
        <v>1.275812726156651</v>
      </c>
      <c r="R20" s="11">
        <f>Q20+真實IC!S24</f>
        <v>1.4821672528487464</v>
      </c>
      <c r="S20" s="11">
        <f>R20+真實IC!T24</f>
        <v>1.7188266043863081</v>
      </c>
      <c r="T20" s="11">
        <f>S20+真實IC!U24</f>
        <v>1.7445237477439393</v>
      </c>
      <c r="U20" s="11">
        <f>T20+真實IC!V24</f>
        <v>1.9456688501660591</v>
      </c>
      <c r="V20" s="11">
        <f>U20+真實IC!W24</f>
        <v>2.2918623354653076</v>
      </c>
      <c r="W20" s="11">
        <f>V20+真實IC!X24</f>
        <v>2.6665877536601084</v>
      </c>
      <c r="X20" s="11">
        <f>W20+真實IC!Y24</f>
        <v>2.797412751932296</v>
      </c>
      <c r="Y20" s="11">
        <f>X20+真實IC!Z24</f>
        <v>2.9420398215831849</v>
      </c>
      <c r="Z20" s="11">
        <f>Y20+真實IC!AA24</f>
        <v>2.9695975235651701</v>
      </c>
      <c r="AA20" s="11">
        <f>Z20+真實IC!AB24</f>
        <v>3.0347986486761114</v>
      </c>
      <c r="AB20" s="11">
        <f>AA20+真實IC!AC24</f>
        <v>3.3399154067876875</v>
      </c>
      <c r="AC20" s="11">
        <f>AB20+真實IC!AD24</f>
        <v>3.4038525627355773</v>
      </c>
      <c r="AD20" s="11">
        <f>AC20+真實IC!AE24</f>
        <v>3.5346764055519113</v>
      </c>
      <c r="AE20" s="11">
        <f>AD20+真實IC!AF24</f>
        <v>3.6899996089090981</v>
      </c>
      <c r="AF20" s="11">
        <f>AE20+真實IC!AG24</f>
        <v>3.6791875083422556</v>
      </c>
      <c r="AG20" s="11">
        <f>AF20+真實IC!AH24</f>
        <v>4.2891131623392136</v>
      </c>
      <c r="AH20" s="11">
        <f>AG20+真實IC!AI24</f>
        <v>4.3565060633504</v>
      </c>
      <c r="AI20" s="11">
        <f>AH20+真實IC!AJ24</f>
        <v>4.3804954016840609</v>
      </c>
      <c r="AJ20" s="11">
        <f>AI20+真實IC!AK24</f>
        <v>4.4193848006951768</v>
      </c>
      <c r="AK20" s="11">
        <f>AJ20+真實IC!AL24</f>
        <v>4.5355944265992507</v>
      </c>
      <c r="AL20" s="11">
        <f>AK20+真實IC!AM24</f>
        <v>4.6485923279362025</v>
      </c>
      <c r="AM20" s="11">
        <f>AL20+真實IC!AN24</f>
        <v>4.6207317610508065</v>
      </c>
      <c r="AN20" s="11">
        <f>AM20+真實IC!AO24</f>
        <v>4.4625788857570798</v>
      </c>
      <c r="AO20" s="11">
        <f>AN20+真實IC!AP24</f>
        <v>4.646094176702781</v>
      </c>
      <c r="AP20" s="11">
        <f>AO20+真實IC!AQ24</f>
        <v>4.6539591820185153</v>
      </c>
      <c r="AQ20" s="11">
        <f>AP20+真實IC!AR24</f>
        <v>4.5457754814702787</v>
      </c>
      <c r="AR20" s="11">
        <f>AQ20+真實IC!AS24</f>
        <v>4.555786195425287</v>
      </c>
      <c r="AS20" s="11">
        <f>AR20+真實IC!AT24</f>
        <v>4.7653881019034987</v>
      </c>
      <c r="AT20" s="11">
        <f>AS20+真實IC!AU24</f>
        <v>4.8753026992216828</v>
      </c>
      <c r="AU20" s="11">
        <f>AT20+真實IC!AV24</f>
        <v>4.7439988845156087</v>
      </c>
      <c r="AV20" s="11">
        <f>AU20+真實IC!AW24</f>
        <v>5.1474826566630849</v>
      </c>
      <c r="AW20" s="11">
        <f>AV20+真實IC!AX24</f>
        <v>5.1315412112838485</v>
      </c>
      <c r="AX20" s="11">
        <f>AW20+真實IC!AY24</f>
        <v>5.4384213342143131</v>
      </c>
      <c r="AY20" s="11">
        <f>AX20+真實IC!AZ24</f>
        <v>5.6659068304477671</v>
      </c>
      <c r="AZ20" s="11">
        <f>AY20+真實IC!BA24</f>
        <v>5.7150837701949877</v>
      </c>
      <c r="BA20" s="11">
        <f>AZ20+真實IC!BB24</f>
        <v>5.9453746304154667</v>
      </c>
      <c r="BB20" s="11">
        <f>BA20+真實IC!BC24</f>
        <v>6.1081372121489501</v>
      </c>
      <c r="BC20" s="11">
        <f>BB20+真實IC!BD24</f>
        <v>6.0498008575073889</v>
      </c>
      <c r="BD20" s="11">
        <f>BC20+真實IC!BE24</f>
        <v>5.9217329735417286</v>
      </c>
      <c r="BE20" s="11">
        <f>BD20+真實IC!BF24</f>
        <v>5.8166673396575366</v>
      </c>
      <c r="BF20" s="11">
        <f>BE20+真實IC!BG24</f>
        <v>5.8851347974629098</v>
      </c>
      <c r="BG20" s="11">
        <f>BF20+真實IC!BH24</f>
        <v>5.9531924451127667</v>
      </c>
      <c r="BH20" s="11">
        <f>BG20+真實IC!BI24</f>
        <v>6.0714571997882745</v>
      </c>
      <c r="BI20" s="11">
        <f>BH20+真實IC!BJ24</f>
        <v>6.0612232243391713</v>
      </c>
      <c r="BJ20" s="11">
        <f>BI20+真實IC!BK24</f>
        <v>6.0403684690094046</v>
      </c>
      <c r="BK20" s="11">
        <f>BJ20+真實IC!BL24</f>
        <v>6.0912110644765978</v>
      </c>
      <c r="BL20" s="11">
        <f>BK20+真實IC!BM24</f>
        <v>6.0357641562121245</v>
      </c>
      <c r="BM20" s="11">
        <f>BL20+真實IC!BN24</f>
        <v>6.2381190844883605</v>
      </c>
      <c r="BN20" s="11">
        <f>BM20+真實IC!BO24</f>
        <v>6.3346862193941575</v>
      </c>
      <c r="BO20" s="11">
        <f>BN20+真實IC!BP24</f>
        <v>6.5738383178859445</v>
      </c>
      <c r="BP20" s="11">
        <f>BO20+真實IC!BQ24</f>
        <v>6.4532055187542037</v>
      </c>
      <c r="BQ20" s="11">
        <f>BP20+真實IC!BR24</f>
        <v>6.8266500878106928</v>
      </c>
      <c r="BR20" s="11">
        <f>BQ20+真實IC!BS24</f>
        <v>6.7296024981061482</v>
      </c>
      <c r="BS20" s="11">
        <f>BR20+真實IC!BT24</f>
        <v>6.7967457135238734</v>
      </c>
      <c r="BT20" s="11">
        <f>BS20+真實IC!BU24</f>
        <v>6.8371141821137513</v>
      </c>
      <c r="BU20" s="11">
        <f>BT20+真實IC!BV24</f>
        <v>7.0562347878105083</v>
      </c>
      <c r="BV20" s="11">
        <f>BU20+真實IC!BW24</f>
        <v>7.1884065793462897</v>
      </c>
      <c r="BW20" s="11">
        <f>BV20+真實IC!BX24</f>
        <v>7.1343196650701479</v>
      </c>
      <c r="BX20" s="11">
        <f>BW20+真實IC!BY24</f>
        <v>6.8964280114912624</v>
      </c>
      <c r="BY20" s="11">
        <f>BX20+真實IC!BZ24</f>
        <v>6.9912742856238808</v>
      </c>
      <c r="BZ20" s="11">
        <f>BY20+真實IC!CA24</f>
        <v>7.0546810496882433</v>
      </c>
      <c r="CA20" s="11">
        <f>BZ20+真實IC!CB24</f>
        <v>7.1182853192279323</v>
      </c>
      <c r="CB20" s="11">
        <f>CA20+真實IC!CC24</f>
        <v>7.1407167849809179</v>
      </c>
      <c r="CC20" s="11">
        <f>CB20+真實IC!CD24</f>
        <v>7.0954702431845531</v>
      </c>
      <c r="CD20" s="11">
        <f>CC20+真實IC!CE24</f>
        <v>7.2294126742357445</v>
      </c>
      <c r="CE20" s="11">
        <f>CD20+真實IC!CF24</f>
        <v>7.2411369172403015</v>
      </c>
      <c r="CF20" s="11">
        <f>CE20+真實IC!CG24</f>
        <v>7.3754602431942811</v>
      </c>
      <c r="CG20" s="11">
        <f>CF20+真實IC!CH24</f>
        <v>7.4040622452606488</v>
      </c>
      <c r="CH20" s="11">
        <f>CG20+真實IC!CI24</f>
        <v>7.4705932302220326</v>
      </c>
      <c r="CI20" s="11">
        <f>CH20+真實IC!CJ24</f>
        <v>7.5270976381701624</v>
      </c>
      <c r="CJ20" s="11">
        <f>CI20+真實IC!CK24</f>
        <v>7.5732572849142858</v>
      </c>
      <c r="CK20" s="11">
        <f>CJ20+真實IC!CL24</f>
        <v>7.9785976209883156</v>
      </c>
      <c r="CL20" s="11">
        <f>CK20+真實IC!CM24</f>
        <v>7.9321563420136183</v>
      </c>
      <c r="CM20" s="11">
        <f>CL20+真實IC!CN24</f>
        <v>8.2743209452887641</v>
      </c>
      <c r="CN20" s="11">
        <f>CM20+真實IC!CO24</f>
        <v>8.5240673449576239</v>
      </c>
      <c r="CO20" s="11">
        <f>CN20+真實IC!CP24</f>
        <v>8.6959110781000231</v>
      </c>
      <c r="CP20" s="11">
        <f>CO20+真實IC!CQ24</f>
        <v>8.8560618633995727</v>
      </c>
      <c r="CQ20" s="11">
        <f>CP20+真實IC!CR24</f>
        <v>8.9386974678943911</v>
      </c>
      <c r="CR20" s="11">
        <f>CQ20+真實IC!CS24</f>
        <v>8.8282910991945016</v>
      </c>
      <c r="CS20" s="11">
        <f>CR20+真實IC!CT24</f>
        <v>8.946022620084209</v>
      </c>
      <c r="CT20" s="11">
        <f>CS20+真實IC!CU24</f>
        <v>9.1624930400492275</v>
      </c>
      <c r="CU20" s="11">
        <f>CT20+真實IC!CV24</f>
        <v>9.2091531210890896</v>
      </c>
      <c r="CV20" s="11">
        <f>CU20+真實IC!CW24</f>
        <v>9.2257121757788081</v>
      </c>
      <c r="CW20" s="11">
        <f>CV20+真實IC!CX24</f>
        <v>9.2800054712526112</v>
      </c>
      <c r="CX20" s="11">
        <f>CW20+真實IC!CY24</f>
        <v>9.1175656025391643</v>
      </c>
      <c r="CY20" s="11">
        <f>CX20+真實IC!CZ24</f>
        <v>9.1251528489803029</v>
      </c>
      <c r="CZ20" s="11">
        <f>CY20+真實IC!DA24</f>
        <v>9.3523956959259547</v>
      </c>
      <c r="DA20" s="11">
        <f>CZ20+真實IC!DB24</f>
        <v>8.7590205241997232</v>
      </c>
      <c r="DB20" s="11">
        <f>DA20+真實IC!DC24</f>
        <v>8.9510979892484119</v>
      </c>
      <c r="DC20" s="11">
        <f>DB20+真實IC!DD24</f>
        <v>9.0881077152352905</v>
      </c>
      <c r="DD20" s="11">
        <f>DC20+真實IC!DE24</f>
        <v>8.9982992593368021</v>
      </c>
      <c r="DE20" s="11">
        <f>DD20+真實IC!DF24</f>
        <v>9.0953709649730285</v>
      </c>
      <c r="DF20" s="11">
        <f>DE20+真實IC!DG24</f>
        <v>9.0072495544699649</v>
      </c>
      <c r="DG20" s="11">
        <f>DF20+真實IC!DH24</f>
        <v>8.9725608020407748</v>
      </c>
      <c r="DH20" s="11">
        <f>DG20+真實IC!DI24</f>
        <v>8.8914552582005051</v>
      </c>
      <c r="DI20" s="11">
        <f>DH20+真實IC!DJ24</f>
        <v>9.0781967877982694</v>
      </c>
      <c r="DJ20" s="11">
        <f>DI20+真實IC!DK24</f>
        <v>9.0548506111653086</v>
      </c>
      <c r="DK20" s="11">
        <f>DJ20+真實IC!DL24</f>
        <v>9.0874145195048772</v>
      </c>
      <c r="DL20" s="11">
        <f>DK20+真實IC!DM24</f>
        <v>9.0691012927689236</v>
      </c>
      <c r="DM20" s="11">
        <f>DL20+真實IC!DN24</f>
        <v>9.0421395479810833</v>
      </c>
      <c r="DN20" s="11">
        <f>DM20+真實IC!DO24</f>
        <v>9.0659082162685323</v>
      </c>
      <c r="DO20" s="11">
        <f>DN20+真實IC!DP24</f>
        <v>9.1172866539461683</v>
      </c>
      <c r="DP20" s="11">
        <f>DO20+真實IC!DQ24</f>
        <v>9.2697608762480836</v>
      </c>
      <c r="DQ20" s="11">
        <f>DP20+真實IC!DR24</f>
        <v>9.2118815760422113</v>
      </c>
      <c r="DR20" s="11">
        <f>DQ20+真實IC!DS24</f>
        <v>9.0823577366730053</v>
      </c>
      <c r="DS20" s="11">
        <f>DR20+真實IC!DT24</f>
        <v>9.1726638605102533</v>
      </c>
      <c r="DT20" s="11">
        <f>DS20+真實IC!DU24</f>
        <v>9.5479327328522245</v>
      </c>
      <c r="DU20" s="11">
        <f>DT20+真實IC!DV24</f>
        <v>9.5513109715331836</v>
      </c>
      <c r="DV20" s="11">
        <f>DU20+真實IC!DW24</f>
        <v>9.4981784961547522</v>
      </c>
      <c r="DW20" s="11">
        <f>DV20+真實IC!DX24</f>
        <v>9.8468735858253797</v>
      </c>
      <c r="DX20" s="11">
        <f>DW20+真實IC!DY24</f>
        <v>10.164627958189863</v>
      </c>
      <c r="DY20" s="11">
        <f>DX20+真實IC!DZ24</f>
        <v>10.22547694523848</v>
      </c>
      <c r="DZ20" s="11">
        <f>DY20+真實IC!EA24</f>
        <v>10.240883531288105</v>
      </c>
      <c r="EA20" s="11">
        <f>DZ20+真實IC!EB24</f>
        <v>10.459100602706421</v>
      </c>
      <c r="EB20" s="11">
        <f>EA20+真實IC!EC24</f>
        <v>10.584996594747112</v>
      </c>
      <c r="EC20" s="11">
        <f>EB20+真實IC!ED24</f>
        <v>10.792227754412428</v>
      </c>
      <c r="ED20" s="11">
        <f>EC20+真實IC!EE24</f>
        <v>10.828127111608497</v>
      </c>
      <c r="EE20" s="11">
        <f>ED20+真實IC!EF24</f>
        <v>10.666980910590219</v>
      </c>
    </row>
    <row r="21" spans="1:136" ht="16">
      <c r="A21" s="6" t="s">
        <v>159</v>
      </c>
      <c r="B21" s="9">
        <v>3.1325684581971477E-2</v>
      </c>
      <c r="C21" s="11">
        <f>B21+真實IC!D25</f>
        <v>-5.7640938152385288E-2</v>
      </c>
      <c r="D21" s="11">
        <f>C21+真實IC!E25</f>
        <v>-4.2579350465419885E-2</v>
      </c>
      <c r="E21" s="11">
        <f>D21+真實IC!F25</f>
        <v>0.13981672485545882</v>
      </c>
      <c r="F21" s="11">
        <f>E21+真實IC!G25</f>
        <v>0.27585059669172729</v>
      </c>
      <c r="G21" s="11">
        <f>F21+真實IC!H25</f>
        <v>0.53866083789318009</v>
      </c>
      <c r="H21" s="11">
        <f>G21+真實IC!I25</f>
        <v>0.59170608577548078</v>
      </c>
      <c r="I21" s="11">
        <f>H21+真實IC!J25</f>
        <v>0.65981894059937907</v>
      </c>
      <c r="J21" s="11">
        <f>I21+真實IC!K25</f>
        <v>0.70555303212335452</v>
      </c>
      <c r="K21" s="11">
        <f>J21+真實IC!L25</f>
        <v>0.79004766608877119</v>
      </c>
      <c r="L21" s="11">
        <f>K21+真實IC!M25</f>
        <v>0.68748386586455312</v>
      </c>
      <c r="M21" s="11">
        <f>L21+真實IC!N25</f>
        <v>0.81428387955688164</v>
      </c>
      <c r="N21" s="11">
        <f>M21+真實IC!O25</f>
        <v>0.69679154121208831</v>
      </c>
      <c r="O21" s="11">
        <f>N21+真實IC!P25</f>
        <v>0.70747504597183508</v>
      </c>
      <c r="P21" s="11">
        <f>O21+真實IC!Q25</f>
        <v>0.91734209761006325</v>
      </c>
      <c r="Q21" s="11">
        <f>P21+真實IC!R25</f>
        <v>0.90883711987461291</v>
      </c>
      <c r="R21" s="11">
        <f>Q21+真實IC!S25</f>
        <v>1.1483926667233237</v>
      </c>
      <c r="S21" s="11">
        <f>R21+真實IC!T25</f>
        <v>1.3427863145872658</v>
      </c>
      <c r="T21" s="11">
        <f>S21+真實IC!U25</f>
        <v>1.4225185669293501</v>
      </c>
      <c r="U21" s="11">
        <f>T21+真實IC!V25</f>
        <v>1.5735876358801926</v>
      </c>
      <c r="V21" s="11">
        <f>U21+真實IC!W25</f>
        <v>2.0775069670655033</v>
      </c>
      <c r="W21" s="11">
        <f>V21+真實IC!X25</f>
        <v>2.3362099670070773</v>
      </c>
      <c r="X21" s="11">
        <f>W21+真實IC!Y25</f>
        <v>2.5313208592015779</v>
      </c>
      <c r="Y21" s="11">
        <f>X21+真實IC!Z25</f>
        <v>2.6466954899143489</v>
      </c>
      <c r="Z21" s="11">
        <f>Y21+真實IC!AA25</f>
        <v>2.6618160149172816</v>
      </c>
      <c r="AA21" s="11">
        <f>Z21+真實IC!AB25</f>
        <v>2.758725302027913</v>
      </c>
      <c r="AB21" s="11">
        <f>AA21+真實IC!AC25</f>
        <v>3.0238524192711229</v>
      </c>
      <c r="AC21" s="11">
        <f>AB21+真實IC!AD25</f>
        <v>3.1143956113661462</v>
      </c>
      <c r="AD21" s="11">
        <f>AC21+真實IC!AE25</f>
        <v>3.2516076001238061</v>
      </c>
      <c r="AE21" s="11">
        <f>AD21+真實IC!AF25</f>
        <v>3.4855874303635908</v>
      </c>
      <c r="AF21" s="11">
        <f>AE21+真實IC!AG25</f>
        <v>3.6314813233032628</v>
      </c>
      <c r="AG21" s="11">
        <f>AF21+真實IC!AH25</f>
        <v>4.3657230833378176</v>
      </c>
      <c r="AH21" s="11">
        <f>AG21+真實IC!AI25</f>
        <v>4.4411732530772801</v>
      </c>
      <c r="AI21" s="11">
        <f>AH21+真實IC!AJ25</f>
        <v>4.4897423692779217</v>
      </c>
      <c r="AJ21" s="11">
        <f>AI21+真實IC!AK25</f>
        <v>4.5503433946885048</v>
      </c>
      <c r="AK21" s="11">
        <f>AJ21+真實IC!AL25</f>
        <v>4.6189989107426186</v>
      </c>
      <c r="AL21" s="11">
        <f>AK21+真實IC!AM25</f>
        <v>4.5860131462147891</v>
      </c>
      <c r="AM21" s="11">
        <f>AL21+真實IC!AN25</f>
        <v>4.4254930054524575</v>
      </c>
      <c r="AN21" s="11">
        <f>AM21+真實IC!AO25</f>
        <v>4.3347105259228398</v>
      </c>
      <c r="AO21" s="11">
        <f>AN21+真實IC!AP25</f>
        <v>4.6522248865893863</v>
      </c>
      <c r="AP21" s="11">
        <f>AO21+真實IC!AQ25</f>
        <v>4.566642098487983</v>
      </c>
      <c r="AQ21" s="11">
        <f>AP21+真實IC!AR25</f>
        <v>4.3131813027076387</v>
      </c>
      <c r="AR21" s="11">
        <f>AQ21+真實IC!AS25</f>
        <v>4.2995670132084438</v>
      </c>
      <c r="AS21" s="11">
        <f>AR21+真實IC!AT25</f>
        <v>4.504753688668603</v>
      </c>
      <c r="AT21" s="11">
        <f>AS21+真實IC!AU25</f>
        <v>4.7083495798501893</v>
      </c>
      <c r="AU21" s="11">
        <f>AT21+真實IC!AV25</f>
        <v>4.5944200506672495</v>
      </c>
      <c r="AV21" s="11">
        <f>AU21+真實IC!AW25</f>
        <v>4.6742496021386781</v>
      </c>
      <c r="AW21" s="11">
        <f>AV21+真實IC!AX25</f>
        <v>4.7578096086007715</v>
      </c>
      <c r="AX21" s="11">
        <f>AW21+真實IC!AY25</f>
        <v>5.1801640998856442</v>
      </c>
      <c r="AY21" s="11">
        <f>AX21+真實IC!AZ25</f>
        <v>5.4961486211414456</v>
      </c>
      <c r="AZ21" s="11">
        <f>AY21+真實IC!BA25</f>
        <v>5.3240677117657134</v>
      </c>
      <c r="BA21" s="11">
        <f>AZ21+真實IC!BB25</f>
        <v>5.7366902788344447</v>
      </c>
      <c r="BB21" s="11">
        <f>BA21+真實IC!BC25</f>
        <v>5.9111696766121771</v>
      </c>
      <c r="BC21" s="11">
        <f>BB21+真實IC!BD25</f>
        <v>5.8958190073877432</v>
      </c>
      <c r="BD21" s="11">
        <f>BC21+真實IC!BE25</f>
        <v>5.771526864361844</v>
      </c>
      <c r="BE21" s="11">
        <f>BD21+真實IC!BF25</f>
        <v>5.7309837736700029</v>
      </c>
      <c r="BF21" s="11">
        <f>BE21+真實IC!BG25</f>
        <v>5.7918599320242476</v>
      </c>
      <c r="BG21" s="11">
        <f>BF21+真實IC!BH25</f>
        <v>5.9290493081141955</v>
      </c>
      <c r="BH21" s="11">
        <f>BG21+真實IC!BI25</f>
        <v>5.9555559417118156</v>
      </c>
      <c r="BI21" s="11">
        <f>BH21+真實IC!BJ25</f>
        <v>6.0135761552564579</v>
      </c>
      <c r="BJ21" s="11">
        <f>BI21+真實IC!BK25</f>
        <v>6.0085662917819231</v>
      </c>
      <c r="BK21" s="11">
        <f>BJ21+真實IC!BL25</f>
        <v>6.0490645306832835</v>
      </c>
      <c r="BL21" s="11">
        <f>BK21+真實IC!BM25</f>
        <v>6.0479417935673592</v>
      </c>
      <c r="BM21" s="11">
        <f>BL21+真實IC!BN25</f>
        <v>6.3188157510365723</v>
      </c>
      <c r="BN21" s="11">
        <f>BM21+真實IC!BO25</f>
        <v>6.2977745176938331</v>
      </c>
      <c r="BO21" s="11">
        <f>BN21+真實IC!BP25</f>
        <v>6.5451731439120868</v>
      </c>
      <c r="BP21" s="11">
        <f>BO21+真實IC!BQ25</f>
        <v>6.4754222613745718</v>
      </c>
      <c r="BQ21" s="11">
        <f>BP21+真實IC!BR25</f>
        <v>6.8422689899113136</v>
      </c>
      <c r="BR21" s="11">
        <f>BQ21+真實IC!BS25</f>
        <v>6.6217018955089229</v>
      </c>
      <c r="BS21" s="11">
        <f>BR21+真實IC!BT25</f>
        <v>6.6918911596735597</v>
      </c>
      <c r="BT21" s="11">
        <f>BS21+真實IC!BU25</f>
        <v>6.8551658496657808</v>
      </c>
      <c r="BU21" s="11">
        <f>BT21+真實IC!BV25</f>
        <v>7.1655295854329255</v>
      </c>
      <c r="BV21" s="11">
        <f>BU21+真實IC!BW25</f>
        <v>7.180892100476016</v>
      </c>
      <c r="BW21" s="11">
        <f>BV21+真實IC!BX25</f>
        <v>7.109870124924492</v>
      </c>
      <c r="BX21" s="11">
        <f>BW21+真實IC!BY25</f>
        <v>6.919034915099683</v>
      </c>
      <c r="BY21" s="11">
        <f>BX21+真實IC!BZ25</f>
        <v>7.2241509903441115</v>
      </c>
      <c r="BZ21" s="11">
        <f>BY21+真實IC!CA25</f>
        <v>7.1898673704987646</v>
      </c>
      <c r="CA21" s="11">
        <f>BZ21+真實IC!CB25</f>
        <v>7.1482023821201759</v>
      </c>
      <c r="CB21" s="11">
        <f>CA21+真實IC!CC25</f>
        <v>7.2317582911583447</v>
      </c>
      <c r="CC21" s="11">
        <f>CB21+真實IC!CD25</f>
        <v>7.1534840382009843</v>
      </c>
      <c r="CD21" s="11">
        <f>CC21+真實IC!CE25</f>
        <v>7.3580747597034293</v>
      </c>
      <c r="CE21" s="11">
        <f>CD21+真實IC!CF25</f>
        <v>7.4015172247339196</v>
      </c>
      <c r="CF21" s="11">
        <f>CE21+真實IC!CG25</f>
        <v>7.482953579844497</v>
      </c>
      <c r="CG21" s="11">
        <f>CF21+真實IC!CH25</f>
        <v>7.5638699421407001</v>
      </c>
      <c r="CH21" s="11">
        <f>CG21+真實IC!CI25</f>
        <v>7.5840001272575055</v>
      </c>
      <c r="CI21" s="11">
        <f>CH21+真實IC!CJ25</f>
        <v>7.548696052943165</v>
      </c>
      <c r="CJ21" s="11">
        <f>CI21+真實IC!CK25</f>
        <v>7.5860038064060964</v>
      </c>
      <c r="CK21" s="11">
        <f>CJ21+真實IC!CL25</f>
        <v>7.8908519175666259</v>
      </c>
      <c r="CL21" s="11">
        <f>CK21+真實IC!CM25</f>
        <v>7.8838769085534048</v>
      </c>
      <c r="CM21" s="11">
        <f>CL21+真實IC!CN25</f>
        <v>8.2591508152525392</v>
      </c>
      <c r="CN21" s="11">
        <f>CM21+真實IC!CO25</f>
        <v>8.4754598463671922</v>
      </c>
      <c r="CO21" s="11">
        <f>CN21+真實IC!CP25</f>
        <v>8.7215616188234115</v>
      </c>
      <c r="CP21" s="11">
        <f>CO21+真實IC!CQ25</f>
        <v>8.8407897986431578</v>
      </c>
      <c r="CQ21" s="11">
        <f>CP21+真實IC!CR25</f>
        <v>8.90270228648318</v>
      </c>
      <c r="CR21" s="11">
        <f>CQ21+真實IC!CS25</f>
        <v>9.0868136318649295</v>
      </c>
      <c r="CS21" s="11">
        <f>CR21+真實IC!CT25</f>
        <v>9.1867528105761131</v>
      </c>
      <c r="CT21" s="11">
        <f>CS21+真實IC!CU25</f>
        <v>9.3176498577804132</v>
      </c>
      <c r="CU21" s="11">
        <f>CT21+真實IC!CV25</f>
        <v>9.3967530307466411</v>
      </c>
      <c r="CV21" s="11">
        <f>CU21+真實IC!CW25</f>
        <v>9.5323370601277073</v>
      </c>
      <c r="CW21" s="11">
        <f>CV21+真實IC!CX25</f>
        <v>9.5941970532749874</v>
      </c>
      <c r="CX21" s="11">
        <f>CW21+真實IC!CY25</f>
        <v>9.3124862258009671</v>
      </c>
      <c r="CY21" s="11">
        <f>CX21+真實IC!CZ25</f>
        <v>9.2512051252863259</v>
      </c>
      <c r="CZ21" s="11">
        <f>CY21+真實IC!DA25</f>
        <v>9.3718978746750334</v>
      </c>
      <c r="DA21" s="11">
        <f>CZ21+真實IC!DB25</f>
        <v>8.5073223000778224</v>
      </c>
      <c r="DB21" s="11">
        <f>DA21+真實IC!DC25</f>
        <v>8.7266133691831751</v>
      </c>
      <c r="DC21" s="11">
        <f>DB21+真實IC!DD25</f>
        <v>9.0114650406284404</v>
      </c>
      <c r="DD21" s="11">
        <f>DC21+真實IC!DE25</f>
        <v>8.8715208885854082</v>
      </c>
      <c r="DE21" s="11">
        <f>DD21+真實IC!DF25</f>
        <v>9.0628947623978604</v>
      </c>
      <c r="DF21" s="11">
        <f>DE21+真實IC!DG25</f>
        <v>8.9099181081028078</v>
      </c>
      <c r="DG21" s="11">
        <f>DF21+真實IC!DH25</f>
        <v>8.8003359097407099</v>
      </c>
      <c r="DH21" s="11">
        <f>DG21+真實IC!DI25</f>
        <v>8.6154231961926051</v>
      </c>
      <c r="DI21" s="11">
        <f>DH21+真實IC!DJ25</f>
        <v>8.7938397780638855</v>
      </c>
      <c r="DJ21" s="11">
        <f>DI21+真實IC!DK25</f>
        <v>8.7460899810153059</v>
      </c>
      <c r="DK21" s="11">
        <f>DJ21+真實IC!DL25</f>
        <v>8.8010618909778167</v>
      </c>
      <c r="DL21" s="11">
        <f>DK21+真實IC!DM25</f>
        <v>8.6012919639316632</v>
      </c>
      <c r="DM21" s="11">
        <f>DL21+真實IC!DN25</f>
        <v>8.6475056243929291</v>
      </c>
      <c r="DN21" s="11">
        <f>DM21+真實IC!DO25</f>
        <v>8.5628347965857472</v>
      </c>
      <c r="DO21" s="11">
        <f>DN21+真實IC!DP25</f>
        <v>8.6591053076301066</v>
      </c>
      <c r="DP21" s="11">
        <f>DO21+真實IC!DQ25</f>
        <v>8.8968932384367498</v>
      </c>
      <c r="DQ21" s="11">
        <f>DP21+真實IC!DR25</f>
        <v>8.8209612650456499</v>
      </c>
      <c r="DR21" s="11">
        <f>DQ21+真實IC!DS25</f>
        <v>8.573766713603181</v>
      </c>
      <c r="DS21" s="11">
        <f>DR21+真實IC!DT25</f>
        <v>8.6289848888746565</v>
      </c>
      <c r="DT21" s="11">
        <f>DS21+真實IC!DU25</f>
        <v>9.1542265955277564</v>
      </c>
      <c r="DU21" s="11">
        <f>DT21+真實IC!DV25</f>
        <v>9.1294995092198583</v>
      </c>
      <c r="DV21" s="11">
        <f>DU21+真實IC!DW25</f>
        <v>9.3396656801745532</v>
      </c>
      <c r="DW21" s="11">
        <f>DV21+真實IC!DX25</f>
        <v>9.5986506491779391</v>
      </c>
      <c r="DX21" s="11">
        <f>DW21+真實IC!DY25</f>
        <v>9.8668725785500637</v>
      </c>
      <c r="DY21" s="11">
        <f>DX21+真實IC!DZ25</f>
        <v>9.8928277432296827</v>
      </c>
      <c r="DZ21" s="11">
        <f>DY21+真實IC!EA25</f>
        <v>9.9286098376643128</v>
      </c>
      <c r="EA21" s="11">
        <f>DZ21+真實IC!EB25</f>
        <v>10.238995720998021</v>
      </c>
      <c r="EB21" s="11">
        <f>EA21+真實IC!EC25</f>
        <v>10.570464069536865</v>
      </c>
      <c r="EC21" s="11">
        <f>EB21+真實IC!ED25</f>
        <v>10.633656541741379</v>
      </c>
      <c r="ED21" s="11">
        <f>EC21+真實IC!EE25</f>
        <v>10.703202099836366</v>
      </c>
      <c r="EE21" s="11">
        <f>ED21+真實IC!EF25</f>
        <v>10.619930323086884</v>
      </c>
    </row>
    <row r="22" spans="1:136" ht="16">
      <c r="A22" s="6" t="s">
        <v>160</v>
      </c>
      <c r="B22" s="9">
        <v>2.776696731044102E-2</v>
      </c>
      <c r="C22" s="11">
        <f>B22+真實IC!D26</f>
        <v>-5.4221411859182875E-2</v>
      </c>
      <c r="D22" s="11">
        <f>C22+真實IC!E26</f>
        <v>-0.13610174646958037</v>
      </c>
      <c r="E22" s="11">
        <f>D22+真實IC!F26</f>
        <v>6.5443972402065842E-2</v>
      </c>
      <c r="F22" s="11">
        <f>E22+真實IC!G26</f>
        <v>4.2821583839448188E-2</v>
      </c>
      <c r="G22" s="11">
        <f>F22+真實IC!H26</f>
        <v>0.39364377517048699</v>
      </c>
      <c r="H22" s="11">
        <f>G22+真實IC!I26</f>
        <v>0.44218544247456287</v>
      </c>
      <c r="I22" s="11">
        <f>H22+真實IC!J26</f>
        <v>0.43701492352978044</v>
      </c>
      <c r="J22" s="11">
        <f>I22+真實IC!K26</f>
        <v>0.41727036780033555</v>
      </c>
      <c r="K22" s="11">
        <f>J22+真實IC!L26</f>
        <v>0.22469674071581855</v>
      </c>
      <c r="L22" s="11">
        <f>K22+真實IC!M26</f>
        <v>0.36114794553961871</v>
      </c>
      <c r="M22" s="11">
        <f>L22+真實IC!N26</f>
        <v>0.46633965633546409</v>
      </c>
      <c r="N22" s="11">
        <f>M22+真實IC!O26</f>
        <v>0.19584240863778407</v>
      </c>
      <c r="O22" s="11">
        <f>N22+真實IC!P26</f>
        <v>0.27357889449184131</v>
      </c>
      <c r="P22" s="11">
        <f>O22+真實IC!Q26</f>
        <v>0.36037243468352043</v>
      </c>
      <c r="Q22" s="11">
        <f>P22+真實IC!R26</f>
        <v>0.38282670027241478</v>
      </c>
      <c r="R22" s="11">
        <f>Q22+真實IC!S26</f>
        <v>0.6817606495216304</v>
      </c>
      <c r="S22" s="11">
        <f>R22+真實IC!T26</f>
        <v>1.1359364451887903</v>
      </c>
      <c r="T22" s="11">
        <f>S22+真實IC!U26</f>
        <v>1.2532584123106958</v>
      </c>
      <c r="U22" s="11">
        <f>T22+真實IC!V26</f>
        <v>1.8157759960528386</v>
      </c>
      <c r="V22" s="11">
        <f>U22+真實IC!W26</f>
        <v>2.4587095246584978</v>
      </c>
      <c r="W22" s="11">
        <f>V22+真實IC!X26</f>
        <v>2.8530898003421692</v>
      </c>
      <c r="X22" s="11">
        <f>W22+真實IC!Y26</f>
        <v>3.0033799803322707</v>
      </c>
      <c r="Y22" s="11">
        <f>X22+真實IC!Z26</f>
        <v>3.0930506434979073</v>
      </c>
      <c r="Z22" s="11">
        <f>Y22+真實IC!AA26</f>
        <v>3.1711616896034105</v>
      </c>
      <c r="AA22" s="11">
        <f>Z22+真實IC!AB26</f>
        <v>3.2371294632727756</v>
      </c>
      <c r="AB22" s="11">
        <f>AA22+真實IC!AC26</f>
        <v>3.63887679711973</v>
      </c>
      <c r="AC22" s="11">
        <f>AB22+真實IC!AD26</f>
        <v>3.274981353921369</v>
      </c>
      <c r="AD22" s="11">
        <f>AC22+真實IC!AE26</f>
        <v>3.468123143633127</v>
      </c>
      <c r="AE22" s="11">
        <f>AD22+真實IC!AF26</f>
        <v>3.9571639788989468</v>
      </c>
      <c r="AF22" s="11">
        <f>AE22+真實IC!AG26</f>
        <v>4.3372193714817424</v>
      </c>
      <c r="AG22" s="11">
        <f>AF22+真實IC!AH26</f>
        <v>5.8001669807839482</v>
      </c>
      <c r="AH22" s="11">
        <f>AG22+真實IC!AI26</f>
        <v>5.9520786555673455</v>
      </c>
      <c r="AI22" s="11">
        <f>AH22+真實IC!AJ26</f>
        <v>5.9996388598678339</v>
      </c>
      <c r="AJ22" s="11">
        <f>AI22+真實IC!AK26</f>
        <v>6.1910451693622486</v>
      </c>
      <c r="AK22" s="11">
        <f>AJ22+真實IC!AL26</f>
        <v>6.3665622760164311</v>
      </c>
      <c r="AL22" s="11">
        <f>AK22+真實IC!AM26</f>
        <v>6.3578269072836147</v>
      </c>
      <c r="AM22" s="11">
        <f>AL22+真實IC!AN26</f>
        <v>6.2471661353480643</v>
      </c>
      <c r="AN22" s="11">
        <f>AM22+真實IC!AO26</f>
        <v>6.1442604327702748</v>
      </c>
      <c r="AO22" s="11">
        <f>AN22+真實IC!AP26</f>
        <v>6.3444087469316948</v>
      </c>
      <c r="AP22" s="11">
        <f>AO22+真實IC!AQ26</f>
        <v>6.011310350459576</v>
      </c>
      <c r="AQ22" s="11">
        <f>AP22+真實IC!AR26</f>
        <v>5.990959505966762</v>
      </c>
      <c r="AR22" s="11">
        <f>AQ22+真實IC!AS26</f>
        <v>5.686884336607557</v>
      </c>
      <c r="AS22" s="11">
        <f>AR22+真實IC!AT26</f>
        <v>5.474227886601116</v>
      </c>
      <c r="AT22" s="11">
        <f>AS22+真實IC!AU26</f>
        <v>5.704068902280536</v>
      </c>
      <c r="AU22" s="11">
        <f>AT22+真實IC!AV26</f>
        <v>5.4662457467291627</v>
      </c>
      <c r="AV22" s="11">
        <f>AU22+真實IC!AW26</f>
        <v>5.6900584181753961</v>
      </c>
      <c r="AW22" s="11">
        <f>AV22+真實IC!AX26</f>
        <v>5.6166509227797263</v>
      </c>
      <c r="AX22" s="11">
        <f>AW22+真實IC!AY26</f>
        <v>5.4654173962211452</v>
      </c>
      <c r="AY22" s="11">
        <f>AX22+真實IC!AZ26</f>
        <v>6.0753169564059224</v>
      </c>
      <c r="AZ22" s="11">
        <f>AY22+真實IC!BA26</f>
        <v>5.9735342620959804</v>
      </c>
      <c r="BA22" s="11">
        <f>AZ22+真實IC!BB26</f>
        <v>6.7526865831867706</v>
      </c>
      <c r="BB22" s="11">
        <f>BA22+真實IC!BC26</f>
        <v>6.6628942930006048</v>
      </c>
      <c r="BC22" s="11">
        <f>BB22+真實IC!BD26</f>
        <v>6.8354644317139455</v>
      </c>
      <c r="BD22" s="11">
        <f>BC22+真實IC!BE26</f>
        <v>6.8928449696990253</v>
      </c>
      <c r="BE22" s="11">
        <f>BD22+真實IC!BF26</f>
        <v>6.8981521877083178</v>
      </c>
      <c r="BF22" s="11">
        <f>BE22+真實IC!BG26</f>
        <v>7.1362942000121867</v>
      </c>
      <c r="BG22" s="11">
        <f>BF22+真實IC!BH26</f>
        <v>7.3667204269080013</v>
      </c>
      <c r="BH22" s="11">
        <f>BG22+真實IC!BI26</f>
        <v>7.2465960483139042</v>
      </c>
      <c r="BI22" s="11">
        <f>BH22+真實IC!BJ26</f>
        <v>7.1860287939914445</v>
      </c>
      <c r="BJ22" s="11">
        <f>BI22+真實IC!BK26</f>
        <v>7.176009067042374</v>
      </c>
      <c r="BK22" s="11">
        <f>BJ22+真實IC!BL26</f>
        <v>7.2821159871935404</v>
      </c>
      <c r="BL22" s="11">
        <f>BK22+真實IC!BM26</f>
        <v>7.3668989270325289</v>
      </c>
      <c r="BM22" s="11">
        <f>BL22+真實IC!BN26</f>
        <v>7.589158695699731</v>
      </c>
      <c r="BN22" s="11">
        <f>BM22+真實IC!BO26</f>
        <v>7.53000600286469</v>
      </c>
      <c r="BO22" s="11">
        <f>BN22+真實IC!BP26</f>
        <v>8.0971946171717377</v>
      </c>
      <c r="BP22" s="11">
        <f>BO22+真實IC!BQ26</f>
        <v>7.9567097770470632</v>
      </c>
      <c r="BQ22" s="11">
        <f>BP22+真實IC!BR26</f>
        <v>8.4223288079749743</v>
      </c>
      <c r="BR22" s="11">
        <f>BQ22+真實IC!BS26</f>
        <v>8.3007077714453672</v>
      </c>
      <c r="BS22" s="11">
        <f>BR22+真實IC!BT26</f>
        <v>8.356507027753624</v>
      </c>
      <c r="BT22" s="11">
        <f>BS22+真實IC!BU26</f>
        <v>8.8080765645352415</v>
      </c>
      <c r="BU22" s="11">
        <f>BT22+真實IC!BV26</f>
        <v>9.385443356407686</v>
      </c>
      <c r="BV22" s="11">
        <f>BU22+真實IC!BW26</f>
        <v>9.5364708018301059</v>
      </c>
      <c r="BW22" s="11">
        <f>BV22+真實IC!BX26</f>
        <v>9.6349299788472393</v>
      </c>
      <c r="BX22" s="11">
        <f>BW22+真實IC!BY26</f>
        <v>9.2376480729097157</v>
      </c>
      <c r="BY22" s="11">
        <f>BX22+真實IC!BZ26</f>
        <v>9.0960034641460599</v>
      </c>
      <c r="BZ22" s="11">
        <f>BY22+真實IC!CA26</f>
        <v>9.0106513253588272</v>
      </c>
      <c r="CA22" s="11">
        <f>BZ22+真實IC!CB26</f>
        <v>9.0747784085148684</v>
      </c>
      <c r="CB22" s="11">
        <f>CA22+真實IC!CC26</f>
        <v>9.2946096017160951</v>
      </c>
      <c r="CC22" s="11">
        <f>CB22+真實IC!CD26</f>
        <v>9.2494580762585645</v>
      </c>
      <c r="CD22" s="11">
        <f>CC22+真實IC!CE26</f>
        <v>9.4287618601250802</v>
      </c>
      <c r="CE22" s="11">
        <f>CD22+真實IC!CF26</f>
        <v>9.2081620904380994</v>
      </c>
      <c r="CF22" s="11">
        <f>CE22+真實IC!CG26</f>
        <v>9.2884844792769332</v>
      </c>
      <c r="CG22" s="11">
        <f>CF22+真實IC!CH26</f>
        <v>9.4498564097593505</v>
      </c>
      <c r="CH22" s="11">
        <f>CG22+真實IC!CI26</f>
        <v>9.3436558624115751</v>
      </c>
      <c r="CI22" s="11">
        <f>CH22+真實IC!CJ26</f>
        <v>9.0578526583050998</v>
      </c>
      <c r="CJ22" s="11">
        <f>CI22+真實IC!CK26</f>
        <v>8.7480861817128268</v>
      </c>
      <c r="CK22" s="11">
        <f>CJ22+真實IC!CL26</f>
        <v>8.7059155395047103</v>
      </c>
      <c r="CL22" s="11">
        <f>CK22+真實IC!CM26</f>
        <v>8.6612270011807784</v>
      </c>
      <c r="CM22" s="11">
        <f>CL22+真實IC!CN26</f>
        <v>8.8083621178361771</v>
      </c>
      <c r="CN22" s="11">
        <f>CM22+真實IC!CO26</f>
        <v>9.2806751110325667</v>
      </c>
      <c r="CO22" s="11">
        <f>CN22+真實IC!CP26</f>
        <v>9.4787424565796599</v>
      </c>
      <c r="CP22" s="11">
        <f>CO22+真實IC!CQ26</f>
        <v>9.4273024285867066</v>
      </c>
      <c r="CQ22" s="11">
        <f>CP22+真實IC!CR26</f>
        <v>9.1722397389381864</v>
      </c>
      <c r="CR22" s="11">
        <f>CQ22+真實IC!CS26</f>
        <v>9.3298049247336081</v>
      </c>
      <c r="CS22" s="11">
        <f>CR22+真實IC!CT26</f>
        <v>9.431897528200361</v>
      </c>
      <c r="CT22" s="11">
        <f>CS22+真實IC!CU26</f>
        <v>9.6606069123939573</v>
      </c>
      <c r="CU22" s="11">
        <f>CT22+真實IC!CV26</f>
        <v>9.7503327475526049</v>
      </c>
      <c r="CV22" s="11">
        <f>CU22+真實IC!CW26</f>
        <v>9.9939825150608375</v>
      </c>
      <c r="CW22" s="11">
        <f>CV22+真實IC!CX26</f>
        <v>10.140677140731125</v>
      </c>
      <c r="CX22" s="11">
        <f>CW22+真實IC!CY26</f>
        <v>9.7804490939623872</v>
      </c>
      <c r="CY22" s="11">
        <f>CX22+真實IC!CZ26</f>
        <v>9.6183421840842271</v>
      </c>
      <c r="CZ22" s="11">
        <f>CY22+真實IC!DA26</f>
        <v>9.8788761976196859</v>
      </c>
      <c r="DA22" s="11">
        <f>CZ22+真實IC!DB26</f>
        <v>8.9307666082397166</v>
      </c>
      <c r="DB22" s="11">
        <f>DA22+真實IC!DC26</f>
        <v>9.2808841516322893</v>
      </c>
      <c r="DC22" s="11">
        <f>DB22+真實IC!DD26</f>
        <v>9.3563898497972389</v>
      </c>
      <c r="DD22" s="11">
        <f>DC22+真實IC!DE26</f>
        <v>9.1441348573529186</v>
      </c>
      <c r="DE22" s="11">
        <f>DD22+真實IC!DF26</f>
        <v>9.3387729211088484</v>
      </c>
      <c r="DF22" s="11">
        <f>DE22+真實IC!DG26</f>
        <v>9.0901839383756187</v>
      </c>
      <c r="DG22" s="11">
        <f>DF22+真實IC!DH26</f>
        <v>8.9873510943941035</v>
      </c>
      <c r="DH22" s="11">
        <f>DG22+真實IC!DI26</f>
        <v>8.5642522946657653</v>
      </c>
      <c r="DI22" s="11">
        <f>DH22+真實IC!DJ26</f>
        <v>8.7556992542032859</v>
      </c>
      <c r="DJ22" s="11">
        <f>DI22+真實IC!DK26</f>
        <v>8.5896775258490354</v>
      </c>
      <c r="DK22" s="11">
        <f>DJ22+真實IC!DL26</f>
        <v>8.6679045617975792</v>
      </c>
      <c r="DL22" s="11">
        <f>DK22+真實IC!DM26</f>
        <v>8.2998761937793848</v>
      </c>
      <c r="DM22" s="11">
        <f>DL22+真實IC!DN26</f>
        <v>8.3324538664460075</v>
      </c>
      <c r="DN22" s="11">
        <f>DM22+真實IC!DO26</f>
        <v>8.2493395768560021</v>
      </c>
      <c r="DO22" s="11">
        <f>DN22+真實IC!DP26</f>
        <v>8.1942494160801118</v>
      </c>
      <c r="DP22" s="11">
        <f>DO22+真實IC!DQ26</f>
        <v>8.270359755335928</v>
      </c>
      <c r="DQ22" s="11">
        <f>DP22+真實IC!DR26</f>
        <v>8.1878027286956794</v>
      </c>
      <c r="DR22" s="11">
        <f>DQ22+真實IC!DS26</f>
        <v>8.0437957538568643</v>
      </c>
      <c r="DS22" s="11">
        <f>DR22+真實IC!DT26</f>
        <v>7.9820246810766058</v>
      </c>
      <c r="DT22" s="11">
        <f>DS22+真實IC!DU26</f>
        <v>8.7525679888325651</v>
      </c>
      <c r="DU22" s="11">
        <f>DT22+真實IC!DV26</f>
        <v>8.6509432963418806</v>
      </c>
      <c r="DV22" s="11">
        <f>DU22+真實IC!DW26</f>
        <v>8.8830755675631625</v>
      </c>
      <c r="DW22" s="11">
        <f>DV22+真實IC!DX26</f>
        <v>9.4502515186139977</v>
      </c>
      <c r="DX22" s="11">
        <f>DW22+真實IC!DY26</f>
        <v>9.4823180543439491</v>
      </c>
      <c r="DY22" s="11">
        <f>DX22+真實IC!DZ26</f>
        <v>9.6129196632571716</v>
      </c>
      <c r="DZ22" s="11">
        <f>DY22+真實IC!EA26</f>
        <v>9.8858366990669033</v>
      </c>
      <c r="EA22" s="11">
        <f>DZ22+真實IC!EB26</f>
        <v>10.551644294044333</v>
      </c>
      <c r="EB22" s="11">
        <f>EA22+真實IC!EC26</f>
        <v>10.695080811891597</v>
      </c>
      <c r="EC22" s="11">
        <f>EB22+真實IC!ED26</f>
        <v>10.987911618888699</v>
      </c>
      <c r="ED22" s="11">
        <f>EC22+真實IC!EE26</f>
        <v>10.952247636017734</v>
      </c>
      <c r="EE22" s="11">
        <f>ED22+真實IC!EF26</f>
        <v>10.823289862939296</v>
      </c>
    </row>
    <row r="23" spans="1:136" ht="16">
      <c r="A23" s="6" t="s">
        <v>141</v>
      </c>
      <c r="B23" s="22">
        <v>-1.7446770539390338E-2</v>
      </c>
      <c r="C23" s="34">
        <f>B23+真實IC!D27</f>
        <v>3.2542899924252917E-3</v>
      </c>
      <c r="D23" s="34">
        <f>C23+真實IC!E27</f>
        <v>2.7236419247192001E-2</v>
      </c>
      <c r="E23" s="34">
        <f>D23+真實IC!F27</f>
        <v>2.0678840274368924E-2</v>
      </c>
      <c r="F23" s="34">
        <f>E23+真實IC!G27</f>
        <v>5.2523970074888612E-2</v>
      </c>
      <c r="G23" s="34">
        <f>F23+真實IC!H27</f>
        <v>8.6872502811879138E-2</v>
      </c>
      <c r="H23" s="34">
        <f>G23+真實IC!I27</f>
        <v>7.8617570030553904E-2</v>
      </c>
      <c r="I23" s="34">
        <f>H23+真實IC!J27</f>
        <v>9.1461094424606662E-2</v>
      </c>
      <c r="J23" s="34">
        <f>I23+真實IC!K27</f>
        <v>4.0442569797815839E-2</v>
      </c>
      <c r="K23" s="34">
        <f>J23+真實IC!L27</f>
        <v>4.1316512538852428E-2</v>
      </c>
      <c r="L23" s="34">
        <f>K23+真實IC!M27</f>
        <v>6.4706088044348353E-2</v>
      </c>
      <c r="M23" s="34">
        <f>L23+真實IC!N27</f>
        <v>7.7695060244681202E-2</v>
      </c>
      <c r="N23" s="34">
        <f>M23+真實IC!O27</f>
        <v>8.3549648970316082E-2</v>
      </c>
      <c r="O23" s="34">
        <f>N23+真實IC!P27</f>
        <v>0.11096285554210664</v>
      </c>
      <c r="P23" s="34">
        <f>O23+真實IC!Q27</f>
        <v>0.10724991942441378</v>
      </c>
      <c r="Q23" s="34">
        <f>P23+真實IC!R27</f>
        <v>0.13132653347223711</v>
      </c>
      <c r="R23" s="34">
        <f>Q23+真實IC!S27</f>
        <v>0.11913650817319715</v>
      </c>
      <c r="S23" s="34">
        <f>R23+真實IC!T27</f>
        <v>7.9386930013607554E-2</v>
      </c>
      <c r="T23" s="34">
        <f>S23+真實IC!U27</f>
        <v>6.2314801819580018E-3</v>
      </c>
      <c r="U23" s="34">
        <f>T23+真實IC!V27</f>
        <v>-5.2028749728156659E-2</v>
      </c>
      <c r="V23" s="34">
        <f>U23+真實IC!W27</f>
        <v>-5.1255952162648284E-2</v>
      </c>
      <c r="W23" s="34">
        <f>V23+真實IC!X27</f>
        <v>-6.6644310274293142E-3</v>
      </c>
      <c r="X23" s="34">
        <f>W23+真實IC!Y27</f>
        <v>-3.4364111077642409E-2</v>
      </c>
      <c r="Y23" s="34">
        <f>X23+真實IC!Z27</f>
        <v>-3.226910512789876E-2</v>
      </c>
      <c r="Z23" s="34">
        <f>Y23+真實IC!AA27</f>
        <v>-5.5669656120462874E-2</v>
      </c>
      <c r="AA23" s="34">
        <f>Z23+真實IC!AB27</f>
        <v>-2.3540285023140685E-2</v>
      </c>
      <c r="AB23" s="34">
        <f>AA23+真實IC!AC27</f>
        <v>1.5362988070925745E-2</v>
      </c>
      <c r="AC23" s="34">
        <f>AB23+真實IC!AD27</f>
        <v>-2.7502394100178525E-2</v>
      </c>
      <c r="AD23" s="34">
        <f>AC23+真實IC!AE27</f>
        <v>-8.8551995500263658E-3</v>
      </c>
      <c r="AE23" s="34">
        <f>AD23+真實IC!AF27</f>
        <v>6.3745687725025833E-3</v>
      </c>
      <c r="AF23" s="34">
        <f>AE23+真實IC!AG27</f>
        <v>4.2391172551395004E-2</v>
      </c>
      <c r="AG23" s="34">
        <f>AF23+真實IC!AH27</f>
        <v>5.174578393671117E-2</v>
      </c>
      <c r="AH23" s="34">
        <f>AG23+真實IC!AI27</f>
        <v>6.2494035273549312E-2</v>
      </c>
      <c r="AI23" s="34">
        <f>AH23+真實IC!AJ27</f>
        <v>7.5851789326630281E-2</v>
      </c>
      <c r="AJ23" s="34">
        <f>AI23+真實IC!AK27</f>
        <v>7.0519041997534893E-2</v>
      </c>
      <c r="AK23" s="34">
        <f>AJ23+真實IC!AL27</f>
        <v>7.1902177804796574E-2</v>
      </c>
      <c r="AL23" s="34">
        <f>AK23+真實IC!AM27</f>
        <v>9.2698106224871041E-2</v>
      </c>
      <c r="AM23" s="34">
        <f>AL23+真實IC!AN27</f>
        <v>0.12421580844526167</v>
      </c>
      <c r="AN23" s="34">
        <f>AM23+真實IC!AO27</f>
        <v>0.13045752497859112</v>
      </c>
      <c r="AO23" s="34">
        <f>AN23+真實IC!AP27</f>
        <v>0.13660278663216249</v>
      </c>
      <c r="AP23" s="34">
        <f>AO23+真實IC!AQ27</f>
        <v>0.15354914430885899</v>
      </c>
      <c r="AQ23" s="34">
        <f>AP23+真實IC!AR27</f>
        <v>0.18823197476316722</v>
      </c>
      <c r="AR23" s="34">
        <f>AQ23+真實IC!AS27</f>
        <v>0.19133056338036419</v>
      </c>
      <c r="AS23" s="34">
        <f>AR23+真實IC!AT27</f>
        <v>0.2064119105238503</v>
      </c>
      <c r="AT23" s="34">
        <f>AS23+真實IC!AU27</f>
        <v>0.18716070129398632</v>
      </c>
      <c r="AU23" s="34">
        <f>AT23+真實IC!AV27</f>
        <v>0.22587221468161775</v>
      </c>
      <c r="AV23" s="34">
        <f>AU23+真實IC!AW27</f>
        <v>0.20401526354588115</v>
      </c>
      <c r="AW23" s="34">
        <f>AV23+真實IC!AX27</f>
        <v>0.21178956425567083</v>
      </c>
      <c r="AX23" s="34">
        <f>AW23+真實IC!AY27</f>
        <v>0.25418681095099677</v>
      </c>
      <c r="AY23" s="34">
        <f>AX23+真實IC!AZ27</f>
        <v>0.22787783608983703</v>
      </c>
      <c r="AZ23" s="34">
        <f>AY23+真實IC!BA27</f>
        <v>0.23744958539855326</v>
      </c>
      <c r="BA23" s="34">
        <f>AZ23+真實IC!BB27</f>
        <v>0.21319984413227844</v>
      </c>
      <c r="BB23" s="34">
        <f>BA23+真實IC!BC27</f>
        <v>0.23336321827619427</v>
      </c>
      <c r="BC23" s="34">
        <f>BB23+真實IC!BD27</f>
        <v>0.22985821949407825</v>
      </c>
      <c r="BD23" s="34">
        <f>BC23+真實IC!BE27</f>
        <v>0.25001015459262055</v>
      </c>
      <c r="BE23" s="34">
        <f>BD23+真實IC!BF27</f>
        <v>0.25059149082339083</v>
      </c>
      <c r="BF23" s="34">
        <f>BE23+真實IC!BG27</f>
        <v>0.24537178987013822</v>
      </c>
      <c r="BG23" s="34">
        <f>BF23+真實IC!BH27</f>
        <v>0.12950002846800823</v>
      </c>
      <c r="BH23" s="34">
        <f>BG23+真實IC!BI27</f>
        <v>0.13822525416044559</v>
      </c>
      <c r="BI23" s="34">
        <f>BH23+真實IC!BJ27</f>
        <v>0.12184799318262345</v>
      </c>
      <c r="BJ23" s="34">
        <f>BI23+真實IC!BK27</f>
        <v>0.14268836478288388</v>
      </c>
      <c r="BK23" s="34">
        <f>BJ23+真實IC!BL27</f>
        <v>0.18766423688499859</v>
      </c>
      <c r="BL23" s="34">
        <f>BK23+真實IC!BM27</f>
        <v>0.21161854296686244</v>
      </c>
      <c r="BM23" s="34">
        <f>BL23+真實IC!BN27</f>
        <v>0.24185764435830504</v>
      </c>
      <c r="BN23" s="34">
        <f>BM23+真實IC!BO27</f>
        <v>0.19813175676721753</v>
      </c>
      <c r="BO23" s="34">
        <f>BN23+真實IC!BP27</f>
        <v>0.22002122633541615</v>
      </c>
      <c r="BP23" s="34">
        <f>BO23+真實IC!BQ27</f>
        <v>0.22864865659892455</v>
      </c>
      <c r="BQ23" s="34">
        <f>BP23+真實IC!BR27</f>
        <v>0.20945570260426577</v>
      </c>
      <c r="BR23" s="34">
        <f>BQ23+真實IC!BS27</f>
        <v>0.22919083249239883</v>
      </c>
      <c r="BS23" s="34">
        <f>BR23+真實IC!BT27</f>
        <v>0.27688516997609824</v>
      </c>
      <c r="BT23" s="34">
        <f>BS23+真實IC!BU27</f>
        <v>0.28833998678268163</v>
      </c>
      <c r="BU23" s="34">
        <f>BT23+真實IC!BV27</f>
        <v>0.33156860751789485</v>
      </c>
      <c r="BV23" s="34">
        <f>BU23+真實IC!BW27</f>
        <v>0.28882117708097205</v>
      </c>
      <c r="BW23" s="34">
        <f>BV23+真實IC!BX27</f>
        <v>0.27100988465317749</v>
      </c>
      <c r="BX23" s="34">
        <f>BW23+真實IC!BY27</f>
        <v>0.11985678778410189</v>
      </c>
      <c r="BY23" s="34">
        <f>BX23+真實IC!BZ27</f>
        <v>0.24408079140367717</v>
      </c>
      <c r="BZ23" s="34">
        <f>BY23+真實IC!CA27</f>
        <v>0.23952353755914751</v>
      </c>
      <c r="CA23" s="34">
        <f>BZ23+真實IC!CB27</f>
        <v>0.29973477776405871</v>
      </c>
      <c r="CB23" s="34">
        <f>CA23+真實IC!CC27</f>
        <v>0.385726811246561</v>
      </c>
      <c r="CC23" s="34">
        <f>CB23+真實IC!CD27</f>
        <v>0.37991833166419492</v>
      </c>
      <c r="CD23" s="34">
        <f>CC23+真實IC!CE27</f>
        <v>0.37387698467522684</v>
      </c>
      <c r="CE23" s="34">
        <f>CD23+真實IC!CF27</f>
        <v>0.37632930904747891</v>
      </c>
      <c r="CF23" s="34">
        <f>CE23+真實IC!CG27</f>
        <v>0.46596556098450181</v>
      </c>
      <c r="CG23" s="34">
        <f>CF23+真實IC!CH27</f>
        <v>0.53695829351125968</v>
      </c>
      <c r="CH23" s="34">
        <f>CG23+真實IC!CI27</f>
        <v>0.56412893641304307</v>
      </c>
      <c r="CI23" s="34">
        <f>CH23+真實IC!CJ27</f>
        <v>0.61659736483837313</v>
      </c>
      <c r="CJ23" s="34">
        <f>CI23+真實IC!CK27</f>
        <v>0.64607802578142259</v>
      </c>
      <c r="CK23" s="34">
        <f>CJ23+真實IC!CL27</f>
        <v>0.71290310684162383</v>
      </c>
      <c r="CL23" s="34">
        <f>CK23+真實IC!CM27</f>
        <v>0.68413087782180682</v>
      </c>
      <c r="CM23" s="34">
        <f>CL23+真實IC!CN27</f>
        <v>0.72359339372344467</v>
      </c>
      <c r="CN23" s="34">
        <f>CM23+真實IC!CO27</f>
        <v>0.69456230674608477</v>
      </c>
      <c r="CO23" s="34">
        <f>CN23+真實IC!CP27</f>
        <v>0.70854618926555268</v>
      </c>
      <c r="CP23" s="34">
        <f>CO23+真實IC!CQ27</f>
        <v>0.67626922430621883</v>
      </c>
      <c r="CQ23" s="34">
        <f>CP23+真實IC!CR27</f>
        <v>0.6793728009191129</v>
      </c>
      <c r="CR23" s="34">
        <f>CQ23+真實IC!CS27</f>
        <v>0.70496465668619601</v>
      </c>
      <c r="CS23" s="34">
        <f>CR23+真實IC!CT27</f>
        <v>0.74935654297338927</v>
      </c>
      <c r="CT23" s="34">
        <f>CS23+真實IC!CU27</f>
        <v>0.71901758442381181</v>
      </c>
      <c r="CU23" s="34">
        <f>CT23+真實IC!CV27</f>
        <v>0.7177596079692401</v>
      </c>
      <c r="CV23" s="34">
        <f>CU23+真實IC!CW27</f>
        <v>0.72009596442509805</v>
      </c>
      <c r="CW23" s="34">
        <f>CV23+真實IC!CX27</f>
        <v>0.655831819499192</v>
      </c>
      <c r="CX23" s="34">
        <f>CW23+真實IC!CY27</f>
        <v>0.66874159895818441</v>
      </c>
      <c r="CY23" s="34">
        <f>CX23+真實IC!CZ27</f>
        <v>0.54326450428732564</v>
      </c>
      <c r="CZ23" s="34">
        <f>CY23+真實IC!DA27</f>
        <v>0.55495518722711823</v>
      </c>
      <c r="DA23" s="34">
        <f>CZ23+真實IC!DB27</f>
        <v>0.56129303092785998</v>
      </c>
      <c r="DB23" s="34">
        <f>DA23+真實IC!DC27</f>
        <v>0.44398767445847448</v>
      </c>
      <c r="DC23" s="34">
        <f>DB23+真實IC!DD27</f>
        <v>0.40797680240902789</v>
      </c>
      <c r="DD23" s="34">
        <f>DC23+真實IC!DE27</f>
        <v>0.54688810648129582</v>
      </c>
      <c r="DE23" s="34">
        <f>DD23+真實IC!DF27</f>
        <v>0.49574460025519007</v>
      </c>
      <c r="DF23" s="34">
        <f>DE23+真實IC!DG27</f>
        <v>0.57247604743715907</v>
      </c>
      <c r="DG23" s="34">
        <f>DF23+真實IC!DH27</f>
        <v>0.58798482963416721</v>
      </c>
      <c r="DH23" s="34">
        <f>DG23+真實IC!DI27</f>
        <v>0.61120860330892302</v>
      </c>
      <c r="DI23" s="34">
        <f>DH23+真實IC!DJ27</f>
        <v>0.59283572694769515</v>
      </c>
      <c r="DJ23" s="34">
        <f>DI23+真實IC!DK27</f>
        <v>0.65503474103279458</v>
      </c>
      <c r="DK23" s="34">
        <f>DJ23+真實IC!DL27</f>
        <v>0.67513304551975173</v>
      </c>
      <c r="DL23" s="34">
        <f>DK23+真實IC!DM27</f>
        <v>0.68863198526781977</v>
      </c>
      <c r="DM23" s="34">
        <f>DL23+真實IC!DN27</f>
        <v>0.65837977253939894</v>
      </c>
      <c r="DN23" s="34">
        <f>DM23+真實IC!DO27</f>
        <v>0.64135693683134509</v>
      </c>
      <c r="DO23" s="34">
        <f>DN23+真實IC!DP27</f>
        <v>0.61956841355888315</v>
      </c>
      <c r="DP23" s="34">
        <f>DO23+真實IC!DQ27</f>
        <v>0.70531403814402038</v>
      </c>
      <c r="DQ23" s="34">
        <f>DP23+真實IC!DR27</f>
        <v>0.73342078174899417</v>
      </c>
      <c r="DR23" s="34">
        <f>DQ23+真實IC!DS27</f>
        <v>0.73111762194163477</v>
      </c>
      <c r="DS23" s="34">
        <f>DR23+真實IC!DT27</f>
        <v>0.78958882007312226</v>
      </c>
      <c r="DT23" s="34">
        <f>DS23+真實IC!DU27</f>
        <v>0.85724776912176992</v>
      </c>
      <c r="DU23" s="34">
        <f>DT23+真實IC!DV27</f>
        <v>0.86226853976220219</v>
      </c>
      <c r="DV23" s="34">
        <f>DU23+真實IC!DW27</f>
        <v>0.89968472343740924</v>
      </c>
      <c r="DW23" s="34">
        <f>DV23+真實IC!DX27</f>
        <v>0.98379572718345132</v>
      </c>
      <c r="DX23" s="34">
        <f>DW23+真實IC!DY27</f>
        <v>0.94696332863943844</v>
      </c>
      <c r="DY23" s="34">
        <f>DX23+真實IC!DZ27</f>
        <v>0.95005503145637549</v>
      </c>
      <c r="DZ23" s="34">
        <f>DY23+真實IC!EA27</f>
        <v>0.94809740324208092</v>
      </c>
      <c r="EA23" s="34">
        <f>DZ23+真實IC!EB27</f>
        <v>0.97455650684560069</v>
      </c>
      <c r="EB23" s="34">
        <f>EA23+真實IC!EC27</f>
        <v>0.94980396808491041</v>
      </c>
      <c r="EC23" s="34">
        <f>EB23+真實IC!ED27</f>
        <v>0.98391945906747036</v>
      </c>
      <c r="ED23" s="34">
        <f>EC23+真實IC!EE27</f>
        <v>1.0049814330565034</v>
      </c>
      <c r="EE23" s="34">
        <f>ED23+真實IC!EF27</f>
        <v>0.98470404035049752</v>
      </c>
      <c r="EF23" s="3"/>
    </row>
  </sheetData>
  <mergeCells count="1">
    <mergeCell ref="A8:B8"/>
  </mergeCells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B2A3-F2DF-46B6-82EB-9AEAB8485B94}">
  <dimension ref="A3:EH29"/>
  <sheetViews>
    <sheetView zoomScale="83" zoomScaleNormal="74" workbookViewId="0">
      <selection activeCell="O44" sqref="O44"/>
    </sheetView>
  </sheetViews>
  <sheetFormatPr baseColWidth="10" defaultColWidth="8.83203125" defaultRowHeight="15"/>
  <cols>
    <col min="2" max="2" width="7.6640625" customWidth="1"/>
    <col min="3" max="3" width="10.83203125" customWidth="1"/>
    <col min="4" max="4" width="9.6640625" bestFit="1" customWidth="1"/>
  </cols>
  <sheetData>
    <row r="3" spans="3:137" ht="16">
      <c r="C3" s="6" t="s">
        <v>136</v>
      </c>
      <c r="D3" s="10">
        <v>964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</row>
    <row r="4" spans="3:137" ht="18">
      <c r="C4" s="29" t="s">
        <v>138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14" t="s">
        <v>17</v>
      </c>
      <c r="S4" s="14" t="s">
        <v>18</v>
      </c>
      <c r="T4" s="14" t="s">
        <v>19</v>
      </c>
      <c r="U4" s="14" t="s">
        <v>20</v>
      </c>
      <c r="V4" s="14" t="s">
        <v>21</v>
      </c>
      <c r="W4" s="14" t="s">
        <v>22</v>
      </c>
      <c r="X4" s="14" t="s">
        <v>23</v>
      </c>
      <c r="Y4" s="14" t="s">
        <v>24</v>
      </c>
      <c r="Z4" s="14" t="s">
        <v>25</v>
      </c>
      <c r="AA4" s="14" t="s">
        <v>26</v>
      </c>
      <c r="AB4" s="14" t="s">
        <v>27</v>
      </c>
      <c r="AC4" s="14" t="s">
        <v>28</v>
      </c>
      <c r="AD4" s="14" t="s">
        <v>29</v>
      </c>
      <c r="AE4" s="14" t="s">
        <v>30</v>
      </c>
      <c r="AF4" s="14" t="s">
        <v>31</v>
      </c>
      <c r="AG4" s="14" t="s">
        <v>32</v>
      </c>
      <c r="AH4" s="14" t="s">
        <v>33</v>
      </c>
      <c r="AI4" s="14" t="s">
        <v>34</v>
      </c>
      <c r="AJ4" s="14" t="s">
        <v>35</v>
      </c>
      <c r="AK4" s="14" t="s">
        <v>36</v>
      </c>
      <c r="AL4" s="14" t="s">
        <v>37</v>
      </c>
      <c r="AM4" s="14" t="s">
        <v>38</v>
      </c>
      <c r="AN4" s="14" t="s">
        <v>39</v>
      </c>
      <c r="AO4" s="14" t="s">
        <v>40</v>
      </c>
      <c r="AP4" s="14" t="s">
        <v>41</v>
      </c>
      <c r="AQ4" s="14" t="s">
        <v>42</v>
      </c>
      <c r="AR4" s="14" t="s">
        <v>43</v>
      </c>
      <c r="AS4" s="14" t="s">
        <v>44</v>
      </c>
      <c r="AT4" s="14" t="s">
        <v>45</v>
      </c>
      <c r="AU4" s="14" t="s">
        <v>46</v>
      </c>
      <c r="AV4" s="14" t="s">
        <v>47</v>
      </c>
      <c r="AW4" s="14" t="s">
        <v>48</v>
      </c>
      <c r="AX4" s="14" t="s">
        <v>49</v>
      </c>
      <c r="AY4" s="14" t="s">
        <v>50</v>
      </c>
      <c r="AZ4" s="14" t="s">
        <v>51</v>
      </c>
      <c r="BA4" s="14" t="s">
        <v>52</v>
      </c>
      <c r="BB4" s="14" t="s">
        <v>53</v>
      </c>
      <c r="BC4" s="14" t="s">
        <v>54</v>
      </c>
      <c r="BD4" s="14" t="s">
        <v>55</v>
      </c>
      <c r="BE4" s="14" t="s">
        <v>56</v>
      </c>
      <c r="BF4" s="14" t="s">
        <v>57</v>
      </c>
      <c r="BG4" s="14" t="s">
        <v>58</v>
      </c>
      <c r="BH4" s="14" t="s">
        <v>59</v>
      </c>
      <c r="BI4" s="14" t="s">
        <v>60</v>
      </c>
      <c r="BJ4" s="14" t="s">
        <v>61</v>
      </c>
      <c r="BK4" s="14" t="s">
        <v>62</v>
      </c>
      <c r="BL4" s="14" t="s">
        <v>63</v>
      </c>
      <c r="BM4" s="14" t="s">
        <v>64</v>
      </c>
      <c r="BN4" s="14" t="s">
        <v>65</v>
      </c>
      <c r="BO4" s="14" t="s">
        <v>66</v>
      </c>
      <c r="BP4" s="14" t="s">
        <v>67</v>
      </c>
      <c r="BQ4" s="14" t="s">
        <v>68</v>
      </c>
      <c r="BR4" s="14" t="s">
        <v>69</v>
      </c>
      <c r="BS4" s="14" t="s">
        <v>70</v>
      </c>
      <c r="BT4" s="14" t="s">
        <v>71</v>
      </c>
      <c r="BU4" s="14" t="s">
        <v>72</v>
      </c>
      <c r="BV4" s="14" t="s">
        <v>73</v>
      </c>
      <c r="BW4" s="14" t="s">
        <v>74</v>
      </c>
      <c r="BX4" s="14" t="s">
        <v>75</v>
      </c>
      <c r="BY4" s="14" t="s">
        <v>76</v>
      </c>
      <c r="BZ4" s="14" t="s">
        <v>77</v>
      </c>
      <c r="CA4" s="14" t="s">
        <v>78</v>
      </c>
      <c r="CB4" s="14" t="s">
        <v>79</v>
      </c>
      <c r="CC4" s="14" t="s">
        <v>80</v>
      </c>
      <c r="CD4" s="14" t="s">
        <v>81</v>
      </c>
      <c r="CE4" s="14" t="s">
        <v>82</v>
      </c>
      <c r="CF4" s="14" t="s">
        <v>83</v>
      </c>
      <c r="CG4" s="14" t="s">
        <v>84</v>
      </c>
      <c r="CH4" s="14" t="s">
        <v>85</v>
      </c>
      <c r="CI4" s="14" t="s">
        <v>86</v>
      </c>
      <c r="CJ4" s="14" t="s">
        <v>87</v>
      </c>
      <c r="CK4" s="14" t="s">
        <v>88</v>
      </c>
      <c r="CL4" s="14" t="s">
        <v>89</v>
      </c>
      <c r="CM4" s="14" t="s">
        <v>90</v>
      </c>
      <c r="CN4" s="14" t="s">
        <v>91</v>
      </c>
      <c r="CO4" s="14" t="s">
        <v>92</v>
      </c>
      <c r="CP4" s="14" t="s">
        <v>93</v>
      </c>
      <c r="CQ4" s="14" t="s">
        <v>94</v>
      </c>
      <c r="CR4" s="14" t="s">
        <v>95</v>
      </c>
      <c r="CS4" s="14" t="s">
        <v>96</v>
      </c>
      <c r="CT4" s="14" t="s">
        <v>97</v>
      </c>
      <c r="CU4" s="14" t="s">
        <v>98</v>
      </c>
      <c r="CV4" s="14" t="s">
        <v>99</v>
      </c>
      <c r="CW4" s="14" t="s">
        <v>100</v>
      </c>
      <c r="CX4" s="14" t="s">
        <v>101</v>
      </c>
      <c r="CY4" s="14" t="s">
        <v>102</v>
      </c>
      <c r="CZ4" s="14" t="s">
        <v>103</v>
      </c>
      <c r="DA4" s="14" t="s">
        <v>104</v>
      </c>
      <c r="DB4" s="14" t="s">
        <v>105</v>
      </c>
      <c r="DC4" s="14" t="s">
        <v>106</v>
      </c>
      <c r="DD4" s="14" t="s">
        <v>107</v>
      </c>
      <c r="DE4" s="14" t="s">
        <v>108</v>
      </c>
      <c r="DF4" s="14" t="s">
        <v>109</v>
      </c>
      <c r="DG4" s="14" t="s">
        <v>110</v>
      </c>
      <c r="DH4" s="14" t="s">
        <v>111</v>
      </c>
      <c r="DI4" s="14" t="s">
        <v>112</v>
      </c>
      <c r="DJ4" s="14" t="s">
        <v>113</v>
      </c>
      <c r="DK4" s="14" t="s">
        <v>114</v>
      </c>
      <c r="DL4" s="14" t="s">
        <v>115</v>
      </c>
      <c r="DM4" s="14" t="s">
        <v>116</v>
      </c>
      <c r="DN4" s="14" t="s">
        <v>117</v>
      </c>
      <c r="DO4" s="14" t="s">
        <v>118</v>
      </c>
      <c r="DP4" s="14" t="s">
        <v>119</v>
      </c>
      <c r="DQ4" s="14" t="s">
        <v>120</v>
      </c>
      <c r="DR4" s="14" t="s">
        <v>121</v>
      </c>
      <c r="DS4" s="14" t="s">
        <v>122</v>
      </c>
      <c r="DT4" s="14" t="s">
        <v>123</v>
      </c>
      <c r="DU4" s="14" t="s">
        <v>124</v>
      </c>
      <c r="DV4" s="14" t="s">
        <v>125</v>
      </c>
      <c r="DW4" s="14" t="s">
        <v>126</v>
      </c>
      <c r="DX4" s="14" t="s">
        <v>127</v>
      </c>
      <c r="DY4" s="14" t="s">
        <v>128</v>
      </c>
      <c r="DZ4" s="14" t="s">
        <v>129</v>
      </c>
      <c r="EA4" s="14" t="s">
        <v>130</v>
      </c>
      <c r="EB4" s="14" t="s">
        <v>131</v>
      </c>
      <c r="EC4" s="14" t="s">
        <v>132</v>
      </c>
      <c r="ED4" s="14" t="s">
        <v>133</v>
      </c>
      <c r="EE4" s="14" t="s">
        <v>134</v>
      </c>
      <c r="EF4" s="14" t="s">
        <v>140</v>
      </c>
      <c r="EG4" s="14" t="s">
        <v>144</v>
      </c>
    </row>
    <row r="5" spans="3:137" ht="16">
      <c r="C5" s="6">
        <v>10</v>
      </c>
      <c r="D5" s="9" cm="1">
        <f t="array" ref="D5">PRODUCT(1 + 預測IC!$C14:C14) - 1</f>
        <v>1.4499246984096104E-2</v>
      </c>
      <c r="E5" s="9" cm="1">
        <f t="array" ref="E5">PRODUCT(1 + 預測IC!$C14:D14) - 1</f>
        <v>-3.9213245731639645E-4</v>
      </c>
      <c r="F5" s="9" cm="1">
        <f t="array" ref="F5">PRODUCT(1 + 預測IC!$C14:E14) - 1</f>
        <v>-1.7853104735537917E-3</v>
      </c>
      <c r="G5" s="9" cm="1">
        <f t="array" ref="G5">PRODUCT(1 + 預測IC!$C14:F14) - 1</f>
        <v>-9.4001077874112937E-3</v>
      </c>
      <c r="H5" s="9" cm="1">
        <f t="array" ref="H5">PRODUCT(1 + 預測IC!$C14:G14) - 1</f>
        <v>-1.4943066823013496E-2</v>
      </c>
      <c r="I5" s="9" cm="1">
        <f t="array" ref="I5">PRODUCT(1 + 預測IC!$C14:H14) - 1</f>
        <v>-5.4872508254879548E-3</v>
      </c>
      <c r="J5" s="9" cm="1">
        <f t="array" ref="J5">PRODUCT(1 + 預測IC!$C14:I14) - 1</f>
        <v>-1.409789363567826E-2</v>
      </c>
      <c r="K5" s="9" cm="1">
        <f t="array" ref="K5">PRODUCT(1 + 預測IC!$C14:J14) - 1</f>
        <v>-6.8122805047002855E-3</v>
      </c>
      <c r="L5" s="9" cm="1">
        <f t="array" ref="L5">PRODUCT(1 + 預測IC!$C14:K14) - 1</f>
        <v>2.2176880798341347E-2</v>
      </c>
      <c r="M5" s="9" cm="1">
        <f t="array" ref="M5">PRODUCT(1 + 預測IC!$C14:L14) - 1</f>
        <v>3.1129674214090297E-2</v>
      </c>
      <c r="N5" s="9" cm="1">
        <f t="array" ref="N5">PRODUCT(1 + 預測IC!$C14:M14) - 1</f>
        <v>5.8855899268611012E-2</v>
      </c>
      <c r="O5" s="9" cm="1">
        <f t="array" ref="O5">PRODUCT(1 + 預測IC!$C14:N14) - 1</f>
        <v>-9.767125920434605E-3</v>
      </c>
      <c r="P5" s="9" cm="1">
        <f t="array" ref="P5">PRODUCT(1 + 預測IC!$C14:O14) - 1</f>
        <v>1.7874986179957419E-2</v>
      </c>
      <c r="Q5" s="9" cm="1">
        <f t="array" ref="Q5">PRODUCT(1 + 預測IC!$C14:P14) - 1</f>
        <v>1.9504096798671933E-2</v>
      </c>
      <c r="R5" s="9" cm="1">
        <f t="array" ref="R5">PRODUCT(1 + 預測IC!$C14:Q14) - 1</f>
        <v>4.168402969130991E-2</v>
      </c>
      <c r="S5" s="9" cm="1">
        <f t="array" ref="S5">PRODUCT(1 + 預測IC!$C14:R14) - 1</f>
        <v>6.0273266356878352E-3</v>
      </c>
      <c r="T5" s="9" cm="1">
        <f t="array" ref="T5">PRODUCT(1 + 預測IC!$C14:S14) - 1</f>
        <v>1.7736680301454699E-2</v>
      </c>
      <c r="U5" s="9" cm="1">
        <f t="array" ref="U5">PRODUCT(1 + 預測IC!$C14:T14) - 1</f>
        <v>-4.972664749899991E-3</v>
      </c>
      <c r="V5" s="9" cm="1">
        <f t="array" ref="V5">PRODUCT(1 + 預測IC!$C14:U14) - 1</f>
        <v>-2.179837282866226E-2</v>
      </c>
      <c r="W5" s="9" cm="1">
        <f t="array" ref="W5">PRODUCT(1 + 預測IC!$C14:V14) - 1</f>
        <v>-1.4832858800881366E-2</v>
      </c>
      <c r="X5" s="9" cm="1">
        <f t="array" ref="X5">PRODUCT(1 + 預測IC!$C14:W14) - 1</f>
        <v>-3.6829953972130625E-2</v>
      </c>
      <c r="Y5" s="9" cm="1">
        <f t="array" ref="Y5">PRODUCT(1 + 預測IC!$C14:X14) - 1</f>
        <v>-0.13928181032255327</v>
      </c>
      <c r="Z5" s="9" cm="1">
        <f t="array" ref="Z5">PRODUCT(1 + 預測IC!$C14:Y14) - 1</f>
        <v>-0.1079376474889816</v>
      </c>
      <c r="AA5" s="9" cm="1">
        <f t="array" ref="AA5">PRODUCT(1 + 預測IC!$C14:Z14) - 1</f>
        <v>-6.0522671739532741E-2</v>
      </c>
      <c r="AB5" s="9" cm="1">
        <f t="array" ref="AB5">PRODUCT(1 + 預測IC!$C14:AA14) - 1</f>
        <v>-8.5811972866631225E-2</v>
      </c>
      <c r="AC5" s="9" cm="1">
        <f t="array" ref="AC5">PRODUCT(1 + 預測IC!$C14:AB14) - 1</f>
        <v>-9.5624254282011045E-2</v>
      </c>
      <c r="AD5" s="9" cm="1">
        <f t="array" ref="AD5">PRODUCT(1 + 預測IC!$C14:AC14) - 1</f>
        <v>-5.332393670178881E-2</v>
      </c>
      <c r="AE5" s="9" cm="1">
        <f t="array" ref="AE5">PRODUCT(1 + 預測IC!$C14:AD14) - 1</f>
        <v>-5.0928439350713894E-2</v>
      </c>
      <c r="AF5" s="9" cm="1">
        <f t="array" ref="AF5">PRODUCT(1 + 預測IC!$C14:AE14) - 1</f>
        <v>-8.6855544078927704E-2</v>
      </c>
      <c r="AG5" s="9" cm="1">
        <f t="array" ref="AG5">PRODUCT(1 + 預測IC!$C14:AF14) - 1</f>
        <v>-3.9360980787525257E-2</v>
      </c>
      <c r="AH5" s="9" cm="1">
        <f t="array" ref="AH5">PRODUCT(1 + 預測IC!$C14:AG14) - 1</f>
        <v>-3.5696209769714549E-2</v>
      </c>
      <c r="AI5" s="9" cm="1">
        <f t="array" ref="AI5">PRODUCT(1 + 預測IC!$C14:AH14) - 1</f>
        <v>-2.054407174998063E-2</v>
      </c>
      <c r="AJ5" s="9" cm="1">
        <f t="array" ref="AJ5">PRODUCT(1 + 預測IC!$C14:AI14) - 1</f>
        <v>-1.3174851544021315E-2</v>
      </c>
      <c r="AK5" s="9" cm="1">
        <f t="array" ref="AK5">PRODUCT(1 + 預測IC!$C14:AJ14) - 1</f>
        <v>-2.2203982499711672E-2</v>
      </c>
      <c r="AL5" s="9" cm="1">
        <f t="array" ref="AL5">PRODUCT(1 + 預測IC!$C14:AK14) - 1</f>
        <v>-4.4344262050292071E-2</v>
      </c>
      <c r="AM5" s="9" cm="1">
        <f t="array" ref="AM5">PRODUCT(1 + 預測IC!$C14:AL14) - 1</f>
        <v>1.336550449217766E-3</v>
      </c>
      <c r="AN5" s="9" cm="1">
        <f t="array" ref="AN5">PRODUCT(1 + 預測IC!$C14:AM14) - 1</f>
        <v>-2.7242523458217649E-2</v>
      </c>
      <c r="AO5" s="9" cm="1">
        <f t="array" ref="AO5">PRODUCT(1 + 預測IC!$C14:AN14) - 1</f>
        <v>-5.3162258092952719E-2</v>
      </c>
      <c r="AP5" s="9" cm="1">
        <f t="array" ref="AP5">PRODUCT(1 + 預測IC!$C14:AO14) - 1</f>
        <v>-6.7360535844892433E-2</v>
      </c>
      <c r="AQ5" s="9" cm="1">
        <f t="array" ref="AQ5">PRODUCT(1 + 預測IC!$C14:AP14) - 1</f>
        <v>-7.331112023359132E-2</v>
      </c>
      <c r="AR5" s="9" cm="1">
        <f t="array" ref="AR5">PRODUCT(1 + 預測IC!$C14:AQ14) - 1</f>
        <v>-7.1738593537659212E-2</v>
      </c>
      <c r="AS5" s="9" cm="1">
        <f t="array" ref="AS5">PRODUCT(1 + 預測IC!$C14:AR14) - 1</f>
        <v>-9.2367370896750733E-2</v>
      </c>
      <c r="AT5" s="9" cm="1">
        <f t="array" ref="AT5">PRODUCT(1 + 預測IC!$C14:AS14) - 1</f>
        <v>-0.11049848799807493</v>
      </c>
      <c r="AU5" s="9" cm="1">
        <f t="array" ref="AU5">PRODUCT(1 + 預測IC!$C14:AT14) - 1</f>
        <v>-0.17471638976012305</v>
      </c>
      <c r="AV5" s="9" cm="1">
        <f t="array" ref="AV5">PRODUCT(1 + 預測IC!$C14:AU14) - 1</f>
        <v>-0.17778111052012036</v>
      </c>
      <c r="AW5" s="9" cm="1">
        <f t="array" ref="AW5">PRODUCT(1 + 預測IC!$C14:AV14) - 1</f>
        <v>-0.17589237317878081</v>
      </c>
      <c r="AX5" s="9" cm="1">
        <f t="array" ref="AX5">PRODUCT(1 + 預測IC!$C14:AW14) - 1</f>
        <v>-0.18713136854393497</v>
      </c>
      <c r="AY5" s="9" cm="1">
        <f t="array" ref="AY5">PRODUCT(1 + 預測IC!$C14:AX14) - 1</f>
        <v>-0.19188231068748762</v>
      </c>
      <c r="AZ5" s="9" cm="1">
        <f t="array" ref="AZ5">PRODUCT(1 + 預測IC!$C14:AY14) - 1</f>
        <v>-0.152966177276043</v>
      </c>
      <c r="BA5" s="9" cm="1">
        <f t="array" ref="BA5">PRODUCT(1 + 預測IC!$C14:AZ14) - 1</f>
        <v>-0.17540869390216285</v>
      </c>
      <c r="BB5" s="9" cm="1">
        <f t="array" ref="BB5">PRODUCT(1 + 預測IC!$C14:BA14) - 1</f>
        <v>-0.17079720021458811</v>
      </c>
      <c r="BC5" s="9" cm="1">
        <f t="array" ref="BC5">PRODUCT(1 + 預測IC!$C14:BB14) - 1</f>
        <v>-0.16072779217091859</v>
      </c>
      <c r="BD5" s="9" cm="1">
        <f t="array" ref="BD5">PRODUCT(1 + 預測IC!$C14:BC14) - 1</f>
        <v>-0.13832680596165681</v>
      </c>
      <c r="BE5" s="9" cm="1">
        <f t="array" ref="BE5">PRODUCT(1 + 預測IC!$C14:BD14) - 1</f>
        <v>-0.15584790796355419</v>
      </c>
      <c r="BF5" s="9" cm="1">
        <f t="array" ref="BF5">PRODUCT(1 + 預測IC!$C14:BE14) - 1</f>
        <v>-0.13054628428210024</v>
      </c>
      <c r="BG5" s="9" cm="1">
        <f t="array" ref="BG5">PRODUCT(1 + 預測IC!$C14:BF14) - 1</f>
        <v>-6.8897725630997053E-2</v>
      </c>
      <c r="BH5" s="9" cm="1">
        <f t="array" ref="BH5">PRODUCT(1 + 預測IC!$C14:BG14) - 1</f>
        <v>-4.213788185631373E-2</v>
      </c>
      <c r="BI5" s="9" cm="1">
        <f t="array" ref="BI5">PRODUCT(1 + 預測IC!$C14:BH14) - 1</f>
        <v>-4.5232907975361392E-2</v>
      </c>
      <c r="BJ5" s="9" cm="1">
        <f t="array" ref="BJ5">PRODUCT(1 + 預測IC!$C14:BI14) - 1</f>
        <v>7.8098270932347447E-4</v>
      </c>
      <c r="BK5" s="9" cm="1">
        <f t="array" ref="BK5">PRODUCT(1 + 預測IC!$C14:BJ14) - 1</f>
        <v>-2.3901404940896542E-2</v>
      </c>
      <c r="BL5" s="9" cm="1">
        <f t="array" ref="BL5">PRODUCT(1 + 預測IC!$C14:BK14) - 1</f>
        <v>-1.589158880934527E-2</v>
      </c>
      <c r="BM5" s="9" cm="1">
        <f t="array" ref="BM5">PRODUCT(1 + 預測IC!$C14:BL14) - 1</f>
        <v>-3.6098902924520226E-2</v>
      </c>
      <c r="BN5" s="9" cm="1">
        <f t="array" ref="BN5">PRODUCT(1 + 預測IC!$C14:BM14) - 1</f>
        <v>-5.5988056000203401E-2</v>
      </c>
      <c r="BO5" s="9" cm="1">
        <f t="array" ref="BO5">PRODUCT(1 + 預測IC!$C14:BN14) - 1</f>
        <v>-7.006172301929714E-2</v>
      </c>
      <c r="BP5" s="9" cm="1">
        <f t="array" ref="BP5">PRODUCT(1 + 預測IC!$C14:BO14) - 1</f>
        <v>-0.12729131433464391</v>
      </c>
      <c r="BQ5" s="9" cm="1">
        <f t="array" ref="BQ5">PRODUCT(1 + 預測IC!$C14:BP14) - 1</f>
        <v>-0.15608631677243112</v>
      </c>
      <c r="BR5" s="9" cm="1">
        <f t="array" ref="BR5">PRODUCT(1 + 預測IC!$C14:BQ14) - 1</f>
        <v>-0.16462479701968102</v>
      </c>
      <c r="BS5" s="9" cm="1">
        <f t="array" ref="BS5">PRODUCT(1 + 預測IC!$C14:BR14) - 1</f>
        <v>-0.21223005218233082</v>
      </c>
      <c r="BT5" s="9" cm="1">
        <f t="array" ref="BT5">PRODUCT(1 + 預測IC!$C14:BS14) - 1</f>
        <v>-0.21097461001067497</v>
      </c>
      <c r="BU5" s="9" cm="1">
        <f t="array" ref="BU5">PRODUCT(1 + 預測IC!$C14:BT14) - 1</f>
        <v>-0.21462369248005131</v>
      </c>
      <c r="BV5" s="9" cm="1">
        <f t="array" ref="BV5">PRODUCT(1 + 預測IC!$C14:BU14) - 1</f>
        <v>-0.23282004518715649</v>
      </c>
      <c r="BW5" s="9" cm="1">
        <f t="array" ref="BW5">PRODUCT(1 + 預測IC!$C14:BV14) - 1</f>
        <v>-0.20369088058718632</v>
      </c>
      <c r="BX5" s="9" cm="1">
        <f t="array" ref="BX5">PRODUCT(1 + 預測IC!$C14:BW14) - 1</f>
        <v>-0.16885575728915048</v>
      </c>
      <c r="BY5" s="9" cm="1">
        <f t="array" ref="BY5">PRODUCT(1 + 預測IC!$C14:BX14) - 1</f>
        <v>-0.17635106338591855</v>
      </c>
      <c r="BZ5" s="9" cm="1">
        <f t="array" ref="BZ5">PRODUCT(1 + 預測IC!$C14:BY14) - 1</f>
        <v>-0.19098858679621056</v>
      </c>
      <c r="CA5" s="9" cm="1">
        <f t="array" ref="CA5">PRODUCT(1 + 預測IC!$C14:BZ14) - 1</f>
        <v>-0.20041579185595859</v>
      </c>
      <c r="CB5" s="9" cm="1">
        <f t="array" ref="CB5">PRODUCT(1 + 預測IC!$C14:CA14) - 1</f>
        <v>-0.21520502587098811</v>
      </c>
      <c r="CC5" s="9" cm="1">
        <f t="array" ref="CC5">PRODUCT(1 + 預測IC!$C14:CB14) - 1</f>
        <v>-0.19989351212090734</v>
      </c>
      <c r="CD5" s="9" cm="1">
        <f t="array" ref="CD5">PRODUCT(1 + 預測IC!$C14:CC14) - 1</f>
        <v>-0.23482758769386647</v>
      </c>
      <c r="CE5" s="9" cm="1">
        <f t="array" ref="CE5">PRODUCT(1 + 預測IC!$C14:CD14) - 1</f>
        <v>-0.26876701155497462</v>
      </c>
      <c r="CF5" s="9" cm="1">
        <f t="array" ref="CF5">PRODUCT(1 + 預測IC!$C14:CE14) - 1</f>
        <v>-0.26191562372607835</v>
      </c>
      <c r="CG5" s="9" cm="1">
        <f t="array" ref="CG5">PRODUCT(1 + 預測IC!$C14:CF14) - 1</f>
        <v>-0.25331098789696982</v>
      </c>
      <c r="CH5" s="9" cm="1">
        <f t="array" ref="CH5">PRODUCT(1 + 預測IC!$C14:CG14) - 1</f>
        <v>-0.25677820473726243</v>
      </c>
      <c r="CI5" s="9" cm="1">
        <f t="array" ref="CI5">PRODUCT(1 + 預測IC!$C14:CH14) - 1</f>
        <v>-0.2480045634316892</v>
      </c>
      <c r="CJ5" s="9" cm="1">
        <f t="array" ref="CJ5">PRODUCT(1 + 預測IC!$C14:CI14) - 1</f>
        <v>-0.24685867304974052</v>
      </c>
      <c r="CK5" s="9" cm="1">
        <f t="array" ref="CK5">PRODUCT(1 + 預測IC!$C14:CJ14) - 1</f>
        <v>-0.29510444869158736</v>
      </c>
      <c r="CL5" s="9" cm="1">
        <f t="array" ref="CL5">PRODUCT(1 + 預測IC!$C14:CK14) - 1</f>
        <v>-0.2848826194879559</v>
      </c>
      <c r="CM5" s="9" cm="1">
        <f t="array" ref="CM5">PRODUCT(1 + 預測IC!$C14:CL14) - 1</f>
        <v>-0.23044715229625612</v>
      </c>
      <c r="CN5" s="9" cm="1">
        <f t="array" ref="CN5">PRODUCT(1 + 預測IC!$C14:CM14) - 1</f>
        <v>-0.21016639438049844</v>
      </c>
      <c r="CO5" s="9" cm="1">
        <f t="array" ref="CO5">PRODUCT(1 + 預測IC!$C14:CN14) - 1</f>
        <v>-9.9804604007780351E-2</v>
      </c>
      <c r="CP5" s="9" cm="1">
        <f t="array" ref="CP5">PRODUCT(1 + 預測IC!$C14:CO14) - 1</f>
        <v>-0.15037922141274274</v>
      </c>
      <c r="CQ5" s="9" cm="1">
        <f t="array" ref="CQ5">PRODUCT(1 + 預測IC!$C14:CP14) - 1</f>
        <v>-0.1467667477067679</v>
      </c>
      <c r="CR5" s="9" cm="1">
        <f t="array" ref="CR5">PRODUCT(1 + 預測IC!$C14:CQ14) - 1</f>
        <v>-0.2042546898875367</v>
      </c>
      <c r="CS5" s="9" cm="1">
        <f t="array" ref="CS5">PRODUCT(1 + 預測IC!$C14:CR14) - 1</f>
        <v>-0.24973948108812272</v>
      </c>
      <c r="CT5" s="9" cm="1">
        <f t="array" ref="CT5">PRODUCT(1 + 預測IC!$C14:CS14) - 1</f>
        <v>-0.26781987184423117</v>
      </c>
      <c r="CU5" s="9" cm="1">
        <f t="array" ref="CU5">PRODUCT(1 + 預測IC!$C14:CT14) - 1</f>
        <v>-0.31591245839668192</v>
      </c>
      <c r="CV5" s="9" cm="1">
        <f t="array" ref="CV5">PRODUCT(1 + 預測IC!$C14:CU14) - 1</f>
        <v>-0.36706820274501861</v>
      </c>
      <c r="CW5" s="9" cm="1">
        <f t="array" ref="CW5">PRODUCT(1 + 預測IC!$C14:CV14) - 1</f>
        <v>-0.34460976066371518</v>
      </c>
      <c r="CX5" s="9" cm="1">
        <f t="array" ref="CX5">PRODUCT(1 + 預測IC!$C14:CW14) - 1</f>
        <v>-0.33606565479954109</v>
      </c>
      <c r="CY5" s="9" cm="1">
        <f t="array" ref="CY5">PRODUCT(1 + 預測IC!$C14:CX14) - 1</f>
        <v>-0.35648338755083575</v>
      </c>
      <c r="CZ5" s="9" cm="1">
        <f t="array" ref="CZ5">PRODUCT(1 + 預測IC!$C14:CY14) - 1</f>
        <v>-0.34591646107905238</v>
      </c>
      <c r="DA5" s="9" cm="1">
        <f t="array" ref="DA5">PRODUCT(1 + 預測IC!$C14:CZ14) - 1</f>
        <v>-0.35397755802179176</v>
      </c>
      <c r="DB5" s="9" cm="1">
        <f t="array" ref="DB5">PRODUCT(1 + 預測IC!$C14:DA14) - 1</f>
        <v>-0.34310866144537366</v>
      </c>
      <c r="DC5" s="9" cm="1">
        <f t="array" ref="DC5">PRODUCT(1 + 預測IC!$C14:DB14) - 1</f>
        <v>-0.31973299749657524</v>
      </c>
      <c r="DD5" s="9" cm="1">
        <f t="array" ref="DD5">PRODUCT(1 + 預測IC!$C14:DC14) - 1</f>
        <v>-0.32279512675090483</v>
      </c>
      <c r="DE5" s="9" cm="1">
        <f t="array" ref="DE5">PRODUCT(1 + 預測IC!$C14:DD14) - 1</f>
        <v>-0.3193336163228544</v>
      </c>
      <c r="DF5" s="9" cm="1">
        <f t="array" ref="DF5">PRODUCT(1 + 預測IC!$C14:DE14) - 1</f>
        <v>-0.32532132339859932</v>
      </c>
      <c r="DG5" s="9" cm="1">
        <f t="array" ref="DG5">PRODUCT(1 + 預測IC!$C14:DF14) - 1</f>
        <v>-0.31223610865875762</v>
      </c>
      <c r="DH5" s="9" cm="1">
        <f t="array" ref="DH5">PRODUCT(1 + 預測IC!$C14:DG14) - 1</f>
        <v>-0.32208094565279344</v>
      </c>
      <c r="DI5" s="9" cm="1">
        <f t="array" ref="DI5">PRODUCT(1 + 預測IC!$C14:DH14) - 1</f>
        <v>-0.32111236087874628</v>
      </c>
      <c r="DJ5" s="9" cm="1">
        <f t="array" ref="DJ5">PRODUCT(1 + 預測IC!$C14:DI14) - 1</f>
        <v>-0.34765003707946318</v>
      </c>
      <c r="DK5" s="9" cm="1">
        <f t="array" ref="DK5">PRODUCT(1 + 預測IC!$C14:DJ14) - 1</f>
        <v>-0.32065707230465346</v>
      </c>
      <c r="DL5" s="9" cm="1">
        <f t="array" ref="DL5">PRODUCT(1 + 預測IC!$C14:DK14) - 1</f>
        <v>-0.33846472927505067</v>
      </c>
      <c r="DM5" s="9" cm="1">
        <f t="array" ref="DM5">PRODUCT(1 + 預測IC!$C14:DL14) - 1</f>
        <v>-0.34903567045686912</v>
      </c>
      <c r="DN5" s="9" cm="1">
        <f t="array" ref="DN5">PRODUCT(1 + 預測IC!$C14:DM14) - 1</f>
        <v>-0.36722480948047231</v>
      </c>
      <c r="DO5" s="9" cm="1">
        <f t="array" ref="DO5">PRODUCT(1 + 預測IC!$C14:DN14) - 1</f>
        <v>-0.3592679043333683</v>
      </c>
      <c r="DP5" s="9" cm="1">
        <f t="array" ref="DP5">PRODUCT(1 + 預測IC!$C14:DO14) - 1</f>
        <v>-0.35316751846184147</v>
      </c>
      <c r="DQ5" s="9" cm="1">
        <f t="array" ref="DQ5">PRODUCT(1 + 預測IC!$C14:DP14) - 1</f>
        <v>-0.3460107218785281</v>
      </c>
      <c r="DR5" s="9" cm="1">
        <f t="array" ref="DR5">PRODUCT(1 + 預測IC!$C14:DQ14) - 1</f>
        <v>-0.33855265655253763</v>
      </c>
      <c r="DS5" s="9" cm="1">
        <f t="array" ref="DS5">PRODUCT(1 + 預測IC!$C14:DR14) - 1</f>
        <v>-0.34573071383311116</v>
      </c>
      <c r="DT5" s="9" cm="1">
        <f t="array" ref="DT5">PRODUCT(1 + 預測IC!$C14:DS14) - 1</f>
        <v>-0.31561844166208242</v>
      </c>
      <c r="DU5" s="9" cm="1">
        <f t="array" ref="DU5">PRODUCT(1 + 預測IC!$C14:DT14) - 1</f>
        <v>-0.29863630610512915</v>
      </c>
      <c r="DV5" s="9" cm="1">
        <f t="array" ref="DV5">PRODUCT(1 + 預測IC!$C14:DU14) - 1</f>
        <v>-0.26652286707702799</v>
      </c>
      <c r="DW5" s="9" cm="1">
        <f t="array" ref="DW5">PRODUCT(1 + 預測IC!$C14:DV14) - 1</f>
        <v>-0.27369932522162832</v>
      </c>
      <c r="DX5" s="9" cm="1">
        <f t="array" ref="DX5">PRODUCT(1 + 預測IC!$C14:DW14) - 1</f>
        <v>-0.27047297365966316</v>
      </c>
      <c r="DY5" s="9" cm="1">
        <f t="array" ref="DY5">PRODUCT(1 + 預測IC!$C14:DX14) - 1</f>
        <v>-0.27669465883785427</v>
      </c>
      <c r="DZ5" s="9" cm="1">
        <f t="array" ref="DZ5">PRODUCT(1 + 預測IC!$C14:DY14) - 1</f>
        <v>-0.26559038093859699</v>
      </c>
      <c r="EA5" s="9" cm="1">
        <f t="array" ref="EA5">PRODUCT(1 + 預測IC!$C14:DZ14) - 1</f>
        <v>-0.26040799358425226</v>
      </c>
      <c r="EB5" s="9" cm="1">
        <f t="array" ref="EB5">PRODUCT(1 + 預測IC!$C14:EA14) - 1</f>
        <v>-0.34407584937137459</v>
      </c>
      <c r="EC5" s="9" cm="1">
        <f t="array" ref="EC5">PRODUCT(1 + 預測IC!$C14:EB14) - 1</f>
        <v>-0.3231601237502032</v>
      </c>
      <c r="ED5" s="9" cm="1">
        <f t="array" ref="ED5">PRODUCT(1 + 預測IC!$C14:EC14) - 1</f>
        <v>-0.31308609444530722</v>
      </c>
      <c r="EE5" s="9" cm="1">
        <f t="array" ref="EE5">PRODUCT(1 + 預測IC!$C14:ED14) - 1</f>
        <v>-0.29698168970110772</v>
      </c>
      <c r="EF5" s="9" cm="1">
        <f t="array" ref="EF5">PRODUCT(1 + 預測IC!$C14:EE14) - 1</f>
        <v>-0.31681825137789887</v>
      </c>
      <c r="EG5" s="9" cm="1">
        <f t="array" ref="EG5">PRODUCT(1 + 預測IC!$C14:EF14) - 1</f>
        <v>-0.33855084915885747</v>
      </c>
    </row>
    <row r="6" spans="3:137" ht="16">
      <c r="C6" s="6">
        <v>20</v>
      </c>
      <c r="D6" s="9" cm="1">
        <f t="array" ref="D6">PRODUCT(1 + 預測IC!$C15:C15) - 1</f>
        <v>-7.4773642018864939E-3</v>
      </c>
      <c r="E6" s="9" cm="1">
        <f t="array" ref="E6">PRODUCT(1 + 預測IC!$C15:D15) - 1</f>
        <v>-2.0613071426295315E-3</v>
      </c>
      <c r="F6" s="9" cm="1">
        <f t="array" ref="F6">PRODUCT(1 + 預測IC!$C15:E15) - 1</f>
        <v>-7.5735479547391904E-3</v>
      </c>
      <c r="G6" s="9" cm="1">
        <f t="array" ref="G6">PRODUCT(1 + 預測IC!$C15:F15) - 1</f>
        <v>-1.7888177631160018E-2</v>
      </c>
      <c r="H6" s="9" cm="1">
        <f t="array" ref="H6">PRODUCT(1 + 預測IC!$C15:G15) - 1</f>
        <v>7.6607374377246629E-4</v>
      </c>
      <c r="I6" s="9" cm="1">
        <f t="array" ref="I6">PRODUCT(1 + 預測IC!$C15:H15) - 1</f>
        <v>1.816778155801968E-2</v>
      </c>
      <c r="J6" s="9" cm="1">
        <f t="array" ref="J6">PRODUCT(1 + 預測IC!$C15:I15) - 1</f>
        <v>5.1040338086181913E-2</v>
      </c>
      <c r="K6" s="9" cm="1">
        <f t="array" ref="K6">PRODUCT(1 + 預測IC!$C15:J15) - 1</f>
        <v>7.521469537250125E-2</v>
      </c>
      <c r="L6" s="9" cm="1">
        <f t="array" ref="L6">PRODUCT(1 + 預測IC!$C15:K15) - 1</f>
        <v>0.1400782467850723</v>
      </c>
      <c r="M6" s="9" cm="1">
        <f t="array" ref="M6">PRODUCT(1 + 預測IC!$C15:L15) - 1</f>
        <v>0.16513770291795771</v>
      </c>
      <c r="N6" s="9" cm="1">
        <f t="array" ref="N6">PRODUCT(1 + 預測IC!$C15:M15) - 1</f>
        <v>0.16895907288353107</v>
      </c>
      <c r="O6" s="9" cm="1">
        <f t="array" ref="O6">PRODUCT(1 + 預測IC!$C15:N15) - 1</f>
        <v>8.0680255742253904E-2</v>
      </c>
      <c r="P6" s="9" cm="1">
        <f t="array" ref="P6">PRODUCT(1 + 預測IC!$C15:O15) - 1</f>
        <v>9.9508622348991382E-2</v>
      </c>
      <c r="Q6" s="9" cm="1">
        <f t="array" ref="Q6">PRODUCT(1 + 預測IC!$C15:P15) - 1</f>
        <v>9.2941129043873971E-2</v>
      </c>
      <c r="R6" s="9" cm="1">
        <f t="array" ref="R6">PRODUCT(1 + 預測IC!$C15:Q15) - 1</f>
        <v>0.11923616116816516</v>
      </c>
      <c r="S6" s="9" cm="1">
        <f t="array" ref="S6">PRODUCT(1 + 預測IC!$C15:R15) - 1</f>
        <v>6.6360635944067381E-2</v>
      </c>
      <c r="T6" s="9" cm="1">
        <f t="array" ref="T6">PRODUCT(1 + 預測IC!$C15:S15) - 1</f>
        <v>9.4276925038321746E-2</v>
      </c>
      <c r="U6" s="9" cm="1">
        <f t="array" ref="U6">PRODUCT(1 + 預測IC!$C15:T15) - 1</f>
        <v>6.5499485189480122E-2</v>
      </c>
      <c r="V6" s="9" cm="1">
        <f t="array" ref="V6">PRODUCT(1 + 預測IC!$C15:U15) - 1</f>
        <v>6.3072459582504958E-2</v>
      </c>
      <c r="W6" s="9" cm="1">
        <f t="array" ref="W6">PRODUCT(1 + 預測IC!$C15:V15) - 1</f>
        <v>5.1287600125974109E-2</v>
      </c>
      <c r="X6" s="9" cm="1">
        <f t="array" ref="X6">PRODUCT(1 + 預測IC!$C15:W15) - 1</f>
        <v>1.4922892914384311E-2</v>
      </c>
      <c r="Y6" s="9" cm="1">
        <f t="array" ref="Y6">PRODUCT(1 + 預測IC!$C15:X15) - 1</f>
        <v>-0.13770707566116203</v>
      </c>
      <c r="Z6" s="9" cm="1">
        <f t="array" ref="Z6">PRODUCT(1 + 預測IC!$C15:Y15) - 1</f>
        <v>-0.11906157330106992</v>
      </c>
      <c r="AA6" s="9" cm="1">
        <f t="array" ref="AA6">PRODUCT(1 + 預測IC!$C15:Z15) - 1</f>
        <v>-4.7484090949306501E-2</v>
      </c>
      <c r="AB6" s="9" cm="1">
        <f t="array" ref="AB6">PRODUCT(1 + 預測IC!$C15:AA15) - 1</f>
        <v>-9.2931147661120428E-2</v>
      </c>
      <c r="AC6" s="9" cm="1">
        <f t="array" ref="AC6">PRODUCT(1 + 預測IC!$C15:AB15) - 1</f>
        <v>-0.10653860756391442</v>
      </c>
      <c r="AD6" s="9" cm="1">
        <f t="array" ref="AD6">PRODUCT(1 + 預測IC!$C15:AC15) - 1</f>
        <v>-4.6880671165350218E-2</v>
      </c>
      <c r="AE6" s="9" cm="1">
        <f t="array" ref="AE6">PRODUCT(1 + 預測IC!$C15:AD15) - 1</f>
        <v>-2.739869441649434E-2</v>
      </c>
      <c r="AF6" s="9" cm="1">
        <f t="array" ref="AF6">PRODUCT(1 + 預測IC!$C15:AE15) - 1</f>
        <v>-6.7125321167793794E-2</v>
      </c>
      <c r="AG6" s="9" cm="1">
        <f t="array" ref="AG6">PRODUCT(1 + 預測IC!$C15:AF15) - 1</f>
        <v>1.2368182043682729E-3</v>
      </c>
      <c r="AH6" s="9" cm="1">
        <f t="array" ref="AH6">PRODUCT(1 + 預測IC!$C15:AG15) - 1</f>
        <v>-8.6806404639406809E-3</v>
      </c>
      <c r="AI6" s="9" cm="1">
        <f t="array" ref="AI6">PRODUCT(1 + 預測IC!$C15:AH15) - 1</f>
        <v>1.6057938910163383E-2</v>
      </c>
      <c r="AJ6" s="9" cm="1">
        <f t="array" ref="AJ6">PRODUCT(1 + 預測IC!$C15:AI15) - 1</f>
        <v>1.2973957069057018E-2</v>
      </c>
      <c r="AK6" s="9" cm="1">
        <f t="array" ref="AK6">PRODUCT(1 + 預測IC!$C15:AJ15) - 1</f>
        <v>1.1890172218542938E-2</v>
      </c>
      <c r="AL6" s="9" cm="1">
        <f t="array" ref="AL6">PRODUCT(1 + 預測IC!$C15:AK15) - 1</f>
        <v>-1.200935775889278E-2</v>
      </c>
      <c r="AM6" s="9" cm="1">
        <f t="array" ref="AM6">PRODUCT(1 + 預測IC!$C15:AL15) - 1</f>
        <v>3.665795946535555E-2</v>
      </c>
      <c r="AN6" s="9" cm="1">
        <f t="array" ref="AN6">PRODUCT(1 + 預測IC!$C15:AM15) - 1</f>
        <v>-6.7131432640110678E-3</v>
      </c>
      <c r="AO6" s="9" cm="1">
        <f t="array" ref="AO6">PRODUCT(1 + 預測IC!$C15:AN15) - 1</f>
        <v>-3.6489559454143339E-2</v>
      </c>
      <c r="AP6" s="9" cm="1">
        <f t="array" ref="AP6">PRODUCT(1 + 預測IC!$C15:AO15) - 1</f>
        <v>-3.4843067828350893E-2</v>
      </c>
      <c r="AQ6" s="9" cm="1">
        <f t="array" ref="AQ6">PRODUCT(1 + 預測IC!$C15:AP15) - 1</f>
        <v>-3.2805904213206838E-2</v>
      </c>
      <c r="AR6" s="9" cm="1">
        <f t="array" ref="AR6">PRODUCT(1 + 預測IC!$C15:AQ15) - 1</f>
        <v>-3.0542598302419233E-2</v>
      </c>
      <c r="AS6" s="9" cm="1">
        <f t="array" ref="AS6">PRODUCT(1 + 預測IC!$C15:AR15) - 1</f>
        <v>-5.0753888670129532E-2</v>
      </c>
      <c r="AT6" s="9" cm="1">
        <f t="array" ref="AT6">PRODUCT(1 + 預測IC!$C15:AS15) - 1</f>
        <v>-7.297095929780828E-2</v>
      </c>
      <c r="AU6" s="9" cm="1">
        <f t="array" ref="AU6">PRODUCT(1 + 預測IC!$C15:AT15) - 1</f>
        <v>-0.15308751103242213</v>
      </c>
      <c r="AV6" s="9" cm="1">
        <f t="array" ref="AV6">PRODUCT(1 + 預測IC!$C15:AU15) - 1</f>
        <v>-0.13979486514747064</v>
      </c>
      <c r="AW6" s="9" cm="1">
        <f t="array" ref="AW6">PRODUCT(1 + 預測IC!$C15:AV15) - 1</f>
        <v>-0.14401669986200349</v>
      </c>
      <c r="AX6" s="9" cm="1">
        <f t="array" ref="AX6">PRODUCT(1 + 預測IC!$C15:AW15) - 1</f>
        <v>-0.15368283626589574</v>
      </c>
      <c r="AY6" s="9" cm="1">
        <f t="array" ref="AY6">PRODUCT(1 + 預測IC!$C15:AX15) - 1</f>
        <v>-0.1535134456713847</v>
      </c>
      <c r="AZ6" s="9" cm="1">
        <f t="array" ref="AZ6">PRODUCT(1 + 預測IC!$C15:AY15) - 1</f>
        <v>-9.5709297582482922E-2</v>
      </c>
      <c r="BA6" s="9" cm="1">
        <f t="array" ref="BA6">PRODUCT(1 + 預測IC!$C15:AZ15) - 1</f>
        <v>-0.11095293254907068</v>
      </c>
      <c r="BB6" s="9" cm="1">
        <f t="array" ref="BB6">PRODUCT(1 + 預測IC!$C15:BA15) - 1</f>
        <v>-9.5212558937250891E-2</v>
      </c>
      <c r="BC6" s="9" cm="1">
        <f t="array" ref="BC6">PRODUCT(1 + 預測IC!$C15:BB15) - 1</f>
        <v>-9.3310736920306003E-2</v>
      </c>
      <c r="BD6" s="9" cm="1">
        <f t="array" ref="BD6">PRODUCT(1 + 預測IC!$C15:BC15) - 1</f>
        <v>-7.5983118754065604E-2</v>
      </c>
      <c r="BE6" s="9" cm="1">
        <f t="array" ref="BE6">PRODUCT(1 + 預測IC!$C15:BD15) - 1</f>
        <v>-6.1633252788329318E-2</v>
      </c>
      <c r="BF6" s="9" cm="1">
        <f t="array" ref="BF6">PRODUCT(1 + 預測IC!$C15:BE15) - 1</f>
        <v>-1.5687146675235519E-2</v>
      </c>
      <c r="BG6" s="9" cm="1">
        <f t="array" ref="BG6">PRODUCT(1 + 預測IC!$C15:BF15) - 1</f>
        <v>5.5165223488283344E-2</v>
      </c>
      <c r="BH6" s="9" cm="1">
        <f t="array" ref="BH6">PRODUCT(1 + 預測IC!$C15:BG15) - 1</f>
        <v>0.1161810430797181</v>
      </c>
      <c r="BI6" s="9" cm="1">
        <f t="array" ref="BI6">PRODUCT(1 + 預測IC!$C15:BH15) - 1</f>
        <v>0.11736762579848747</v>
      </c>
      <c r="BJ6" s="9" cm="1">
        <f t="array" ref="BJ6">PRODUCT(1 + 預測IC!$C15:BI15) - 1</f>
        <v>0.15926824290046837</v>
      </c>
      <c r="BK6" s="9" cm="1">
        <f t="array" ref="BK6">PRODUCT(1 + 預測IC!$C15:BJ15) - 1</f>
        <v>0.13113733815115092</v>
      </c>
      <c r="BL6" s="9" cm="1">
        <f t="array" ref="BL6">PRODUCT(1 + 預測IC!$C15:BK15) - 1</f>
        <v>0.12934623502893405</v>
      </c>
      <c r="BM6" s="9" cm="1">
        <f t="array" ref="BM6">PRODUCT(1 + 預測IC!$C15:BL15) - 1</f>
        <v>0.11080937676021185</v>
      </c>
      <c r="BN6" s="9" cm="1">
        <f t="array" ref="BN6">PRODUCT(1 + 預測IC!$C15:BM15) - 1</f>
        <v>8.3247914819584157E-2</v>
      </c>
      <c r="BO6" s="9" cm="1">
        <f t="array" ref="BO6">PRODUCT(1 + 預測IC!$C15:BN15) - 1</f>
        <v>5.9661734925718468E-2</v>
      </c>
      <c r="BP6" s="9" cm="1">
        <f t="array" ref="BP6">PRODUCT(1 + 預測IC!$C15:BO15) - 1</f>
        <v>-2.7842838350754406E-2</v>
      </c>
      <c r="BQ6" s="9" cm="1">
        <f t="array" ref="BQ6">PRODUCT(1 + 預測IC!$C15:BP15) - 1</f>
        <v>-8.383717113195388E-2</v>
      </c>
      <c r="BR6" s="9" cm="1">
        <f t="array" ref="BR6">PRODUCT(1 + 預測IC!$C15:BQ15) - 1</f>
        <v>-9.8636234898704322E-2</v>
      </c>
      <c r="BS6" s="9" cm="1">
        <f t="array" ref="BS6">PRODUCT(1 + 預測IC!$C15:BR15) - 1</f>
        <v>-0.17203266532448869</v>
      </c>
      <c r="BT6" s="9" cm="1">
        <f t="array" ref="BT6">PRODUCT(1 + 預測IC!$C15:BS15) - 1</f>
        <v>-0.16976892589041448</v>
      </c>
      <c r="BU6" s="9" cm="1">
        <f t="array" ref="BU6">PRODUCT(1 + 預測IC!$C15:BT15) - 1</f>
        <v>-0.15096321147635128</v>
      </c>
      <c r="BV6" s="9" cm="1">
        <f t="array" ref="BV6">PRODUCT(1 + 預測IC!$C15:BU15) - 1</f>
        <v>-0.17234084624479118</v>
      </c>
      <c r="BW6" s="9" cm="1">
        <f t="array" ref="BW6">PRODUCT(1 + 預測IC!$C15:BV15) - 1</f>
        <v>-0.11455825339772241</v>
      </c>
      <c r="BX6" s="9" cm="1">
        <f t="array" ref="BX6">PRODUCT(1 + 預測IC!$C15:BW15) - 1</f>
        <v>-4.3482587450528798E-2</v>
      </c>
      <c r="BY6" s="9" cm="1">
        <f t="array" ref="BY6">PRODUCT(1 + 預測IC!$C15:BX15) - 1</f>
        <v>-5.8059443788423981E-2</v>
      </c>
      <c r="BZ6" s="9" cm="1">
        <f t="array" ref="BZ6">PRODUCT(1 + 預測IC!$C15:BY15) - 1</f>
        <v>-5.066845055827196E-2</v>
      </c>
      <c r="CA6" s="9" cm="1">
        <f t="array" ref="CA6">PRODUCT(1 + 預測IC!$C15:BZ15) - 1</f>
        <v>-0.11039632507285402</v>
      </c>
      <c r="CB6" s="9" cm="1">
        <f t="array" ref="CB6">PRODUCT(1 + 預測IC!$C15:CA15) - 1</f>
        <v>-0.14831388317183269</v>
      </c>
      <c r="CC6" s="9" cm="1">
        <f t="array" ref="CC6">PRODUCT(1 + 預測IC!$C15:CB15) - 1</f>
        <v>-0.12893822817051626</v>
      </c>
      <c r="CD6" s="9" cm="1">
        <f t="array" ref="CD6">PRODUCT(1 + 預測IC!$C15:CC15) - 1</f>
        <v>-0.1311738752033953</v>
      </c>
      <c r="CE6" s="9" cm="1">
        <f t="array" ref="CE6">PRODUCT(1 + 預測IC!$C15:CD15) - 1</f>
        <v>-0.14959658936081233</v>
      </c>
      <c r="CF6" s="9" cm="1">
        <f t="array" ref="CF6">PRODUCT(1 + 預測IC!$C15:CE15) - 1</f>
        <v>-0.13031757734586069</v>
      </c>
      <c r="CG6" s="9" cm="1">
        <f t="array" ref="CG6">PRODUCT(1 + 預測IC!$C15:CF15) - 1</f>
        <v>-0.12078135813460755</v>
      </c>
      <c r="CH6" s="9" cm="1">
        <f t="array" ref="CH6">PRODUCT(1 + 預測IC!$C15:CG15) - 1</f>
        <v>-0.14029711374888265</v>
      </c>
      <c r="CI6" s="9" cm="1">
        <f t="array" ref="CI6">PRODUCT(1 + 預測IC!$C15:CH15) - 1</f>
        <v>-0.114938384658968</v>
      </c>
      <c r="CJ6" s="9" cm="1">
        <f t="array" ref="CJ6">PRODUCT(1 + 預測IC!$C15:CI15) - 1</f>
        <v>-0.10909057096478414</v>
      </c>
      <c r="CK6" s="9" cm="1">
        <f t="array" ref="CK6">PRODUCT(1 + 預測IC!$C15:CJ15) - 1</f>
        <v>-0.18122052231392538</v>
      </c>
      <c r="CL6" s="9" cm="1">
        <f t="array" ref="CL6">PRODUCT(1 + 預測IC!$C15:CK15) - 1</f>
        <v>-0.17243099572351739</v>
      </c>
      <c r="CM6" s="9" cm="1">
        <f t="array" ref="CM6">PRODUCT(1 + 預測IC!$C15:CL15) - 1</f>
        <v>-0.11392976823719336</v>
      </c>
      <c r="CN6" s="9" cm="1">
        <f t="array" ref="CN6">PRODUCT(1 + 預測IC!$C15:CM15) - 1</f>
        <v>-0.10151527322982157</v>
      </c>
      <c r="CO6" s="9" cm="1">
        <f t="array" ref="CO6">PRODUCT(1 + 預測IC!$C15:CN15) - 1</f>
        <v>2.5482638585482276E-2</v>
      </c>
      <c r="CP6" s="9" cm="1">
        <f t="array" ref="CP6">PRODUCT(1 + 預測IC!$C15:CO15) - 1</f>
        <v>-3.6711073990874921E-2</v>
      </c>
      <c r="CQ6" s="9" cm="1">
        <f t="array" ref="CQ6">PRODUCT(1 + 預測IC!$C15:CP15) - 1</f>
        <v>-1.0616468531031042E-2</v>
      </c>
      <c r="CR6" s="9" cm="1">
        <f t="array" ref="CR6">PRODUCT(1 + 預測IC!$C15:CQ15) - 1</f>
        <v>-8.3157352556259556E-2</v>
      </c>
      <c r="CS6" s="9" cm="1">
        <f t="array" ref="CS6">PRODUCT(1 + 預測IC!$C15:CR15) - 1</f>
        <v>-0.18551814575888959</v>
      </c>
      <c r="CT6" s="9" cm="1">
        <f t="array" ref="CT6">PRODUCT(1 + 預測IC!$C15:CS15) - 1</f>
        <v>-0.20052039459917359</v>
      </c>
      <c r="CU6" s="9" cm="1">
        <f t="array" ref="CU6">PRODUCT(1 + 預測IC!$C15:CT15) - 1</f>
        <v>-0.27636574982977946</v>
      </c>
      <c r="CV6" s="9" cm="1">
        <f t="array" ref="CV6">PRODUCT(1 + 預測IC!$C15:CU15) - 1</f>
        <v>-0.35386043760943531</v>
      </c>
      <c r="CW6" s="9" cm="1">
        <f t="array" ref="CW6">PRODUCT(1 + 預測IC!$C15:CV15) - 1</f>
        <v>-0.31859615002587705</v>
      </c>
      <c r="CX6" s="9" cm="1">
        <f t="array" ref="CX6">PRODUCT(1 + 預測IC!$C15:CW15) - 1</f>
        <v>-0.29385497603467181</v>
      </c>
      <c r="CY6" s="9" cm="1">
        <f t="array" ref="CY6">PRODUCT(1 + 預測IC!$C15:CX15) - 1</f>
        <v>-0.31545089736427523</v>
      </c>
      <c r="CZ6" s="9" cm="1">
        <f t="array" ref="CZ6">PRODUCT(1 + 預測IC!$C15:CY15) - 1</f>
        <v>-0.287246275084997</v>
      </c>
      <c r="DA6" s="9" cm="1">
        <f t="array" ref="DA6">PRODUCT(1 + 預測IC!$C15:CZ15) - 1</f>
        <v>-0.29073749689852235</v>
      </c>
      <c r="DB6" s="9" cm="1">
        <f t="array" ref="DB6">PRODUCT(1 + 預測IC!$C15:DA15) - 1</f>
        <v>-0.27872498281071822</v>
      </c>
      <c r="DC6" s="9" cm="1">
        <f t="array" ref="DC6">PRODUCT(1 + 預測IC!$C15:DB15) - 1</f>
        <v>-0.23447029924903651</v>
      </c>
      <c r="DD6" s="9" cm="1">
        <f t="array" ref="DD6">PRODUCT(1 + 預測IC!$C15:DC15) - 1</f>
        <v>-0.24530244256700118</v>
      </c>
      <c r="DE6" s="9" cm="1">
        <f t="array" ref="DE6">PRODUCT(1 + 預測IC!$C15:DD15) - 1</f>
        <v>-0.24574799219247623</v>
      </c>
      <c r="DF6" s="9" cm="1">
        <f t="array" ref="DF6">PRODUCT(1 + 預測IC!$C15:DE15) - 1</f>
        <v>-0.25493182605165277</v>
      </c>
      <c r="DG6" s="9" cm="1">
        <f t="array" ref="DG6">PRODUCT(1 + 預測IC!$C15:DF15) - 1</f>
        <v>-0.24010970046230362</v>
      </c>
      <c r="DH6" s="9" cm="1">
        <f t="array" ref="DH6">PRODUCT(1 + 預測IC!$C15:DG15) - 1</f>
        <v>-0.24899742991742768</v>
      </c>
      <c r="DI6" s="9" cm="1">
        <f t="array" ref="DI6">PRODUCT(1 + 預測IC!$C15:DH15) - 1</f>
        <v>-0.27490561314990136</v>
      </c>
      <c r="DJ6" s="9" cm="1">
        <f t="array" ref="DJ6">PRODUCT(1 + 預測IC!$C15:DI15) - 1</f>
        <v>-0.30693708428824273</v>
      </c>
      <c r="DK6" s="9" cm="1">
        <f t="array" ref="DK6">PRODUCT(1 + 預測IC!$C15:DJ15) - 1</f>
        <v>-0.30207100388367147</v>
      </c>
      <c r="DL6" s="9" cm="1">
        <f t="array" ref="DL6">PRODUCT(1 + 預測IC!$C15:DK15) - 1</f>
        <v>-0.30483321062688939</v>
      </c>
      <c r="DM6" s="9" cm="1">
        <f t="array" ref="DM6">PRODUCT(1 + 預測IC!$C15:DL15) - 1</f>
        <v>-0.32126790198939903</v>
      </c>
      <c r="DN6" s="9" cm="1">
        <f t="array" ref="DN6">PRODUCT(1 + 預測IC!$C15:DM15) - 1</f>
        <v>-0.3446591025072816</v>
      </c>
      <c r="DO6" s="9" cm="1">
        <f t="array" ref="DO6">PRODUCT(1 + 預測IC!$C15:DN15) - 1</f>
        <v>-0.33763708108572477</v>
      </c>
      <c r="DP6" s="9" cm="1">
        <f t="array" ref="DP6">PRODUCT(1 + 預測IC!$C15:DO15) - 1</f>
        <v>-0.32949046795384884</v>
      </c>
      <c r="DQ6" s="9" cm="1">
        <f t="array" ref="DQ6">PRODUCT(1 + 預測IC!$C15:DP15) - 1</f>
        <v>-0.32067687914831489</v>
      </c>
      <c r="DR6" s="9" cm="1">
        <f t="array" ref="DR6">PRODUCT(1 + 預測IC!$C15:DQ15) - 1</f>
        <v>-0.31146968607704695</v>
      </c>
      <c r="DS6" s="9" cm="1">
        <f t="array" ref="DS6">PRODUCT(1 + 預測IC!$C15:DR15) - 1</f>
        <v>-0.32143062760008934</v>
      </c>
      <c r="DT6" s="9" cm="1">
        <f t="array" ref="DT6">PRODUCT(1 + 預測IC!$C15:DS15) - 1</f>
        <v>-0.30113109325602982</v>
      </c>
      <c r="DU6" s="9" cm="1">
        <f t="array" ref="DU6">PRODUCT(1 + 預測IC!$C15:DT15) - 1</f>
        <v>-0.28027278523679033</v>
      </c>
      <c r="DV6" s="9" cm="1">
        <f t="array" ref="DV6">PRODUCT(1 + 預測IC!$C15:DU15) - 1</f>
        <v>-0.2632160752117656</v>
      </c>
      <c r="DW6" s="9" cm="1">
        <f t="array" ref="DW6">PRODUCT(1 + 預測IC!$C15:DV15) - 1</f>
        <v>-0.2858261110360113</v>
      </c>
      <c r="DX6" s="9" cm="1">
        <f t="array" ref="DX6">PRODUCT(1 + 預測IC!$C15:DW15) - 1</f>
        <v>-0.27334367773601698</v>
      </c>
      <c r="DY6" s="9" cm="1">
        <f t="array" ref="DY6">PRODUCT(1 + 預測IC!$C15:DX15) - 1</f>
        <v>-0.2619113643050367</v>
      </c>
      <c r="DZ6" s="9" cm="1">
        <f t="array" ref="DZ6">PRODUCT(1 + 預測IC!$C15:DY15) - 1</f>
        <v>-0.25470826315417006</v>
      </c>
      <c r="EA6" s="9" cm="1">
        <f t="array" ref="EA6">PRODUCT(1 + 預測IC!$C15:DZ15) - 1</f>
        <v>-0.25985807709957254</v>
      </c>
      <c r="EB6" s="9" cm="1">
        <f t="array" ref="EB6">PRODUCT(1 + 預測IC!$C15:EA15) - 1</f>
        <v>-0.35198277112543874</v>
      </c>
      <c r="EC6" s="9" cm="1">
        <f t="array" ref="EC6">PRODUCT(1 + 預測IC!$C15:EB15) - 1</f>
        <v>-0.31435915241289825</v>
      </c>
      <c r="ED6" s="9" cm="1">
        <f t="array" ref="ED6">PRODUCT(1 + 預測IC!$C15:EC15) - 1</f>
        <v>-0.29928543948910635</v>
      </c>
      <c r="EE6" s="9" cm="1">
        <f t="array" ref="EE6">PRODUCT(1 + 預測IC!$C15:ED15) - 1</f>
        <v>-0.26146225518734423</v>
      </c>
      <c r="EF6" s="9" cm="1">
        <f t="array" ref="EF6">PRODUCT(1 + 預測IC!$C15:EE15) - 1</f>
        <v>-0.28795174290540915</v>
      </c>
      <c r="EG6" s="9" cm="1">
        <f t="array" ref="EG6">PRODUCT(1 + 預測IC!$C15:EF15) - 1</f>
        <v>-0.32204409045017635</v>
      </c>
    </row>
    <row r="7" spans="3:137" ht="16">
      <c r="C7" s="6">
        <v>50</v>
      </c>
      <c r="D7" s="9" cm="1">
        <f t="array" ref="D7">PRODUCT(1 + 預測IC!$C16:C16) - 1</f>
        <v>-3.3228977675766158E-2</v>
      </c>
      <c r="E7" s="9" cm="1">
        <f t="array" ref="E7">PRODUCT(1 + 預測IC!$C16:D16) - 1</f>
        <v>0.10370799743454429</v>
      </c>
      <c r="F7" s="9" cm="1">
        <f t="array" ref="F7">PRODUCT(1 + 預測IC!$C16:E16) - 1</f>
        <v>5.0817486816669533E-2</v>
      </c>
      <c r="G7" s="9" cm="1">
        <f t="array" ref="G7">PRODUCT(1 + 預測IC!$C16:F16) - 1</f>
        <v>6.9687863981603648E-2</v>
      </c>
      <c r="H7" s="9" cm="1">
        <f t="array" ref="H7">PRODUCT(1 + 預測IC!$C16:G16) - 1</f>
        <v>8.9108798746094786E-2</v>
      </c>
      <c r="I7" s="9" cm="1">
        <f t="array" ref="I7">PRODUCT(1 + 預測IC!$C16:H16) - 1</f>
        <v>7.6575050582890825E-2</v>
      </c>
      <c r="J7" s="9" cm="1">
        <f t="array" ref="J7">PRODUCT(1 + 預測IC!$C16:I16) - 1</f>
        <v>0.10898010525197521</v>
      </c>
      <c r="K7" s="9" cm="1">
        <f t="array" ref="K7">PRODUCT(1 + 預測IC!$C16:J16) - 1</f>
        <v>0.15914102098314253</v>
      </c>
      <c r="L7" s="9" cm="1">
        <f t="array" ref="L7">PRODUCT(1 + 預測IC!$C16:K16) - 1</f>
        <v>0.21805722211872802</v>
      </c>
      <c r="M7" s="9" cm="1">
        <f t="array" ref="M7">PRODUCT(1 + 預測IC!$C16:L16) - 1</f>
        <v>0.28659862357048849</v>
      </c>
      <c r="N7" s="9" cm="1">
        <f t="array" ref="N7">PRODUCT(1 + 預測IC!$C16:M16) - 1</f>
        <v>0.26212531192188915</v>
      </c>
      <c r="O7" s="9" cm="1">
        <f t="array" ref="O7">PRODUCT(1 + 預測IC!$C16:N16) - 1</f>
        <v>0.10555668645994754</v>
      </c>
      <c r="P7" s="9" cm="1">
        <f t="array" ref="P7">PRODUCT(1 + 預測IC!$C16:O16) - 1</f>
        <v>0.10720883914870871</v>
      </c>
      <c r="Q7" s="9" cm="1">
        <f t="array" ref="Q7">PRODUCT(1 + 預測IC!$C16:P16) - 1</f>
        <v>0.12046159702721715</v>
      </c>
      <c r="R7" s="9" cm="1">
        <f t="array" ref="R7">PRODUCT(1 + 預測IC!$C16:Q16) - 1</f>
        <v>0.17592555795909881</v>
      </c>
      <c r="S7" s="9" cm="1">
        <f t="array" ref="S7">PRODUCT(1 + 預測IC!$C16:R16) - 1</f>
        <v>0.18939363669796738</v>
      </c>
      <c r="T7" s="9" cm="1">
        <f t="array" ref="T7">PRODUCT(1 + 預測IC!$C16:S16) - 1</f>
        <v>0.23900997463001872</v>
      </c>
      <c r="U7" s="9" cm="1">
        <f t="array" ref="U7">PRODUCT(1 + 預測IC!$C16:T16) - 1</f>
        <v>0.24176184735915651</v>
      </c>
      <c r="V7" s="9" cm="1">
        <f t="array" ref="V7">PRODUCT(1 + 預測IC!$C16:U16) - 1</f>
        <v>0.22339691308342502</v>
      </c>
      <c r="W7" s="9" cm="1">
        <f t="array" ref="W7">PRODUCT(1 + 預測IC!$C16:V16) - 1</f>
        <v>0.20695327231466787</v>
      </c>
      <c r="X7" s="9" cm="1">
        <f t="array" ref="X7">PRODUCT(1 + 預測IC!$C16:W16) - 1</f>
        <v>0.18075968407576637</v>
      </c>
      <c r="Y7" s="9" cm="1">
        <f t="array" ref="Y7">PRODUCT(1 + 預測IC!$C16:X16) - 1</f>
        <v>-7.6776442462435868E-2</v>
      </c>
      <c r="Z7" s="9" cm="1">
        <f t="array" ref="Z7">PRODUCT(1 + 預測IC!$C16:Y16) - 1</f>
        <v>-0.10631245270045353</v>
      </c>
      <c r="AA7" s="9" cm="1">
        <f t="array" ref="AA7">PRODUCT(1 + 預測IC!$C16:Z16) - 1</f>
        <v>-2.0155128760458441E-3</v>
      </c>
      <c r="AB7" s="9" cm="1">
        <f t="array" ref="AB7">PRODUCT(1 + 預測IC!$C16:AA16) - 1</f>
        <v>-0.1017200307868511</v>
      </c>
      <c r="AC7" s="9" cm="1">
        <f t="array" ref="AC7">PRODUCT(1 + 預測IC!$C16:AB16) - 1</f>
        <v>-0.12627539280705957</v>
      </c>
      <c r="AD7" s="9" cm="1">
        <f t="array" ref="AD7">PRODUCT(1 + 預測IC!$C16:AC16) - 1</f>
        <v>-0.12897219827409467</v>
      </c>
      <c r="AE7" s="9" cm="1">
        <f t="array" ref="AE7">PRODUCT(1 + 預測IC!$C16:AD16) - 1</f>
        <v>-6.810948623853863E-2</v>
      </c>
      <c r="AF7" s="9" cm="1">
        <f t="array" ref="AF7">PRODUCT(1 + 預測IC!$C16:AE16) - 1</f>
        <v>-7.3404957003463167E-2</v>
      </c>
      <c r="AG7" s="9" cm="1">
        <f t="array" ref="AG7">PRODUCT(1 + 預測IC!$C16:AF16) - 1</f>
        <v>1.5622383177287702E-2</v>
      </c>
      <c r="AH7" s="9" cm="1">
        <f t="array" ref="AH7">PRODUCT(1 + 預測IC!$C16:AG16) - 1</f>
        <v>-1.0102615785936964E-2</v>
      </c>
      <c r="AI7" s="9" cm="1">
        <f t="array" ref="AI7">PRODUCT(1 + 預測IC!$C16:AH16) - 1</f>
        <v>7.0031739821598826E-2</v>
      </c>
      <c r="AJ7" s="9" cm="1">
        <f t="array" ref="AJ7">PRODUCT(1 + 預測IC!$C16:AI16) - 1</f>
        <v>0.13771474175802667</v>
      </c>
      <c r="AK7" s="9" cm="1">
        <f t="array" ref="AK7">PRODUCT(1 + 預測IC!$C16:AJ16) - 1</f>
        <v>0.11929541612506256</v>
      </c>
      <c r="AL7" s="9" cm="1">
        <f t="array" ref="AL7">PRODUCT(1 + 預測IC!$C16:AK16) - 1</f>
        <v>0.10958232249638855</v>
      </c>
      <c r="AM7" s="9" cm="1">
        <f t="array" ref="AM7">PRODUCT(1 + 預測IC!$C16:AL16) - 1</f>
        <v>0.16642642789608053</v>
      </c>
      <c r="AN7" s="9" cm="1">
        <f t="array" ref="AN7">PRODUCT(1 + 預測IC!$C16:AM16) - 1</f>
        <v>0.13374989124601466</v>
      </c>
      <c r="AO7" s="9" cm="1">
        <f t="array" ref="AO7">PRODUCT(1 + 預測IC!$C16:AN16) - 1</f>
        <v>0.11205839512008398</v>
      </c>
      <c r="AP7" s="9" cm="1">
        <f t="array" ref="AP7">PRODUCT(1 + 預測IC!$C16:AO16) - 1</f>
        <v>0.15436593675139143</v>
      </c>
      <c r="AQ7" s="9" cm="1">
        <f t="array" ref="AQ7">PRODUCT(1 + 預測IC!$C16:AP16) - 1</f>
        <v>0.14472492452639241</v>
      </c>
      <c r="AR7" s="9" cm="1">
        <f t="array" ref="AR7">PRODUCT(1 + 預測IC!$C16:AQ16) - 1</f>
        <v>0.11068838278073168</v>
      </c>
      <c r="AS7" s="9" cm="1">
        <f t="array" ref="AS7">PRODUCT(1 + 預測IC!$C16:AR16) - 1</f>
        <v>0.10226637523549909</v>
      </c>
      <c r="AT7" s="9" cm="1">
        <f t="array" ref="AT7">PRODUCT(1 + 預測IC!$C16:AS16) - 1</f>
        <v>0.10961776268752099</v>
      </c>
      <c r="AU7" s="9" cm="1">
        <f t="array" ref="AU7">PRODUCT(1 + 預測IC!$C16:AT16) - 1</f>
        <v>2.1510251181398932E-2</v>
      </c>
      <c r="AV7" s="9" cm="1">
        <f t="array" ref="AV7">PRODUCT(1 + 預測IC!$C16:AU16) - 1</f>
        <v>8.016701761685896E-2</v>
      </c>
      <c r="AW7" s="9" cm="1">
        <f t="array" ref="AW7">PRODUCT(1 + 預測IC!$C16:AV16) - 1</f>
        <v>6.6866542818866392E-2</v>
      </c>
      <c r="AX7" s="9" cm="1">
        <f t="array" ref="AX7">PRODUCT(1 + 預測IC!$C16:AW16) - 1</f>
        <v>7.0950124668785808E-2</v>
      </c>
      <c r="AY7" s="9" cm="1">
        <f t="array" ref="AY7">PRODUCT(1 + 預測IC!$C16:AX16) - 1</f>
        <v>5.9581836876601457E-2</v>
      </c>
      <c r="AZ7" s="9" cm="1">
        <f t="array" ref="AZ7">PRODUCT(1 + 預測IC!$C16:AY16) - 1</f>
        <v>0.21136536147296203</v>
      </c>
      <c r="BA7" s="9" cm="1">
        <f t="array" ref="BA7">PRODUCT(1 + 預測IC!$C16:AZ16) - 1</f>
        <v>0.17344723572768173</v>
      </c>
      <c r="BB7" s="9" cm="1">
        <f t="array" ref="BB7">PRODUCT(1 + 預測IC!$C16:BA16) - 1</f>
        <v>0.24945237282341859</v>
      </c>
      <c r="BC7" s="9" cm="1">
        <f t="array" ref="BC7">PRODUCT(1 + 預測IC!$C16:BB16) - 1</f>
        <v>0.28959452182700818</v>
      </c>
      <c r="BD7" s="9" cm="1">
        <f t="array" ref="BD7">PRODUCT(1 + 預測IC!$C16:BC16) - 1</f>
        <v>0.25283374854536844</v>
      </c>
      <c r="BE7" s="9" cm="1">
        <f t="array" ref="BE7">PRODUCT(1 + 預測IC!$C16:BD16) - 1</f>
        <v>0.31826809254308785</v>
      </c>
      <c r="BF7" s="9" cm="1">
        <f t="array" ref="BF7">PRODUCT(1 + 預測IC!$C16:BE16) - 1</f>
        <v>0.41849211796951979</v>
      </c>
      <c r="BG7" s="9" cm="1">
        <f t="array" ref="BG7">PRODUCT(1 + 預測IC!$C16:BF16) - 1</f>
        <v>0.57477098491750089</v>
      </c>
      <c r="BH7" s="9" cm="1">
        <f t="array" ref="BH7">PRODUCT(1 + 預測IC!$C16:BG16) - 1</f>
        <v>0.73299574616164542</v>
      </c>
      <c r="BI7" s="9" cm="1">
        <f t="array" ref="BI7">PRODUCT(1 + 預測IC!$C16:BH16) - 1</f>
        <v>0.89096460594039506</v>
      </c>
      <c r="BJ7" s="9" cm="1">
        <f t="array" ref="BJ7">PRODUCT(1 + 預測IC!$C16:BI16) - 1</f>
        <v>1.0248662414712628</v>
      </c>
      <c r="BK7" s="9" cm="1">
        <f t="array" ref="BK7">PRODUCT(1 + 預測IC!$C16:BJ16) - 1</f>
        <v>0.88595192177286886</v>
      </c>
      <c r="BL7" s="9" cm="1">
        <f t="array" ref="BL7">PRODUCT(1 + 預測IC!$C16:BK16) - 1</f>
        <v>0.87467530565505891</v>
      </c>
      <c r="BM7" s="9" cm="1">
        <f t="array" ref="BM7">PRODUCT(1 + 預測IC!$C16:BL16) - 1</f>
        <v>0.85287835793213751</v>
      </c>
      <c r="BN7" s="9" cm="1">
        <f t="array" ref="BN7">PRODUCT(1 + 預測IC!$C16:BM16) - 1</f>
        <v>0.82113803203827818</v>
      </c>
      <c r="BO7" s="9" cm="1">
        <f t="array" ref="BO7">PRODUCT(1 + 預測IC!$C16:BN16) - 1</f>
        <v>0.81242604343754721</v>
      </c>
      <c r="BP7" s="9" cm="1">
        <f t="array" ref="BP7">PRODUCT(1 + 預測IC!$C16:BO16) - 1</f>
        <v>0.77592209547715929</v>
      </c>
      <c r="BQ7" s="9" cm="1">
        <f t="array" ref="BQ7">PRODUCT(1 + 預測IC!$C16:BP16) - 1</f>
        <v>0.65104041806767721</v>
      </c>
      <c r="BR7" s="9" cm="1">
        <f t="array" ref="BR7">PRODUCT(1 + 預測IC!$C16:BQ16) - 1</f>
        <v>0.68021724626129543</v>
      </c>
      <c r="BS7" s="9" cm="1">
        <f t="array" ref="BS7">PRODUCT(1 + 預測IC!$C16:BR16) - 1</f>
        <v>0.53432703304172313</v>
      </c>
      <c r="BT7" s="9" cm="1">
        <f t="array" ref="BT7">PRODUCT(1 + 預測IC!$C16:BS16) - 1</f>
        <v>0.54210040179594166</v>
      </c>
      <c r="BU7" s="9" cm="1">
        <f t="array" ref="BU7">PRODUCT(1 + 預測IC!$C16:BT16) - 1</f>
        <v>0.58287013534342025</v>
      </c>
      <c r="BV7" s="9" cm="1">
        <f t="array" ref="BV7">PRODUCT(1 + 預測IC!$C16:BU16) - 1</f>
        <v>0.46140845183246859</v>
      </c>
      <c r="BW7" s="9" cm="1">
        <f t="array" ref="BW7">PRODUCT(1 + 預測IC!$C16:BV16) - 1</f>
        <v>0.61013490940835946</v>
      </c>
      <c r="BX7" s="9" cm="1">
        <f t="array" ref="BX7">PRODUCT(1 + 預測IC!$C16:BW16) - 1</f>
        <v>0.63586526403080557</v>
      </c>
      <c r="BY7" s="9" cm="1">
        <f t="array" ref="BY7">PRODUCT(1 + 預測IC!$C16:BX16) - 1</f>
        <v>0.48507492614960102</v>
      </c>
      <c r="BZ7" s="9" cm="1">
        <f t="array" ref="BZ7">PRODUCT(1 + 預測IC!$C16:BY16) - 1</f>
        <v>0.54829603855982101</v>
      </c>
      <c r="CA7" s="9" cm="1">
        <f t="array" ref="CA7">PRODUCT(1 + 預測IC!$C16:BZ16) - 1</f>
        <v>0.28798635518861126</v>
      </c>
      <c r="CB7" s="9" cm="1">
        <f t="array" ref="CB7">PRODUCT(1 + 預測IC!$C16:CA16) - 1</f>
        <v>0.22207980165065377</v>
      </c>
      <c r="CC7" s="9" cm="1">
        <f t="array" ref="CC7">PRODUCT(1 + 預測IC!$C16:CB16) - 1</f>
        <v>0.36428963232509126</v>
      </c>
      <c r="CD7" s="9" cm="1">
        <f t="array" ref="CD7">PRODUCT(1 + 預測IC!$C16:CC16) - 1</f>
        <v>0.31518372881649426</v>
      </c>
      <c r="CE7" s="9" cm="1">
        <f t="array" ref="CE7">PRODUCT(1 + 預測IC!$C16:CD16) - 1</f>
        <v>0.35848797771158458</v>
      </c>
      <c r="CF7" s="9" cm="1">
        <f t="array" ref="CF7">PRODUCT(1 + 預測IC!$C16:CE16) - 1</f>
        <v>0.41698504830939265</v>
      </c>
      <c r="CG7" s="9" cm="1">
        <f t="array" ref="CG7">PRODUCT(1 + 預測IC!$C16:CF16) - 1</f>
        <v>0.44636665600089698</v>
      </c>
      <c r="CH7" s="9" cm="1">
        <f t="array" ref="CH7">PRODUCT(1 + 預測IC!$C16:CG16) - 1</f>
        <v>0.3879328190694824</v>
      </c>
      <c r="CI7" s="9" cm="1">
        <f t="array" ref="CI7">PRODUCT(1 + 預測IC!$C16:CH16) - 1</f>
        <v>0.39085113566194618</v>
      </c>
      <c r="CJ7" s="9" cm="1">
        <f t="array" ref="CJ7">PRODUCT(1 + 預測IC!$C16:CI16) - 1</f>
        <v>0.32412296731097556</v>
      </c>
      <c r="CK7" s="9" cm="1">
        <f t="array" ref="CK7">PRODUCT(1 + 預測IC!$C16:CJ16) - 1</f>
        <v>0.15818771356925887</v>
      </c>
      <c r="CL7" s="9" cm="1">
        <f t="array" ref="CL7">PRODUCT(1 + 預測IC!$C16:CK16) - 1</f>
        <v>0.24458849218472944</v>
      </c>
      <c r="CM7" s="9" cm="1">
        <f t="array" ref="CM7">PRODUCT(1 + 預測IC!$C16:CL16) - 1</f>
        <v>0.35890608405610069</v>
      </c>
      <c r="CN7" s="9" cm="1">
        <f t="array" ref="CN7">PRODUCT(1 + 預測IC!$C16:CM16) - 1</f>
        <v>0.35197959450884575</v>
      </c>
      <c r="CO7" s="9" cm="1">
        <f t="array" ref="CO7">PRODUCT(1 + 預測IC!$C16:CN16) - 1</f>
        <v>0.63386266783754919</v>
      </c>
      <c r="CP7" s="9" cm="1">
        <f t="array" ref="CP7">PRODUCT(1 + 預測IC!$C16:CO16) - 1</f>
        <v>0.43998854749474603</v>
      </c>
      <c r="CQ7" s="9" cm="1">
        <f t="array" ref="CQ7">PRODUCT(1 + 預測IC!$C16:CP16) - 1</f>
        <v>0.47712984765397515</v>
      </c>
      <c r="CR7" s="9" cm="1">
        <f t="array" ref="CR7">PRODUCT(1 + 預測IC!$C16:CQ16) - 1</f>
        <v>0.34056508805798114</v>
      </c>
      <c r="CS7" s="9" cm="1">
        <f t="array" ref="CS7">PRODUCT(1 + 預測IC!$C16:CR16) - 1</f>
        <v>6.2103293257520509E-2</v>
      </c>
      <c r="CT7" s="9" cm="1">
        <f t="array" ref="CT7">PRODUCT(1 + 預測IC!$C16:CS16) - 1</f>
        <v>7.3194947719344539E-2</v>
      </c>
      <c r="CU7" s="9" cm="1">
        <f t="array" ref="CU7">PRODUCT(1 + 預測IC!$C16:CT16) - 1</f>
        <v>-3.3777995074612432E-2</v>
      </c>
      <c r="CV7" s="9" cm="1">
        <f t="array" ref="CV7">PRODUCT(1 + 預測IC!$C16:CU16) - 1</f>
        <v>-0.1318930085229375</v>
      </c>
      <c r="CW7" s="9" cm="1">
        <f t="array" ref="CW7">PRODUCT(1 + 預測IC!$C16:CV16) - 1</f>
        <v>-8.0956763905784102E-2</v>
      </c>
      <c r="CX7" s="9" cm="1">
        <f t="array" ref="CX7">PRODUCT(1 + 預測IC!$C16:CW16) - 1</f>
        <v>-3.9816818686902788E-2</v>
      </c>
      <c r="CY7" s="9" cm="1">
        <f t="array" ref="CY7">PRODUCT(1 + 預測IC!$C16:CX16) - 1</f>
        <v>-0.12684708035551362</v>
      </c>
      <c r="CZ7" s="9" cm="1">
        <f t="array" ref="CZ7">PRODUCT(1 + 預測IC!$C16:CY16) - 1</f>
        <v>-4.2709078244633325E-2</v>
      </c>
      <c r="DA7" s="9" cm="1">
        <f t="array" ref="DA7">PRODUCT(1 + 預測IC!$C16:CZ16) - 1</f>
        <v>-5.2570514619015851E-2</v>
      </c>
      <c r="DB7" s="9" cm="1">
        <f t="array" ref="DB7">PRODUCT(1 + 預測IC!$C16:DA16) - 1</f>
        <v>-0.10595994786099006</v>
      </c>
      <c r="DC7" s="9" cm="1">
        <f t="array" ref="DC7">PRODUCT(1 + 預測IC!$C16:DB16) - 1</f>
        <v>-2.5282655475694638E-2</v>
      </c>
      <c r="DD7" s="9" cm="1">
        <f t="array" ref="DD7">PRODUCT(1 + 預測IC!$C16:DC16) - 1</f>
        <v>-6.7194080133052059E-2</v>
      </c>
      <c r="DE7" s="9" cm="1">
        <f t="array" ref="DE7">PRODUCT(1 + 預測IC!$C16:DD16) - 1</f>
        <v>-7.2464862114018924E-2</v>
      </c>
      <c r="DF7" s="9" cm="1">
        <f t="array" ref="DF7">PRODUCT(1 + 預測IC!$C16:DE16) - 1</f>
        <v>-5.9370076222922341E-2</v>
      </c>
      <c r="DG7" s="9" cm="1">
        <f t="array" ref="DG7">PRODUCT(1 + 預測IC!$C16:DF16) - 1</f>
        <v>-3.8104339757662697E-2</v>
      </c>
      <c r="DH7" s="9" cm="1">
        <f t="array" ref="DH7">PRODUCT(1 + 預測IC!$C16:DG16) - 1</f>
        <v>-6.4038734054235436E-2</v>
      </c>
      <c r="DI7" s="9" cm="1">
        <f t="array" ref="DI7">PRODUCT(1 + 預測IC!$C16:DH16) - 1</f>
        <v>-6.2853585850000782E-2</v>
      </c>
      <c r="DJ7" s="9" cm="1">
        <f t="array" ref="DJ7">PRODUCT(1 + 預測IC!$C16:DI16) - 1</f>
        <v>-0.18012844671036088</v>
      </c>
      <c r="DK7" s="9" cm="1">
        <f t="array" ref="DK7">PRODUCT(1 + 預測IC!$C16:DJ16) - 1</f>
        <v>-0.17291847217690348</v>
      </c>
      <c r="DL7" s="9" cm="1">
        <f t="array" ref="DL7">PRODUCT(1 + 預測IC!$C16:DK16) - 1</f>
        <v>-0.11618769641861915</v>
      </c>
      <c r="DM7" s="9" cm="1">
        <f t="array" ref="DM7">PRODUCT(1 + 預測IC!$C16:DL16) - 1</f>
        <v>-0.17236112518253577</v>
      </c>
      <c r="DN7" s="9" cm="1">
        <f t="array" ref="DN7">PRODUCT(1 + 預測IC!$C16:DM16) - 1</f>
        <v>-0.18961163808204473</v>
      </c>
      <c r="DO7" s="9" cm="1">
        <f t="array" ref="DO7">PRODUCT(1 + 預測IC!$C16:DN16) - 1</f>
        <v>-0.1882594208024696</v>
      </c>
      <c r="DP7" s="9" cm="1">
        <f t="array" ref="DP7">PRODUCT(1 + 預測IC!$C16:DO16) - 1</f>
        <v>-0.18725415376214705</v>
      </c>
      <c r="DQ7" s="9" cm="1">
        <f t="array" ref="DQ7">PRODUCT(1 + 預測IC!$C16:DP16) - 1</f>
        <v>-0.20186778020269902</v>
      </c>
      <c r="DR7" s="9" cm="1">
        <f t="array" ref="DR7">PRODUCT(1 + 預測IC!$C16:DQ16) - 1</f>
        <v>-0.17602047156142164</v>
      </c>
      <c r="DS7" s="9" cm="1">
        <f t="array" ref="DS7">PRODUCT(1 + 預測IC!$C16:DR16) - 1</f>
        <v>-0.18053925459974107</v>
      </c>
      <c r="DT7" s="9" cm="1">
        <f t="array" ref="DT7">PRODUCT(1 + 預測IC!$C16:DS16) - 1</f>
        <v>-0.10724852572123289</v>
      </c>
      <c r="DU7" s="9" cm="1">
        <f t="array" ref="DU7">PRODUCT(1 + 預測IC!$C16:DT16) - 1</f>
        <v>-0.10032587158903106</v>
      </c>
      <c r="DV7" s="9" cm="1">
        <f t="array" ref="DV7">PRODUCT(1 + 預測IC!$C16:DU16) - 1</f>
        <v>6.661204458886294E-3</v>
      </c>
      <c r="DW7" s="9" cm="1">
        <f t="array" ref="DW7">PRODUCT(1 + 預測IC!$C16:DV16) - 1</f>
        <v>-4.3326195575453585E-2</v>
      </c>
      <c r="DX7" s="9" cm="1">
        <f t="array" ref="DX7">PRODUCT(1 + 預測IC!$C16:DW16) - 1</f>
        <v>8.5147221821204599E-3</v>
      </c>
      <c r="DY7" s="9" cm="1">
        <f t="array" ref="DY7">PRODUCT(1 + 預測IC!$C16:DX16) - 1</f>
        <v>4.1636788096395483E-2</v>
      </c>
      <c r="DZ7" s="9" cm="1">
        <f t="array" ref="DZ7">PRODUCT(1 + 預測IC!$C16:DY16) - 1</f>
        <v>8.0041752513370756E-2</v>
      </c>
      <c r="EA7" s="9" cm="1">
        <f t="array" ref="EA7">PRODUCT(1 + 預測IC!$C16:DZ16) - 1</f>
        <v>5.5685150116829618E-2</v>
      </c>
      <c r="EB7" s="9" cm="1">
        <f t="array" ref="EB7">PRODUCT(1 + 預測IC!$C16:EA16) - 1</f>
        <v>-1.0730836740597827E-2</v>
      </c>
      <c r="EC7" s="9" cm="1">
        <f t="array" ref="EC7">PRODUCT(1 + 預測IC!$C16:EB16) - 1</f>
        <v>7.6481927447617837E-2</v>
      </c>
      <c r="ED7" s="9" cm="1">
        <f t="array" ref="ED7">PRODUCT(1 + 預測IC!$C16:EC16) - 1</f>
        <v>0.12305055449898461</v>
      </c>
      <c r="EE7" s="9" cm="1">
        <f t="array" ref="EE7">PRODUCT(1 + 預測IC!$C16:ED16) - 1</f>
        <v>0.21109689156941047</v>
      </c>
      <c r="EF7" s="9" cm="1">
        <f t="array" ref="EF7">PRODUCT(1 + 預測IC!$C16:EE16) - 1</f>
        <v>0.15961832282767574</v>
      </c>
      <c r="EG7" s="9" cm="1">
        <f t="array" ref="EG7">PRODUCT(1 + 預測IC!$C16:EF16) - 1</f>
        <v>6.1107140839186558E-2</v>
      </c>
    </row>
    <row r="8" spans="3:137" ht="16">
      <c r="C8" s="6">
        <v>100</v>
      </c>
      <c r="D8" s="9" cm="1">
        <f t="array" ref="D8">PRODUCT(1 + 預測IC!$C17:C17) - 1</f>
        <v>-3.6350225217569587E-2</v>
      </c>
      <c r="E8" s="9" cm="1">
        <f t="array" ref="E8">PRODUCT(1 + 預測IC!$C17:D17) - 1</f>
        <v>0.22675976836332001</v>
      </c>
      <c r="F8" s="9" cm="1">
        <f t="array" ref="F8">PRODUCT(1 + 預測IC!$C17:E17) - 1</f>
        <v>0.10979484224106018</v>
      </c>
      <c r="G8" s="9" cm="1">
        <f t="array" ref="G8">PRODUCT(1 + 預測IC!$C17:F17) - 1</f>
        <v>0.1246041245796925</v>
      </c>
      <c r="H8" s="9" cm="1">
        <f t="array" ref="H8">PRODUCT(1 + 預測IC!$C17:G17) - 1</f>
        <v>0.124546861776337</v>
      </c>
      <c r="I8" s="9" cm="1">
        <f t="array" ref="I8">PRODUCT(1 + 預測IC!$C17:H17) - 1</f>
        <v>0.12314823354078541</v>
      </c>
      <c r="J8" s="9" cm="1">
        <f t="array" ref="J8">PRODUCT(1 + 預測IC!$C17:I17) - 1</f>
        <v>0.21220612823980467</v>
      </c>
      <c r="K8" s="9" cm="1">
        <f t="array" ref="K8">PRODUCT(1 + 預測IC!$C17:J17) - 1</f>
        <v>0.28750983939239116</v>
      </c>
      <c r="L8" s="9" cm="1">
        <f t="array" ref="L8">PRODUCT(1 + 預測IC!$C17:K17) - 1</f>
        <v>0.40919857126018244</v>
      </c>
      <c r="M8" s="9" cm="1">
        <f t="array" ref="M8">PRODUCT(1 + 預測IC!$C17:L17) - 1</f>
        <v>0.52358471384119243</v>
      </c>
      <c r="N8" s="9" cm="1">
        <f t="array" ref="N8">PRODUCT(1 + 預測IC!$C17:M17) - 1</f>
        <v>0.52033488260449245</v>
      </c>
      <c r="O8" s="9" cm="1">
        <f t="array" ref="O8">PRODUCT(1 + 預測IC!$C17:N17) - 1</f>
        <v>0.31536597209655359</v>
      </c>
      <c r="P8" s="9" cm="1">
        <f t="array" ref="P8">PRODUCT(1 + 預測IC!$C17:O17) - 1</f>
        <v>0.29922538490441752</v>
      </c>
      <c r="Q8" s="9" cm="1">
        <f t="array" ref="Q8">PRODUCT(1 + 預測IC!$C17:P17) - 1</f>
        <v>0.30513715513966044</v>
      </c>
      <c r="R8" s="9" cm="1">
        <f t="array" ref="R8">PRODUCT(1 + 預測IC!$C17:Q17) - 1</f>
        <v>0.37399267230358935</v>
      </c>
      <c r="S8" s="9" cm="1">
        <f t="array" ref="S8">PRODUCT(1 + 預測IC!$C17:R17) - 1</f>
        <v>0.32767377500143668</v>
      </c>
      <c r="T8" s="9" cm="1">
        <f t="array" ref="T8">PRODUCT(1 + 預測IC!$C17:S17) - 1</f>
        <v>0.44525374010196517</v>
      </c>
      <c r="U8" s="9" cm="1">
        <f t="array" ref="U8">PRODUCT(1 + 預測IC!$C17:T17) - 1</f>
        <v>0.4357468310845285</v>
      </c>
      <c r="V8" s="9" cm="1">
        <f t="array" ref="V8">PRODUCT(1 + 預測IC!$C17:U17) - 1</f>
        <v>0.44735935908523783</v>
      </c>
      <c r="W8" s="9" cm="1">
        <f t="array" ref="W8">PRODUCT(1 + 預測IC!$C17:V17) - 1</f>
        <v>0.44656149398036704</v>
      </c>
      <c r="X8" s="9" cm="1">
        <f t="array" ref="X8">PRODUCT(1 + 預測IC!$C17:W17) - 1</f>
        <v>0.43776726121527942</v>
      </c>
      <c r="Y8" s="9" cm="1">
        <f t="array" ref="Y8">PRODUCT(1 + 預測IC!$C17:X17) - 1</f>
        <v>7.5646524209353583E-2</v>
      </c>
      <c r="Z8" s="9" cm="1">
        <f t="array" ref="Z8">PRODUCT(1 + 預測IC!$C17:Y17) - 1</f>
        <v>2.6124473244247604E-2</v>
      </c>
      <c r="AA8" s="9" cm="1">
        <f t="array" ref="AA8">PRODUCT(1 + 預測IC!$C17:Z17) - 1</f>
        <v>9.0466704660391528E-2</v>
      </c>
      <c r="AB8" s="9" cm="1">
        <f t="array" ref="AB8">PRODUCT(1 + 預測IC!$C17:AA17) - 1</f>
        <v>-8.4935283755786739E-2</v>
      </c>
      <c r="AC8" s="9" cm="1">
        <f t="array" ref="AC8">PRODUCT(1 + 預測IC!$C17:AB17) - 1</f>
        <v>-0.10521897495994426</v>
      </c>
      <c r="AD8" s="9" cm="1">
        <f t="array" ref="AD8">PRODUCT(1 + 預測IC!$C17:AC17) - 1</f>
        <v>-0.10135560680229805</v>
      </c>
      <c r="AE8" s="9" cm="1">
        <f t="array" ref="AE8">PRODUCT(1 + 預測IC!$C17:AD17) - 1</f>
        <v>-2.7924340609771003E-2</v>
      </c>
      <c r="AF8" s="9" cm="1">
        <f t="array" ref="AF8">PRODUCT(1 + 預測IC!$C17:AE17) - 1</f>
        <v>-1.2636030087749828E-2</v>
      </c>
      <c r="AG8" s="9" cm="1">
        <f t="array" ref="AG8">PRODUCT(1 + 預測IC!$C17:AF17) - 1</f>
        <v>0.12334994358125351</v>
      </c>
      <c r="AH8" s="9" cm="1">
        <f t="array" ref="AH8">PRODUCT(1 + 預測IC!$C17:AG17) - 1</f>
        <v>7.3557969337983309E-2</v>
      </c>
      <c r="AI8" s="9" cm="1">
        <f t="array" ref="AI8">PRODUCT(1 + 預測IC!$C17:AH17) - 1</f>
        <v>0.21630614370604362</v>
      </c>
      <c r="AJ8" s="9" cm="1">
        <f t="array" ref="AJ8">PRODUCT(1 + 預測IC!$C17:AI17) - 1</f>
        <v>0.31224397138704063</v>
      </c>
      <c r="AK8" s="9" cm="1">
        <f t="array" ref="AK8">PRODUCT(1 + 預測IC!$C17:AJ17) - 1</f>
        <v>0.34137725523212858</v>
      </c>
      <c r="AL8" s="9" cm="1">
        <f t="array" ref="AL8">PRODUCT(1 + 預測IC!$C17:AK17) - 1</f>
        <v>0.42214424721095312</v>
      </c>
      <c r="AM8" s="9" cm="1">
        <f t="array" ref="AM8">PRODUCT(1 + 預測IC!$C17:AL17) - 1</f>
        <v>0.46816508221462172</v>
      </c>
      <c r="AN8" s="9" cm="1">
        <f t="array" ref="AN8">PRODUCT(1 + 預測IC!$C17:AM17) - 1</f>
        <v>0.49906799720877171</v>
      </c>
      <c r="AO8" s="9" cm="1">
        <f t="array" ref="AO8">PRODUCT(1 + 預測IC!$C17:AN17) - 1</f>
        <v>0.4458503933390261</v>
      </c>
      <c r="AP8" s="9" cm="1">
        <f t="array" ref="AP8">PRODUCT(1 + 預測IC!$C17:AO17) - 1</f>
        <v>0.52014472213952012</v>
      </c>
      <c r="AQ8" s="9" cm="1">
        <f t="array" ref="AQ8">PRODUCT(1 + 預測IC!$C17:AP17) - 1</f>
        <v>0.38248744671500878</v>
      </c>
      <c r="AR8" s="9" cm="1">
        <f t="array" ref="AR8">PRODUCT(1 + 預測IC!$C17:AQ17) - 1</f>
        <v>0.33209119022544109</v>
      </c>
      <c r="AS8" s="9" cm="1">
        <f t="array" ref="AS8">PRODUCT(1 + 預測IC!$C17:AR17) - 1</f>
        <v>0.30846811716256539</v>
      </c>
      <c r="AT8" s="9" cm="1">
        <f t="array" ref="AT8">PRODUCT(1 + 預測IC!$C17:AS17) - 1</f>
        <v>0.37223398355103354</v>
      </c>
      <c r="AU8" s="9" cm="1">
        <f t="array" ref="AU8">PRODUCT(1 + 預測IC!$C17:AT17) - 1</f>
        <v>0.27481935021031001</v>
      </c>
      <c r="AV8" s="9" cm="1">
        <f t="array" ref="AV8">PRODUCT(1 + 預測IC!$C17:AU17) - 1</f>
        <v>0.37320235722318662</v>
      </c>
      <c r="AW8" s="9" cm="1">
        <f t="array" ref="AW8">PRODUCT(1 + 預測IC!$C17:AV17) - 1</f>
        <v>0.24313803889434671</v>
      </c>
      <c r="AX8" s="9" cm="1">
        <f t="array" ref="AX8">PRODUCT(1 + 預測IC!$C17:AW17) - 1</f>
        <v>0.21475962502749346</v>
      </c>
      <c r="AY8" s="9" cm="1">
        <f t="array" ref="AY8">PRODUCT(1 + 預測IC!$C17:AX17) - 1</f>
        <v>0.14865721071038851</v>
      </c>
      <c r="AZ8" s="9" cm="1">
        <f t="array" ref="AZ8">PRODUCT(1 + 預測IC!$C17:AY17) - 1</f>
        <v>0.37839585470931247</v>
      </c>
      <c r="BA8" s="9" cm="1">
        <f t="array" ref="BA8">PRODUCT(1 + 預測IC!$C17:AZ17) - 1</f>
        <v>0.37058368659784002</v>
      </c>
      <c r="BB8" s="9" cm="1">
        <f t="array" ref="BB8">PRODUCT(1 + 預測IC!$C17:BA17) - 1</f>
        <v>0.56706072891906745</v>
      </c>
      <c r="BC8" s="9" cm="1">
        <f t="array" ref="BC8">PRODUCT(1 + 預測IC!$C17:BB17) - 1</f>
        <v>0.61464613823351888</v>
      </c>
      <c r="BD8" s="9" cm="1">
        <f t="array" ref="BD8">PRODUCT(1 + 預測IC!$C17:BC17) - 1</f>
        <v>0.56469432857577018</v>
      </c>
      <c r="BE8" s="9" cm="1">
        <f t="array" ref="BE8">PRODUCT(1 + 預測IC!$C17:BD17) - 1</f>
        <v>0.65847073594764027</v>
      </c>
      <c r="BF8" s="9" cm="1">
        <f t="array" ref="BF8">PRODUCT(1 + 預測IC!$C17:BE17) - 1</f>
        <v>0.78253799013709702</v>
      </c>
      <c r="BG8" s="9" cm="1">
        <f t="array" ref="BG8">PRODUCT(1 + 預測IC!$C17:BF17) - 1</f>
        <v>1.009370070822341</v>
      </c>
      <c r="BH8" s="9" cm="1">
        <f t="array" ref="BH8">PRODUCT(1 + 預測IC!$C17:BG17) - 1</f>
        <v>1.2689201832042101</v>
      </c>
      <c r="BI8" s="9" cm="1">
        <f t="array" ref="BI8">PRODUCT(1 + 預測IC!$C17:BH17) - 1</f>
        <v>1.3847355473215033</v>
      </c>
      <c r="BJ8" s="9" cm="1">
        <f t="array" ref="BJ8">PRODUCT(1 + 預測IC!$C17:BI17) - 1</f>
        <v>1.6373677388936265</v>
      </c>
      <c r="BK8" s="9" cm="1">
        <f t="array" ref="BK8">PRODUCT(1 + 預測IC!$C17:BJ17) - 1</f>
        <v>1.2942191497620112</v>
      </c>
      <c r="BL8" s="9" cm="1">
        <f t="array" ref="BL8">PRODUCT(1 + 預測IC!$C17:BK17) - 1</f>
        <v>1.3812244886651417</v>
      </c>
      <c r="BM8" s="9" cm="1">
        <f t="array" ref="BM8">PRODUCT(1 + 預測IC!$C17:BL17) - 1</f>
        <v>1.3700306132273172</v>
      </c>
      <c r="BN8" s="9" cm="1">
        <f t="array" ref="BN8">PRODUCT(1 + 預測IC!$C17:BM17) - 1</f>
        <v>1.3436603884591585</v>
      </c>
      <c r="BO8" s="9" cm="1">
        <f t="array" ref="BO8">PRODUCT(1 + 預測IC!$C17:BN17) - 1</f>
        <v>1.2041381895317387</v>
      </c>
      <c r="BP8" s="9" cm="1">
        <f t="array" ref="BP8">PRODUCT(1 + 預測IC!$C17:BO17) - 1</f>
        <v>1.1403546384798116</v>
      </c>
      <c r="BQ8" s="9" cm="1">
        <f t="array" ref="BQ8">PRODUCT(1 + 預測IC!$C17:BP17) - 1</f>
        <v>0.8443957475349495</v>
      </c>
      <c r="BR8" s="9" cm="1">
        <f t="array" ref="BR8">PRODUCT(1 + 預測IC!$C17:BQ17) - 1</f>
        <v>0.89643384036627993</v>
      </c>
      <c r="BS8" s="9" cm="1">
        <f t="array" ref="BS8">PRODUCT(1 + 預測IC!$C17:BR17) - 1</f>
        <v>0.64648323862657864</v>
      </c>
      <c r="BT8" s="9" cm="1">
        <f t="array" ref="BT8">PRODUCT(1 + 預測IC!$C17:BS17) - 1</f>
        <v>0.64740249832630359</v>
      </c>
      <c r="BU8" s="9" cm="1">
        <f t="array" ref="BU8">PRODUCT(1 + 預測IC!$C17:BT17) - 1</f>
        <v>0.80456434580114955</v>
      </c>
      <c r="BV8" s="9" cm="1">
        <f t="array" ref="BV8">PRODUCT(1 + 預測IC!$C17:BU17) - 1</f>
        <v>0.73154054314237338</v>
      </c>
      <c r="BW8" s="9" cm="1">
        <f t="array" ref="BW8">PRODUCT(1 + 預測IC!$C17:BV17) - 1</f>
        <v>1.0165414628324552</v>
      </c>
      <c r="BX8" s="9" cm="1">
        <f t="array" ref="BX8">PRODUCT(1 + 預測IC!$C17:BW17) - 1</f>
        <v>0.98797281988290386</v>
      </c>
      <c r="BY8" s="9" cm="1">
        <f t="array" ref="BY8">PRODUCT(1 + 預測IC!$C17:BX17) - 1</f>
        <v>0.97678810962405649</v>
      </c>
      <c r="BZ8" s="9" cm="1">
        <f t="array" ref="BZ8">PRODUCT(1 + 預測IC!$C17:BY17) - 1</f>
        <v>0.98171474662027891</v>
      </c>
      <c r="CA8" s="9" cm="1">
        <f t="array" ref="CA8">PRODUCT(1 + 預測IC!$C17:BZ17) - 1</f>
        <v>0.68614920428938087</v>
      </c>
      <c r="CB8" s="9" cm="1">
        <f t="array" ref="CB8">PRODUCT(1 + 預測IC!$C17:CA17) - 1</f>
        <v>0.46706204203118595</v>
      </c>
      <c r="CC8" s="9" cm="1">
        <f t="array" ref="CC8">PRODUCT(1 + 預測IC!$C17:CB17) - 1</f>
        <v>0.70455431719305883</v>
      </c>
      <c r="CD8" s="9" cm="1">
        <f t="array" ref="CD8">PRODUCT(1 + 預測IC!$C17:CC17) - 1</f>
        <v>0.60020631461844309</v>
      </c>
      <c r="CE8" s="9" cm="1">
        <f t="array" ref="CE8">PRODUCT(1 + 預測IC!$C17:CD17) - 1</f>
        <v>0.52481344520905004</v>
      </c>
      <c r="CF8" s="9" cm="1">
        <f t="array" ref="CF8">PRODUCT(1 + 預測IC!$C17:CE17) - 1</f>
        <v>0.68116086024702627</v>
      </c>
      <c r="CG8" s="9" cm="1">
        <f t="array" ref="CG8">PRODUCT(1 + 預測IC!$C17:CF17) - 1</f>
        <v>0.75716727022643315</v>
      </c>
      <c r="CH8" s="9" cm="1">
        <f t="array" ref="CH8">PRODUCT(1 + 預測IC!$C17:CG17) - 1</f>
        <v>0.53708728381080806</v>
      </c>
      <c r="CI8" s="9" cm="1">
        <f t="array" ref="CI8">PRODUCT(1 + 預測IC!$C17:CH17) - 1</f>
        <v>0.55527848861791651</v>
      </c>
      <c r="CJ8" s="9" cm="1">
        <f t="array" ref="CJ8">PRODUCT(1 + 預測IC!$C17:CI17) - 1</f>
        <v>0.5069081132848583</v>
      </c>
      <c r="CK8" s="9" cm="1">
        <f t="array" ref="CK8">PRODUCT(1 + 預測IC!$C17:CJ17) - 1</f>
        <v>0.42106323652865574</v>
      </c>
      <c r="CL8" s="9" cm="1">
        <f t="array" ref="CL8">PRODUCT(1 + 預測IC!$C17:CK17) - 1</f>
        <v>0.54288293150585276</v>
      </c>
      <c r="CM8" s="9" cm="1">
        <f t="array" ref="CM8">PRODUCT(1 + 預測IC!$C17:CL17) - 1</f>
        <v>0.75482956383715072</v>
      </c>
      <c r="CN8" s="9" cm="1">
        <f t="array" ref="CN8">PRODUCT(1 + 預測IC!$C17:CM17) - 1</f>
        <v>0.67300794036898748</v>
      </c>
      <c r="CO8" s="9" cm="1">
        <f t="array" ref="CO8">PRODUCT(1 + 預測IC!$C17:CN17) - 1</f>
        <v>1.1363846285916162</v>
      </c>
      <c r="CP8" s="9" cm="1">
        <f t="array" ref="CP8">PRODUCT(1 + 預測IC!$C17:CO17) - 1</f>
        <v>0.71026941794934384</v>
      </c>
      <c r="CQ8" s="9" cm="1">
        <f t="array" ref="CQ8">PRODUCT(1 + 預測IC!$C17:CP17) - 1</f>
        <v>0.86855822458118914</v>
      </c>
      <c r="CR8" s="9" cm="1">
        <f t="array" ref="CR8">PRODUCT(1 + 預測IC!$C17:CQ17) - 1</f>
        <v>0.74319849243375113</v>
      </c>
      <c r="CS8" s="9" cm="1">
        <f t="array" ref="CS8">PRODUCT(1 + 預測IC!$C17:CR17) - 1</f>
        <v>0.42682725936700638</v>
      </c>
      <c r="CT8" s="9" cm="1">
        <f t="array" ref="CT8">PRODUCT(1 + 預測IC!$C17:CS17) - 1</f>
        <v>0.52019300981985839</v>
      </c>
      <c r="CU8" s="9" cm="1">
        <f t="array" ref="CU8">PRODUCT(1 + 預測IC!$C17:CT17) - 1</f>
        <v>0.26368162136717044</v>
      </c>
      <c r="CV8" s="9" cm="1">
        <f t="array" ref="CV8">PRODUCT(1 + 預測IC!$C17:CU17) - 1</f>
        <v>0.10692200290760723</v>
      </c>
      <c r="CW8" s="9" cm="1">
        <f t="array" ref="CW8">PRODUCT(1 + 預測IC!$C17:CV17) - 1</f>
        <v>0.20061392139184253</v>
      </c>
      <c r="CX8" s="9" cm="1">
        <f t="array" ref="CX8">PRODUCT(1 + 預測IC!$C17:CW17) - 1</f>
        <v>0.23191643668993001</v>
      </c>
      <c r="CY8" s="9" cm="1">
        <f t="array" ref="CY8">PRODUCT(1 + 預測IC!$C17:CX17) - 1</f>
        <v>4.4187427122736711E-2</v>
      </c>
      <c r="CZ8" s="9" cm="1">
        <f t="array" ref="CZ8">PRODUCT(1 + 預測IC!$C17:CY17) - 1</f>
        <v>0.1412424602071245</v>
      </c>
      <c r="DA8" s="9" cm="1">
        <f t="array" ref="DA8">PRODUCT(1 + 預測IC!$C17:CZ17) - 1</f>
        <v>0.11412273314867427</v>
      </c>
      <c r="DB8" s="9" cm="1">
        <f t="array" ref="DB8">PRODUCT(1 + 預測IC!$C17:DA17) - 1</f>
        <v>0.17861054930865294</v>
      </c>
      <c r="DC8" s="9" cm="1">
        <f t="array" ref="DC8">PRODUCT(1 + 預測IC!$C17:DB17) - 1</f>
        <v>0.42572204680315817</v>
      </c>
      <c r="DD8" s="9" cm="1">
        <f t="array" ref="DD8">PRODUCT(1 + 預測IC!$C17:DC17) - 1</f>
        <v>0.32921145417726971</v>
      </c>
      <c r="DE8" s="9" cm="1">
        <f t="array" ref="DE8">PRODUCT(1 + 預測IC!$C17:DD17) - 1</f>
        <v>0.31101272662984814</v>
      </c>
      <c r="DF8" s="9" cm="1">
        <f t="array" ref="DF8">PRODUCT(1 + 預測IC!$C17:DE17) - 1</f>
        <v>0.31080270557633627</v>
      </c>
      <c r="DG8" s="9" cm="1">
        <f t="array" ref="DG8">PRODUCT(1 + 預測IC!$C17:DF17) - 1</f>
        <v>0.36939599629847253</v>
      </c>
      <c r="DH8" s="9" cm="1">
        <f t="array" ref="DH8">PRODUCT(1 + 預測IC!$C17:DG17) - 1</f>
        <v>0.31810207895101872</v>
      </c>
      <c r="DI8" s="9" cm="1">
        <f t="array" ref="DI8">PRODUCT(1 + 預測IC!$C17:DH17) - 1</f>
        <v>0.27473325676744853</v>
      </c>
      <c r="DJ8" s="9" cm="1">
        <f t="array" ref="DJ8">PRODUCT(1 + 預測IC!$C17:DI17) - 1</f>
        <v>0.13373534481800031</v>
      </c>
      <c r="DK8" s="9" cm="1">
        <f t="array" ref="DK8">PRODUCT(1 + 預測IC!$C17:DJ17) - 1</f>
        <v>0.20178642198211483</v>
      </c>
      <c r="DL8" s="9" cm="1">
        <f t="array" ref="DL8">PRODUCT(1 + 預測IC!$C17:DK17) - 1</f>
        <v>0.38988250486121889</v>
      </c>
      <c r="DM8" s="9" cm="1">
        <f t="array" ref="DM8">PRODUCT(1 + 預測IC!$C17:DL17) - 1</f>
        <v>0.30296318854469773</v>
      </c>
      <c r="DN8" s="9" cm="1">
        <f t="array" ref="DN8">PRODUCT(1 + 預測IC!$C17:DM17) - 1</f>
        <v>0.30876449107062798</v>
      </c>
      <c r="DO8" s="9" cm="1">
        <f t="array" ref="DO8">PRODUCT(1 + 預測IC!$C17:DN17) - 1</f>
        <v>0.33118138654469398</v>
      </c>
      <c r="DP8" s="9" cm="1">
        <f t="array" ref="DP8">PRODUCT(1 + 預測IC!$C17:DO17) - 1</f>
        <v>0.31150785187068397</v>
      </c>
      <c r="DQ8" s="9" cm="1">
        <f t="array" ref="DQ8">PRODUCT(1 + 預測IC!$C17:DP17) - 1</f>
        <v>0.25239499900591844</v>
      </c>
      <c r="DR8" s="9" cm="1">
        <f t="array" ref="DR8">PRODUCT(1 + 預測IC!$C17:DQ17) - 1</f>
        <v>0.30625132125019716</v>
      </c>
      <c r="DS8" s="9" cm="1">
        <f t="array" ref="DS8">PRODUCT(1 + 預測IC!$C17:DR17) - 1</f>
        <v>0.34605624815887936</v>
      </c>
      <c r="DT8" s="9" cm="1">
        <f t="array" ref="DT8">PRODUCT(1 + 預測IC!$C17:DS17) - 1</f>
        <v>0.35894008269001731</v>
      </c>
      <c r="DU8" s="9" cm="1">
        <f t="array" ref="DU8">PRODUCT(1 + 預測IC!$C17:DT17) - 1</f>
        <v>0.43058175951708111</v>
      </c>
      <c r="DV8" s="9" cm="1">
        <f t="array" ref="DV8">PRODUCT(1 + 預測IC!$C17:DU17) - 1</f>
        <v>0.7004476252179761</v>
      </c>
      <c r="DW8" s="9" cm="1">
        <f t="array" ref="DW8">PRODUCT(1 + 預測IC!$C17:DV17) - 1</f>
        <v>0.53567059350716195</v>
      </c>
      <c r="DX8" s="9" cm="1">
        <f t="array" ref="DX8">PRODUCT(1 + 預測IC!$C17:DW17) - 1</f>
        <v>0.55045764256440677</v>
      </c>
      <c r="DY8" s="9" cm="1">
        <f t="array" ref="DY8">PRODUCT(1 + 預測IC!$C17:DX17) - 1</f>
        <v>0.62842285111651353</v>
      </c>
      <c r="DZ8" s="9" cm="1">
        <f t="array" ref="DZ8">PRODUCT(1 + 預測IC!$C17:DY17) - 1</f>
        <v>0.64534665676784342</v>
      </c>
      <c r="EA8" s="9" cm="1">
        <f t="array" ref="EA8">PRODUCT(1 + 預測IC!$C17:DZ17) - 1</f>
        <v>0.59948342943174215</v>
      </c>
      <c r="EB8" s="9" cm="1">
        <f t="array" ref="EB8">PRODUCT(1 + 預測IC!$C17:EA17) - 1</f>
        <v>0.52998392260477334</v>
      </c>
      <c r="EC8" s="9" cm="1">
        <f t="array" ref="EC8">PRODUCT(1 + 預測IC!$C17:EB17) - 1</f>
        <v>0.64518312887245255</v>
      </c>
      <c r="ED8" s="9" cm="1">
        <f t="array" ref="ED8">PRODUCT(1 + 預測IC!$C17:EC17) - 1</f>
        <v>0.77047546676249512</v>
      </c>
      <c r="EE8" s="9" cm="1">
        <f t="array" ref="EE8">PRODUCT(1 + 預測IC!$C17:ED17) - 1</f>
        <v>0.96639634297498067</v>
      </c>
      <c r="EF8" s="9" cm="1">
        <f t="array" ref="EF8">PRODUCT(1 + 預測IC!$C17:EE17) - 1</f>
        <v>0.8693661279935514</v>
      </c>
      <c r="EG8" s="9" cm="1">
        <f t="array" ref="EG8">PRODUCT(1 + 預測IC!$C17:EF17) - 1</f>
        <v>0.5708593156955577</v>
      </c>
    </row>
    <row r="9" spans="3:137" ht="16">
      <c r="C9" s="6">
        <v>107</v>
      </c>
      <c r="D9" s="9" cm="1">
        <f t="array" ref="D9">PRODUCT(1 + 預測IC!$C18:C18) - 1</f>
        <v>-3.9435389831589451E-2</v>
      </c>
      <c r="E9" s="9" cm="1">
        <f t="array" ref="E9">PRODUCT(1 + 預測IC!$C18:D18) - 1</f>
        <v>0.18566137765463653</v>
      </c>
      <c r="F9" s="9" cm="1">
        <f t="array" ref="F9">PRODUCT(1 + 預測IC!$C18:E18) - 1</f>
        <v>8.285959031025425E-2</v>
      </c>
      <c r="G9" s="9" cm="1">
        <f t="array" ref="G9">PRODUCT(1 + 預測IC!$C18:F18) - 1</f>
        <v>0.1095435607097528</v>
      </c>
      <c r="H9" s="9" cm="1">
        <f t="array" ref="H9">PRODUCT(1 + 預測IC!$C18:G18) - 1</f>
        <v>0.10752654689055419</v>
      </c>
      <c r="I9" s="9" cm="1">
        <f t="array" ref="I9">PRODUCT(1 + 預測IC!$C18:H18) - 1</f>
        <v>0.10680737512891381</v>
      </c>
      <c r="J9" s="9" cm="1">
        <f t="array" ref="J9">PRODUCT(1 + 預測IC!$C18:I18) - 1</f>
        <v>0.22769062244602911</v>
      </c>
      <c r="K9" s="9" cm="1">
        <f t="array" ref="K9">PRODUCT(1 + 預測IC!$C18:J18) - 1</f>
        <v>0.31744050237843546</v>
      </c>
      <c r="L9" s="9" cm="1">
        <f t="array" ref="L9">PRODUCT(1 + 預測IC!$C18:K18) - 1</f>
        <v>0.43129488520073234</v>
      </c>
      <c r="M9" s="9" cm="1">
        <f t="array" ref="M9">PRODUCT(1 + 預測IC!$C18:L18) - 1</f>
        <v>0.5531862535848926</v>
      </c>
      <c r="N9" s="9" cm="1">
        <f t="array" ref="N9">PRODUCT(1 + 預測IC!$C18:M18) - 1</f>
        <v>0.53146116048126268</v>
      </c>
      <c r="O9" s="9" cm="1">
        <f t="array" ref="O9">PRODUCT(1 + 預測IC!$C18:N18) - 1</f>
        <v>0.27930939230288887</v>
      </c>
      <c r="P9" s="9" cm="1">
        <f t="array" ref="P9">PRODUCT(1 + 預測IC!$C18:O18) - 1</f>
        <v>0.24273767635312593</v>
      </c>
      <c r="Q9" s="9" cm="1">
        <f t="array" ref="Q9">PRODUCT(1 + 預測IC!$C18:P18) - 1</f>
        <v>0.2455199763654845</v>
      </c>
      <c r="R9" s="9" cm="1">
        <f t="array" ref="R9">PRODUCT(1 + 預測IC!$C18:Q18) - 1</f>
        <v>0.31128679851118024</v>
      </c>
      <c r="S9" s="9" cm="1">
        <f t="array" ref="S9">PRODUCT(1 + 預測IC!$C18:R18) - 1</f>
        <v>0.26606269741860666</v>
      </c>
      <c r="T9" s="9" cm="1">
        <f t="array" ref="T9">PRODUCT(1 + 預測IC!$C18:S18) - 1</f>
        <v>0.38841910669446356</v>
      </c>
      <c r="U9" s="9" cm="1">
        <f t="array" ref="U9">PRODUCT(1 + 預測IC!$C18:T18) - 1</f>
        <v>0.3454684784283919</v>
      </c>
      <c r="V9" s="9" cm="1">
        <f t="array" ref="V9">PRODUCT(1 + 預測IC!$C18:U18) - 1</f>
        <v>0.41666486466157271</v>
      </c>
      <c r="W9" s="9" cm="1">
        <f t="array" ref="W9">PRODUCT(1 + 預測IC!$C18:V18) - 1</f>
        <v>0.3650881357553315</v>
      </c>
      <c r="X9" s="9" cm="1">
        <f t="array" ref="X9">PRODUCT(1 + 預測IC!$C18:W18) - 1</f>
        <v>0.40165733169528828</v>
      </c>
      <c r="Y9" s="9" cm="1">
        <f t="array" ref="Y9">PRODUCT(1 + 預測IC!$C18:X18) - 1</f>
        <v>2.1624636344490966E-2</v>
      </c>
      <c r="Z9" s="9" cm="1">
        <f t="array" ref="Z9">PRODUCT(1 + 預測IC!$C18:Y18) - 1</f>
        <v>-2.7313338237253793E-2</v>
      </c>
      <c r="AA9" s="9" cm="1">
        <f t="array" ref="AA9">PRODUCT(1 + 預測IC!$C18:Z18) - 1</f>
        <v>1.4521971679730017E-2</v>
      </c>
      <c r="AB9" s="9" cm="1">
        <f t="array" ref="AB9">PRODUCT(1 + 預測IC!$C18:AA18) - 1</f>
        <v>-0.1540498743313421</v>
      </c>
      <c r="AC9" s="9" cm="1">
        <f t="array" ref="AC9">PRODUCT(1 + 預測IC!$C18:AB18) - 1</f>
        <v>-0.18137018423036311</v>
      </c>
      <c r="AD9" s="9" cm="1">
        <f t="array" ref="AD9">PRODUCT(1 + 預測IC!$C18:AC18) - 1</f>
        <v>-0.19182036060381313</v>
      </c>
      <c r="AE9" s="9" cm="1">
        <f t="array" ref="AE9">PRODUCT(1 + 預測IC!$C18:AD18) - 1</f>
        <v>-0.14887688239221042</v>
      </c>
      <c r="AF9" s="9" cm="1">
        <f t="array" ref="AF9">PRODUCT(1 + 預測IC!$C18:AE18) - 1</f>
        <v>-0.10782966222499257</v>
      </c>
      <c r="AG9" s="9" cm="1">
        <f t="array" ref="AG9">PRODUCT(1 + 預測IC!$C18:AF18) - 1</f>
        <v>2.4136257746817158E-2</v>
      </c>
      <c r="AH9" s="9" cm="1">
        <f t="array" ref="AH9">PRODUCT(1 + 預測IC!$C18:AG18) - 1</f>
        <v>-2.0696494663503762E-2</v>
      </c>
      <c r="AI9" s="9" cm="1">
        <f t="array" ref="AI9">PRODUCT(1 + 預測IC!$C18:AH18) - 1</f>
        <v>0.12463373706032144</v>
      </c>
      <c r="AJ9" s="9" cm="1">
        <f t="array" ref="AJ9">PRODUCT(1 + 預測IC!$C18:AI18) - 1</f>
        <v>0.23732508104124417</v>
      </c>
      <c r="AK9" s="9" cm="1">
        <f t="array" ref="AK9">PRODUCT(1 + 預測IC!$C18:AJ18) - 1</f>
        <v>0.28159192470621619</v>
      </c>
      <c r="AL9" s="9" cm="1">
        <f t="array" ref="AL9">PRODUCT(1 + 預測IC!$C18:AK18) - 1</f>
        <v>0.35041336813515733</v>
      </c>
      <c r="AM9" s="9" cm="1">
        <f t="array" ref="AM9">PRODUCT(1 + 預測IC!$C18:AL18) - 1</f>
        <v>0.35775921528627097</v>
      </c>
      <c r="AN9" s="9" cm="1">
        <f t="array" ref="AN9">PRODUCT(1 + 預測IC!$C18:AM18) - 1</f>
        <v>0.39710553094515566</v>
      </c>
      <c r="AO9" s="9" cm="1">
        <f t="array" ref="AO9">PRODUCT(1 + 預測IC!$C18:AN18) - 1</f>
        <v>0.36632377826702078</v>
      </c>
      <c r="AP9" s="9" cm="1">
        <f t="array" ref="AP9">PRODUCT(1 + 預測IC!$C18:AO18) - 1</f>
        <v>0.4224662318578063</v>
      </c>
      <c r="AQ9" s="9" cm="1">
        <f t="array" ref="AQ9">PRODUCT(1 + 預測IC!$C18:AP18) - 1</f>
        <v>0.28772356958252199</v>
      </c>
      <c r="AR9" s="9" cm="1">
        <f t="array" ref="AR9">PRODUCT(1 + 預測IC!$C18:AQ18) - 1</f>
        <v>0.21754552862739818</v>
      </c>
      <c r="AS9" s="9" cm="1">
        <f t="array" ref="AS9">PRODUCT(1 + 預測IC!$C18:AR18) - 1</f>
        <v>0.17569607921249086</v>
      </c>
      <c r="AT9" s="9" cm="1">
        <f t="array" ref="AT9">PRODUCT(1 + 預測IC!$C18:AS18) - 1</f>
        <v>0.23758791664427026</v>
      </c>
      <c r="AU9" s="9" cm="1">
        <f t="array" ref="AU9">PRODUCT(1 + 預測IC!$C18:AT18) - 1</f>
        <v>8.5904137578893147E-2</v>
      </c>
      <c r="AV9" s="9" cm="1">
        <f t="array" ref="AV9">PRODUCT(1 + 預測IC!$C18:AU18) - 1</f>
        <v>0.17504630342818506</v>
      </c>
      <c r="AW9" s="9" cm="1">
        <f t="array" ref="AW9">PRODUCT(1 + 預測IC!$C18:AV18) - 1</f>
        <v>6.2334049910502731E-2</v>
      </c>
      <c r="AX9" s="9" cm="1">
        <f t="array" ref="AX9">PRODUCT(1 + 預測IC!$C18:AW18) - 1</f>
        <v>4.7517021960224337E-2</v>
      </c>
      <c r="AY9" s="9" cm="1">
        <f t="array" ref="AY9">PRODUCT(1 + 預測IC!$C18:AX18) - 1</f>
        <v>-5.4449109175174204E-3</v>
      </c>
      <c r="AZ9" s="9" cm="1">
        <f t="array" ref="AZ9">PRODUCT(1 + 預測IC!$C18:AY18) - 1</f>
        <v>0.21925739536721545</v>
      </c>
      <c r="BA9" s="9" cm="1">
        <f t="array" ref="BA9">PRODUCT(1 + 預測IC!$C18:AZ18) - 1</f>
        <v>0.21440181004960213</v>
      </c>
      <c r="BB9" s="9" cm="1">
        <f t="array" ref="BB9">PRODUCT(1 + 預測IC!$C18:BA18) - 1</f>
        <v>0.39972088317887811</v>
      </c>
      <c r="BC9" s="9" cm="1">
        <f t="array" ref="BC9">PRODUCT(1 + 預測IC!$C18:BB18) - 1</f>
        <v>0.50191650439916535</v>
      </c>
      <c r="BD9" s="9" cm="1">
        <f t="array" ref="BD9">PRODUCT(1 + 預測IC!$C18:BC18) - 1</f>
        <v>0.44334267400963401</v>
      </c>
      <c r="BE9" s="9" cm="1">
        <f t="array" ref="BE9">PRODUCT(1 + 預測IC!$C18:BD18) - 1</f>
        <v>0.49478308059023335</v>
      </c>
      <c r="BF9" s="9" cm="1">
        <f t="array" ref="BF9">PRODUCT(1 + 預測IC!$C18:BE18) - 1</f>
        <v>0.60777367523869796</v>
      </c>
      <c r="BG9" s="9" cm="1">
        <f t="array" ref="BG9">PRODUCT(1 + 預測IC!$C18:BF18) - 1</f>
        <v>0.86291505947296265</v>
      </c>
      <c r="BH9" s="9" cm="1">
        <f t="array" ref="BH9">PRODUCT(1 + 預測IC!$C18:BG18) - 1</f>
        <v>1.0879158742458577</v>
      </c>
      <c r="BI9" s="9" cm="1">
        <f t="array" ref="BI9">PRODUCT(1 + 預測IC!$C18:BH18) - 1</f>
        <v>1.1793771826958119</v>
      </c>
      <c r="BJ9" s="9" cm="1">
        <f t="array" ref="BJ9">PRODUCT(1 + 預測IC!$C18:BI18) - 1</f>
        <v>1.4804583446199771</v>
      </c>
      <c r="BK9" s="9" cm="1">
        <f t="array" ref="BK9">PRODUCT(1 + 預測IC!$C18:BJ18) - 1</f>
        <v>1.2409284110017782</v>
      </c>
      <c r="BL9" s="9" cm="1">
        <f t="array" ref="BL9">PRODUCT(1 + 預測IC!$C18:BK18) - 1</f>
        <v>1.2872960487455534</v>
      </c>
      <c r="BM9" s="9" cm="1">
        <f t="array" ref="BM9">PRODUCT(1 + 預測IC!$C18:BL18) - 1</f>
        <v>1.2856257010131533</v>
      </c>
      <c r="BN9" s="9" cm="1">
        <f t="array" ref="BN9">PRODUCT(1 + 預測IC!$C18:BM18) - 1</f>
        <v>1.2889130265854476</v>
      </c>
      <c r="BO9" s="9" cm="1">
        <f t="array" ref="BO9">PRODUCT(1 + 預測IC!$C18:BN18) - 1</f>
        <v>1.1565484838093067</v>
      </c>
      <c r="BP9" s="9" cm="1">
        <f t="array" ref="BP9">PRODUCT(1 + 預測IC!$C18:BO18) - 1</f>
        <v>1.0929577630156331</v>
      </c>
      <c r="BQ9" s="9" cm="1">
        <f t="array" ref="BQ9">PRODUCT(1 + 預測IC!$C18:BP18) - 1</f>
        <v>0.82932261975931887</v>
      </c>
      <c r="BR9" s="9" cm="1">
        <f t="array" ref="BR9">PRODUCT(1 + 預測IC!$C18:BQ18) - 1</f>
        <v>0.88153430460654469</v>
      </c>
      <c r="BS9" s="9" cm="1">
        <f t="array" ref="BS9">PRODUCT(1 + 預測IC!$C18:BR18) - 1</f>
        <v>0.60396654804997851</v>
      </c>
      <c r="BT9" s="9" cm="1">
        <f t="array" ref="BT9">PRODUCT(1 + 預測IC!$C18:BS18) - 1</f>
        <v>0.6062729439487986</v>
      </c>
      <c r="BU9" s="9" cm="1">
        <f t="array" ref="BU9">PRODUCT(1 + 預測IC!$C18:BT18) - 1</f>
        <v>0.77088443407819351</v>
      </c>
      <c r="BV9" s="9" cm="1">
        <f t="array" ref="BV9">PRODUCT(1 + 預測IC!$C18:BU18) - 1</f>
        <v>0.69574193489322744</v>
      </c>
      <c r="BW9" s="9" cm="1">
        <f t="array" ref="BW9">PRODUCT(1 + 預測IC!$C18:BV18) - 1</f>
        <v>0.99128391062421084</v>
      </c>
      <c r="BX9" s="9" cm="1">
        <f t="array" ref="BX9">PRODUCT(1 + 預測IC!$C18:BW18) - 1</f>
        <v>0.92103921286088108</v>
      </c>
      <c r="BY9" s="9" cm="1">
        <f t="array" ref="BY9">PRODUCT(1 + 預測IC!$C18:BX18) - 1</f>
        <v>0.89016180736848538</v>
      </c>
      <c r="BZ9" s="9" cm="1">
        <f t="array" ref="BZ9">PRODUCT(1 + 預測IC!$C18:BY18) - 1</f>
        <v>0.92738547268877802</v>
      </c>
      <c r="CA9" s="9" cm="1">
        <f t="array" ref="CA9">PRODUCT(1 + 預測IC!$C18:BZ18) - 1</f>
        <v>0.65750193249855693</v>
      </c>
      <c r="CB9" s="9" cm="1">
        <f t="array" ref="CB9">PRODUCT(1 + 預測IC!$C18:CA18) - 1</f>
        <v>0.42852178051238932</v>
      </c>
      <c r="CC9" s="9" cm="1">
        <f t="array" ref="CC9">PRODUCT(1 + 預測IC!$C18:CB18) - 1</f>
        <v>0.65836646519980224</v>
      </c>
      <c r="CD9" s="9" cm="1">
        <f t="array" ref="CD9">PRODUCT(1 + 預測IC!$C18:CC18) - 1</f>
        <v>0.56643951490733047</v>
      </c>
      <c r="CE9" s="9" cm="1">
        <f t="array" ref="CE9">PRODUCT(1 + 預測IC!$C18:CD18) - 1</f>
        <v>0.47090467802277169</v>
      </c>
      <c r="CF9" s="9" cm="1">
        <f t="array" ref="CF9">PRODUCT(1 + 預測IC!$C18:CE18) - 1</f>
        <v>0.65024901557914916</v>
      </c>
      <c r="CG9" s="9" cm="1">
        <f t="array" ref="CG9">PRODUCT(1 + 預測IC!$C18:CF18) - 1</f>
        <v>0.6304565222371239</v>
      </c>
      <c r="CH9" s="9" cm="1">
        <f t="array" ref="CH9">PRODUCT(1 + 預測IC!$C18:CG18) - 1</f>
        <v>0.48189542625944326</v>
      </c>
      <c r="CI9" s="9" cm="1">
        <f t="array" ref="CI9">PRODUCT(1 + 預測IC!$C18:CH18) - 1</f>
        <v>0.50667981495945047</v>
      </c>
      <c r="CJ9" s="9" cm="1">
        <f t="array" ref="CJ9">PRODUCT(1 + 預測IC!$C18:CI18) - 1</f>
        <v>0.45003894746557083</v>
      </c>
      <c r="CK9" s="9" cm="1">
        <f t="array" ref="CK9">PRODUCT(1 + 預測IC!$C18:CJ18) - 1</f>
        <v>0.37059354299963854</v>
      </c>
      <c r="CL9" s="9" cm="1">
        <f t="array" ref="CL9">PRODUCT(1 + 預測IC!$C18:CK18) - 1</f>
        <v>0.5237506690596363</v>
      </c>
      <c r="CM9" s="9" cm="1">
        <f t="array" ref="CM9">PRODUCT(1 + 預測IC!$C18:CL18) - 1</f>
        <v>0.65946568158755681</v>
      </c>
      <c r="CN9" s="9" cm="1">
        <f t="array" ref="CN9">PRODUCT(1 + 預測IC!$C18:CM18) - 1</f>
        <v>0.64784987527265647</v>
      </c>
      <c r="CO9" s="9" cm="1">
        <f t="array" ref="CO9">PRODUCT(1 + 預測IC!$C18:CN18) - 1</f>
        <v>1.1762815133902169</v>
      </c>
      <c r="CP9" s="9" cm="1">
        <f t="array" ref="CP9">PRODUCT(1 + 預測IC!$C18:CO18) - 1</f>
        <v>0.73209848099868591</v>
      </c>
      <c r="CQ9" s="9" cm="1">
        <f t="array" ref="CQ9">PRODUCT(1 + 預測IC!$C18:CP18) - 1</f>
        <v>0.87446977665580916</v>
      </c>
      <c r="CR9" s="9" cm="1">
        <f t="array" ref="CR9">PRODUCT(1 + 預測IC!$C18:CQ18) - 1</f>
        <v>0.70269450987052862</v>
      </c>
      <c r="CS9" s="9" cm="1">
        <f t="array" ref="CS9">PRODUCT(1 + 預測IC!$C18:CR18) - 1</f>
        <v>0.38039736854316519</v>
      </c>
      <c r="CT9" s="9" cm="1">
        <f t="array" ref="CT9">PRODUCT(1 + 預測IC!$C18:CS18) - 1</f>
        <v>0.4842013388946651</v>
      </c>
      <c r="CU9" s="9" cm="1">
        <f t="array" ref="CU9">PRODUCT(1 + 預測IC!$C18:CT18) - 1</f>
        <v>0.25121290184919154</v>
      </c>
      <c r="CV9" s="9" cm="1">
        <f t="array" ref="CV9">PRODUCT(1 + 預測IC!$C18:CU18) - 1</f>
        <v>8.1708961892442478E-2</v>
      </c>
      <c r="CW9" s="9" cm="1">
        <f t="array" ref="CW9">PRODUCT(1 + 預測IC!$C18:CV18) - 1</f>
        <v>0.17916775354481018</v>
      </c>
      <c r="CX9" s="9" cm="1">
        <f t="array" ref="CX9">PRODUCT(1 + 預測IC!$C18:CW18) - 1</f>
        <v>0.23499151144242991</v>
      </c>
      <c r="CY9" s="9" cm="1">
        <f t="array" ref="CY9">PRODUCT(1 + 預測IC!$C18:CX18) - 1</f>
        <v>3.4594409347771915E-2</v>
      </c>
      <c r="CZ9" s="9" cm="1">
        <f t="array" ref="CZ9">PRODUCT(1 + 預測IC!$C18:CY18) - 1</f>
        <v>0.11868690288065475</v>
      </c>
      <c r="DA9" s="9" cm="1">
        <f t="array" ref="DA9">PRODUCT(1 + 預測IC!$C18:CZ18) - 1</f>
        <v>8.2078072839270488E-2</v>
      </c>
      <c r="DB9" s="9" cm="1">
        <f t="array" ref="DB9">PRODUCT(1 + 預測IC!$C18:DA18) - 1</f>
        <v>0.16659518576912591</v>
      </c>
      <c r="DC9" s="9" cm="1">
        <f t="array" ref="DC9">PRODUCT(1 + 預測IC!$C18:DB18) - 1</f>
        <v>0.43685486300752285</v>
      </c>
      <c r="DD9" s="9" cm="1">
        <f t="array" ref="DD9">PRODUCT(1 + 預測IC!$C18:DC18) - 1</f>
        <v>0.3172165055193279</v>
      </c>
      <c r="DE9" s="9" cm="1">
        <f t="array" ref="DE9">PRODUCT(1 + 預測IC!$C18:DD18) - 1</f>
        <v>0.32736615983666151</v>
      </c>
      <c r="DF9" s="9" cm="1">
        <f t="array" ref="DF9">PRODUCT(1 + 預測IC!$C18:DE18) - 1</f>
        <v>0.32861458941643495</v>
      </c>
      <c r="DG9" s="9" cm="1">
        <f t="array" ref="DG9">PRODUCT(1 + 預測IC!$C18:DF18) - 1</f>
        <v>0.38993917043320536</v>
      </c>
      <c r="DH9" s="9" cm="1">
        <f t="array" ref="DH9">PRODUCT(1 + 預測IC!$C18:DG18) - 1</f>
        <v>0.33958510527809582</v>
      </c>
      <c r="DI9" s="9" cm="1">
        <f t="array" ref="DI9">PRODUCT(1 + 預測IC!$C18:DH18) - 1</f>
        <v>0.29146769208562295</v>
      </c>
      <c r="DJ9" s="9" cm="1">
        <f t="array" ref="DJ9">PRODUCT(1 + 預測IC!$C18:DI18) - 1</f>
        <v>0.12623436195413795</v>
      </c>
      <c r="DK9" s="9" cm="1">
        <f t="array" ref="DK9">PRODUCT(1 + 預測IC!$C18:DJ18) - 1</f>
        <v>0.20614638016281628</v>
      </c>
      <c r="DL9" s="9" cm="1">
        <f t="array" ref="DL9">PRODUCT(1 + 預測IC!$C18:DK18) - 1</f>
        <v>0.39780089190956791</v>
      </c>
      <c r="DM9" s="9" cm="1">
        <f t="array" ref="DM9">PRODUCT(1 + 預測IC!$C18:DL18) - 1</f>
        <v>0.29154833401367286</v>
      </c>
      <c r="DN9" s="9" cm="1">
        <f t="array" ref="DN9">PRODUCT(1 + 預測IC!$C18:DM18) - 1</f>
        <v>0.28913067255292857</v>
      </c>
      <c r="DO9" s="9" cm="1">
        <f t="array" ref="DO9">PRODUCT(1 + 預測IC!$C18:DN18) - 1</f>
        <v>0.30396023938116046</v>
      </c>
      <c r="DP9" s="9" cm="1">
        <f t="array" ref="DP9">PRODUCT(1 + 預測IC!$C18:DO18) - 1</f>
        <v>0.29577646029547822</v>
      </c>
      <c r="DQ9" s="9" cm="1">
        <f t="array" ref="DQ9">PRODUCT(1 + 預測IC!$C18:DP18) - 1</f>
        <v>0.23399927123508424</v>
      </c>
      <c r="DR9" s="9" cm="1">
        <f t="array" ref="DR9">PRODUCT(1 + 預測IC!$C18:DQ18) - 1</f>
        <v>0.28856689437996974</v>
      </c>
      <c r="DS9" s="9" cm="1">
        <f t="array" ref="DS9">PRODUCT(1 + 預測IC!$C18:DR18) - 1</f>
        <v>0.37658294776882628</v>
      </c>
      <c r="DT9" s="9" cm="1">
        <f t="array" ref="DT9">PRODUCT(1 + 預測IC!$C18:DS18) - 1</f>
        <v>0.36223479014793702</v>
      </c>
      <c r="DU9" s="9" cm="1">
        <f t="array" ref="DU9">PRODUCT(1 + 預測IC!$C18:DT18) - 1</f>
        <v>0.44276054134859</v>
      </c>
      <c r="DV9" s="9" cm="1">
        <f t="array" ref="DV9">PRODUCT(1 + 預測IC!$C18:DU18) - 1</f>
        <v>0.7170412121346923</v>
      </c>
      <c r="DW9" s="9" cm="1">
        <f t="array" ref="DW9">PRODUCT(1 + 預測IC!$C18:DV18) - 1</f>
        <v>0.61662736037460819</v>
      </c>
      <c r="DX9" s="9" cm="1">
        <f t="array" ref="DX9">PRODUCT(1 + 預測IC!$C18:DW18) - 1</f>
        <v>0.68213869398101612</v>
      </c>
      <c r="DY9" s="9" cm="1">
        <f t="array" ref="DY9">PRODUCT(1 + 預測IC!$C18:DX18) - 1</f>
        <v>0.76878097642472043</v>
      </c>
      <c r="DZ9" s="9" cm="1">
        <f t="array" ref="DZ9">PRODUCT(1 + 預測IC!$C18:DY18) - 1</f>
        <v>0.78850572294397359</v>
      </c>
      <c r="EA9" s="9" cm="1">
        <f t="array" ref="EA9">PRODUCT(1 + 預測IC!$C18:DZ18) - 1</f>
        <v>0.70057952751636865</v>
      </c>
      <c r="EB9" s="9" cm="1">
        <f t="array" ref="EB9">PRODUCT(1 + 預測IC!$C18:EA18) - 1</f>
        <v>0.69986440790780113</v>
      </c>
      <c r="EC9" s="9" cm="1">
        <f t="array" ref="EC9">PRODUCT(1 + 預測IC!$C18:EB18) - 1</f>
        <v>0.85099757428751577</v>
      </c>
      <c r="ED9" s="9" cm="1">
        <f t="array" ref="ED9">PRODUCT(1 + 預測IC!$C18:EC18) - 1</f>
        <v>0.97779364865368912</v>
      </c>
      <c r="EE9" s="9" cm="1">
        <f t="array" ref="EE9">PRODUCT(1 + 預測IC!$C18:ED18) - 1</f>
        <v>1.2046450525873782</v>
      </c>
      <c r="EF9" s="9" cm="1">
        <f t="array" ref="EF9">PRODUCT(1 + 預測IC!$C18:EE18) - 1</f>
        <v>1.0740396824011773</v>
      </c>
      <c r="EG9" s="9" cm="1">
        <f t="array" ref="EG9">PRODUCT(1 + 預測IC!$C18:EF18) - 1</f>
        <v>0.7463585249231981</v>
      </c>
    </row>
    <row r="10" spans="3:137" ht="16">
      <c r="C10" s="6">
        <v>120</v>
      </c>
      <c r="D10" s="9" cm="1">
        <f t="array" ref="D10">PRODUCT(1 + 預測IC!$C19:C19) - 1</f>
        <v>-3.8913468982799793E-2</v>
      </c>
      <c r="E10" s="9" cm="1">
        <f t="array" ref="E10">PRODUCT(1 + 預測IC!$C19:D19) - 1</f>
        <v>0.12307513033911155</v>
      </c>
      <c r="F10" s="9" cm="1">
        <f t="array" ref="F10">PRODUCT(1 + 預測IC!$C19:E19) - 1</f>
        <v>1.4506211782593592E-2</v>
      </c>
      <c r="G10" s="9" cm="1">
        <f t="array" ref="G10">PRODUCT(1 + 預測IC!$C19:F19) - 1</f>
        <v>4.2436971841949278E-2</v>
      </c>
      <c r="H10" s="9" cm="1">
        <f t="array" ref="H10">PRODUCT(1 + 預測IC!$C19:G19) - 1</f>
        <v>1.7611937628214225E-2</v>
      </c>
      <c r="I10" s="9" cm="1">
        <f t="array" ref="I10">PRODUCT(1 + 預測IC!$C19:H19) - 1</f>
        <v>2.5694683575612887E-2</v>
      </c>
      <c r="J10" s="9" cm="1">
        <f t="array" ref="J10">PRODUCT(1 + 預測IC!$C19:I19) - 1</f>
        <v>0.14167769915734874</v>
      </c>
      <c r="K10" s="9" cm="1">
        <f t="array" ref="K10">PRODUCT(1 + 預測IC!$C19:J19) - 1</f>
        <v>0.1968058308045264</v>
      </c>
      <c r="L10" s="9" cm="1">
        <f t="array" ref="L10">PRODUCT(1 + 預測IC!$C19:K19) - 1</f>
        <v>0.31835352639315961</v>
      </c>
      <c r="M10" s="9" cm="1">
        <f t="array" ref="M10">PRODUCT(1 + 預測IC!$C19:L19) - 1</f>
        <v>0.37403391223610005</v>
      </c>
      <c r="N10" s="9" cm="1">
        <f t="array" ref="N10">PRODUCT(1 + 預測IC!$C19:M19) - 1</f>
        <v>0.39417607059244397</v>
      </c>
      <c r="O10" s="9" cm="1">
        <f t="array" ref="O10">PRODUCT(1 + 預測IC!$C19:N19) - 1</f>
        <v>7.9444955879763413E-2</v>
      </c>
      <c r="P10" s="9" cm="1">
        <f t="array" ref="P10">PRODUCT(1 + 預測IC!$C19:O19) - 1</f>
        <v>6.7240021434569419E-2</v>
      </c>
      <c r="Q10" s="9" cm="1">
        <f t="array" ref="Q10">PRODUCT(1 + 預測IC!$C19:P19) - 1</f>
        <v>6.7981326093475847E-2</v>
      </c>
      <c r="R10" s="9" cm="1">
        <f t="array" ref="R10">PRODUCT(1 + 預測IC!$C19:Q19) - 1</f>
        <v>0.13028002483863155</v>
      </c>
      <c r="S10" s="9" cm="1">
        <f t="array" ref="S10">PRODUCT(1 + 預測IC!$C19:R19) - 1</f>
        <v>9.6141284938494831E-2</v>
      </c>
      <c r="T10" s="9" cm="1">
        <f t="array" ref="T10">PRODUCT(1 + 預測IC!$C19:S19) - 1</f>
        <v>0.23299078047310262</v>
      </c>
      <c r="U10" s="9" cm="1">
        <f t="array" ref="U10">PRODUCT(1 + 預測IC!$C19:T19) - 1</f>
        <v>0.18672294892322427</v>
      </c>
      <c r="V10" s="9" cm="1">
        <f t="array" ref="V10">PRODUCT(1 + 預測IC!$C19:U19) - 1</f>
        <v>0.22393331675320649</v>
      </c>
      <c r="W10" s="9" cm="1">
        <f t="array" ref="W10">PRODUCT(1 + 預測IC!$C19:V19) - 1</f>
        <v>8.5678886585222713E-2</v>
      </c>
      <c r="X10" s="9" cm="1">
        <f t="array" ref="X10">PRODUCT(1 + 預測IC!$C19:W19) - 1</f>
        <v>0.14891451243206921</v>
      </c>
      <c r="Y10" s="9" cm="1">
        <f t="array" ref="Y10">PRODUCT(1 + 預測IC!$C19:X19) - 1</f>
        <v>-0.16282729630934523</v>
      </c>
      <c r="Z10" s="9" cm="1">
        <f t="array" ref="Z10">PRODUCT(1 + 預測IC!$C19:Y19) - 1</f>
        <v>-0.24275708403470586</v>
      </c>
      <c r="AA10" s="9" cm="1">
        <f t="array" ref="AA10">PRODUCT(1 + 預測IC!$C19:Z19) - 1</f>
        <v>-0.20616281006331794</v>
      </c>
      <c r="AB10" s="9" cm="1">
        <f t="array" ref="AB10">PRODUCT(1 + 預測IC!$C19:AA19) - 1</f>
        <v>-0.35801071610567703</v>
      </c>
      <c r="AC10" s="9" cm="1">
        <f t="array" ref="AC10">PRODUCT(1 + 預測IC!$C19:AB19) - 1</f>
        <v>-0.38660382952749273</v>
      </c>
      <c r="AD10" s="9" cm="1">
        <f t="array" ref="AD10">PRODUCT(1 + 預測IC!$C19:AC19) - 1</f>
        <v>-0.39892466126293036</v>
      </c>
      <c r="AE10" s="9" cm="1">
        <f t="array" ref="AE10">PRODUCT(1 + 預測IC!$C19:AD19) - 1</f>
        <v>-0.36900470844641531</v>
      </c>
      <c r="AF10" s="9" cm="1">
        <f t="array" ref="AF10">PRODUCT(1 + 預測IC!$C19:AE19) - 1</f>
        <v>-0.31986341346406622</v>
      </c>
      <c r="AG10" s="9" cm="1">
        <f t="array" ref="AG10">PRODUCT(1 + 預測IC!$C19:AF19) - 1</f>
        <v>-0.23805228320568561</v>
      </c>
      <c r="AH10" s="9" cm="1">
        <f t="array" ref="AH10">PRODUCT(1 + 預測IC!$C19:AG19) - 1</f>
        <v>-0.28578079605548734</v>
      </c>
      <c r="AI10" s="9" cm="1">
        <f t="array" ref="AI10">PRODUCT(1 + 預測IC!$C19:AH19) - 1</f>
        <v>-0.18077279669117641</v>
      </c>
      <c r="AJ10" s="9" cm="1">
        <f t="array" ref="AJ10">PRODUCT(1 + 預測IC!$C19:AI19) - 1</f>
        <v>-0.10543945616403161</v>
      </c>
      <c r="AK10" s="9" cm="1">
        <f t="array" ref="AK10">PRODUCT(1 + 預測IC!$C19:AJ19) - 1</f>
        <v>-8.4384277316808753E-2</v>
      </c>
      <c r="AL10" s="9" cm="1">
        <f t="array" ref="AL10">PRODUCT(1 + 預測IC!$C19:AK19) - 1</f>
        <v>-4.8982608706301223E-2</v>
      </c>
      <c r="AM10" s="9" cm="1">
        <f t="array" ref="AM10">PRODUCT(1 + 預測IC!$C19:AL19) - 1</f>
        <v>-2.3287847582737053E-2</v>
      </c>
      <c r="AN10" s="9" cm="1">
        <f t="array" ref="AN10">PRODUCT(1 + 預測IC!$C19:AM19) - 1</f>
        <v>5.5458114320585672E-3</v>
      </c>
      <c r="AO10" s="9" cm="1">
        <f t="array" ref="AO10">PRODUCT(1 + 預測IC!$C19:AN19) - 1</f>
        <v>1.2037751314706968E-2</v>
      </c>
      <c r="AP10" s="9" cm="1">
        <f t="array" ref="AP10">PRODUCT(1 + 預測IC!$C19:AO19) - 1</f>
        <v>8.9655508588049937E-2</v>
      </c>
      <c r="AQ10" s="9" cm="1">
        <f t="array" ref="AQ10">PRODUCT(1 + 預測IC!$C19:AP19) - 1</f>
        <v>-1.2137472145699157E-2</v>
      </c>
      <c r="AR10" s="9" cm="1">
        <f t="array" ref="AR10">PRODUCT(1 + 預測IC!$C19:AQ19) - 1</f>
        <v>-7.2670973323171295E-2</v>
      </c>
      <c r="AS10" s="9" cm="1">
        <f t="array" ref="AS10">PRODUCT(1 + 預測IC!$C19:AR19) - 1</f>
        <v>-0.11514507750046821</v>
      </c>
      <c r="AT10" s="9" cm="1">
        <f t="array" ref="AT10">PRODUCT(1 + 預測IC!$C19:AS19) - 1</f>
        <v>-6.3112991590834389E-2</v>
      </c>
      <c r="AU10" s="9" cm="1">
        <f t="array" ref="AU10">PRODUCT(1 + 預測IC!$C19:AT19) - 1</f>
        <v>-0.18216490368827587</v>
      </c>
      <c r="AV10" s="9" cm="1">
        <f t="array" ref="AV10">PRODUCT(1 + 預測IC!$C19:AU19) - 1</f>
        <v>-8.7541702381722208E-2</v>
      </c>
      <c r="AW10" s="9" cm="1">
        <f t="array" ref="AW10">PRODUCT(1 + 預測IC!$C19:AV19) - 1</f>
        <v>-0.17984468559622457</v>
      </c>
      <c r="AX10" s="9" cm="1">
        <f t="array" ref="AX10">PRODUCT(1 + 預測IC!$C19:AW19) - 1</f>
        <v>-0.18700320664152104</v>
      </c>
      <c r="AY10" s="9" cm="1">
        <f t="array" ref="AY10">PRODUCT(1 + 預測IC!$C19:AX19) - 1</f>
        <v>-0.2152107632836272</v>
      </c>
      <c r="AZ10" s="9" cm="1">
        <f t="array" ref="AZ10">PRODUCT(1 + 預測IC!$C19:AY19) - 1</f>
        <v>-2.8368578864410687E-2</v>
      </c>
      <c r="BA10" s="9" cm="1">
        <f t="array" ref="BA10">PRODUCT(1 + 預測IC!$C19:AZ19) - 1</f>
        <v>-3.5385666363922152E-2</v>
      </c>
      <c r="BB10" s="9" cm="1">
        <f t="array" ref="BB10">PRODUCT(1 + 預測IC!$C19:BA19) - 1</f>
        <v>0.11079497724909659</v>
      </c>
      <c r="BC10" s="9" cm="1">
        <f t="array" ref="BC10">PRODUCT(1 + 預測IC!$C19:BB19) - 1</f>
        <v>0.20543790696950959</v>
      </c>
      <c r="BD10" s="9" cm="1">
        <f t="array" ref="BD10">PRODUCT(1 + 預測IC!$C19:BC19) - 1</f>
        <v>0.17253810187300544</v>
      </c>
      <c r="BE10" s="9" cm="1">
        <f t="array" ref="BE10">PRODUCT(1 + 預測IC!$C19:BD19) - 1</f>
        <v>0.22060866872145213</v>
      </c>
      <c r="BF10" s="9" cm="1">
        <f t="array" ref="BF10">PRODUCT(1 + 預測IC!$C19:BE19) - 1</f>
        <v>0.30425603153953329</v>
      </c>
      <c r="BG10" s="9" cm="1">
        <f t="array" ref="BG10">PRODUCT(1 + 預測IC!$C19:BF19) - 1</f>
        <v>0.37606935581029255</v>
      </c>
      <c r="BH10" s="9" cm="1">
        <f t="array" ref="BH10">PRODUCT(1 + 預測IC!$C19:BG19) - 1</f>
        <v>0.53104372689980561</v>
      </c>
      <c r="BI10" s="9" cm="1">
        <f t="array" ref="BI10">PRODUCT(1 + 預測IC!$C19:BH19) - 1</f>
        <v>0.5766053338445678</v>
      </c>
      <c r="BJ10" s="9" cm="1">
        <f t="array" ref="BJ10">PRODUCT(1 + 預測IC!$C19:BI19) - 1</f>
        <v>0.78308092360020809</v>
      </c>
      <c r="BK10" s="9" cm="1">
        <f t="array" ref="BK10">PRODUCT(1 + 預測IC!$C19:BJ19) - 1</f>
        <v>0.60857392404062782</v>
      </c>
      <c r="BL10" s="9" cm="1">
        <f t="array" ref="BL10">PRODUCT(1 + 預測IC!$C19:BK19) - 1</f>
        <v>0.63517562379040227</v>
      </c>
      <c r="BM10" s="9" cm="1">
        <f t="array" ref="BM10">PRODUCT(1 + 預測IC!$C19:BL19) - 1</f>
        <v>0.6140528560028522</v>
      </c>
      <c r="BN10" s="9" cm="1">
        <f t="array" ref="BN10">PRODUCT(1 + 預測IC!$C19:BM19) - 1</f>
        <v>0.62778620118752371</v>
      </c>
      <c r="BO10" s="9" cm="1">
        <f t="array" ref="BO10">PRODUCT(1 + 預測IC!$C19:BN19) - 1</f>
        <v>0.57316936553307363</v>
      </c>
      <c r="BP10" s="9" cm="1">
        <f t="array" ref="BP10">PRODUCT(1 + 預測IC!$C19:BO19) - 1</f>
        <v>0.52251758201452358</v>
      </c>
      <c r="BQ10" s="9" cm="1">
        <f t="array" ref="BQ10">PRODUCT(1 + 預測IC!$C19:BP19) - 1</f>
        <v>0.29455521108436633</v>
      </c>
      <c r="BR10" s="9" cm="1">
        <f t="array" ref="BR10">PRODUCT(1 + 預測IC!$C19:BQ19) - 1</f>
        <v>0.36380157253567313</v>
      </c>
      <c r="BS10" s="9" cm="1">
        <f t="array" ref="BS10">PRODUCT(1 + 預測IC!$C19:BR19) - 1</f>
        <v>0.12065198535368205</v>
      </c>
      <c r="BT10" s="9" cm="1">
        <f t="array" ref="BT10">PRODUCT(1 + 預測IC!$C19:BS19) - 1</f>
        <v>0.15848275037252924</v>
      </c>
      <c r="BU10" s="9" cm="1">
        <f t="array" ref="BU10">PRODUCT(1 + 預測IC!$C19:BT19) - 1</f>
        <v>0.26645319796264855</v>
      </c>
      <c r="BV10" s="9" cm="1">
        <f t="array" ref="BV10">PRODUCT(1 + 預測IC!$C19:BU19) - 1</f>
        <v>0.18121266294828375</v>
      </c>
      <c r="BW10" s="9" cm="1">
        <f t="array" ref="BW10">PRODUCT(1 + 預測IC!$C19:BV19) - 1</f>
        <v>0.40383444013920822</v>
      </c>
      <c r="BX10" s="9" cm="1">
        <f t="array" ref="BX10">PRODUCT(1 + 預測IC!$C19:BW19) - 1</f>
        <v>0.30787176369752922</v>
      </c>
      <c r="BY10" s="9" cm="1">
        <f t="array" ref="BY10">PRODUCT(1 + 預測IC!$C19:BX19) - 1</f>
        <v>0.30551421641934784</v>
      </c>
      <c r="BZ10" s="9" cm="1">
        <f t="array" ref="BZ10">PRODUCT(1 + 預測IC!$C19:BY19) - 1</f>
        <v>0.26622760186090821</v>
      </c>
      <c r="CA10" s="9" cm="1">
        <f t="array" ref="CA10">PRODUCT(1 + 預測IC!$C19:BZ19) - 1</f>
        <v>9.1232113680253191E-2</v>
      </c>
      <c r="CB10" s="9" cm="1">
        <f t="array" ref="CB10">PRODUCT(1 + 預測IC!$C19:CA19) - 1</f>
        <v>-4.2181130015264023E-2</v>
      </c>
      <c r="CC10" s="9" cm="1">
        <f t="array" ref="CC10">PRODUCT(1 + 預測IC!$C19:CB19) - 1</f>
        <v>0.13314310810483732</v>
      </c>
      <c r="CD10" s="9" cm="1">
        <f t="array" ref="CD10">PRODUCT(1 + 預測IC!$C19:CC19) - 1</f>
        <v>9.0565842968756138E-2</v>
      </c>
      <c r="CE10" s="9" cm="1">
        <f t="array" ref="CE10">PRODUCT(1 + 預測IC!$C19:CD19) - 1</f>
        <v>7.262845333730894E-3</v>
      </c>
      <c r="CF10" s="9" cm="1">
        <f t="array" ref="CF10">PRODUCT(1 + 預測IC!$C19:CE19) - 1</f>
        <v>0.17437138706344268</v>
      </c>
      <c r="CG10" s="9" cm="1">
        <f t="array" ref="CG10">PRODUCT(1 + 預測IC!$C19:CF19) - 1</f>
        <v>0.1750284266755795</v>
      </c>
      <c r="CH10" s="9" cm="1">
        <f t="array" ref="CH10">PRODUCT(1 + 預測IC!$C19:CG19) - 1</f>
        <v>7.0136661262512057E-2</v>
      </c>
      <c r="CI10" s="9" cm="1">
        <f t="array" ref="CI10">PRODUCT(1 + 預測IC!$C19:CH19) - 1</f>
        <v>9.2255461019342677E-2</v>
      </c>
      <c r="CJ10" s="9" cm="1">
        <f t="array" ref="CJ10">PRODUCT(1 + 預測IC!$C19:CI19) - 1</f>
        <v>3.2076095440358499E-2</v>
      </c>
      <c r="CK10" s="9" cm="1">
        <f t="array" ref="CK10">PRODUCT(1 + 預測IC!$C19:CJ19) - 1</f>
        <v>-5.1691728080203836E-2</v>
      </c>
      <c r="CL10" s="9" cm="1">
        <f t="array" ref="CL10">PRODUCT(1 + 預測IC!$C19:CK19) - 1</f>
        <v>5.9133268987714649E-2</v>
      </c>
      <c r="CM10" s="9" cm="1">
        <f t="array" ref="CM10">PRODUCT(1 + 預測IC!$C19:CL19) - 1</f>
        <v>0.15855399685982663</v>
      </c>
      <c r="CN10" s="9" cm="1">
        <f t="array" ref="CN10">PRODUCT(1 + 預測IC!$C19:CM19) - 1</f>
        <v>0.16048875063006873</v>
      </c>
      <c r="CO10" s="9" cm="1">
        <f t="array" ref="CO10">PRODUCT(1 + 預測IC!$C19:CN19) - 1</f>
        <v>0.53931568421070963</v>
      </c>
      <c r="CP10" s="9" cm="1">
        <f t="array" ref="CP10">PRODUCT(1 + 預測IC!$C19:CO19) - 1</f>
        <v>0.25808602477801013</v>
      </c>
      <c r="CQ10" s="9" cm="1">
        <f t="array" ref="CQ10">PRODUCT(1 + 預測IC!$C19:CP19) - 1</f>
        <v>0.36594460633369286</v>
      </c>
      <c r="CR10" s="9" cm="1">
        <f t="array" ref="CR10">PRODUCT(1 + 預測IC!$C19:CQ19) - 1</f>
        <v>0.24043101383252363</v>
      </c>
      <c r="CS10" s="9" cm="1">
        <f t="array" ref="CS10">PRODUCT(1 + 預測IC!$C19:CR19) - 1</f>
        <v>-3.19290180374876E-3</v>
      </c>
      <c r="CT10" s="9" cm="1">
        <f t="array" ref="CT10">PRODUCT(1 + 預測IC!$C19:CS19) - 1</f>
        <v>5.0640813293564957E-2</v>
      </c>
      <c r="CU10" s="9" cm="1">
        <f t="array" ref="CU10">PRODUCT(1 + 預測IC!$C19:CT19) - 1</f>
        <v>-6.9664464191846132E-2</v>
      </c>
      <c r="CV10" s="9" cm="1">
        <f t="array" ref="CV10">PRODUCT(1 + 預測IC!$C19:CU19) - 1</f>
        <v>-0.21419385061852114</v>
      </c>
      <c r="CW10" s="9" cm="1">
        <f t="array" ref="CW10">PRODUCT(1 + 預測IC!$C19:CV19) - 1</f>
        <v>-0.16197102222059612</v>
      </c>
      <c r="CX10" s="9" cm="1">
        <f t="array" ref="CX10">PRODUCT(1 + 預測IC!$C19:CW19) - 1</f>
        <v>-0.10884566786772509</v>
      </c>
      <c r="CY10" s="9" cm="1">
        <f t="array" ref="CY10">PRODUCT(1 + 預測IC!$C19:CX19) - 1</f>
        <v>-0.22024874206641254</v>
      </c>
      <c r="CZ10" s="9" cm="1">
        <f t="array" ref="CZ10">PRODUCT(1 + 預測IC!$C19:CY19) - 1</f>
        <v>-0.16129259672412488</v>
      </c>
      <c r="DA10" s="9" cm="1">
        <f t="array" ref="DA10">PRODUCT(1 + 預測IC!$C19:CZ19) - 1</f>
        <v>-0.18778961500327473</v>
      </c>
      <c r="DB10" s="9" cm="1">
        <f t="array" ref="DB10">PRODUCT(1 + 預測IC!$C19:DA19) - 1</f>
        <v>-0.14871433195538608</v>
      </c>
      <c r="DC10" s="9" cm="1">
        <f t="array" ref="DC10">PRODUCT(1 + 預測IC!$C19:DB19) - 1</f>
        <v>4.2243490807292616E-2</v>
      </c>
      <c r="DD10" s="9" cm="1">
        <f t="array" ref="DD10">PRODUCT(1 + 預測IC!$C19:DC19) - 1</f>
        <v>-6.0781645148001218E-2</v>
      </c>
      <c r="DE10" s="9" cm="1">
        <f t="array" ref="DE10">PRODUCT(1 + 預測IC!$C19:DD19) - 1</f>
        <v>-6.7341354747928128E-2</v>
      </c>
      <c r="DF10" s="9" cm="1">
        <f t="array" ref="DF10">PRODUCT(1 + 預測IC!$C19:DE19) - 1</f>
        <v>-6.6620618730899084E-2</v>
      </c>
      <c r="DG10" s="9" cm="1">
        <f t="array" ref="DG10">PRODUCT(1 + 預測IC!$C19:DF19) - 1</f>
        <v>-2.8559340900457197E-2</v>
      </c>
      <c r="DH10" s="9" cm="1">
        <f t="array" ref="DH10">PRODUCT(1 + 預測IC!$C19:DG19) - 1</f>
        <v>-6.6386323064685726E-2</v>
      </c>
      <c r="DI10" s="9" cm="1">
        <f t="array" ref="DI10">PRODUCT(1 + 預測IC!$C19:DH19) - 1</f>
        <v>-9.3223684809554785E-2</v>
      </c>
      <c r="DJ10" s="9" cm="1">
        <f t="array" ref="DJ10">PRODUCT(1 + 預測IC!$C19:DI19) - 1</f>
        <v>-0.22905594744708879</v>
      </c>
      <c r="DK10" s="9" cm="1">
        <f t="array" ref="DK10">PRODUCT(1 + 預測IC!$C19:DJ19) - 1</f>
        <v>-0.12966193938003634</v>
      </c>
      <c r="DL10" s="9" cm="1">
        <f t="array" ref="DL10">PRODUCT(1 + 預測IC!$C19:DK19) - 1</f>
        <v>1.9729022627173798E-2</v>
      </c>
      <c r="DM10" s="9" cm="1">
        <f t="array" ref="DM10">PRODUCT(1 + 預測IC!$C19:DL19) - 1</f>
        <v>-6.9767112774932749E-2</v>
      </c>
      <c r="DN10" s="9" cm="1">
        <f t="array" ref="DN10">PRODUCT(1 + 預測IC!$C19:DM19) - 1</f>
        <v>-7.2168749104137953E-2</v>
      </c>
      <c r="DO10" s="9" cm="1">
        <f t="array" ref="DO10">PRODUCT(1 + 預測IC!$C19:DN19) - 1</f>
        <v>-6.2093891174242799E-2</v>
      </c>
      <c r="DP10" s="9" cm="1">
        <f t="array" ref="DP10">PRODUCT(1 + 預測IC!$C19:DO19) - 1</f>
        <v>-6.3855475211062274E-2</v>
      </c>
      <c r="DQ10" s="9" cm="1">
        <f t="array" ref="DQ10">PRODUCT(1 + 預測IC!$C19:DP19) - 1</f>
        <v>-0.11687850789271481</v>
      </c>
      <c r="DR10" s="9" cm="1">
        <f t="array" ref="DR10">PRODUCT(1 + 預測IC!$C19:DQ19) - 1</f>
        <v>-8.4442610201722723E-2</v>
      </c>
      <c r="DS10" s="9" cm="1">
        <f t="array" ref="DS10">PRODUCT(1 + 預測IC!$C19:DR19) - 1</f>
        <v>-4.2847681001904503E-2</v>
      </c>
      <c r="DT10" s="9" cm="1">
        <f t="array" ref="DT10">PRODUCT(1 + 預測IC!$C19:DS19) - 1</f>
        <v>-4.9074470092184241E-2</v>
      </c>
      <c r="DU10" s="9" cm="1">
        <f t="array" ref="DU10">PRODUCT(1 + 預測IC!$C19:DT19) - 1</f>
        <v>7.802226115947386E-3</v>
      </c>
      <c r="DV10" s="9" cm="1">
        <f t="array" ref="DV10">PRODUCT(1 + 預測IC!$C19:DU19) - 1</f>
        <v>0.16860221055847457</v>
      </c>
      <c r="DW10" s="9" cm="1">
        <f t="array" ref="DW10">PRODUCT(1 + 預測IC!$C19:DV19) - 1</f>
        <v>0.1037444045503173</v>
      </c>
      <c r="DX10" s="9" cm="1">
        <f t="array" ref="DX10">PRODUCT(1 + 預測IC!$C19:DW19) - 1</f>
        <v>0.15410752749073953</v>
      </c>
      <c r="DY10" s="9" cm="1">
        <f t="array" ref="DY10">PRODUCT(1 + 預測IC!$C19:DX19) - 1</f>
        <v>0.19675219985515913</v>
      </c>
      <c r="DZ10" s="9" cm="1">
        <f t="array" ref="DZ10">PRODUCT(1 + 預測IC!$C19:DY19) - 1</f>
        <v>0.1727881821471402</v>
      </c>
      <c r="EA10" s="9" cm="1">
        <f t="array" ref="EA10">PRODUCT(1 + 預測IC!$C19:DZ19) - 1</f>
        <v>0.11691917399662555</v>
      </c>
      <c r="EB10" s="9" cm="1">
        <f t="array" ref="EB10">PRODUCT(1 + 預測IC!$C19:EA19) - 1</f>
        <v>0.12209332911828907</v>
      </c>
      <c r="EC10" s="9" cm="1">
        <f t="array" ref="EC10">PRODUCT(1 + 預測IC!$C19:EB19) - 1</f>
        <v>0.21955691242059494</v>
      </c>
      <c r="ED10" s="9" cm="1">
        <f t="array" ref="ED10">PRODUCT(1 + 預測IC!$C19:EC19) - 1</f>
        <v>0.36774773302198316</v>
      </c>
      <c r="EE10" s="9" cm="1">
        <f t="array" ref="EE10">PRODUCT(1 + 預測IC!$C19:ED19) - 1</f>
        <v>0.50902331814166768</v>
      </c>
      <c r="EF10" s="9" cm="1">
        <f t="array" ref="EF10">PRODUCT(1 + 預測IC!$C19:EE19) - 1</f>
        <v>0.41202526102878201</v>
      </c>
      <c r="EG10" s="9" cm="1">
        <f t="array" ref="EG10">PRODUCT(1 + 預測IC!$C19:EF19) - 1</f>
        <v>0.21460316403128754</v>
      </c>
    </row>
    <row r="11" spans="3:137" ht="16">
      <c r="C11" s="6">
        <v>137</v>
      </c>
      <c r="D11" s="9" cm="1">
        <f t="array" ref="D11">PRODUCT(1 + 預測IC!$C20:C20) - 1</f>
        <v>-5.9146797802220652E-2</v>
      </c>
      <c r="E11" s="9" cm="1">
        <f t="array" ref="E11">PRODUCT(1 + 預測IC!$C20:D20) - 1</f>
        <v>0.1139879635576273</v>
      </c>
      <c r="F11" s="9" cm="1">
        <f t="array" ref="F11">PRODUCT(1 + 預測IC!$C20:E20) - 1</f>
        <v>2.0593289012287297E-3</v>
      </c>
      <c r="G11" s="9" cm="1">
        <f t="array" ref="G11">PRODUCT(1 + 預測IC!$C20:F20) - 1</f>
        <v>2.3679032722585092E-2</v>
      </c>
      <c r="H11" s="9" cm="1">
        <f t="array" ref="H11">PRODUCT(1 + 預測IC!$C20:G20) - 1</f>
        <v>1.4411251742220132E-2</v>
      </c>
      <c r="I11" s="9" cm="1">
        <f t="array" ref="I11">PRODUCT(1 + 預測IC!$C20:H20) - 1</f>
        <v>2.3157736591412403E-2</v>
      </c>
      <c r="J11" s="9" cm="1">
        <f t="array" ref="J11">PRODUCT(1 + 預測IC!$C20:I20) - 1</f>
        <v>0.15476299232565283</v>
      </c>
      <c r="K11" s="9" cm="1">
        <f t="array" ref="K11">PRODUCT(1 + 預測IC!$C20:J20) - 1</f>
        <v>0.26004646616918881</v>
      </c>
      <c r="L11" s="9" cm="1">
        <f t="array" ref="L11">PRODUCT(1 + 預測IC!$C20:K20) - 1</f>
        <v>0.43096910906675556</v>
      </c>
      <c r="M11" s="9" cm="1">
        <f t="array" ref="M11">PRODUCT(1 + 預測IC!$C20:L20) - 1</f>
        <v>0.50360253546808309</v>
      </c>
      <c r="N11" s="9" cm="1">
        <f t="array" ref="N11">PRODUCT(1 + 預測IC!$C20:M20) - 1</f>
        <v>0.54728439096358494</v>
      </c>
      <c r="O11" s="9" cm="1">
        <f t="array" ref="O11">PRODUCT(1 + 預測IC!$C20:N20) - 1</f>
        <v>0.1774254807827218</v>
      </c>
      <c r="P11" s="9" cm="1">
        <f t="array" ref="P11">PRODUCT(1 + 預測IC!$C20:O20) - 1</f>
        <v>0.21479454133849751</v>
      </c>
      <c r="Q11" s="9" cm="1">
        <f t="array" ref="Q11">PRODUCT(1 + 預測IC!$C20:P20) - 1</f>
        <v>0.21286872934490519</v>
      </c>
      <c r="R11" s="9" cm="1">
        <f t="array" ref="R11">PRODUCT(1 + 預測IC!$C20:Q20) - 1</f>
        <v>0.28454121131094556</v>
      </c>
      <c r="S11" s="9" cm="1">
        <f t="array" ref="S11">PRODUCT(1 + 預測IC!$C20:R20) - 1</f>
        <v>0.23951135568177895</v>
      </c>
      <c r="T11" s="9" cm="1">
        <f t="array" ref="T11">PRODUCT(1 + 預測IC!$C20:S20) - 1</f>
        <v>0.39742291154121112</v>
      </c>
      <c r="U11" s="9" cm="1">
        <f t="array" ref="U11">PRODUCT(1 + 預測IC!$C20:T20) - 1</f>
        <v>0.33100675628716991</v>
      </c>
      <c r="V11" s="9" cm="1">
        <f t="array" ref="V11">PRODUCT(1 + 預測IC!$C20:U20) - 1</f>
        <v>0.37311222766708152</v>
      </c>
      <c r="W11" s="9" cm="1">
        <f t="array" ref="W11">PRODUCT(1 + 預測IC!$C20:V20) - 1</f>
        <v>0.18247718915143962</v>
      </c>
      <c r="X11" s="9" cm="1">
        <f t="array" ref="X11">PRODUCT(1 + 預測IC!$C20:W20) - 1</f>
        <v>0.26047626964318904</v>
      </c>
      <c r="Y11" s="9" cm="1">
        <f t="array" ref="Y11">PRODUCT(1 + 預測IC!$C20:X20) - 1</f>
        <v>-9.5024157882145799E-2</v>
      </c>
      <c r="Z11" s="9" cm="1">
        <f t="array" ref="Z11">PRODUCT(1 + 預測IC!$C20:Y20) - 1</f>
        <v>-0.200516941560683</v>
      </c>
      <c r="AA11" s="9" cm="1">
        <f t="array" ref="AA11">PRODUCT(1 + 預測IC!$C20:Z20) - 1</f>
        <v>-0.15936776780036899</v>
      </c>
      <c r="AB11" s="9" cm="1">
        <f t="array" ref="AB11">PRODUCT(1 + 預測IC!$C20:AA20) - 1</f>
        <v>-0.30443622485577793</v>
      </c>
      <c r="AC11" s="9" cm="1">
        <f t="array" ref="AC11">PRODUCT(1 + 預測IC!$C20:AB20) - 1</f>
        <v>-0.34800968209744898</v>
      </c>
      <c r="AD11" s="9" cm="1">
        <f t="array" ref="AD11">PRODUCT(1 + 預測IC!$C20:AC20) - 1</f>
        <v>-0.34711944116668847</v>
      </c>
      <c r="AE11" s="9" cm="1">
        <f t="array" ref="AE11">PRODUCT(1 + 預測IC!$C20:AD20) - 1</f>
        <v>-0.29982229966256546</v>
      </c>
      <c r="AF11" s="9" cm="1">
        <f t="array" ref="AF11">PRODUCT(1 + 預測IC!$C20:AE20) - 1</f>
        <v>-0.24094668745191694</v>
      </c>
      <c r="AG11" s="9" cm="1">
        <f t="array" ref="AG11">PRODUCT(1 + 預測IC!$C20:AF20) - 1</f>
        <v>-0.12667603896040858</v>
      </c>
      <c r="AH11" s="9" cm="1">
        <f t="array" ref="AH11">PRODUCT(1 + 預測IC!$C20:AG20) - 1</f>
        <v>-0.1980440554964239</v>
      </c>
      <c r="AI11" s="9" cm="1">
        <f t="array" ref="AI11">PRODUCT(1 + 預測IC!$C20:AH20) - 1</f>
        <v>-6.727029869082557E-2</v>
      </c>
      <c r="AJ11" s="9" cm="1">
        <f t="array" ref="AJ11">PRODUCT(1 + 預測IC!$C20:AI20) - 1</f>
        <v>-1.8252090669390597E-2</v>
      </c>
      <c r="AK11" s="9" cm="1">
        <f t="array" ref="AK11">PRODUCT(1 + 預測IC!$C20:AJ20) - 1</f>
        <v>2.7566591666767781E-2</v>
      </c>
      <c r="AL11" s="9" cm="1">
        <f t="array" ref="AL11">PRODUCT(1 + 預測IC!$C20:AK20) - 1</f>
        <v>4.2343628841727599E-2</v>
      </c>
      <c r="AM11" s="9" cm="1">
        <f t="array" ref="AM11">PRODUCT(1 + 預測IC!$C20:AL20) - 1</f>
        <v>7.6545854144586256E-2</v>
      </c>
      <c r="AN11" s="9" cm="1">
        <f t="array" ref="AN11">PRODUCT(1 + 預測IC!$C20:AM20) - 1</f>
        <v>0.11939594886152816</v>
      </c>
      <c r="AO11" s="9" cm="1">
        <f t="array" ref="AO11">PRODUCT(1 + 預測IC!$C20:AN20) - 1</f>
        <v>0.11626788894162687</v>
      </c>
      <c r="AP11" s="9" cm="1">
        <f t="array" ref="AP11">PRODUCT(1 + 預測IC!$C20:AO20) - 1</f>
        <v>8.8825246108353184E-2</v>
      </c>
      <c r="AQ11" s="9" cm="1">
        <f t="array" ref="AQ11">PRODUCT(1 + 預測IC!$C20:AP20) - 1</f>
        <v>-1.5207425377489092E-2</v>
      </c>
      <c r="AR11" s="9" cm="1">
        <f t="array" ref="AR11">PRODUCT(1 + 預測IC!$C20:AQ20) - 1</f>
        <v>-7.8386767066424778E-2</v>
      </c>
      <c r="AS11" s="9" cm="1">
        <f t="array" ref="AS11">PRODUCT(1 + 預測IC!$C20:AR20) - 1</f>
        <v>-0.11433196327981687</v>
      </c>
      <c r="AT11" s="9" cm="1">
        <f t="array" ref="AT11">PRODUCT(1 + 預測IC!$C20:AS20) - 1</f>
        <v>-4.0597328951387235E-2</v>
      </c>
      <c r="AU11" s="9" cm="1">
        <f t="array" ref="AU11">PRODUCT(1 + 預測IC!$C20:AT20) - 1</f>
        <v>-0.20022831893741477</v>
      </c>
      <c r="AV11" s="9" cm="1">
        <f t="array" ref="AV11">PRODUCT(1 + 預測IC!$C20:AU20) - 1</f>
        <v>-8.9141460313215903E-2</v>
      </c>
      <c r="AW11" s="9" cm="1">
        <f t="array" ref="AW11">PRODUCT(1 + 預測IC!$C20:AV20) - 1</f>
        <v>-0.19500361041223346</v>
      </c>
      <c r="AX11" s="9" cm="1">
        <f t="array" ref="AX11">PRODUCT(1 + 預測IC!$C20:AW20) - 1</f>
        <v>-0.21136642071177747</v>
      </c>
      <c r="AY11" s="9" cm="1">
        <f t="array" ref="AY11">PRODUCT(1 + 預測IC!$C20:AX20) - 1</f>
        <v>-0.23799927825032163</v>
      </c>
      <c r="AZ11" s="9" cm="1">
        <f t="array" ref="AZ11">PRODUCT(1 + 預測IC!$C20:AY20) - 1</f>
        <v>-4.4954941761791156E-2</v>
      </c>
      <c r="BA11" s="9" cm="1">
        <f t="array" ref="BA11">PRODUCT(1 + 預測IC!$C20:AZ20) - 1</f>
        <v>-6.9850710152465245E-2</v>
      </c>
      <c r="BB11" s="9" cm="1">
        <f t="array" ref="BB11">PRODUCT(1 + 預測IC!$C20:BA20) - 1</f>
        <v>4.9914819635631824E-2</v>
      </c>
      <c r="BC11" s="9" cm="1">
        <f t="array" ref="BC11">PRODUCT(1 + 預測IC!$C20:BB20) - 1</f>
        <v>0.15377849916313391</v>
      </c>
      <c r="BD11" s="9" cm="1">
        <f t="array" ref="BD11">PRODUCT(1 + 預測IC!$C20:BC20) - 1</f>
        <v>0.18601743648559266</v>
      </c>
      <c r="BE11" s="9" cm="1">
        <f t="array" ref="BE11">PRODUCT(1 + 預測IC!$C20:BD20) - 1</f>
        <v>0.19954393891156919</v>
      </c>
      <c r="BF11" s="9" cm="1">
        <f t="array" ref="BF11">PRODUCT(1 + 預測IC!$C20:BE20) - 1</f>
        <v>0.28056974043485616</v>
      </c>
      <c r="BG11" s="9" cm="1">
        <f t="array" ref="BG11">PRODUCT(1 + 預測IC!$C20:BF20) - 1</f>
        <v>0.33113833507258827</v>
      </c>
      <c r="BH11" s="9" cm="1">
        <f t="array" ref="BH11">PRODUCT(1 + 預測IC!$C20:BG20) - 1</f>
        <v>0.38396506812134401</v>
      </c>
      <c r="BI11" s="9" cm="1">
        <f t="array" ref="BI11">PRODUCT(1 + 預測IC!$C20:BH20) - 1</f>
        <v>0.4911629644499691</v>
      </c>
      <c r="BJ11" s="9" cm="1">
        <f t="array" ref="BJ11">PRODUCT(1 + 預測IC!$C20:BI20) - 1</f>
        <v>0.67709190920167184</v>
      </c>
      <c r="BK11" s="9" cm="1">
        <f t="array" ref="BK11">PRODUCT(1 + 預測IC!$C20:BJ20) - 1</f>
        <v>0.51184157537211394</v>
      </c>
      <c r="BL11" s="9" cm="1">
        <f t="array" ref="BL11">PRODUCT(1 + 預測IC!$C20:BK20) - 1</f>
        <v>0.54137732170742026</v>
      </c>
      <c r="BM11" s="9" cm="1">
        <f t="array" ref="BM11">PRODUCT(1 + 預測IC!$C20:BL20) - 1</f>
        <v>0.51136033485340726</v>
      </c>
      <c r="BN11" s="9" cm="1">
        <f t="array" ref="BN11">PRODUCT(1 + 預測IC!$C20:BM20) - 1</f>
        <v>0.53514342765001333</v>
      </c>
      <c r="BO11" s="9" cm="1">
        <f t="array" ref="BO11">PRODUCT(1 + 預測IC!$C20:BN20) - 1</f>
        <v>0.46099831650187784</v>
      </c>
      <c r="BP11" s="9" cm="1">
        <f t="array" ref="BP11">PRODUCT(1 + 預測IC!$C20:BO20) - 1</f>
        <v>0.41720987668008802</v>
      </c>
      <c r="BQ11" s="9" cm="1">
        <f t="array" ref="BQ11">PRODUCT(1 + 預測IC!$C20:BP20) - 1</f>
        <v>0.18354971290356725</v>
      </c>
      <c r="BR11" s="9" cm="1">
        <f t="array" ref="BR11">PRODUCT(1 + 預測IC!$C20:BQ20) - 1</f>
        <v>0.28848874349189568</v>
      </c>
      <c r="BS11" s="9" cm="1">
        <f t="array" ref="BS11">PRODUCT(1 + 預測IC!$C20:BR20) - 1</f>
        <v>6.4050273284522063E-2</v>
      </c>
      <c r="BT11" s="9" cm="1">
        <f t="array" ref="BT11">PRODUCT(1 + 預測IC!$C20:BS20) - 1</f>
        <v>9.9035574274155991E-2</v>
      </c>
      <c r="BU11" s="9" cm="1">
        <f t="array" ref="BU11">PRODUCT(1 + 預測IC!$C20:BT20) - 1</f>
        <v>0.22301471401051876</v>
      </c>
      <c r="BV11" s="9" cm="1">
        <f t="array" ref="BV11">PRODUCT(1 + 預測IC!$C20:BU20) - 1</f>
        <v>0.12353718058820262</v>
      </c>
      <c r="BW11" s="9" cm="1">
        <f t="array" ref="BW11">PRODUCT(1 + 預測IC!$C20:BV20) - 1</f>
        <v>0.33687730461447107</v>
      </c>
      <c r="BX11" s="9" cm="1">
        <f t="array" ref="BX11">PRODUCT(1 + 預測IC!$C20:BW20) - 1</f>
        <v>0.24531502353115386</v>
      </c>
      <c r="BY11" s="9" cm="1">
        <f t="array" ref="BY11">PRODUCT(1 + 預測IC!$C20:BX20) - 1</f>
        <v>0.23567466971313911</v>
      </c>
      <c r="BZ11" s="9" cm="1">
        <f t="array" ref="BZ11">PRODUCT(1 + 預測IC!$C20:BY20) - 1</f>
        <v>0.20061059952934723</v>
      </c>
      <c r="CA11" s="9" cm="1">
        <f t="array" ref="CA11">PRODUCT(1 + 預測IC!$C20:BZ20) - 1</f>
        <v>0.16774968738874518</v>
      </c>
      <c r="CB11" s="9" cm="1">
        <f t="array" ref="CB11">PRODUCT(1 + 預測IC!$C20:CA20) - 1</f>
        <v>4.2548619093729645E-3</v>
      </c>
      <c r="CC11" s="9" cm="1">
        <f t="array" ref="CC11">PRODUCT(1 + 預測IC!$C20:CB20) - 1</f>
        <v>0.14852120852235995</v>
      </c>
      <c r="CD11" s="9" cm="1">
        <f t="array" ref="CD11">PRODUCT(1 + 預測IC!$C20:CC20) - 1</f>
        <v>0.10658258268933118</v>
      </c>
      <c r="CE11" s="9" cm="1">
        <f t="array" ref="CE11">PRODUCT(1 + 預測IC!$C20:CD20) - 1</f>
        <v>-2.7972573407445522E-2</v>
      </c>
      <c r="CF11" s="9" cm="1">
        <f t="array" ref="CF11">PRODUCT(1 + 預測IC!$C20:CE20) - 1</f>
        <v>0.15327022161370829</v>
      </c>
      <c r="CG11" s="9" cm="1">
        <f t="array" ref="CG11">PRODUCT(1 + 預測IC!$C20:CF20) - 1</f>
        <v>0.16775942691123058</v>
      </c>
      <c r="CH11" s="9" cm="1">
        <f t="array" ref="CH11">PRODUCT(1 + 預測IC!$C20:CG20) - 1</f>
        <v>8.5504958356098504E-2</v>
      </c>
      <c r="CI11" s="9" cm="1">
        <f t="array" ref="CI11">PRODUCT(1 + 預測IC!$C20:CH20) - 1</f>
        <v>9.7585159501247576E-2</v>
      </c>
      <c r="CJ11" s="9" cm="1">
        <f t="array" ref="CJ11">PRODUCT(1 + 預測IC!$C20:CI20) - 1</f>
        <v>5.134578980251181E-2</v>
      </c>
      <c r="CK11" s="9" cm="1">
        <f t="array" ref="CK11">PRODUCT(1 + 預測IC!$C20:CJ20) - 1</f>
        <v>-2.6626270303921173E-2</v>
      </c>
      <c r="CL11" s="9" cm="1">
        <f t="array" ref="CL11">PRODUCT(1 + 預測IC!$C20:CK20) - 1</f>
        <v>2.2047056855028613E-2</v>
      </c>
      <c r="CM11" s="9" cm="1">
        <f t="array" ref="CM11">PRODUCT(1 + 預測IC!$C20:CL20) - 1</f>
        <v>0.15242801491243418</v>
      </c>
      <c r="CN11" s="9" cm="1">
        <f t="array" ref="CN11">PRODUCT(1 + 預測IC!$C20:CM20) - 1</f>
        <v>0.17034683040343834</v>
      </c>
      <c r="CO11" s="9" cm="1">
        <f t="array" ref="CO11">PRODUCT(1 + 預測IC!$C20:CN20) - 1</f>
        <v>0.51507836275851671</v>
      </c>
      <c r="CP11" s="9" cm="1">
        <f t="array" ref="CP11">PRODUCT(1 + 預測IC!$C20:CO20) - 1</f>
        <v>0.18664361014460407</v>
      </c>
      <c r="CQ11" s="9" cm="1">
        <f t="array" ref="CQ11">PRODUCT(1 + 預測IC!$C20:CP20) - 1</f>
        <v>0.30694608445403615</v>
      </c>
      <c r="CR11" s="9" cm="1">
        <f t="array" ref="CR11">PRODUCT(1 + 預測IC!$C20:CQ20) - 1</f>
        <v>0.18699428920410899</v>
      </c>
      <c r="CS11" s="9" cm="1">
        <f t="array" ref="CS11">PRODUCT(1 + 預測IC!$C20:CR20) - 1</f>
        <v>-4.295310236993366E-2</v>
      </c>
      <c r="CT11" s="9" cm="1">
        <f t="array" ref="CT11">PRODUCT(1 + 預測IC!$C20:CS20) - 1</f>
        <v>-2.0056771158296849E-2</v>
      </c>
      <c r="CU11" s="9" cm="1">
        <f t="array" ref="CU11">PRODUCT(1 + 預測IC!$C20:CT20) - 1</f>
        <v>-0.1189309370925995</v>
      </c>
      <c r="CV11" s="9" cm="1">
        <f t="array" ref="CV11">PRODUCT(1 + 預測IC!$C20:CU20) - 1</f>
        <v>-0.24630252861563262</v>
      </c>
      <c r="CW11" s="9" cm="1">
        <f t="array" ref="CW11">PRODUCT(1 + 預測IC!$C20:CV20) - 1</f>
        <v>-0.20888252397195528</v>
      </c>
      <c r="CX11" s="9" cm="1">
        <f t="array" ref="CX11">PRODUCT(1 + 預測IC!$C20:CW20) - 1</f>
        <v>-0.15622687250682288</v>
      </c>
      <c r="CY11" s="9" cm="1">
        <f t="array" ref="CY11">PRODUCT(1 + 預測IC!$C20:CX20) - 1</f>
        <v>-0.28538802587151302</v>
      </c>
      <c r="CZ11" s="9" cm="1">
        <f t="array" ref="CZ11">PRODUCT(1 + 預測IC!$C20:CY20) - 1</f>
        <v>-0.21880163700098121</v>
      </c>
      <c r="DA11" s="9" cm="1">
        <f t="array" ref="DA11">PRODUCT(1 + 預測IC!$C20:CZ20) - 1</f>
        <v>-0.29024942480016236</v>
      </c>
      <c r="DB11" s="9" cm="1">
        <f t="array" ref="DB11">PRODUCT(1 + 預測IC!$C20:DA20) - 1</f>
        <v>-0.23567631531338695</v>
      </c>
      <c r="DC11" s="9" cm="1">
        <f t="array" ref="DC11">PRODUCT(1 + 預測IC!$C20:DB20) - 1</f>
        <v>-6.5704399661122292E-2</v>
      </c>
      <c r="DD11" s="9" cm="1">
        <f t="array" ref="DD11">PRODUCT(1 + 預測IC!$C20:DC20) - 1</f>
        <v>-0.14308248772986543</v>
      </c>
      <c r="DE11" s="9" cm="1">
        <f t="array" ref="DE11">PRODUCT(1 + 預測IC!$C20:DD20) - 1</f>
        <v>-0.15396076273461434</v>
      </c>
      <c r="DF11" s="9" cm="1">
        <f t="array" ref="DF11">PRODUCT(1 + 預測IC!$C20:DE20) - 1</f>
        <v>-0.15900359139831077</v>
      </c>
      <c r="DG11" s="9" cm="1">
        <f t="array" ref="DG11">PRODUCT(1 + 預測IC!$C20:DF20) - 1</f>
        <v>-0.13139831007751623</v>
      </c>
      <c r="DH11" s="9" cm="1">
        <f t="array" ref="DH11">PRODUCT(1 + 預測IC!$C20:DG20) - 1</f>
        <v>-0.1603351531359416</v>
      </c>
      <c r="DI11" s="9" cm="1">
        <f t="array" ref="DI11">PRODUCT(1 + 預測IC!$C20:DH20) - 1</f>
        <v>-0.19839237218910033</v>
      </c>
      <c r="DJ11" s="9" cm="1">
        <f t="array" ref="DJ11">PRODUCT(1 + 預測IC!$C20:DI20) - 1</f>
        <v>-0.29385848525647207</v>
      </c>
      <c r="DK11" s="9" cm="1">
        <f t="array" ref="DK11">PRODUCT(1 + 預測IC!$C20:DJ20) - 1</f>
        <v>-0.19062336663007295</v>
      </c>
      <c r="DL11" s="9" cm="1">
        <f t="array" ref="DL11">PRODUCT(1 + 預測IC!$C20:DK20) - 1</f>
        <v>-4.9377998298940184E-2</v>
      </c>
      <c r="DM11" s="9" cm="1">
        <f t="array" ref="DM11">PRODUCT(1 + 預測IC!$C20:DL20) - 1</f>
        <v>-0.13640570990057999</v>
      </c>
      <c r="DN11" s="9" cm="1">
        <f t="array" ref="DN11">PRODUCT(1 + 預測IC!$C20:DM20) - 1</f>
        <v>-0.13991160255494073</v>
      </c>
      <c r="DO11" s="9" cm="1">
        <f t="array" ref="DO11">PRODUCT(1 + 預測IC!$C20:DN20) - 1</f>
        <v>-0.12360261958156071</v>
      </c>
      <c r="DP11" s="9" cm="1">
        <f t="array" ref="DP11">PRODUCT(1 + 預測IC!$C20:DO20) - 1</f>
        <v>-0.12352101471653076</v>
      </c>
      <c r="DQ11" s="9" cm="1">
        <f t="array" ref="DQ11">PRODUCT(1 + 預測IC!$C20:DP20) - 1</f>
        <v>-0.15888490413148448</v>
      </c>
      <c r="DR11" s="9" cm="1">
        <f t="array" ref="DR11">PRODUCT(1 + 預測IC!$C20:DQ20) - 1</f>
        <v>-0.11944563552307685</v>
      </c>
      <c r="DS11" s="9" cm="1">
        <f t="array" ref="DS11">PRODUCT(1 + 預測IC!$C20:DR20) - 1</f>
        <v>-7.3250816624993442E-2</v>
      </c>
      <c r="DT11" s="9" cm="1">
        <f t="array" ref="DT11">PRODUCT(1 + 預測IC!$C20:DS20) - 1</f>
        <v>-9.6776948196989121E-2</v>
      </c>
      <c r="DU11" s="9" cm="1">
        <f t="array" ref="DU11">PRODUCT(1 + 預測IC!$C20:DT20) - 1</f>
        <v>-7.6363172533897905E-2</v>
      </c>
      <c r="DV11" s="9" cm="1">
        <f t="array" ref="DV11">PRODUCT(1 + 預測IC!$C20:DU20) - 1</f>
        <v>7.3809816493286551E-2</v>
      </c>
      <c r="DW11" s="9" cm="1">
        <f t="array" ref="DW11">PRODUCT(1 + 預測IC!$C20:DV20) - 1</f>
        <v>1.72766886891913E-2</v>
      </c>
      <c r="DX11" s="9" cm="1">
        <f t="array" ref="DX11">PRODUCT(1 + 預測IC!$C20:DW20) - 1</f>
        <v>5.1584235613699736E-2</v>
      </c>
      <c r="DY11" s="9" cm="1">
        <f t="array" ref="DY11">PRODUCT(1 + 預測IC!$C20:DX20) - 1</f>
        <v>0.10128800681421057</v>
      </c>
      <c r="DZ11" s="9" cm="1">
        <f t="array" ref="DZ11">PRODUCT(1 + 預測IC!$C20:DY20) - 1</f>
        <v>5.4994401598034148E-2</v>
      </c>
      <c r="EA11" s="9" cm="1">
        <f t="array" ref="EA11">PRODUCT(1 + 預測IC!$C20:DZ20) - 1</f>
        <v>-1.9604605666248665E-2</v>
      </c>
      <c r="EB11" s="9" cm="1">
        <f t="array" ref="EB11">PRODUCT(1 + 預測IC!$C20:EA20) - 1</f>
        <v>-1.4959200876889067E-2</v>
      </c>
      <c r="EC11" s="9" cm="1">
        <f t="array" ref="EC11">PRODUCT(1 + 預測IC!$C20:EB20) - 1</f>
        <v>8.5493760110112893E-2</v>
      </c>
      <c r="ED11" s="9" cm="1">
        <f t="array" ref="ED11">PRODUCT(1 + 預測IC!$C20:EC20) - 1</f>
        <v>0.24076303786329323</v>
      </c>
      <c r="EE11" s="9" cm="1">
        <f t="array" ref="EE11">PRODUCT(1 + 預測IC!$C20:ED20) - 1</f>
        <v>0.34344747191300762</v>
      </c>
      <c r="EF11" s="9" cm="1">
        <f t="array" ref="EF11">PRODUCT(1 + 預測IC!$C20:EE20) - 1</f>
        <v>0.27222455002796542</v>
      </c>
      <c r="EG11" s="9" cm="1">
        <f t="array" ref="EG11">PRODUCT(1 + 預測IC!$C20:EF20) - 1</f>
        <v>7.5111036500415729E-2</v>
      </c>
    </row>
    <row r="12" spans="3:137" ht="16">
      <c r="C12" s="6">
        <v>160</v>
      </c>
      <c r="D12" s="9" cm="1">
        <f t="array" ref="D12">PRODUCT(1 + 預測IC!$C21:C21) - 1</f>
        <v>-7.3861929880770893E-2</v>
      </c>
      <c r="E12" s="9" cm="1">
        <f t="array" ref="E12">PRODUCT(1 + 預測IC!$C21:D21) - 1</f>
        <v>0.12946507855124256</v>
      </c>
      <c r="F12" s="9" cm="1">
        <f t="array" ref="F12">PRODUCT(1 + 預測IC!$C21:E21) - 1</f>
        <v>-2.9319274773007775E-2</v>
      </c>
      <c r="G12" s="9" cm="1">
        <f t="array" ref="G12">PRODUCT(1 + 預測IC!$C21:F21) - 1</f>
        <v>-2.86494214910471E-3</v>
      </c>
      <c r="H12" s="9" cm="1">
        <f t="array" ref="H12">PRODUCT(1 + 預測IC!$C21:G21) - 1</f>
        <v>-1.669682628058522E-2</v>
      </c>
      <c r="I12" s="9" cm="1">
        <f t="array" ref="I12">PRODUCT(1 + 預測IC!$C21:H21) - 1</f>
        <v>-2.8564104278694935E-2</v>
      </c>
      <c r="J12" s="9" cm="1">
        <f t="array" ref="J12">PRODUCT(1 + 預測IC!$C21:I21) - 1</f>
        <v>0.10171727995752233</v>
      </c>
      <c r="K12" s="9" cm="1">
        <f t="array" ref="K12">PRODUCT(1 + 預測IC!$C21:J21) - 1</f>
        <v>0.22448961749282814</v>
      </c>
      <c r="L12" s="9" cm="1">
        <f t="array" ref="L12">PRODUCT(1 + 預測IC!$C21:K21) - 1</f>
        <v>0.51688477658945309</v>
      </c>
      <c r="M12" s="9" cm="1">
        <f t="array" ref="M12">PRODUCT(1 + 預測IC!$C21:L21) - 1</f>
        <v>0.54771796198796019</v>
      </c>
      <c r="N12" s="9" cm="1">
        <f t="array" ref="N12">PRODUCT(1 + 預測IC!$C21:M21) - 1</f>
        <v>0.48009779872534764</v>
      </c>
      <c r="O12" s="9" cm="1">
        <f t="array" ref="O12">PRODUCT(1 + 預測IC!$C21:N21) - 1</f>
        <v>1.1347882291320444E-2</v>
      </c>
      <c r="P12" s="9" cm="1">
        <f t="array" ref="P12">PRODUCT(1 + 預測IC!$C21:O21) - 1</f>
        <v>4.3267917216829987E-2</v>
      </c>
      <c r="Q12" s="9" cm="1">
        <f t="array" ref="Q12">PRODUCT(1 + 預測IC!$C21:P21) - 1</f>
        <v>4.7768462636908593E-2</v>
      </c>
      <c r="R12" s="9" cm="1">
        <f t="array" ref="R12">PRODUCT(1 + 預測IC!$C21:Q21) - 1</f>
        <v>0.12000397488183712</v>
      </c>
      <c r="S12" s="9" cm="1">
        <f t="array" ref="S12">PRODUCT(1 + 預測IC!$C21:R21) - 1</f>
        <v>6.2278813220881357E-2</v>
      </c>
      <c r="T12" s="9" cm="1">
        <f t="array" ref="T12">PRODUCT(1 + 預測IC!$C21:S21) - 1</f>
        <v>0.20736039123617922</v>
      </c>
      <c r="U12" s="9" cm="1">
        <f t="array" ref="U12">PRODUCT(1 + 預測IC!$C21:T21) - 1</f>
        <v>0.1544344288007149</v>
      </c>
      <c r="V12" s="9" cm="1">
        <f t="array" ref="V12">PRODUCT(1 + 預測IC!$C21:U21) - 1</f>
        <v>0.27541248668545548</v>
      </c>
      <c r="W12" s="9" cm="1">
        <f t="array" ref="W12">PRODUCT(1 + 預測IC!$C21:V21) - 1</f>
        <v>6.0937829968262136E-2</v>
      </c>
      <c r="X12" s="9" cm="1">
        <f t="array" ref="X12">PRODUCT(1 + 預測IC!$C21:W21) - 1</f>
        <v>9.4743248609727049E-2</v>
      </c>
      <c r="Y12" s="9" cm="1">
        <f t="array" ref="Y12">PRODUCT(1 + 預測IC!$C21:X21) - 1</f>
        <v>-0.21144489005026601</v>
      </c>
      <c r="Z12" s="9" cm="1">
        <f t="array" ref="Z12">PRODUCT(1 + 預測IC!$C21:Y21) - 1</f>
        <v>-0.28332590035728977</v>
      </c>
      <c r="AA12" s="9" cm="1">
        <f t="array" ref="AA12">PRODUCT(1 + 預測IC!$C21:Z21) - 1</f>
        <v>-0.24183855021704637</v>
      </c>
      <c r="AB12" s="9" cm="1">
        <f t="array" ref="AB12">PRODUCT(1 + 預測IC!$C21:AA21) - 1</f>
        <v>-0.34178917241672069</v>
      </c>
      <c r="AC12" s="9" cm="1">
        <f t="array" ref="AC12">PRODUCT(1 + 預測IC!$C21:AB21) - 1</f>
        <v>-0.37583101550586429</v>
      </c>
      <c r="AD12" s="9" cm="1">
        <f t="array" ref="AD12">PRODUCT(1 + 預測IC!$C21:AC21) - 1</f>
        <v>-0.36700430315425081</v>
      </c>
      <c r="AE12" s="9" cm="1">
        <f t="array" ref="AE12">PRODUCT(1 + 預測IC!$C21:AD21) - 1</f>
        <v>-0.35181401597275963</v>
      </c>
      <c r="AF12" s="9" cm="1">
        <f t="array" ref="AF12">PRODUCT(1 + 預測IC!$C21:AE21) - 1</f>
        <v>-0.28847706968558706</v>
      </c>
      <c r="AG12" s="9" cm="1">
        <f t="array" ref="AG12">PRODUCT(1 + 預測IC!$C21:AF21) - 1</f>
        <v>-0.1683502401735163</v>
      </c>
      <c r="AH12" s="9" cm="1">
        <f t="array" ref="AH12">PRODUCT(1 + 預測IC!$C21:AG21) - 1</f>
        <v>-0.20285297978887451</v>
      </c>
      <c r="AI12" s="9" cm="1">
        <f t="array" ref="AI12">PRODUCT(1 + 預測IC!$C21:AH21) - 1</f>
        <v>-4.0110403817760876E-2</v>
      </c>
      <c r="AJ12" s="9" cm="1">
        <f t="array" ref="AJ12">PRODUCT(1 + 預測IC!$C21:AI21) - 1</f>
        <v>3.1950349412910528E-2</v>
      </c>
      <c r="AK12" s="9" cm="1">
        <f t="array" ref="AK12">PRODUCT(1 + 預測IC!$C21:AJ21) - 1</f>
        <v>6.0825790526021217E-2</v>
      </c>
      <c r="AL12" s="9" cm="1">
        <f t="array" ref="AL12">PRODUCT(1 + 預測IC!$C21:AK21) - 1</f>
        <v>7.9496585449767121E-2</v>
      </c>
      <c r="AM12" s="9" cm="1">
        <f t="array" ref="AM12">PRODUCT(1 + 預測IC!$C21:AL21) - 1</f>
        <v>9.5596853351507916E-2</v>
      </c>
      <c r="AN12" s="9" cm="1">
        <f t="array" ref="AN12">PRODUCT(1 + 預測IC!$C21:AM21) - 1</f>
        <v>0.14420956538001373</v>
      </c>
      <c r="AO12" s="9" cm="1">
        <f t="array" ref="AO12">PRODUCT(1 + 預測IC!$C21:AN21) - 1</f>
        <v>0.15592575445538981</v>
      </c>
      <c r="AP12" s="9" cm="1">
        <f t="array" ref="AP12">PRODUCT(1 + 預測IC!$C21:AO21) - 1</f>
        <v>9.1320918242985938E-2</v>
      </c>
      <c r="AQ12" s="9" cm="1">
        <f t="array" ref="AQ12">PRODUCT(1 + 預測IC!$C21:AP21) - 1</f>
        <v>-4.4906763050393428E-2</v>
      </c>
      <c r="AR12" s="9" cm="1">
        <f t="array" ref="AR12">PRODUCT(1 + 預測IC!$C21:AQ21) - 1</f>
        <v>-8.5379474255189325E-2</v>
      </c>
      <c r="AS12" s="9" cm="1">
        <f t="array" ref="AS12">PRODUCT(1 + 預測IC!$C21:AR21) - 1</f>
        <v>-4.774785640988255E-2</v>
      </c>
      <c r="AT12" s="9" cm="1">
        <f t="array" ref="AT12">PRODUCT(1 + 預測IC!$C21:AS21) - 1</f>
        <v>5.6237007389281279E-2</v>
      </c>
      <c r="AU12" s="9" cm="1">
        <f t="array" ref="AU12">PRODUCT(1 + 預測IC!$C21:AT21) - 1</f>
        <v>-0.13873765165647745</v>
      </c>
      <c r="AV12" s="9" cm="1">
        <f t="array" ref="AV12">PRODUCT(1 + 預測IC!$C21:AU21) - 1</f>
        <v>-6.9519151283488068E-3</v>
      </c>
      <c r="AW12" s="9" cm="1">
        <f t="array" ref="AW12">PRODUCT(1 + 預測IC!$C21:AV21) - 1</f>
        <v>-0.15607035420861537</v>
      </c>
      <c r="AX12" s="9" cm="1">
        <f t="array" ref="AX12">PRODUCT(1 + 預測IC!$C21:AW21) - 1</f>
        <v>-0.21143505589101563</v>
      </c>
      <c r="AY12" s="9" cm="1">
        <f t="array" ref="AY12">PRODUCT(1 + 預測IC!$C21:AX21) - 1</f>
        <v>-0.24603904280841704</v>
      </c>
      <c r="AZ12" s="9" cm="1">
        <f t="array" ref="AZ12">PRODUCT(1 + 預測IC!$C21:AY21) - 1</f>
        <v>-3.1380031123201535E-2</v>
      </c>
      <c r="BA12" s="9" cm="1">
        <f t="array" ref="BA12">PRODUCT(1 + 預測IC!$C21:AZ21) - 1</f>
        <v>-5.4612812886901896E-2</v>
      </c>
      <c r="BB12" s="9" cm="1">
        <f t="array" ref="BB12">PRODUCT(1 + 預測IC!$C21:BA21) - 1</f>
        <v>-1.2458881770627261E-4</v>
      </c>
      <c r="BC12" s="9" cm="1">
        <f t="array" ref="BC12">PRODUCT(1 + 預測IC!$C21:BB21) - 1</f>
        <v>0.10651799786633509</v>
      </c>
      <c r="BD12" s="9" cm="1">
        <f t="array" ref="BD12">PRODUCT(1 + 預測IC!$C21:BC21) - 1</f>
        <v>0.31075000474294168</v>
      </c>
      <c r="BE12" s="9" cm="1">
        <f t="array" ref="BE12">PRODUCT(1 + 預測IC!$C21:BD21) - 1</f>
        <v>0.33259099497343403</v>
      </c>
      <c r="BF12" s="9" cm="1">
        <f t="array" ref="BF12">PRODUCT(1 + 預測IC!$C21:BE21) - 1</f>
        <v>0.36331833573876571</v>
      </c>
      <c r="BG12" s="9" cm="1">
        <f t="array" ref="BG12">PRODUCT(1 + 預測IC!$C21:BF21) - 1</f>
        <v>0.42826488439012356</v>
      </c>
      <c r="BH12" s="9" cm="1">
        <f t="array" ref="BH12">PRODUCT(1 + 預測IC!$C21:BG21) - 1</f>
        <v>0.52703181406928912</v>
      </c>
      <c r="BI12" s="9" cm="1">
        <f t="array" ref="BI12">PRODUCT(1 + 預測IC!$C21:BH21) - 1</f>
        <v>0.66140218691817299</v>
      </c>
      <c r="BJ12" s="9" cm="1">
        <f t="array" ref="BJ12">PRODUCT(1 + 預測IC!$C21:BI21) - 1</f>
        <v>0.74281880612068418</v>
      </c>
      <c r="BK12" s="9" cm="1">
        <f t="array" ref="BK12">PRODUCT(1 + 預測IC!$C21:BJ21) - 1</f>
        <v>0.64014548612226241</v>
      </c>
      <c r="BL12" s="9" cm="1">
        <f t="array" ref="BL12">PRODUCT(1 + 預測IC!$C21:BK21) - 1</f>
        <v>0.67083046359968934</v>
      </c>
      <c r="BM12" s="9" cm="1">
        <f t="array" ref="BM12">PRODUCT(1 + 預測IC!$C21:BL21) - 1</f>
        <v>0.62221574469748808</v>
      </c>
      <c r="BN12" s="9" cm="1">
        <f t="array" ref="BN12">PRODUCT(1 + 預測IC!$C21:BM21) - 1</f>
        <v>0.6268662990593139</v>
      </c>
      <c r="BO12" s="9" cm="1">
        <f t="array" ref="BO12">PRODUCT(1 + 預測IC!$C21:BN21) - 1</f>
        <v>0.49158369979067951</v>
      </c>
      <c r="BP12" s="9" cm="1">
        <f t="array" ref="BP12">PRODUCT(1 + 預測IC!$C21:BO21) - 1</f>
        <v>0.43467252737231443</v>
      </c>
      <c r="BQ12" s="9" cm="1">
        <f t="array" ref="BQ12">PRODUCT(1 + 預測IC!$C21:BP21) - 1</f>
        <v>0.21475482592216721</v>
      </c>
      <c r="BR12" s="9" cm="1">
        <f t="array" ref="BR12">PRODUCT(1 + 預測IC!$C21:BQ21) - 1</f>
        <v>0.34047696767242175</v>
      </c>
      <c r="BS12" s="9" cm="1">
        <f t="array" ref="BS12">PRODUCT(1 + 預測IC!$C21:BR21) - 1</f>
        <v>8.2135572336572871E-2</v>
      </c>
      <c r="BT12" s="9" cm="1">
        <f t="array" ref="BT12">PRODUCT(1 + 預測IC!$C21:BS21) - 1</f>
        <v>0.10938865243212792</v>
      </c>
      <c r="BU12" s="9" cm="1">
        <f t="array" ref="BU12">PRODUCT(1 + 預測IC!$C21:BT21) - 1</f>
        <v>0.27285653789817488</v>
      </c>
      <c r="BV12" s="9" cm="1">
        <f t="array" ref="BV12">PRODUCT(1 + 預測IC!$C21:BU21) - 1</f>
        <v>0.20856430291973305</v>
      </c>
      <c r="BW12" s="9" cm="1">
        <f t="array" ref="BW12">PRODUCT(1 + 預測IC!$C21:BV21) - 1</f>
        <v>0.4147598081493673</v>
      </c>
      <c r="BX12" s="9" cm="1">
        <f t="array" ref="BX12">PRODUCT(1 + 預測IC!$C21:BW21) - 1</f>
        <v>0.33388589766239418</v>
      </c>
      <c r="BY12" s="9" cm="1">
        <f t="array" ref="BY12">PRODUCT(1 + 預測IC!$C21:BX21) - 1</f>
        <v>0.31345216828734834</v>
      </c>
      <c r="BZ12" s="9" cm="1">
        <f t="array" ref="BZ12">PRODUCT(1 + 預測IC!$C21:BY21) - 1</f>
        <v>0.27623002975487254</v>
      </c>
      <c r="CA12" s="9" cm="1">
        <f t="array" ref="CA12">PRODUCT(1 + 預測IC!$C21:BZ21) - 1</f>
        <v>0.33038533919081381</v>
      </c>
      <c r="CB12" s="9" cm="1">
        <f t="array" ref="CB12">PRODUCT(1 + 預測IC!$C21:CA21) - 1</f>
        <v>0.17292844212280367</v>
      </c>
      <c r="CC12" s="9" cm="1">
        <f t="array" ref="CC12">PRODUCT(1 + 預測IC!$C21:CB21) - 1</f>
        <v>0.38771244384656911</v>
      </c>
      <c r="CD12" s="9" cm="1">
        <f t="array" ref="CD12">PRODUCT(1 + 預測IC!$C21:CC21) - 1</f>
        <v>0.30884916989294897</v>
      </c>
      <c r="CE12" s="9" cm="1">
        <f t="array" ref="CE12">PRODUCT(1 + 預測IC!$C21:CD21) - 1</f>
        <v>0.11418152864882725</v>
      </c>
      <c r="CF12" s="9" cm="1">
        <f t="array" ref="CF12">PRODUCT(1 + 預測IC!$C21:CE21) - 1</f>
        <v>0.39802055450182872</v>
      </c>
      <c r="CG12" s="9" cm="1">
        <f t="array" ref="CG12">PRODUCT(1 + 預測IC!$C21:CF21) - 1</f>
        <v>0.41376702813843047</v>
      </c>
      <c r="CH12" s="9" cm="1">
        <f t="array" ref="CH12">PRODUCT(1 + 預測IC!$C21:CG21) - 1</f>
        <v>0.25327181043811753</v>
      </c>
      <c r="CI12" s="9" cm="1">
        <f t="array" ref="CI12">PRODUCT(1 + 預測IC!$C21:CH21) - 1</f>
        <v>0.23281224480190676</v>
      </c>
      <c r="CJ12" s="9" cm="1">
        <f t="array" ref="CJ12">PRODUCT(1 + 預測IC!$C21:CI21) - 1</f>
        <v>0.16599685723487512</v>
      </c>
      <c r="CK12" s="9" cm="1">
        <f t="array" ref="CK12">PRODUCT(1 + 預測IC!$C21:CJ21) - 1</f>
        <v>2.4006202475636451E-2</v>
      </c>
      <c r="CL12" s="9" cm="1">
        <f t="array" ref="CL12">PRODUCT(1 + 預測IC!$C21:CK21) - 1</f>
        <v>9.5257484596233732E-2</v>
      </c>
      <c r="CM12" s="9" cm="1">
        <f t="array" ref="CM12">PRODUCT(1 + 預測IC!$C21:CL21) - 1</f>
        <v>0.24462550087341373</v>
      </c>
      <c r="CN12" s="9" cm="1">
        <f t="array" ref="CN12">PRODUCT(1 + 預測IC!$C21:CM21) - 1</f>
        <v>0.3386966249212422</v>
      </c>
      <c r="CO12" s="9" cm="1">
        <f t="array" ref="CO12">PRODUCT(1 + 預測IC!$C21:CN21) - 1</f>
        <v>0.64371566831851301</v>
      </c>
      <c r="CP12" s="9" cm="1">
        <f t="array" ref="CP12">PRODUCT(1 + 預測IC!$C21:CO21) - 1</f>
        <v>0.25956830498602734</v>
      </c>
      <c r="CQ12" s="9" cm="1">
        <f t="array" ref="CQ12">PRODUCT(1 + 預測IC!$C21:CP21) - 1</f>
        <v>0.40190051866868615</v>
      </c>
      <c r="CR12" s="9" cm="1">
        <f t="array" ref="CR12">PRODUCT(1 + 預測IC!$C21:CQ21) - 1</f>
        <v>0.28193726054569557</v>
      </c>
      <c r="CS12" s="9" cm="1">
        <f t="array" ref="CS12">PRODUCT(1 + 預測IC!$C21:CR21) - 1</f>
        <v>5.592310144974677E-2</v>
      </c>
      <c r="CT12" s="9" cm="1">
        <f t="array" ref="CT12">PRODUCT(1 + 預測IC!$C21:CS21) - 1</f>
        <v>7.9047435141353928E-2</v>
      </c>
      <c r="CU12" s="9" cm="1">
        <f t="array" ref="CU12">PRODUCT(1 + 預測IC!$C21:CT21) - 1</f>
        <v>-6.8646714310244938E-2</v>
      </c>
      <c r="CV12" s="9" cm="1">
        <f t="array" ref="CV12">PRODUCT(1 + 預測IC!$C21:CU21) - 1</f>
        <v>-0.2051901314332234</v>
      </c>
      <c r="CW12" s="9" cm="1">
        <f t="array" ref="CW12">PRODUCT(1 + 預測IC!$C21:CV21) - 1</f>
        <v>-0.19222664774503706</v>
      </c>
      <c r="CX12" s="9" cm="1">
        <f t="array" ref="CX12">PRODUCT(1 + 預測IC!$C21:CW21) - 1</f>
        <v>-0.14334353364544039</v>
      </c>
      <c r="CY12" s="9" cm="1">
        <f t="array" ref="CY12">PRODUCT(1 + 預測IC!$C21:CX21) - 1</f>
        <v>-0.27025743825542803</v>
      </c>
      <c r="CZ12" s="9" cm="1">
        <f t="array" ref="CZ12">PRODUCT(1 + 預測IC!$C21:CY21) - 1</f>
        <v>-0.19152396661068616</v>
      </c>
      <c r="DA12" s="9" cm="1">
        <f t="array" ref="DA12">PRODUCT(1 + 預測IC!$C21:CZ21) - 1</f>
        <v>-0.23801074275529488</v>
      </c>
      <c r="DB12" s="9" cm="1">
        <f t="array" ref="DB12">PRODUCT(1 + 預測IC!$C21:DA21) - 1</f>
        <v>-0.14680337318698189</v>
      </c>
      <c r="DC12" s="9" cm="1">
        <f t="array" ref="DC12">PRODUCT(1 + 預測IC!$C21:DB21) - 1</f>
        <v>9.7328990483104949E-2</v>
      </c>
      <c r="DD12" s="9" cm="1">
        <f t="array" ref="DD12">PRODUCT(1 + 預測IC!$C21:DC21) - 1</f>
        <v>2.5357832334443442E-2</v>
      </c>
      <c r="DE12" s="9" cm="1">
        <f t="array" ref="DE12">PRODUCT(1 + 預測IC!$C21:DD21) - 1</f>
        <v>2.5956947851457635E-3</v>
      </c>
      <c r="DF12" s="9" cm="1">
        <f t="array" ref="DF12">PRODUCT(1 + 預測IC!$C21:DE21) - 1</f>
        <v>-2.6080184831161701E-2</v>
      </c>
      <c r="DG12" s="9" cm="1">
        <f t="array" ref="DG12">PRODUCT(1 + 預測IC!$C21:DF21) - 1</f>
        <v>1.0173654160881007E-3</v>
      </c>
      <c r="DH12" s="9" cm="1">
        <f t="array" ref="DH12">PRODUCT(1 + 預測IC!$C21:DG21) - 1</f>
        <v>-3.9695965376404518E-2</v>
      </c>
      <c r="DI12" s="9" cm="1">
        <f t="array" ref="DI12">PRODUCT(1 + 預測IC!$C21:DH21) - 1</f>
        <v>-9.6798703969545596E-2</v>
      </c>
      <c r="DJ12" s="9" cm="1">
        <f t="array" ref="DJ12">PRODUCT(1 + 預測IC!$C21:DI21) - 1</f>
        <v>-0.21928535043324382</v>
      </c>
      <c r="DK12" s="9" cm="1">
        <f t="array" ref="DK12">PRODUCT(1 + 預測IC!$C21:DJ21) - 1</f>
        <v>-9.0271888469119821E-2</v>
      </c>
      <c r="DL12" s="9" cm="1">
        <f t="array" ref="DL12">PRODUCT(1 + 預測IC!$C21:DK21) - 1</f>
        <v>6.663188953408139E-2</v>
      </c>
      <c r="DM12" s="9" cm="1">
        <f t="array" ref="DM12">PRODUCT(1 + 預測IC!$C21:DL21) - 1</f>
        <v>8.0362117161631996E-3</v>
      </c>
      <c r="DN12" s="9" cm="1">
        <f t="array" ref="DN12">PRODUCT(1 + 預測IC!$C21:DM21) - 1</f>
        <v>-3.9262466527213435E-3</v>
      </c>
      <c r="DO12" s="9" cm="1">
        <f t="array" ref="DO12">PRODUCT(1 + 預測IC!$C21:DN21) - 1</f>
        <v>2.3270630709042894E-2</v>
      </c>
      <c r="DP12" s="9" cm="1">
        <f t="array" ref="DP12">PRODUCT(1 + 預測IC!$C21:DO21) - 1</f>
        <v>2.1594538760145054E-2</v>
      </c>
      <c r="DQ12" s="9" cm="1">
        <f t="array" ref="DQ12">PRODUCT(1 + 預測IC!$C21:DP21) - 1</f>
        <v>3.849483530230513E-3</v>
      </c>
      <c r="DR12" s="9" cm="1">
        <f t="array" ref="DR12">PRODUCT(1 + 預測IC!$C21:DQ21) - 1</f>
        <v>7.733177239062683E-2</v>
      </c>
      <c r="DS12" s="9" cm="1">
        <f t="array" ref="DS12">PRODUCT(1 + 預測IC!$C21:DR21) - 1</f>
        <v>0.11307877744773598</v>
      </c>
      <c r="DT12" s="9" cm="1">
        <f t="array" ref="DT12">PRODUCT(1 + 預測IC!$C21:DS21) - 1</f>
        <v>6.3080432858421354E-2</v>
      </c>
      <c r="DU12" s="9" cm="1">
        <f t="array" ref="DU12">PRODUCT(1 + 預測IC!$C21:DT21) - 1</f>
        <v>6.8431178747697885E-2</v>
      </c>
      <c r="DV12" s="9" cm="1">
        <f t="array" ref="DV12">PRODUCT(1 + 預測IC!$C21:DU21) - 1</f>
        <v>0.2762618127424703</v>
      </c>
      <c r="DW12" s="9" cm="1">
        <f t="array" ref="DW12">PRODUCT(1 + 預測IC!$C21:DV21) - 1</f>
        <v>0.18985868855501686</v>
      </c>
      <c r="DX12" s="9" cm="1">
        <f t="array" ref="DX12">PRODUCT(1 + 預測IC!$C21:DW21) - 1</f>
        <v>0.27104081115051315</v>
      </c>
      <c r="DY12" s="9" cm="1">
        <f t="array" ref="DY12">PRODUCT(1 + 預測IC!$C21:DX21) - 1</f>
        <v>0.35017027498501019</v>
      </c>
      <c r="DZ12" s="9" cm="1">
        <f t="array" ref="DZ12">PRODUCT(1 + 預測IC!$C21:DY21) - 1</f>
        <v>0.29894674120330156</v>
      </c>
      <c r="EA12" s="9" cm="1">
        <f t="array" ref="EA12">PRODUCT(1 + 預測IC!$C21:DZ21) - 1</f>
        <v>0.21115619632464133</v>
      </c>
      <c r="EB12" s="9" cm="1">
        <f t="array" ref="EB12">PRODUCT(1 + 預測IC!$C21:EA21) - 1</f>
        <v>0.17128526475108186</v>
      </c>
      <c r="EC12" s="9" cm="1">
        <f t="array" ref="EC12">PRODUCT(1 + 預測IC!$C21:EB21) - 1</f>
        <v>0.31848770951839933</v>
      </c>
      <c r="ED12" s="9" cm="1">
        <f t="array" ref="ED12">PRODUCT(1 + 預測IC!$C21:EC21) - 1</f>
        <v>0.50805222888897927</v>
      </c>
      <c r="EE12" s="9" cm="1">
        <f t="array" ref="EE12">PRODUCT(1 + 預測IC!$C21:ED21) - 1</f>
        <v>0.62912659157959405</v>
      </c>
      <c r="EF12" s="9" cm="1">
        <f t="array" ref="EF12">PRODUCT(1 + 預測IC!$C21:EE21) - 1</f>
        <v>0.59195662524083126</v>
      </c>
      <c r="EG12" s="9" cm="1">
        <f t="array" ref="EG12">PRODUCT(1 + 預測IC!$C21:EF21) - 1</f>
        <v>0.32413072132479259</v>
      </c>
    </row>
    <row r="13" spans="3:137" ht="16">
      <c r="C13" s="6">
        <v>192</v>
      </c>
      <c r="D13" s="9" cm="1">
        <f t="array" ref="D13">PRODUCT(1 + 預測IC!$C22:C22) - 1</f>
        <v>1.1241331728202963E-2</v>
      </c>
      <c r="E13" s="9" cm="1">
        <f t="array" ref="E13">PRODUCT(1 + 預測IC!$C22:D22) - 1</f>
        <v>0.23632989290661865</v>
      </c>
      <c r="F13" s="9" cm="1">
        <f t="array" ref="F13">PRODUCT(1 + 預測IC!$C22:E22) - 1</f>
        <v>5.5671304430283675E-2</v>
      </c>
      <c r="G13" s="9" cm="1">
        <f t="array" ref="G13">PRODUCT(1 + 預測IC!$C22:F22) - 1</f>
        <v>8.0818137381297062E-2</v>
      </c>
      <c r="H13" s="9" cm="1">
        <f t="array" ref="H13">PRODUCT(1 + 預測IC!$C22:G22) - 1</f>
        <v>5.9111792663703255E-2</v>
      </c>
      <c r="I13" s="9" cm="1">
        <f t="array" ref="I13">PRODUCT(1 + 預測IC!$C22:H22) - 1</f>
        <v>7.137951217825611E-2</v>
      </c>
      <c r="J13" s="9" cm="1">
        <f t="array" ref="J13">PRODUCT(1 + 預測IC!$C22:I22) - 1</f>
        <v>0.2705095104523807</v>
      </c>
      <c r="K13" s="9" cm="1">
        <f t="array" ref="K13">PRODUCT(1 + 預測IC!$C22:J22) - 1</f>
        <v>0.45764048313411099</v>
      </c>
      <c r="L13" s="9" cm="1">
        <f t="array" ref="L13">PRODUCT(1 + 預測IC!$C22:K22) - 1</f>
        <v>0.77063161253714663</v>
      </c>
      <c r="M13" s="9" cm="1">
        <f t="array" ref="M13">PRODUCT(1 + 預測IC!$C22:L22) - 1</f>
        <v>0.78656689217946063</v>
      </c>
      <c r="N13" s="9" cm="1">
        <f t="array" ref="N13">PRODUCT(1 + 預測IC!$C22:M22) - 1</f>
        <v>0.64771807859542618</v>
      </c>
      <c r="O13" s="9" cm="1">
        <f t="array" ref="O13">PRODUCT(1 + 預測IC!$C22:N22) - 1</f>
        <v>6.0271020082181215E-2</v>
      </c>
      <c r="P13" s="9" cm="1">
        <f t="array" ref="P13">PRODUCT(1 + 預測IC!$C22:O22) - 1</f>
        <v>0.11314131370113212</v>
      </c>
      <c r="Q13" s="9" cm="1">
        <f t="array" ref="Q13">PRODUCT(1 + 預測IC!$C22:P22) - 1</f>
        <v>0.1105389498224727</v>
      </c>
      <c r="R13" s="9" cm="1">
        <f t="array" ref="R13">PRODUCT(1 + 預測IC!$C22:Q22) - 1</f>
        <v>0.20858707164221246</v>
      </c>
      <c r="S13" s="9" cm="1">
        <f t="array" ref="S13">PRODUCT(1 + 預測IC!$C22:R22) - 1</f>
        <v>0.12569143964167639</v>
      </c>
      <c r="T13" s="9" cm="1">
        <f t="array" ref="T13">PRODUCT(1 + 預測IC!$C22:S22) - 1</f>
        <v>0.30955615752404109</v>
      </c>
      <c r="U13" s="9" cm="1">
        <f t="array" ref="U13">PRODUCT(1 + 預測IC!$C22:T22) - 1</f>
        <v>0.23126625911307208</v>
      </c>
      <c r="V13" s="9" cm="1">
        <f t="array" ref="V13">PRODUCT(1 + 預測IC!$C22:U22) - 1</f>
        <v>0.42998582809452346</v>
      </c>
      <c r="W13" s="9" cm="1">
        <f t="array" ref="W13">PRODUCT(1 + 預測IC!$C22:V22) - 1</f>
        <v>0.20431073803239208</v>
      </c>
      <c r="X13" s="9" cm="1">
        <f t="array" ref="X13">PRODUCT(1 + 預測IC!$C22:W22) - 1</f>
        <v>0.24969813688220777</v>
      </c>
      <c r="Y13" s="9" cm="1">
        <f t="array" ref="Y13">PRODUCT(1 + 預測IC!$C22:X22) - 1</f>
        <v>-2.9463316281693852E-2</v>
      </c>
      <c r="Z13" s="9" cm="1">
        <f t="array" ref="Z13">PRODUCT(1 + 預測IC!$C22:Y22) - 1</f>
        <v>-0.11247469793444576</v>
      </c>
      <c r="AA13" s="9" cm="1">
        <f t="array" ref="AA13">PRODUCT(1 + 預測IC!$C22:Z22) - 1</f>
        <v>-4.6773713065247025E-2</v>
      </c>
      <c r="AB13" s="9" cm="1">
        <f t="array" ref="AB13">PRODUCT(1 + 預測IC!$C22:AA22) - 1</f>
        <v>-0.1711538899087921</v>
      </c>
      <c r="AC13" s="9" cm="1">
        <f t="array" ref="AC13">PRODUCT(1 + 預測IC!$C22:AB22) - 1</f>
        <v>-0.19842172122512092</v>
      </c>
      <c r="AD13" s="9" cm="1">
        <f t="array" ref="AD13">PRODUCT(1 + 預測IC!$C22:AC22) - 1</f>
        <v>-0.16054854011253339</v>
      </c>
      <c r="AE13" s="9" cm="1">
        <f t="array" ref="AE13">PRODUCT(1 + 預測IC!$C22:AD22) - 1</f>
        <v>-0.13789400873170143</v>
      </c>
      <c r="AF13" s="9" cm="1">
        <f t="array" ref="AF13">PRODUCT(1 + 預測IC!$C22:AE22) - 1</f>
        <v>2.383515558576077E-2</v>
      </c>
      <c r="AG13" s="9" cm="1">
        <f t="array" ref="AG13">PRODUCT(1 + 預測IC!$C22:AF22) - 1</f>
        <v>0.25266008052624467</v>
      </c>
      <c r="AH13" s="9" cm="1">
        <f t="array" ref="AH13">PRODUCT(1 + 預測IC!$C22:AG22) - 1</f>
        <v>0.21237046259213832</v>
      </c>
      <c r="AI13" s="9" cm="1">
        <f t="array" ref="AI13">PRODUCT(1 + 預測IC!$C22:AH22) - 1</f>
        <v>0.47502137312652692</v>
      </c>
      <c r="AJ13" s="9" cm="1">
        <f t="array" ref="AJ13">PRODUCT(1 + 預測IC!$C22:AI22) - 1</f>
        <v>0.63782497586592402</v>
      </c>
      <c r="AK13" s="9" cm="1">
        <f t="array" ref="AK13">PRODUCT(1 + 預測IC!$C22:AJ22) - 1</f>
        <v>0.70607716339773163</v>
      </c>
      <c r="AL13" s="9" cm="1">
        <f t="array" ref="AL13">PRODUCT(1 + 預測IC!$C22:AK22) - 1</f>
        <v>0.74896370276553781</v>
      </c>
      <c r="AM13" s="9" cm="1">
        <f t="array" ref="AM13">PRODUCT(1 + 預測IC!$C22:AL22) - 1</f>
        <v>0.7853076321743151</v>
      </c>
      <c r="AN13" s="9" cm="1">
        <f t="array" ref="AN13">PRODUCT(1 + 預測IC!$C22:AM22) - 1</f>
        <v>0.70775105676993966</v>
      </c>
      <c r="AO13" s="9" cm="1">
        <f t="array" ref="AO13">PRODUCT(1 + 預測IC!$C22:AN22) - 1</f>
        <v>0.64892839306680661</v>
      </c>
      <c r="AP13" s="9" cm="1">
        <f t="array" ref="AP13">PRODUCT(1 + 預測IC!$C22:AO22) - 1</f>
        <v>0.56795233170080994</v>
      </c>
      <c r="AQ13" s="9" cm="1">
        <f t="array" ref="AQ13">PRODUCT(1 + 預測IC!$C22:AP22) - 1</f>
        <v>0.34887762700809555</v>
      </c>
      <c r="AR13" s="9" cm="1">
        <f t="array" ref="AR13">PRODUCT(1 + 預測IC!$C22:AQ22) - 1</f>
        <v>0.30394889928810032</v>
      </c>
      <c r="AS13" s="9" cm="1">
        <f t="array" ref="AS13">PRODUCT(1 + 預測IC!$C22:AR22) - 1</f>
        <v>0.34272703540882943</v>
      </c>
      <c r="AT13" s="9" cm="1">
        <f t="array" ref="AT13">PRODUCT(1 + 預測IC!$C22:AS22) - 1</f>
        <v>0.39951326645871377</v>
      </c>
      <c r="AU13" s="9" cm="1">
        <f t="array" ref="AU13">PRODUCT(1 + 預測IC!$C22:AT22) - 1</f>
        <v>6.4856409584014729E-2</v>
      </c>
      <c r="AV13" s="9" cm="1">
        <f t="array" ref="AV13">PRODUCT(1 + 預測IC!$C22:AU22) - 1</f>
        <v>0.21720822831141917</v>
      </c>
      <c r="AW13" s="9" cm="1">
        <f t="array" ref="AW13">PRODUCT(1 + 預測IC!$C22:AV22) - 1</f>
        <v>-6.9456927495279652E-2</v>
      </c>
      <c r="AX13" s="9" cm="1">
        <f t="array" ref="AX13">PRODUCT(1 + 預測IC!$C22:AW22) - 1</f>
        <v>-9.1760462425012013E-2</v>
      </c>
      <c r="AY13" s="9" cm="1">
        <f t="array" ref="AY13">PRODUCT(1 + 預測IC!$C22:AX22) - 1</f>
        <v>-0.11633474950905631</v>
      </c>
      <c r="AZ13" s="9" cm="1">
        <f t="array" ref="AZ13">PRODUCT(1 + 預測IC!$C22:AY22) - 1</f>
        <v>0.19730939604777986</v>
      </c>
      <c r="BA13" s="9" cm="1">
        <f t="array" ref="BA13">PRODUCT(1 + 預測IC!$C22:AZ22) - 1</f>
        <v>0.16355381699151761</v>
      </c>
      <c r="BB13" s="9" cm="1">
        <f t="array" ref="BB13">PRODUCT(1 + 預測IC!$C22:BA22) - 1</f>
        <v>0.17533320197101276</v>
      </c>
      <c r="BC13" s="9" cm="1">
        <f t="array" ref="BC13">PRODUCT(1 + 預測IC!$C22:BB22) - 1</f>
        <v>0.24830113698153222</v>
      </c>
      <c r="BD13" s="9" cm="1">
        <f t="array" ref="BD13">PRODUCT(1 + 預測IC!$C22:BC22) - 1</f>
        <v>0.54806901460757818</v>
      </c>
      <c r="BE13" s="9" cm="1">
        <f t="array" ref="BE13">PRODUCT(1 + 預測IC!$C22:BD22) - 1</f>
        <v>0.59379689988353745</v>
      </c>
      <c r="BF13" s="9" cm="1">
        <f t="array" ref="BF13">PRODUCT(1 + 預測IC!$C22:BE22) - 1</f>
        <v>0.56149102138011897</v>
      </c>
      <c r="BG13" s="9" cm="1">
        <f t="array" ref="BG13">PRODUCT(1 + 預測IC!$C22:BF22) - 1</f>
        <v>0.65494524951935373</v>
      </c>
      <c r="BH13" s="9" cm="1">
        <f t="array" ref="BH13">PRODUCT(1 + 預測IC!$C22:BG22) - 1</f>
        <v>0.74768727066582463</v>
      </c>
      <c r="BI13" s="9" cm="1">
        <f t="array" ref="BI13">PRODUCT(1 + 預測IC!$C22:BH22) - 1</f>
        <v>0.81255628721743345</v>
      </c>
      <c r="BJ13" s="9" cm="1">
        <f t="array" ref="BJ13">PRODUCT(1 + 預測IC!$C22:BI22) - 1</f>
        <v>0.96046019652022463</v>
      </c>
      <c r="BK13" s="9" cm="1">
        <f t="array" ref="BK13">PRODUCT(1 + 預測IC!$C22:BJ22) - 1</f>
        <v>0.86412360629261298</v>
      </c>
      <c r="BL13" s="9" cm="1">
        <f t="array" ref="BL13">PRODUCT(1 + 預測IC!$C22:BK22) - 1</f>
        <v>0.89761000762361687</v>
      </c>
      <c r="BM13" s="9" cm="1">
        <f t="array" ref="BM13">PRODUCT(1 + 預測IC!$C22:BL22) - 1</f>
        <v>0.89922283424830507</v>
      </c>
      <c r="BN13" s="9" cm="1">
        <f t="array" ref="BN13">PRODUCT(1 + 預測IC!$C22:BM22) - 1</f>
        <v>0.88132797088009074</v>
      </c>
      <c r="BO13" s="9" cm="1">
        <f t="array" ref="BO13">PRODUCT(1 + 預測IC!$C22:BN22) - 1</f>
        <v>0.77149560444758603</v>
      </c>
      <c r="BP13" s="9" cm="1">
        <f t="array" ref="BP13">PRODUCT(1 + 預測IC!$C22:BO22) - 1</f>
        <v>0.6551863704753611</v>
      </c>
      <c r="BQ13" s="9" cm="1">
        <f t="array" ref="BQ13">PRODUCT(1 + 預測IC!$C22:BP22) - 1</f>
        <v>0.32542553723819467</v>
      </c>
      <c r="BR13" s="9" cm="1">
        <f t="array" ref="BR13">PRODUCT(1 + 預測IC!$C22:BQ22) - 1</f>
        <v>0.38577932444171736</v>
      </c>
      <c r="BS13" s="9" cm="1">
        <f t="array" ref="BS13">PRODUCT(1 + 預測IC!$C22:BR22) - 1</f>
        <v>8.8959170458010606E-2</v>
      </c>
      <c r="BT13" s="9" cm="1">
        <f t="array" ref="BT13">PRODUCT(1 + 預測IC!$C22:BS22) - 1</f>
        <v>8.556303938995713E-2</v>
      </c>
      <c r="BU13" s="9" cm="1">
        <f t="array" ref="BU13">PRODUCT(1 + 預測IC!$C22:BT22) - 1</f>
        <v>0.1387640760107145</v>
      </c>
      <c r="BV13" s="9" cm="1">
        <f t="array" ref="BV13">PRODUCT(1 + 預測IC!$C22:BU22) - 1</f>
        <v>5.751165582523754E-2</v>
      </c>
      <c r="BW13" s="9" cm="1">
        <f t="array" ref="BW13">PRODUCT(1 + 預測IC!$C22:BV22) - 1</f>
        <v>0.19439350909914932</v>
      </c>
      <c r="BX13" s="9" cm="1">
        <f t="array" ref="BX13">PRODUCT(1 + 預測IC!$C22:BW22) - 1</f>
        <v>0.11104369651349644</v>
      </c>
      <c r="BY13" s="9" cm="1">
        <f t="array" ref="BY13">PRODUCT(1 + 預測IC!$C22:BX22) - 1</f>
        <v>0.12402598732467229</v>
      </c>
      <c r="BZ13" s="9" cm="1">
        <f t="array" ref="BZ13">PRODUCT(1 + 預測IC!$C22:BY22) - 1</f>
        <v>2.9319097847672504E-2</v>
      </c>
      <c r="CA13" s="9" cm="1">
        <f t="array" ref="CA13">PRODUCT(1 + 預測IC!$C22:BZ22) - 1</f>
        <v>6.8046429734034186E-2</v>
      </c>
      <c r="CB13" s="9" cm="1">
        <f t="array" ref="CB13">PRODUCT(1 + 預測IC!$C22:CA22) - 1</f>
        <v>-6.8421065281249804E-2</v>
      </c>
      <c r="CC13" s="9" cm="1">
        <f t="array" ref="CC13">PRODUCT(1 + 預測IC!$C22:CB22) - 1</f>
        <v>9.2427994737878771E-2</v>
      </c>
      <c r="CD13" s="9" cm="1">
        <f t="array" ref="CD13">PRODUCT(1 + 預測IC!$C22:CC22) - 1</f>
        <v>4.9520573729631145E-2</v>
      </c>
      <c r="CE13" s="9" cm="1">
        <f t="array" ref="CE13">PRODUCT(1 + 預測IC!$C22:CD22) - 1</f>
        <v>-0.14869137022921197</v>
      </c>
      <c r="CF13" s="9" cm="1">
        <f t="array" ref="CF13">PRODUCT(1 + 預測IC!$C22:CE22) - 1</f>
        <v>0.11103585191081722</v>
      </c>
      <c r="CG13" s="9" cm="1">
        <f t="array" ref="CG13">PRODUCT(1 + 預測IC!$C22:CF22) - 1</f>
        <v>0.12669585698479913</v>
      </c>
      <c r="CH13" s="9" cm="1">
        <f t="array" ref="CH13">PRODUCT(1 + 預測IC!$C22:CG22) - 1</f>
        <v>3.1844606084956872E-2</v>
      </c>
      <c r="CI13" s="9" cm="1">
        <f t="array" ref="CI13">PRODUCT(1 + 預測IC!$C22:CH22) - 1</f>
        <v>3.1611629304867606E-2</v>
      </c>
      <c r="CJ13" s="9" cm="1">
        <f t="array" ref="CJ13">PRODUCT(1 + 預測IC!$C22:CI22) - 1</f>
        <v>-6.3220779063997035E-2</v>
      </c>
      <c r="CK13" s="9" cm="1">
        <f t="array" ref="CK13">PRODUCT(1 + 預測IC!$C22:CJ22) - 1</f>
        <v>-0.20932982472472672</v>
      </c>
      <c r="CL13" s="9" cm="1">
        <f t="array" ref="CL13">PRODUCT(1 + 預測IC!$C22:CK22) - 1</f>
        <v>-0.15277258849229225</v>
      </c>
      <c r="CM13" s="9" cm="1">
        <f t="array" ref="CM13">PRODUCT(1 + 預測IC!$C22:CL22) - 1</f>
        <v>6.8594673884279089E-3</v>
      </c>
      <c r="CN13" s="9" cm="1">
        <f t="array" ref="CN13">PRODUCT(1 + 預測IC!$C22:CM22) - 1</f>
        <v>8.685921167972066E-2</v>
      </c>
      <c r="CO13" s="9" cm="1">
        <f t="array" ref="CO13">PRODUCT(1 + 預測IC!$C22:CN22) - 1</f>
        <v>0.22807186344891073</v>
      </c>
      <c r="CP13" s="9" cm="1">
        <f t="array" ref="CP13">PRODUCT(1 + 預測IC!$C22:CO22) - 1</f>
        <v>-3.5065932355213381E-2</v>
      </c>
      <c r="CQ13" s="9" cm="1">
        <f t="array" ref="CQ13">PRODUCT(1 + 預測IC!$C22:CP22) - 1</f>
        <v>9.1776257363580083E-2</v>
      </c>
      <c r="CR13" s="9" cm="1">
        <f t="array" ref="CR13">PRODUCT(1 + 預測IC!$C22:CQ22) - 1</f>
        <v>1.065441052280125E-2</v>
      </c>
      <c r="CS13" s="9" cm="1">
        <f t="array" ref="CS13">PRODUCT(1 + 預測IC!$C22:CR22) - 1</f>
        <v>-0.18691448923475318</v>
      </c>
      <c r="CT13" s="9" cm="1">
        <f t="array" ref="CT13">PRODUCT(1 + 預測IC!$C22:CS22) - 1</f>
        <v>-0.16818221687796697</v>
      </c>
      <c r="CU13" s="9" cm="1">
        <f t="array" ref="CU13">PRODUCT(1 + 預測IC!$C22:CT22) - 1</f>
        <v>-0.26013464856564128</v>
      </c>
      <c r="CV13" s="9" cm="1">
        <f t="array" ref="CV13">PRODUCT(1 + 預測IC!$C22:CU22) - 1</f>
        <v>-0.36869361856268423</v>
      </c>
      <c r="CW13" s="9" cm="1">
        <f t="array" ref="CW13">PRODUCT(1 + 預測IC!$C22:CV22) - 1</f>
        <v>-0.3515618328032043</v>
      </c>
      <c r="CX13" s="9" cm="1">
        <f t="array" ref="CX13">PRODUCT(1 + 預測IC!$C22:CW22) - 1</f>
        <v>-0.30753047672844147</v>
      </c>
      <c r="CY13" s="9" cm="1">
        <f t="array" ref="CY13">PRODUCT(1 + 預測IC!$C22:CX22) - 1</f>
        <v>-0.4080453280935793</v>
      </c>
      <c r="CZ13" s="9" cm="1">
        <f t="array" ref="CZ13">PRODUCT(1 + 預測IC!$C22:CY22) - 1</f>
        <v>-0.34827764370946168</v>
      </c>
      <c r="DA13" s="9" cm="1">
        <f t="array" ref="DA13">PRODUCT(1 + 預測IC!$C22:CZ22) - 1</f>
        <v>-0.35679085422958035</v>
      </c>
      <c r="DB13" s="9" cm="1">
        <f t="array" ref="DB13">PRODUCT(1 + 預測IC!$C22:DA22) - 1</f>
        <v>-0.21231356265229639</v>
      </c>
      <c r="DC13" s="9" cm="1">
        <f t="array" ref="DC13">PRODUCT(1 + 預測IC!$C22:DB22) - 1</f>
        <v>8.8968559963744864E-2</v>
      </c>
      <c r="DD13" s="9" cm="1">
        <f t="array" ref="DD13">PRODUCT(1 + 預測IC!$C22:DC22) - 1</f>
        <v>4.8314846863242167E-2</v>
      </c>
      <c r="DE13" s="9" cm="1">
        <f t="array" ref="DE13">PRODUCT(1 + 預測IC!$C22:DD22) - 1</f>
        <v>4.5491849814025986E-2</v>
      </c>
      <c r="DF13" s="9" cm="1">
        <f t="array" ref="DF13">PRODUCT(1 + 預測IC!$C22:DE22) - 1</f>
        <v>6.3666137595661532E-3</v>
      </c>
      <c r="DG13" s="9" cm="1">
        <f t="array" ref="DG13">PRODUCT(1 + 預測IC!$C22:DF22) - 1</f>
        <v>9.9280303167841977E-2</v>
      </c>
      <c r="DH13" s="9" cm="1">
        <f t="array" ref="DH13">PRODUCT(1 + 預測IC!$C22:DG22) - 1</f>
        <v>4.8370173517497506E-2</v>
      </c>
      <c r="DI13" s="9" cm="1">
        <f t="array" ref="DI13">PRODUCT(1 + 預測IC!$C22:DH22) - 1</f>
        <v>1.1866839561704534E-2</v>
      </c>
      <c r="DJ13" s="9" cm="1">
        <f t="array" ref="DJ13">PRODUCT(1 + 預測IC!$C22:DI22) - 1</f>
        <v>-0.11952378174390133</v>
      </c>
      <c r="DK13" s="9" cm="1">
        <f t="array" ref="DK13">PRODUCT(1 + 預測IC!$C22:DJ22) - 1</f>
        <v>7.1237105350685503E-4</v>
      </c>
      <c r="DL13" s="9" cm="1">
        <f t="array" ref="DL13">PRODUCT(1 + 預測IC!$C22:DK22) - 1</f>
        <v>0.11369653112169154</v>
      </c>
      <c r="DM13" s="9" cm="1">
        <f t="array" ref="DM13">PRODUCT(1 + 預測IC!$C22:DL22) - 1</f>
        <v>4.2234134180938021E-2</v>
      </c>
      <c r="DN13" s="9" cm="1">
        <f t="array" ref="DN13">PRODUCT(1 + 預測IC!$C22:DM22) - 1</f>
        <v>3.6694888187323471E-2</v>
      </c>
      <c r="DO13" s="9" cm="1">
        <f t="array" ref="DO13">PRODUCT(1 + 預測IC!$C22:DN22) - 1</f>
        <v>9.1878697803942755E-2</v>
      </c>
      <c r="DP13" s="9" cm="1">
        <f t="array" ref="DP13">PRODUCT(1 + 預測IC!$C22:DO22) - 1</f>
        <v>8.6540761339466199E-2</v>
      </c>
      <c r="DQ13" s="9" cm="1">
        <f t="array" ref="DQ13">PRODUCT(1 + 預測IC!$C22:DP22) - 1</f>
        <v>5.4791489588750908E-2</v>
      </c>
      <c r="DR13" s="9" cm="1">
        <f t="array" ref="DR13">PRODUCT(1 + 預測IC!$C22:DQ22) - 1</f>
        <v>0.12861575330604258</v>
      </c>
      <c r="DS13" s="9" cm="1">
        <f t="array" ref="DS13">PRODUCT(1 + 預測IC!$C22:DR22) - 1</f>
        <v>0.22816968917685077</v>
      </c>
      <c r="DT13" s="9" cm="1">
        <f t="array" ref="DT13">PRODUCT(1 + 預測IC!$C22:DS22) - 1</f>
        <v>0.31388703895157954</v>
      </c>
      <c r="DU13" s="9" cm="1">
        <f t="array" ref="DU13">PRODUCT(1 + 預測IC!$C22:DT22) - 1</f>
        <v>0.27488385705689389</v>
      </c>
      <c r="DV13" s="9" cm="1">
        <f t="array" ref="DV13">PRODUCT(1 + 預測IC!$C22:DU22) - 1</f>
        <v>0.622473709340718</v>
      </c>
      <c r="DW13" s="9" cm="1">
        <f t="array" ref="DW13">PRODUCT(1 + 預測IC!$C22:DV22) - 1</f>
        <v>0.39299108658426674</v>
      </c>
      <c r="DX13" s="9" cm="1">
        <f t="array" ref="DX13">PRODUCT(1 + 預測IC!$C22:DW22) - 1</f>
        <v>0.48116623058708496</v>
      </c>
      <c r="DY13" s="9" cm="1">
        <f t="array" ref="DY13">PRODUCT(1 + 預測IC!$C22:DX22) - 1</f>
        <v>0.54369752071675759</v>
      </c>
      <c r="DZ13" s="9" cm="1">
        <f t="array" ref="DZ13">PRODUCT(1 + 預測IC!$C22:DY22) - 1</f>
        <v>0.5568318998292805</v>
      </c>
      <c r="EA13" s="9" cm="1">
        <f t="array" ref="EA13">PRODUCT(1 + 預測IC!$C22:DZ22) - 1</f>
        <v>0.46142058683177467</v>
      </c>
      <c r="EB13" s="9" cm="1">
        <f t="array" ref="EB13">PRODUCT(1 + 預測IC!$C22:EA22) - 1</f>
        <v>0.47008037959914084</v>
      </c>
      <c r="EC13" s="9" cm="1">
        <f t="array" ref="EC13">PRODUCT(1 + 預測IC!$C22:EB22) - 1</f>
        <v>0.77916402773787241</v>
      </c>
      <c r="ED13" s="9" cm="1">
        <f t="array" ref="ED13">PRODUCT(1 + 預測IC!$C22:EC22) - 1</f>
        <v>1.0122454496903273</v>
      </c>
      <c r="EE13" s="9" cm="1">
        <f t="array" ref="EE13">PRODUCT(1 + 預測IC!$C22:ED22) - 1</f>
        <v>1.1286087026188523</v>
      </c>
      <c r="EF13" s="9" cm="1">
        <f t="array" ref="EF13">PRODUCT(1 + 預測IC!$C22:EE22) - 1</f>
        <v>1.0859990920929854</v>
      </c>
      <c r="EG13" s="9" cm="1">
        <f t="array" ref="EG13">PRODUCT(1 + 預測IC!$C22:EF22) - 1</f>
        <v>0.64889520755140784</v>
      </c>
    </row>
    <row r="14" spans="3:137" ht="16">
      <c r="C14" s="6">
        <v>241</v>
      </c>
      <c r="D14" s="9" cm="1">
        <f t="array" ref="D14">PRODUCT(1 + 預測IC!$C23:C23) - 1</f>
        <v>1.0384834477426885E-2</v>
      </c>
      <c r="E14" s="9" cm="1">
        <f t="array" ref="E14">PRODUCT(1 + 預測IC!$C23:D23) - 1</f>
        <v>0.33876827332827619</v>
      </c>
      <c r="F14" s="9" cm="1">
        <f t="array" ref="F14">PRODUCT(1 + 預測IC!$C23:E23) - 1</f>
        <v>0.28024059786781796</v>
      </c>
      <c r="G14" s="9" cm="1">
        <f t="array" ref="G14">PRODUCT(1 + 預測IC!$C23:F23) - 1</f>
        <v>0.2767083568021087</v>
      </c>
      <c r="H14" s="9" cm="1">
        <f t="array" ref="H14">PRODUCT(1 + 預測IC!$C23:G23) - 1</f>
        <v>0.24465778471913513</v>
      </c>
      <c r="I14" s="9" cm="1">
        <f t="array" ref="I14">PRODUCT(1 + 預測IC!$C23:H23) - 1</f>
        <v>0.19755485964036046</v>
      </c>
      <c r="J14" s="9" cm="1">
        <f t="array" ref="J14">PRODUCT(1 + 預測IC!$C23:I23) - 1</f>
        <v>0.48415735577534202</v>
      </c>
      <c r="K14" s="9" cm="1">
        <f t="array" ref="K14">PRODUCT(1 + 預測IC!$C23:J23) - 1</f>
        <v>0.61857249959783966</v>
      </c>
      <c r="L14" s="9" cm="1">
        <f t="array" ref="L14">PRODUCT(1 + 預測IC!$C23:K23) - 1</f>
        <v>0.95342282040302151</v>
      </c>
      <c r="M14" s="9" cm="1">
        <f t="array" ref="M14">PRODUCT(1 + 預測IC!$C23:L23) - 1</f>
        <v>1.065209720681195</v>
      </c>
      <c r="N14" s="9" cm="1">
        <f t="array" ref="N14">PRODUCT(1 + 預測IC!$C23:M23) - 1</f>
        <v>0.85934012937240456</v>
      </c>
      <c r="O14" s="9" cm="1">
        <f t="array" ref="O14">PRODUCT(1 + 預測IC!$C23:N23) - 1</f>
        <v>0.38752753928587524</v>
      </c>
      <c r="P14" s="9" cm="1">
        <f t="array" ref="P14">PRODUCT(1 + 預測IC!$C23:O23) - 1</f>
        <v>0.43519187069184184</v>
      </c>
      <c r="Q14" s="9" cm="1">
        <f t="array" ref="Q14">PRODUCT(1 + 預測IC!$C23:P23) - 1</f>
        <v>0.43203387186143716</v>
      </c>
      <c r="R14" s="9" cm="1">
        <f t="array" ref="R14">PRODUCT(1 + 預測IC!$C23:Q23) - 1</f>
        <v>0.58138757443565492</v>
      </c>
      <c r="S14" s="9" cm="1">
        <f t="array" ref="S14">PRODUCT(1 + 預測IC!$C23:R23) - 1</f>
        <v>0.40566226679702533</v>
      </c>
      <c r="T14" s="9" cm="1">
        <f t="array" ref="T14">PRODUCT(1 + 預測IC!$C23:S23) - 1</f>
        <v>0.7037638950536933</v>
      </c>
      <c r="U14" s="9" cm="1">
        <f t="array" ref="U14">PRODUCT(1 + 預測IC!$C23:T23) - 1</f>
        <v>0.61614326085971172</v>
      </c>
      <c r="V14" s="9" cm="1">
        <f t="array" ref="V14">PRODUCT(1 + 預測IC!$C23:U23) - 1</f>
        <v>0.8940678247181113</v>
      </c>
      <c r="W14" s="9" cm="1">
        <f t="array" ref="W14">PRODUCT(1 + 預測IC!$C23:V23) - 1</f>
        <v>0.54718381527880533</v>
      </c>
      <c r="X14" s="9" cm="1">
        <f t="array" ref="X14">PRODUCT(1 + 預測IC!$C23:W23) - 1</f>
        <v>0.37627666798774984</v>
      </c>
      <c r="Y14" s="9" cm="1">
        <f t="array" ref="Y14">PRODUCT(1 + 預測IC!$C23:X23) - 1</f>
        <v>6.156930153943474E-3</v>
      </c>
      <c r="Z14" s="9" cm="1">
        <f t="array" ref="Z14">PRODUCT(1 + 預測IC!$C23:Y23) - 1</f>
        <v>-0.1037851337405552</v>
      </c>
      <c r="AA14" s="9" cm="1">
        <f t="array" ref="AA14">PRODUCT(1 + 預測IC!$C23:Z23) - 1</f>
        <v>-5.7569713974811032E-3</v>
      </c>
      <c r="AB14" s="9" cm="1">
        <f t="array" ref="AB14">PRODUCT(1 + 預測IC!$C23:AA23) - 1</f>
        <v>-0.1157559506478123</v>
      </c>
      <c r="AC14" s="9" cm="1">
        <f t="array" ref="AC14">PRODUCT(1 + 預測IC!$C23:AB23) - 1</f>
        <v>-0.13517036337968968</v>
      </c>
      <c r="AD14" s="9" cm="1">
        <f t="array" ref="AD14">PRODUCT(1 + 預測IC!$C23:AC23) - 1</f>
        <v>-0.11888757868516486</v>
      </c>
      <c r="AE14" s="9" cm="1">
        <f t="array" ref="AE14">PRODUCT(1 + 預測IC!$C23:AD23) - 1</f>
        <v>-0.14173771029189064</v>
      </c>
      <c r="AF14" s="9" cm="1">
        <f t="array" ref="AF14">PRODUCT(1 + 預測IC!$C23:AE23) - 1</f>
        <v>-3.5568947143664209E-2</v>
      </c>
      <c r="AG14" s="9" cm="1">
        <f t="array" ref="AG14">PRODUCT(1 + 預測IC!$C23:AF23) - 1</f>
        <v>0.24907734042417617</v>
      </c>
      <c r="AH14" s="9" cm="1">
        <f t="array" ref="AH14">PRODUCT(1 + 預測IC!$C23:AG23) - 1</f>
        <v>0.23527931751665543</v>
      </c>
      <c r="AI14" s="9" cm="1">
        <f t="array" ref="AI14">PRODUCT(1 + 預測IC!$C23:AH23) - 1</f>
        <v>0.53218025257108814</v>
      </c>
      <c r="AJ14" s="9" cm="1">
        <f t="array" ref="AJ14">PRODUCT(1 + 預測IC!$C23:AI23) - 1</f>
        <v>0.74775713052651338</v>
      </c>
      <c r="AK14" s="9" cm="1">
        <f t="array" ref="AK14">PRODUCT(1 + 預測IC!$C23:AJ23) - 1</f>
        <v>0.79768136399487877</v>
      </c>
      <c r="AL14" s="9" cm="1">
        <f t="array" ref="AL14">PRODUCT(1 + 預測IC!$C23:AK23) - 1</f>
        <v>0.8662820883749216</v>
      </c>
      <c r="AM14" s="9" cm="1">
        <f t="array" ref="AM14">PRODUCT(1 + 預測IC!$C23:AL23) - 1</f>
        <v>0.93606514920593265</v>
      </c>
      <c r="AN14" s="9" cm="1">
        <f t="array" ref="AN14">PRODUCT(1 + 預測IC!$C23:AM23) - 1</f>
        <v>0.75872512540962078</v>
      </c>
      <c r="AO14" s="9" cm="1">
        <f t="array" ref="AO14">PRODUCT(1 + 預測IC!$C23:AN23) - 1</f>
        <v>0.72040421168909341</v>
      </c>
      <c r="AP14" s="9" cm="1">
        <f t="array" ref="AP14">PRODUCT(1 + 預測IC!$C23:AO23) - 1</f>
        <v>0.5731930513423773</v>
      </c>
      <c r="AQ14" s="9" cm="1">
        <f t="array" ref="AQ14">PRODUCT(1 + 預測IC!$C23:AP23) - 1</f>
        <v>0.27727354147538885</v>
      </c>
      <c r="AR14" s="9" cm="1">
        <f t="array" ref="AR14">PRODUCT(1 + 預測IC!$C23:AQ23) - 1</f>
        <v>0.22996819789037315</v>
      </c>
      <c r="AS14" s="9" cm="1">
        <f t="array" ref="AS14">PRODUCT(1 + 預測IC!$C23:AR23) - 1</f>
        <v>0.27203052810090211</v>
      </c>
      <c r="AT14" s="9" cm="1">
        <f t="array" ref="AT14">PRODUCT(1 + 預測IC!$C23:AS23) - 1</f>
        <v>0.3297892138610039</v>
      </c>
      <c r="AU14" s="9" cm="1">
        <f t="array" ref="AU14">PRODUCT(1 + 預測IC!$C23:AT23) - 1</f>
        <v>-2.2389844444065443E-2</v>
      </c>
      <c r="AV14" s="9" cm="1">
        <f t="array" ref="AV14">PRODUCT(1 + 預測IC!$C23:AU23) - 1</f>
        <v>3.9644730210026458E-2</v>
      </c>
      <c r="AW14" s="9" cm="1">
        <f t="array" ref="AW14">PRODUCT(1 + 預測IC!$C23:AV23) - 1</f>
        <v>-0.24227972408982956</v>
      </c>
      <c r="AX14" s="9" cm="1">
        <f t="array" ref="AX14">PRODUCT(1 + 預測IC!$C23:AW23) - 1</f>
        <v>-0.24750051593899536</v>
      </c>
      <c r="AY14" s="9" cm="1">
        <f t="array" ref="AY14">PRODUCT(1 + 預測IC!$C23:AX23) - 1</f>
        <v>-0.2666592082200242</v>
      </c>
      <c r="AZ14" s="9" cm="1">
        <f t="array" ref="AZ14">PRODUCT(1 + 預測IC!$C23:AY23) - 1</f>
        <v>-3.7134939522332044E-2</v>
      </c>
      <c r="BA14" s="9" cm="1">
        <f t="array" ref="BA14">PRODUCT(1 + 預測IC!$C23:AZ23) - 1</f>
        <v>-5.7200066957219242E-2</v>
      </c>
      <c r="BB14" s="9" cm="1">
        <f t="array" ref="BB14">PRODUCT(1 + 預測IC!$C23:BA23) - 1</f>
        <v>-1.6746617993176782E-2</v>
      </c>
      <c r="BC14" s="9" cm="1">
        <f t="array" ref="BC14">PRODUCT(1 + 預測IC!$C23:BB23) - 1</f>
        <v>5.073246269834164E-2</v>
      </c>
      <c r="BD14" s="9" cm="1">
        <f t="array" ref="BD14">PRODUCT(1 + 預測IC!$C23:BC23) - 1</f>
        <v>0.22353648242859703</v>
      </c>
      <c r="BE14" s="9" cm="1">
        <f t="array" ref="BE14">PRODUCT(1 + 預測IC!$C23:BD23) - 1</f>
        <v>0.28969233869753475</v>
      </c>
      <c r="BF14" s="9" cm="1">
        <f t="array" ref="BF14">PRODUCT(1 + 預測IC!$C23:BE23) - 1</f>
        <v>0.27363581128887482</v>
      </c>
      <c r="BG14" s="9" cm="1">
        <f t="array" ref="BG14">PRODUCT(1 + 預測IC!$C23:BF23) - 1</f>
        <v>0.27180107534129938</v>
      </c>
      <c r="BH14" s="9" cm="1">
        <f t="array" ref="BH14">PRODUCT(1 + 預測IC!$C23:BG23) - 1</f>
        <v>0.28304204959021084</v>
      </c>
      <c r="BI14" s="9" cm="1">
        <f t="array" ref="BI14">PRODUCT(1 + 預測IC!$C23:BH23) - 1</f>
        <v>0.338382821638612</v>
      </c>
      <c r="BJ14" s="9" cm="1">
        <f t="array" ref="BJ14">PRODUCT(1 + 預測IC!$C23:BI23) - 1</f>
        <v>0.41361283087110956</v>
      </c>
      <c r="BK14" s="9" cm="1">
        <f t="array" ref="BK14">PRODUCT(1 + 預測IC!$C23:BJ23) - 1</f>
        <v>0.36840193813621092</v>
      </c>
      <c r="BL14" s="9" cm="1">
        <f t="array" ref="BL14">PRODUCT(1 + 預測IC!$C23:BK23) - 1</f>
        <v>0.39933570737809432</v>
      </c>
      <c r="BM14" s="9" cm="1">
        <f t="array" ref="BM14">PRODUCT(1 + 預測IC!$C23:BL23) - 1</f>
        <v>0.37865180588337033</v>
      </c>
      <c r="BN14" s="9" cm="1">
        <f t="array" ref="BN14">PRODUCT(1 + 預測IC!$C23:BM23) - 1</f>
        <v>0.37473253700822751</v>
      </c>
      <c r="BO14" s="9" cm="1">
        <f t="array" ref="BO14">PRODUCT(1 + 預測IC!$C23:BN23) - 1</f>
        <v>0.35558363344713961</v>
      </c>
      <c r="BP14" s="9" cm="1">
        <f t="array" ref="BP14">PRODUCT(1 + 預測IC!$C23:BO23) - 1</f>
        <v>0.25479575499304663</v>
      </c>
      <c r="BQ14" s="9" cm="1">
        <f t="array" ref="BQ14">PRODUCT(1 + 預測IC!$C23:BP23) - 1</f>
        <v>-2.1038696778971078E-3</v>
      </c>
      <c r="BR14" s="9" cm="1">
        <f t="array" ref="BR14">PRODUCT(1 + 預測IC!$C23:BQ23) - 1</f>
        <v>4.655909395865887E-2</v>
      </c>
      <c r="BS14" s="9" cm="1">
        <f t="array" ref="BS14">PRODUCT(1 + 預測IC!$C23:BR23) - 1</f>
        <v>-0.25409173627372972</v>
      </c>
      <c r="BT14" s="9" cm="1">
        <f t="array" ref="BT14">PRODUCT(1 + 預測IC!$C23:BS23) - 1</f>
        <v>-0.27135721044990846</v>
      </c>
      <c r="BU14" s="9" cm="1">
        <f t="array" ref="BU14">PRODUCT(1 + 預測IC!$C23:BT23) - 1</f>
        <v>-0.26564344497818393</v>
      </c>
      <c r="BV14" s="9" cm="1">
        <f t="array" ref="BV14">PRODUCT(1 + 預測IC!$C23:BU23) - 1</f>
        <v>-0.33005013204814571</v>
      </c>
      <c r="BW14" s="9" cm="1">
        <f t="array" ref="BW14">PRODUCT(1 + 預測IC!$C23:BV23) - 1</f>
        <v>-0.20399436667707516</v>
      </c>
      <c r="BX14" s="9" cm="1">
        <f t="array" ref="BX14">PRODUCT(1 + 預測IC!$C23:BW23) - 1</f>
        <v>-0.21280494995402144</v>
      </c>
      <c r="BY14" s="9" cm="1">
        <f t="array" ref="BY14">PRODUCT(1 + 預測IC!$C23:BX23) - 1</f>
        <v>-0.23807868920996422</v>
      </c>
      <c r="BZ14" s="9" cm="1">
        <f t="array" ref="BZ14">PRODUCT(1 + 預測IC!$C23:BY23) - 1</f>
        <v>-0.26854757254547534</v>
      </c>
      <c r="CA14" s="9" cm="1">
        <f t="array" ref="CA14">PRODUCT(1 + 預測IC!$C23:BZ23) - 1</f>
        <v>-0.20798983212705957</v>
      </c>
      <c r="CB14" s="9" cm="1">
        <f t="array" ref="CB14">PRODUCT(1 + 預測IC!$C23:CA23) - 1</f>
        <v>-0.18316812152889317</v>
      </c>
      <c r="CC14" s="9" cm="1">
        <f t="array" ref="CC14">PRODUCT(1 + 預測IC!$C23:CB23) - 1</f>
        <v>-0.10794061666795107</v>
      </c>
      <c r="CD14" s="9" cm="1">
        <f t="array" ref="CD14">PRODUCT(1 + 預測IC!$C23:CC23) - 1</f>
        <v>-0.19578228743456572</v>
      </c>
      <c r="CE14" s="9" cm="1">
        <f t="array" ref="CE14">PRODUCT(1 + 預測IC!$C23:CD23) - 1</f>
        <v>-0.31704898168446793</v>
      </c>
      <c r="CF14" s="9" cm="1">
        <f t="array" ref="CF14">PRODUCT(1 + 預測IC!$C23:CE23) - 1</f>
        <v>-6.831307464352443E-2</v>
      </c>
      <c r="CG14" s="9" cm="1">
        <f t="array" ref="CG14">PRODUCT(1 + 預測IC!$C23:CF23) - 1</f>
        <v>-5.189796306842076E-2</v>
      </c>
      <c r="CH14" s="9" cm="1">
        <f t="array" ref="CH14">PRODUCT(1 + 預測IC!$C23:CG23) - 1</f>
        <v>-0.13433143257142122</v>
      </c>
      <c r="CI14" s="9" cm="1">
        <f t="array" ref="CI14">PRODUCT(1 + 預測IC!$C23:CH23) - 1</f>
        <v>-0.14069544632335651</v>
      </c>
      <c r="CJ14" s="9" cm="1">
        <f t="array" ref="CJ14">PRODUCT(1 + 預測IC!$C23:CI23) - 1</f>
        <v>-0.23944265509096674</v>
      </c>
      <c r="CK14" s="9" cm="1">
        <f t="array" ref="CK14">PRODUCT(1 + 預測IC!$C23:CJ23) - 1</f>
        <v>-0.29688603686850756</v>
      </c>
      <c r="CL14" s="9" cm="1">
        <f t="array" ref="CL14">PRODUCT(1 + 預測IC!$C23:CK23) - 1</f>
        <v>-0.24772806516416879</v>
      </c>
      <c r="CM14" s="9" cm="1">
        <f t="array" ref="CM14">PRODUCT(1 + 預測IC!$C23:CL23) - 1</f>
        <v>-5.2535486314775448E-2</v>
      </c>
      <c r="CN14" s="9" cm="1">
        <f t="array" ref="CN14">PRODUCT(1 + 預測IC!$C23:CM23) - 1</f>
        <v>7.149408633751575E-3</v>
      </c>
      <c r="CO14" s="9" cm="1">
        <f t="array" ref="CO14">PRODUCT(1 + 預測IC!$C23:CN23) - 1</f>
        <v>0.12832621813435385</v>
      </c>
      <c r="CP14" s="9" cm="1">
        <f t="array" ref="CP14">PRODUCT(1 + 預測IC!$C23:CO23) - 1</f>
        <v>-0.12264240575572505</v>
      </c>
      <c r="CQ14" s="9" cm="1">
        <f t="array" ref="CQ14">PRODUCT(1 + 預測IC!$C23:CP23) - 1</f>
        <v>1.7639082124298655E-2</v>
      </c>
      <c r="CR14" s="9" cm="1">
        <f t="array" ref="CR14">PRODUCT(1 + 預測IC!$C23:CQ23) - 1</f>
        <v>-0.10556992122633313</v>
      </c>
      <c r="CS14" s="9" cm="1">
        <f t="array" ref="CS14">PRODUCT(1 + 預測IC!$C23:CR23) - 1</f>
        <v>-0.31939234577047215</v>
      </c>
      <c r="CT14" s="9" cm="1">
        <f t="array" ref="CT14">PRODUCT(1 + 預測IC!$C23:CS23) - 1</f>
        <v>-0.32784693952309207</v>
      </c>
      <c r="CU14" s="9" cm="1">
        <f t="array" ref="CU14">PRODUCT(1 + 預測IC!$C23:CT23) - 1</f>
        <v>-0.37304268828986986</v>
      </c>
      <c r="CV14" s="9" cm="1">
        <f t="array" ref="CV14">PRODUCT(1 + 預測IC!$C23:CU23) - 1</f>
        <v>-0.47267662660407239</v>
      </c>
      <c r="CW14" s="9" cm="1">
        <f t="array" ref="CW14">PRODUCT(1 + 預測IC!$C23:CV23) - 1</f>
        <v>-0.4427738517553953</v>
      </c>
      <c r="CX14" s="9" cm="1">
        <f t="array" ref="CX14">PRODUCT(1 + 預測IC!$C23:CW23) - 1</f>
        <v>-0.42140672708653903</v>
      </c>
      <c r="CY14" s="9" cm="1">
        <f t="array" ref="CY14">PRODUCT(1 + 預測IC!$C23:CX23) - 1</f>
        <v>-0.51222784596658033</v>
      </c>
      <c r="CZ14" s="9" cm="1">
        <f t="array" ref="CZ14">PRODUCT(1 + 預測IC!$C23:CY23) - 1</f>
        <v>-0.43786585616193852</v>
      </c>
      <c r="DA14" s="9" cm="1">
        <f t="array" ref="DA14">PRODUCT(1 + 預測IC!$C23:CZ23) - 1</f>
        <v>-0.44564984368272875</v>
      </c>
      <c r="DB14" s="9" cm="1">
        <f t="array" ref="DB14">PRODUCT(1 + 預測IC!$C23:DA23) - 1</f>
        <v>-0.29255448094384395</v>
      </c>
      <c r="DC14" s="9" cm="1">
        <f t="array" ref="DC14">PRODUCT(1 + 預測IC!$C23:DB23) - 1</f>
        <v>4.1607930287766104E-2</v>
      </c>
      <c r="DD14" s="9" cm="1">
        <f t="array" ref="DD14">PRODUCT(1 + 預測IC!$C23:DC23) - 1</f>
        <v>-0.11870052507864859</v>
      </c>
      <c r="DE14" s="9" cm="1">
        <f t="array" ref="DE14">PRODUCT(1 + 預測IC!$C23:DD23) - 1</f>
        <v>-0.11517134290297881</v>
      </c>
      <c r="DF14" s="9" cm="1">
        <f t="array" ref="DF14">PRODUCT(1 + 預測IC!$C23:DE23) - 1</f>
        <v>-0.14838601841385457</v>
      </c>
      <c r="DG14" s="9" cm="1">
        <f t="array" ref="DG14">PRODUCT(1 + 預測IC!$C23:DF23) - 1</f>
        <v>-0.10006231110913244</v>
      </c>
      <c r="DH14" s="9" cm="1">
        <f t="array" ref="DH14">PRODUCT(1 + 預測IC!$C23:DG23) - 1</f>
        <v>-0.13631690614449998</v>
      </c>
      <c r="DI14" s="9" cm="1">
        <f t="array" ref="DI14">PRODUCT(1 + 預測IC!$C23:DH23) - 1</f>
        <v>-0.16363943597546748</v>
      </c>
      <c r="DJ14" s="9" cm="1">
        <f t="array" ref="DJ14">PRODUCT(1 + 預測IC!$C23:DI23) - 1</f>
        <v>-0.26138954883899768</v>
      </c>
      <c r="DK14" s="9" cm="1">
        <f t="array" ref="DK14">PRODUCT(1 + 預測IC!$C23:DJ23) - 1</f>
        <v>-0.14571892847017442</v>
      </c>
      <c r="DL14" s="9" cm="1">
        <f t="array" ref="DL14">PRODUCT(1 + 預測IC!$C23:DK23) - 1</f>
        <v>-0.12454917566254697</v>
      </c>
      <c r="DM14" s="9" cm="1">
        <f t="array" ref="DM14">PRODUCT(1 + 預測IC!$C23:DL23) - 1</f>
        <v>-0.19650263310152671</v>
      </c>
      <c r="DN14" s="9" cm="1">
        <f t="array" ref="DN14">PRODUCT(1 + 預測IC!$C23:DM23) - 1</f>
        <v>-0.17732329543806025</v>
      </c>
      <c r="DO14" s="9" cm="1">
        <f t="array" ref="DO14">PRODUCT(1 + 預測IC!$C23:DN23) - 1</f>
        <v>-0.11801900061273274</v>
      </c>
      <c r="DP14" s="9" cm="1">
        <f t="array" ref="DP14">PRODUCT(1 + 預測IC!$C23:DO23) - 1</f>
        <v>-0.12792791687778426</v>
      </c>
      <c r="DQ14" s="9" cm="1">
        <f t="array" ref="DQ14">PRODUCT(1 + 預測IC!$C23:DP23) - 1</f>
        <v>-0.14787804267095828</v>
      </c>
      <c r="DR14" s="9" cm="1">
        <f t="array" ref="DR14">PRODUCT(1 + 預測IC!$C23:DQ23) - 1</f>
        <v>-0.13164535782833076</v>
      </c>
      <c r="DS14" s="9" cm="1">
        <f t="array" ref="DS14">PRODUCT(1 + 預測IC!$C23:DR23) - 1</f>
        <v>-3.0571035954890524E-2</v>
      </c>
      <c r="DT14" s="9" cm="1">
        <f t="array" ref="DT14">PRODUCT(1 + 預測IC!$C23:DS23) - 1</f>
        <v>5.1447921897911586E-2</v>
      </c>
      <c r="DU14" s="9" cm="1">
        <f t="array" ref="DU14">PRODUCT(1 + 預測IC!$C23:DT23) - 1</f>
        <v>4.5964420845593601E-2</v>
      </c>
      <c r="DV14" s="9" cm="1">
        <f t="array" ref="DV14">PRODUCT(1 + 預測IC!$C23:DU23) - 1</f>
        <v>0.40139007505773749</v>
      </c>
      <c r="DW14" s="9" cm="1">
        <f t="array" ref="DW14">PRODUCT(1 + 預測IC!$C23:DV23) - 1</f>
        <v>0.17705449868019674</v>
      </c>
      <c r="DX14" s="9" cm="1">
        <f t="array" ref="DX14">PRODUCT(1 + 預測IC!$C23:DW23) - 1</f>
        <v>0.2740455918540079</v>
      </c>
      <c r="DY14" s="9" cm="1">
        <f t="array" ref="DY14">PRODUCT(1 + 預測IC!$C23:DX23) - 1</f>
        <v>0.31826586539897539</v>
      </c>
      <c r="DZ14" s="9" cm="1">
        <f t="array" ref="DZ14">PRODUCT(1 + 預測IC!$C23:DY23) - 1</f>
        <v>0.31176209899860896</v>
      </c>
      <c r="EA14" s="9" cm="1">
        <f t="array" ref="EA14">PRODUCT(1 + 預測IC!$C23:DZ23) - 1</f>
        <v>0.23261175213307927</v>
      </c>
      <c r="EB14" s="9" cm="1">
        <f t="array" ref="EB14">PRODUCT(1 + 預測IC!$C23:EA23) - 1</f>
        <v>0.27583507936527329</v>
      </c>
      <c r="EC14" s="9" cm="1">
        <f t="array" ref="EC14">PRODUCT(1 + 預測IC!$C23:EB23) - 1</f>
        <v>0.57590930007123631</v>
      </c>
      <c r="ED14" s="9" cm="1">
        <f t="array" ref="ED14">PRODUCT(1 + 預測IC!$C23:EC23) - 1</f>
        <v>0.79668476584649572</v>
      </c>
      <c r="EE14" s="9" cm="1">
        <f t="array" ref="EE14">PRODUCT(1 + 預測IC!$C23:ED23) - 1</f>
        <v>0.56463357958076665</v>
      </c>
      <c r="EF14" s="9" cm="1">
        <f t="array" ref="EF14">PRODUCT(1 + 預測IC!$C23:EE23) - 1</f>
        <v>0.58177561966041602</v>
      </c>
      <c r="EG14" s="9" cm="1">
        <f t="array" ref="EG14">PRODUCT(1 + 預測IC!$C23:EF23) - 1</f>
        <v>0.29918463578896026</v>
      </c>
    </row>
    <row r="15" spans="3:137" ht="16">
      <c r="C15" s="6">
        <v>321</v>
      </c>
      <c r="D15" s="9" cm="1">
        <f t="array" ref="D15">PRODUCT(1 + 預測IC!$C24:C24) - 1</f>
        <v>2.5922326608526669E-2</v>
      </c>
      <c r="E15" s="9" cm="1">
        <f t="array" ref="E15">PRODUCT(1 + 預測IC!$C24:D24) - 1</f>
        <v>0.45416479871263427</v>
      </c>
      <c r="F15" s="9" cm="1">
        <f t="array" ref="F15">PRODUCT(1 + 預測IC!$C24:E24) - 1</f>
        <v>0.42183811574438024</v>
      </c>
      <c r="G15" s="9" cm="1">
        <f t="array" ref="G15">PRODUCT(1 + 預測IC!$C24:F24) - 1</f>
        <v>0.42177740487016768</v>
      </c>
      <c r="H15" s="9" cm="1">
        <f t="array" ref="H15">PRODUCT(1 + 預測IC!$C24:G24) - 1</f>
        <v>0.38727691495522221</v>
      </c>
      <c r="I15" s="9" cm="1">
        <f t="array" ref="I15">PRODUCT(1 + 預測IC!$C24:H24) - 1</f>
        <v>6.8472988153587044E-2</v>
      </c>
      <c r="J15" s="9" cm="1">
        <f t="array" ref="J15">PRODUCT(1 + 預測IC!$C24:I24) - 1</f>
        <v>0.34032767221090698</v>
      </c>
      <c r="K15" s="9" cm="1">
        <f t="array" ref="K15">PRODUCT(1 + 預測IC!$C24:J24) - 1</f>
        <v>0.49899335826829128</v>
      </c>
      <c r="L15" s="9" cm="1">
        <f t="array" ref="L15">PRODUCT(1 + 預測IC!$C24:K24) - 1</f>
        <v>0.86679523172517947</v>
      </c>
      <c r="M15" s="9" cm="1">
        <f t="array" ref="M15">PRODUCT(1 + 預測IC!$C24:L24) - 1</f>
        <v>1.0674517656349578</v>
      </c>
      <c r="N15" s="9" cm="1">
        <f t="array" ref="N15">PRODUCT(1 + 預測IC!$C24:M24) - 1</f>
        <v>0.91425346829608345</v>
      </c>
      <c r="O15" s="9" cm="1">
        <f t="array" ref="O15">PRODUCT(1 + 預測IC!$C24:N24) - 1</f>
        <v>0.40861607725575921</v>
      </c>
      <c r="P15" s="9" cm="1">
        <f t="array" ref="P15">PRODUCT(1 + 預測IC!$C24:O24) - 1</f>
        <v>0.39915598309347389</v>
      </c>
      <c r="Q15" s="9" cm="1">
        <f t="array" ref="Q15">PRODUCT(1 + 預測IC!$C24:P24) - 1</f>
        <v>0.38481581173415358</v>
      </c>
      <c r="R15" s="9" cm="1">
        <f t="array" ref="R15">PRODUCT(1 + 預測IC!$C24:Q24) - 1</f>
        <v>0.55744190699749874</v>
      </c>
      <c r="S15" s="9" cm="1">
        <f t="array" ref="S15">PRODUCT(1 + 預測IC!$C24:R24) - 1</f>
        <v>0.32088528406710326</v>
      </c>
      <c r="T15" s="9" cm="1">
        <f t="array" ref="T15">PRODUCT(1 + 預測IC!$C24:S24) - 1</f>
        <v>0.46679268455827305</v>
      </c>
      <c r="U15" s="9" cm="1">
        <f t="array" ref="U15">PRODUCT(1 + 預測IC!$C24:T24) - 1</f>
        <v>0.39525175185153971</v>
      </c>
      <c r="V15" s="9" cm="1">
        <f t="array" ref="V15">PRODUCT(1 + 預測IC!$C24:U24) - 1</f>
        <v>0.63808922145881386</v>
      </c>
      <c r="W15" s="9" cm="1">
        <f t="array" ref="W15">PRODUCT(1 + 預測IC!$C24:V24) - 1</f>
        <v>0.33524643538450882</v>
      </c>
      <c r="X15" s="9" cm="1">
        <f t="array" ref="X15">PRODUCT(1 + 預測IC!$C24:W24) - 1</f>
        <v>0.2230175144537434</v>
      </c>
      <c r="Y15" s="9" cm="1">
        <f t="array" ref="Y15">PRODUCT(1 + 預測IC!$C24:X24) - 1</f>
        <v>-0.23527823510950163</v>
      </c>
      <c r="Z15" s="9" cm="1">
        <f t="array" ref="Z15">PRODUCT(1 + 預測IC!$C24:Y24) - 1</f>
        <v>-0.33920911329649384</v>
      </c>
      <c r="AA15" s="9" cm="1">
        <f t="array" ref="AA15">PRODUCT(1 + 預測IC!$C24:Z24) - 1</f>
        <v>-0.23999128902410949</v>
      </c>
      <c r="AB15" s="9" cm="1">
        <f t="array" ref="AB15">PRODUCT(1 + 預測IC!$C24:AA24) - 1</f>
        <v>-0.30271057133175694</v>
      </c>
      <c r="AC15" s="9" cm="1">
        <f t="array" ref="AC15">PRODUCT(1 + 預測IC!$C24:AB24) - 1</f>
        <v>-0.30001538722598775</v>
      </c>
      <c r="AD15" s="9" cm="1">
        <f t="array" ref="AD15">PRODUCT(1 + 預測IC!$C24:AC24) - 1</f>
        <v>-0.23997318458697048</v>
      </c>
      <c r="AE15" s="9" cm="1">
        <f t="array" ref="AE15">PRODUCT(1 + 預測IC!$C24:AD24) - 1</f>
        <v>-0.25410493258917799</v>
      </c>
      <c r="AF15" s="9" cm="1">
        <f t="array" ref="AF15">PRODUCT(1 + 預測IC!$C24:AE24) - 1</f>
        <v>-0.13196655677421154</v>
      </c>
      <c r="AG15" s="9" cm="1">
        <f t="array" ref="AG15">PRODUCT(1 + 預測IC!$C24:AF24) - 1</f>
        <v>0.24121557569552787</v>
      </c>
      <c r="AH15" s="9" cm="1">
        <f t="array" ref="AH15">PRODUCT(1 + 預測IC!$C24:AG24) - 1</f>
        <v>0.22779542806597664</v>
      </c>
      <c r="AI15" s="9" cm="1">
        <f t="array" ref="AI15">PRODUCT(1 + 預測IC!$C24:AH24) - 1</f>
        <v>0.53182488979282838</v>
      </c>
      <c r="AJ15" s="9" cm="1">
        <f t="array" ref="AJ15">PRODUCT(1 + 預測IC!$C24:AI24) - 1</f>
        <v>0.83331401676552797</v>
      </c>
      <c r="AK15" s="9" cm="1">
        <f t="array" ref="AK15">PRODUCT(1 + 預測IC!$C24:AJ24) - 1</f>
        <v>0.85288394708599369</v>
      </c>
      <c r="AL15" s="9" cm="1">
        <f t="array" ref="AL15">PRODUCT(1 + 預測IC!$C24:AK24) - 1</f>
        <v>0.93638463424966534</v>
      </c>
      <c r="AM15" s="9" cm="1">
        <f t="array" ref="AM15">PRODUCT(1 + 預測IC!$C24:AL24) - 1</f>
        <v>0.93860126451975123</v>
      </c>
      <c r="AN15" s="9" cm="1">
        <f t="array" ref="AN15">PRODUCT(1 + 預測IC!$C24:AM24) - 1</f>
        <v>0.71954339009985913</v>
      </c>
      <c r="AO15" s="9" cm="1">
        <f t="array" ref="AO15">PRODUCT(1 + 預測IC!$C24:AN24) - 1</f>
        <v>0.67163593646764164</v>
      </c>
      <c r="AP15" s="9" cm="1">
        <f t="array" ref="AP15">PRODUCT(1 + 預測IC!$C24:AO24) - 1</f>
        <v>0.4072619066709624</v>
      </c>
      <c r="AQ15" s="9" cm="1">
        <f t="array" ref="AQ15">PRODUCT(1 + 預測IC!$C24:AP24) - 1</f>
        <v>5.3483218517065056E-2</v>
      </c>
      <c r="AR15" s="9" cm="1">
        <f t="array" ref="AR15">PRODUCT(1 + 預測IC!$C24:AQ24) - 1</f>
        <v>0.11155829369203718</v>
      </c>
      <c r="AS15" s="9" cm="1">
        <f t="array" ref="AS15">PRODUCT(1 + 預測IC!$C24:AR24) - 1</f>
        <v>0.23181078327872529</v>
      </c>
      <c r="AT15" s="9" cm="1">
        <f t="array" ref="AT15">PRODUCT(1 + 預測IC!$C24:AS24) - 1</f>
        <v>0.14084931403308731</v>
      </c>
      <c r="AU15" s="9" cm="1">
        <f t="array" ref="AU15">PRODUCT(1 + 預測IC!$C24:AT24) - 1</f>
        <v>0.12062391414516016</v>
      </c>
      <c r="AV15" s="9" cm="1">
        <f t="array" ref="AV15">PRODUCT(1 + 預測IC!$C24:AU24) - 1</f>
        <v>0.2437968404135531</v>
      </c>
      <c r="AW15" s="9" cm="1">
        <f t="array" ref="AW15">PRODUCT(1 + 預測IC!$C24:AV24) - 1</f>
        <v>-0.16553004362153945</v>
      </c>
      <c r="AX15" s="9" cm="1">
        <f t="array" ref="AX15">PRODUCT(1 + 預測IC!$C24:AW24) - 1</f>
        <v>-0.16932900098534964</v>
      </c>
      <c r="AY15" s="9" cm="1">
        <f t="array" ref="AY15">PRODUCT(1 + 預測IC!$C24:AX24) - 1</f>
        <v>-0.17900773054557984</v>
      </c>
      <c r="AZ15" s="9" cm="1">
        <f t="array" ref="AZ15">PRODUCT(1 + 預測IC!$C24:AY24) - 1</f>
        <v>7.2938478029553222E-2</v>
      </c>
      <c r="BA15" s="9" cm="1">
        <f t="array" ref="BA15">PRODUCT(1 + 預測IC!$C24:AZ24) - 1</f>
        <v>4.9120943485922997E-3</v>
      </c>
      <c r="BB15" s="9" cm="1">
        <f t="array" ref="BB15">PRODUCT(1 + 預測IC!$C24:BA24) - 1</f>
        <v>0.10039490822721797</v>
      </c>
      <c r="BC15" s="9" cm="1">
        <f t="array" ref="BC15">PRODUCT(1 + 預測IC!$C24:BB24) - 1</f>
        <v>0.18410619363787362</v>
      </c>
      <c r="BD15" s="9" cm="1">
        <f t="array" ref="BD15">PRODUCT(1 + 預測IC!$C24:BC24) - 1</f>
        <v>0.41574819373324301</v>
      </c>
      <c r="BE15" s="9" cm="1">
        <f t="array" ref="BE15">PRODUCT(1 + 預測IC!$C24:BD24) - 1</f>
        <v>0.40905753889719865</v>
      </c>
      <c r="BF15" s="9" cm="1">
        <f t="array" ref="BF15">PRODUCT(1 + 預測IC!$C24:BE24) - 1</f>
        <v>0.38791088306491184</v>
      </c>
      <c r="BG15" s="9" cm="1">
        <f t="array" ref="BG15">PRODUCT(1 + 預測IC!$C24:BF24) - 1</f>
        <v>0.24208914636092782</v>
      </c>
      <c r="BH15" s="9" cm="1">
        <f t="array" ref="BH15">PRODUCT(1 + 預測IC!$C24:BG24) - 1</f>
        <v>0.32713183257990686</v>
      </c>
      <c r="BI15" s="9" cm="1">
        <f t="array" ref="BI15">PRODUCT(1 + 預測IC!$C24:BH24) - 1</f>
        <v>0.43134385467330572</v>
      </c>
      <c r="BJ15" s="9" cm="1">
        <f t="array" ref="BJ15">PRODUCT(1 + 預測IC!$C24:BI24) - 1</f>
        <v>0.59768986886789977</v>
      </c>
      <c r="BK15" s="9" cm="1">
        <f t="array" ref="BK15">PRODUCT(1 + 預測IC!$C24:BJ24) - 1</f>
        <v>0.61404058776117543</v>
      </c>
      <c r="BL15" s="9" cm="1">
        <f t="array" ref="BL15">PRODUCT(1 + 預測IC!$C24:BK24) - 1</f>
        <v>0.68746228216338068</v>
      </c>
      <c r="BM15" s="9" cm="1">
        <f t="array" ref="BM15">PRODUCT(1 + 預測IC!$C24:BL24) - 1</f>
        <v>0.62953255555998822</v>
      </c>
      <c r="BN15" s="9" cm="1">
        <f t="array" ref="BN15">PRODUCT(1 + 預測IC!$C24:BM24) - 1</f>
        <v>0.71988509768209519</v>
      </c>
      <c r="BO15" s="9" cm="1">
        <f t="array" ref="BO15">PRODUCT(1 + 預測IC!$C24:BN24) - 1</f>
        <v>0.57209074354359757</v>
      </c>
      <c r="BP15" s="9" cm="1">
        <f t="array" ref="BP15">PRODUCT(1 + 預測IC!$C24:BO24) - 1</f>
        <v>0.42027844462766861</v>
      </c>
      <c r="BQ15" s="9" cm="1">
        <f t="array" ref="BQ15">PRODUCT(1 + 預測IC!$C24:BP24) - 1</f>
        <v>8.0615874152309974E-2</v>
      </c>
      <c r="BR15" s="9" cm="1">
        <f t="array" ref="BR15">PRODUCT(1 + 預測IC!$C24:BQ24) - 1</f>
        <v>0.11527353251040284</v>
      </c>
      <c r="BS15" s="9" cm="1">
        <f t="array" ref="BS15">PRODUCT(1 + 預測IC!$C24:BR24) - 1</f>
        <v>-0.30121931121805312</v>
      </c>
      <c r="BT15" s="9" cm="1">
        <f t="array" ref="BT15">PRODUCT(1 + 預測IC!$C24:BS24) - 1</f>
        <v>-0.35736419415649412</v>
      </c>
      <c r="BU15" s="9" cm="1">
        <f t="array" ref="BU15">PRODUCT(1 + 預測IC!$C24:BT24) - 1</f>
        <v>-0.38301174006038941</v>
      </c>
      <c r="BV15" s="9" cm="1">
        <f t="array" ref="BV15">PRODUCT(1 + 預測IC!$C24:BU24) - 1</f>
        <v>-0.47205965750562384</v>
      </c>
      <c r="BW15" s="9" cm="1">
        <f t="array" ref="BW15">PRODUCT(1 + 預測IC!$C24:BV24) - 1</f>
        <v>-0.35637704988650254</v>
      </c>
      <c r="BX15" s="9" cm="1">
        <f t="array" ref="BX15">PRODUCT(1 + 預測IC!$C24:BW24) - 1</f>
        <v>-0.37510450310198362</v>
      </c>
      <c r="BY15" s="9" cm="1">
        <f t="array" ref="BY15">PRODUCT(1 + 預測IC!$C24:BX24) - 1</f>
        <v>-0.38408786477020063</v>
      </c>
      <c r="BZ15" s="9" cm="1">
        <f t="array" ref="BZ15">PRODUCT(1 + 預測IC!$C24:BY24) - 1</f>
        <v>-0.40702310955432353</v>
      </c>
      <c r="CA15" s="9" cm="1">
        <f t="array" ref="CA15">PRODUCT(1 + 預測IC!$C24:BZ24) - 1</f>
        <v>-0.28810842718920593</v>
      </c>
      <c r="CB15" s="9" cm="1">
        <f t="array" ref="CB15">PRODUCT(1 + 預測IC!$C24:CA24) - 1</f>
        <v>-0.28998609008736975</v>
      </c>
      <c r="CC15" s="9" cm="1">
        <f t="array" ref="CC15">PRODUCT(1 + 預測IC!$C24:CB24) - 1</f>
        <v>-0.18063564474304028</v>
      </c>
      <c r="CD15" s="9" cm="1">
        <f t="array" ref="CD15">PRODUCT(1 + 預測IC!$C24:CC24) - 1</f>
        <v>-0.39601141222622327</v>
      </c>
      <c r="CE15" s="9" cm="1">
        <f t="array" ref="CE15">PRODUCT(1 + 預測IC!$C24:CD24) - 1</f>
        <v>-0.58673389133112297</v>
      </c>
      <c r="CF15" s="9" cm="1">
        <f t="array" ref="CF15">PRODUCT(1 + 預測IC!$C24:CE24) - 1</f>
        <v>-0.44438933925098667</v>
      </c>
      <c r="CG15" s="9" cm="1">
        <f t="array" ref="CG15">PRODUCT(1 + 預測IC!$C24:CF24) - 1</f>
        <v>-0.43787522484844299</v>
      </c>
      <c r="CH15" s="9" cm="1">
        <f t="array" ref="CH15">PRODUCT(1 + 預測IC!$C24:CG24) - 1</f>
        <v>-0.55567742222786409</v>
      </c>
      <c r="CI15" s="9" cm="1">
        <f t="array" ref="CI15">PRODUCT(1 + 預測IC!$C24:CH24) - 1</f>
        <v>-0.53548689823994178</v>
      </c>
      <c r="CJ15" s="9" cm="1">
        <f t="array" ref="CJ15">PRODUCT(1 + 預測IC!$C24:CI24) - 1</f>
        <v>-0.55430347429812221</v>
      </c>
      <c r="CK15" s="9" cm="1">
        <f t="array" ref="CK15">PRODUCT(1 + 預測IC!$C24:CJ24) - 1</f>
        <v>-0.57948729260744503</v>
      </c>
      <c r="CL15" s="9" cm="1">
        <f t="array" ref="CL15">PRODUCT(1 + 預測IC!$C24:CK24) - 1</f>
        <v>-0.52793325505681343</v>
      </c>
      <c r="CM15" s="9" cm="1">
        <f t="array" ref="CM15">PRODUCT(1 + 預測IC!$C24:CL24) - 1</f>
        <v>-0.46073249446694864</v>
      </c>
      <c r="CN15" s="9" cm="1">
        <f t="array" ref="CN15">PRODUCT(1 + 預測IC!$C24:CM24) - 1</f>
        <v>-0.43568822180049882</v>
      </c>
      <c r="CO15" s="9" cm="1">
        <f t="array" ref="CO15">PRODUCT(1 + 預測IC!$C24:CN24) - 1</f>
        <v>-0.36709113928148529</v>
      </c>
      <c r="CP15" s="9" cm="1">
        <f t="array" ref="CP15">PRODUCT(1 + 預測IC!$C24:CO24) - 1</f>
        <v>-0.52515784856445424</v>
      </c>
      <c r="CQ15" s="9" cm="1">
        <f t="array" ref="CQ15">PRODUCT(1 + 預測IC!$C24:CP24) - 1</f>
        <v>-0.48632998157433172</v>
      </c>
      <c r="CR15" s="9" cm="1">
        <f t="array" ref="CR15">PRODUCT(1 + 預測IC!$C24:CQ24) - 1</f>
        <v>-0.56859463841003688</v>
      </c>
      <c r="CS15" s="9" cm="1">
        <f t="array" ref="CS15">PRODUCT(1 + 預測IC!$C24:CR24) - 1</f>
        <v>-0.67505373447894357</v>
      </c>
      <c r="CT15" s="9" cm="1">
        <f t="array" ref="CT15">PRODUCT(1 + 預測IC!$C24:CS24) - 1</f>
        <v>-0.67996914418471421</v>
      </c>
      <c r="CU15" s="9" cm="1">
        <f t="array" ref="CU15">PRODUCT(1 + 預測IC!$C24:CT24) - 1</f>
        <v>-0.71764686357148244</v>
      </c>
      <c r="CV15" s="9" cm="1">
        <f t="array" ref="CV15">PRODUCT(1 + 預測IC!$C24:CU24) - 1</f>
        <v>-0.7648997652885331</v>
      </c>
      <c r="CW15" s="9" cm="1">
        <f t="array" ref="CW15">PRODUCT(1 + 預測IC!$C24:CV24) - 1</f>
        <v>-0.75392996928440525</v>
      </c>
      <c r="CX15" s="9" cm="1">
        <f t="array" ref="CX15">PRODUCT(1 + 預測IC!$C24:CW24) - 1</f>
        <v>-0.74829889228487678</v>
      </c>
      <c r="CY15" s="9" cm="1">
        <f t="array" ref="CY15">PRODUCT(1 + 預測IC!$C24:CX24) - 1</f>
        <v>-0.76196457489713776</v>
      </c>
      <c r="CZ15" s="9" cm="1">
        <f t="array" ref="CZ15">PRODUCT(1 + 預測IC!$C24:CY24) - 1</f>
        <v>-0.72329813169427926</v>
      </c>
      <c r="DA15" s="9" cm="1">
        <f t="array" ref="DA15">PRODUCT(1 + 預測IC!$C24:CZ24) - 1</f>
        <v>-0.72539753695983844</v>
      </c>
      <c r="DB15" s="9" cm="1">
        <f t="array" ref="DB15">PRODUCT(1 + 預測IC!$C24:DA24) - 1</f>
        <v>-0.6415197578354217</v>
      </c>
      <c r="DC15" s="9" cm="1">
        <f t="array" ref="DC15">PRODUCT(1 + 預測IC!$C24:DB24) - 1</f>
        <v>-0.42880648258055398</v>
      </c>
      <c r="DD15" s="9" cm="1">
        <f t="array" ref="DD15">PRODUCT(1 + 預測IC!$C24:DC24) - 1</f>
        <v>-0.50944029249544642</v>
      </c>
      <c r="DE15" s="9" cm="1">
        <f t="array" ref="DE15">PRODUCT(1 + 預測IC!$C24:DD24) - 1</f>
        <v>-0.50922506884330709</v>
      </c>
      <c r="DF15" s="9" cm="1">
        <f t="array" ref="DF15">PRODUCT(1 + 預測IC!$C24:DE24) - 1</f>
        <v>-0.53193625753485252</v>
      </c>
      <c r="DG15" s="9" cm="1">
        <f t="array" ref="DG15">PRODUCT(1 + 預測IC!$C24:DF24) - 1</f>
        <v>-0.49648536248795061</v>
      </c>
      <c r="DH15" s="9" cm="1">
        <f t="array" ref="DH15">PRODUCT(1 + 預測IC!$C24:DG24) - 1</f>
        <v>-0.52386872381483729</v>
      </c>
      <c r="DI15" s="9" cm="1">
        <f t="array" ref="DI15">PRODUCT(1 + 預測IC!$C24:DH24) - 1</f>
        <v>-0.54064020636376897</v>
      </c>
      <c r="DJ15" s="9" cm="1">
        <f t="array" ref="DJ15">PRODUCT(1 + 預測IC!$C24:DI24) - 1</f>
        <v>-0.62527574119599172</v>
      </c>
      <c r="DK15" s="9" cm="1">
        <f t="array" ref="DK15">PRODUCT(1 + 預測IC!$C24:DJ24) - 1</f>
        <v>-0.56768071149104471</v>
      </c>
      <c r="DL15" s="9" cm="1">
        <f t="array" ref="DL15">PRODUCT(1 + 預測IC!$C24:DK24) - 1</f>
        <v>-0.54992736598435576</v>
      </c>
      <c r="DM15" s="9" cm="1">
        <f t="array" ref="DM15">PRODUCT(1 + 預測IC!$C24:DL24) - 1</f>
        <v>-0.59575237662913894</v>
      </c>
      <c r="DN15" s="9" cm="1">
        <f t="array" ref="DN15">PRODUCT(1 + 預測IC!$C24:DM24) - 1</f>
        <v>-0.57795876170346683</v>
      </c>
      <c r="DO15" s="9" cm="1">
        <f t="array" ref="DO15">PRODUCT(1 + 預測IC!$C24:DN24) - 1</f>
        <v>-0.54488879978557103</v>
      </c>
      <c r="DP15" s="9" cm="1">
        <f t="array" ref="DP15">PRODUCT(1 + 預測IC!$C24:DO24) - 1</f>
        <v>-0.55017041850229798</v>
      </c>
      <c r="DQ15" s="9" cm="1">
        <f t="array" ref="DQ15">PRODUCT(1 + 預測IC!$C24:DP24) - 1</f>
        <v>-0.54624402355912127</v>
      </c>
      <c r="DR15" s="9" cm="1">
        <f t="array" ref="DR15">PRODUCT(1 + 預測IC!$C24:DQ24) - 1</f>
        <v>-0.55598010012691157</v>
      </c>
      <c r="DS15" s="9" cm="1">
        <f t="array" ref="DS15">PRODUCT(1 + 預測IC!$C24:DR24) - 1</f>
        <v>-0.49842148387428542</v>
      </c>
      <c r="DT15" s="9" cm="1">
        <f t="array" ref="DT15">PRODUCT(1 + 預測IC!$C24:DS24) - 1</f>
        <v>-0.43345510872057413</v>
      </c>
      <c r="DU15" s="9" cm="1">
        <f t="array" ref="DU15">PRODUCT(1 + 預測IC!$C24:DT24) - 1</f>
        <v>-0.41808545174746559</v>
      </c>
      <c r="DV15" s="9" cm="1">
        <f t="array" ref="DV15">PRODUCT(1 + 預測IC!$C24:DU24) - 1</f>
        <v>-0.19971103542534885</v>
      </c>
      <c r="DW15" s="9" cm="1">
        <f t="array" ref="DW15">PRODUCT(1 + 預測IC!$C24:DV24) - 1</f>
        <v>-0.39204010533539724</v>
      </c>
      <c r="DX15" s="9" cm="1">
        <f t="array" ref="DX15">PRODUCT(1 + 預測IC!$C24:DW24) - 1</f>
        <v>-0.47892582902985559</v>
      </c>
      <c r="DY15" s="9" cm="1">
        <f t="array" ref="DY15">PRODUCT(1 + 預測IC!$C24:DX24) - 1</f>
        <v>-0.46375449522592005</v>
      </c>
      <c r="DZ15" s="9" cm="1">
        <f t="array" ref="DZ15">PRODUCT(1 + 預測IC!$C24:DY24) - 1</f>
        <v>-0.46872182107661053</v>
      </c>
      <c r="EA15" s="9" cm="1">
        <f t="array" ref="EA15">PRODUCT(1 + 預測IC!$C24:DZ24) - 1</f>
        <v>-0.49609263949571214</v>
      </c>
      <c r="EB15" s="9" cm="1">
        <f t="array" ref="EB15">PRODUCT(1 + 預測IC!$C24:EA24) - 1</f>
        <v>-0.47886342078059074</v>
      </c>
      <c r="EC15" s="9" cm="1">
        <f t="array" ref="EC15">PRODUCT(1 + 預測IC!$C24:EB24) - 1</f>
        <v>-0.3651425226543723</v>
      </c>
      <c r="ED15" s="9" cm="1">
        <f t="array" ref="ED15">PRODUCT(1 + 預測IC!$C24:EC24) - 1</f>
        <v>-0.38319076638371941</v>
      </c>
      <c r="EE15" s="9" cm="1">
        <f t="array" ref="EE15">PRODUCT(1 + 預測IC!$C24:ED24) - 1</f>
        <v>-0.49648751170846372</v>
      </c>
      <c r="EF15" s="9" cm="1">
        <f t="array" ref="EF15">PRODUCT(1 + 預測IC!$C24:EE24) - 1</f>
        <v>-0.4784117370386044</v>
      </c>
      <c r="EG15" s="9" cm="1">
        <f t="array" ref="EG15">PRODUCT(1 + 預測IC!$C24:EF24) - 1</f>
        <v>-0.5624637041105558</v>
      </c>
    </row>
    <row r="16" spans="3:137" ht="16">
      <c r="C16" s="6">
        <v>482</v>
      </c>
      <c r="D16" s="9" cm="1">
        <f t="array" ref="D16">PRODUCT(1 + 預測IC!$C25:C25) - 1</f>
        <v>3.132568458197138E-2</v>
      </c>
      <c r="E16" s="9" cm="1">
        <f t="array" ref="E16">PRODUCT(1 + 預測IC!$C25:D25) - 1</f>
        <v>-6.0427878514485056E-2</v>
      </c>
      <c r="F16" s="9" cm="1">
        <f t="array" ref="F16">PRODUCT(1 + 預測IC!$C25:E25) - 1</f>
        <v>-7.4579326410467273E-2</v>
      </c>
      <c r="G16" s="9" cm="1">
        <f t="array" ref="G16">PRODUCT(1 + 預測IC!$C25:F25) - 1</f>
        <v>-0.11620963615820235</v>
      </c>
      <c r="H16" s="9" cm="1">
        <f t="array" ref="H16">PRODUCT(1 + 預測IC!$C25:G25) - 1</f>
        <v>-0.15670875956948649</v>
      </c>
      <c r="I16" s="9" cm="1">
        <f t="array" ref="I16">PRODUCT(1 + 預測IC!$C25:H25) - 1</f>
        <v>-0.37833433387010207</v>
      </c>
      <c r="J16" s="9" cm="1">
        <f t="array" ref="J16">PRODUCT(1 + 預測IC!$C25:I25) - 1</f>
        <v>-0.21937263757612702</v>
      </c>
      <c r="K16" s="9" cm="1">
        <f t="array" ref="K16">PRODUCT(1 + 預測IC!$C25:J25) - 1</f>
        <v>-9.8146034886415379E-2</v>
      </c>
      <c r="L16" s="9" cm="1">
        <f t="array" ref="L16">PRODUCT(1 + 預測IC!$C25:K25) - 1</f>
        <v>3.0465172194988011E-2</v>
      </c>
      <c r="M16" s="9" cm="1">
        <f t="array" ref="M16">PRODUCT(1 + 預測IC!$C25:L25) - 1</f>
        <v>0.26999099072236277</v>
      </c>
      <c r="N16" s="9" cm="1">
        <f t="array" ref="N16">PRODUCT(1 + 預測IC!$C25:M25) - 1</f>
        <v>-5.8238074606061341E-2</v>
      </c>
      <c r="O16" s="9" cm="1">
        <f t="array" ref="O16">PRODUCT(1 + 預測IC!$C25:N25) - 1</f>
        <v>-0.21250429610584942</v>
      </c>
      <c r="P16" s="9" cm="1">
        <f t="array" ref="P16">PRODUCT(1 + 預測IC!$C25:O25) - 1</f>
        <v>-0.2277877853508482</v>
      </c>
      <c r="Q16" s="9" cm="1">
        <f t="array" ref="Q16">PRODUCT(1 + 預測IC!$C25:P25) - 1</f>
        <v>-0.27294616478933864</v>
      </c>
      <c r="R16" s="9" cm="1">
        <f t="array" ref="R16">PRODUCT(1 + 預測IC!$C25:Q25) - 1</f>
        <v>-0.17318921366037454</v>
      </c>
      <c r="S16" s="9" cm="1">
        <f t="array" ref="S16">PRODUCT(1 + 預測IC!$C25:R25) - 1</f>
        <v>-0.24192004218172447</v>
      </c>
      <c r="T16" s="9" cm="1">
        <f t="array" ref="T16">PRODUCT(1 + 預測IC!$C25:S25) - 1</f>
        <v>-0.14693163577230628</v>
      </c>
      <c r="U16" s="9" cm="1">
        <f t="array" ref="U16">PRODUCT(1 + 預測IC!$C25:T25) - 1</f>
        <v>-0.15978711992982975</v>
      </c>
      <c r="V16" s="9" cm="1">
        <f t="array" ref="V16">PRODUCT(1 + 預測IC!$C25:U25) - 1</f>
        <v>-3.0398326781389873E-2</v>
      </c>
      <c r="W16" s="9" cm="1">
        <f t="array" ref="W16">PRODUCT(1 + 預測IC!$C25:V25) - 1</f>
        <v>-8.4629122005655089E-2</v>
      </c>
      <c r="X16" s="9" cm="1">
        <f t="array" ref="X16">PRODUCT(1 + 預測IC!$C25:W25) - 1</f>
        <v>-0.28506219120506926</v>
      </c>
      <c r="Y16" s="9" cm="1">
        <f t="array" ref="Y16">PRODUCT(1 + 預測IC!$C25:X25) - 1</f>
        <v>-0.47001874711197322</v>
      </c>
      <c r="Z16" s="9" cm="1">
        <f t="array" ref="Z16">PRODUCT(1 + 預測IC!$C25:Y25) - 1</f>
        <v>-0.51192173388491513</v>
      </c>
      <c r="AA16" s="9" cm="1">
        <f t="array" ref="AA16">PRODUCT(1 + 預測IC!$C25:Z25) - 1</f>
        <v>-0.43986165883532091</v>
      </c>
      <c r="AB16" s="9" cm="1">
        <f t="array" ref="AB16">PRODUCT(1 + 預測IC!$C25:AA25) - 1</f>
        <v>-0.40807467845155132</v>
      </c>
      <c r="AC16" s="9" cm="1">
        <f t="array" ref="AC16">PRODUCT(1 + 預測IC!$C25:AB25) - 1</f>
        <v>-0.3897300928870514</v>
      </c>
      <c r="AD16" s="9" cm="1">
        <f t="array" ref="AD16">PRODUCT(1 + 預測IC!$C25:AC25) - 1</f>
        <v>-0.28674411698776836</v>
      </c>
      <c r="AE16" s="9" cm="1">
        <f t="array" ref="AE16">PRODUCT(1 + 預測IC!$C25:AD25) - 1</f>
        <v>-0.28888052632175309</v>
      </c>
      <c r="AF16" s="9" cm="1">
        <f t="array" ref="AF16">PRODUCT(1 + 預測IC!$C25:AE25) - 1</f>
        <v>-8.7511622291304492E-2</v>
      </c>
      <c r="AG16" s="9" cm="1">
        <f t="array" ref="AG16">PRODUCT(1 + 預測IC!$C25:AF25) - 1</f>
        <v>0.20873623907013106</v>
      </c>
      <c r="AH16" s="9" cm="1">
        <f t="array" ref="AH16">PRODUCT(1 + 預測IC!$C25:AG25) - 1</f>
        <v>0.38508347452533065</v>
      </c>
      <c r="AI16" s="9" cm="1">
        <f t="array" ref="AI16">PRODUCT(1 + 預測IC!$C25:AH25) - 1</f>
        <v>0.19719839661041871</v>
      </c>
      <c r="AJ16" s="9" cm="1">
        <f t="array" ref="AJ16">PRODUCT(1 + 預測IC!$C25:AI25) - 1</f>
        <v>0.47742429949348275</v>
      </c>
      <c r="AK16" s="9" cm="1">
        <f t="array" ref="AK16">PRODUCT(1 + 預測IC!$C25:AJ25) - 1</f>
        <v>0.54747007027883776</v>
      </c>
      <c r="AL16" s="9" cm="1">
        <f t="array" ref="AL16">PRODUCT(1 + 預測IC!$C25:AK25) - 1</f>
        <v>0.69154427936583596</v>
      </c>
      <c r="AM16" s="9" cm="1">
        <f t="array" ref="AM16">PRODUCT(1 + 預測IC!$C25:AL25) - 1</f>
        <v>0.77833794271905243</v>
      </c>
      <c r="AN16" s="9" cm="1">
        <f t="array" ref="AN16">PRODUCT(1 + 預測IC!$C25:AM25) - 1</f>
        <v>0.83699777934848796</v>
      </c>
      <c r="AO16" s="9" cm="1">
        <f t="array" ref="AO16">PRODUCT(1 + 預測IC!$C25:AN25) - 1</f>
        <v>0.54212263722737863</v>
      </c>
      <c r="AP16" s="9" cm="1">
        <f t="array" ref="AP16">PRODUCT(1 + 預測IC!$C25:AO25) - 1</f>
        <v>0.40212492048112436</v>
      </c>
      <c r="AQ16" s="9" cm="1">
        <f t="array" ref="AQ16">PRODUCT(1 + 預測IC!$C25:AP25) - 1</f>
        <v>0.41677407129747079</v>
      </c>
      <c r="AR16" s="9" cm="1">
        <f t="array" ref="AR16">PRODUCT(1 + 預測IC!$C25:AQ25) - 1</f>
        <v>0.16782957016665367</v>
      </c>
      <c r="AS16" s="9" cm="1">
        <f t="array" ref="AS16">PRODUCT(1 + 預測IC!$C25:AR25) - 1</f>
        <v>0.46382858235691082</v>
      </c>
      <c r="AT16" s="9" cm="1">
        <f t="array" ref="AT16">PRODUCT(1 + 預測IC!$C25:AS25) - 1</f>
        <v>0.34428704011955635</v>
      </c>
      <c r="AU16" s="9" cm="1">
        <f t="array" ref="AU16">PRODUCT(1 + 預測IC!$C25:AT25) - 1</f>
        <v>0.19707967394725134</v>
      </c>
      <c r="AV16" s="9" cm="1">
        <f t="array" ref="AV16">PRODUCT(1 + 預測IC!$C25:AU25) - 1</f>
        <v>0.44080017697990415</v>
      </c>
      <c r="AW16" s="9" cm="1">
        <f t="array" ref="AW16">PRODUCT(1 + 預測IC!$C25:AV25) - 1</f>
        <v>-0.27854675118844474</v>
      </c>
      <c r="AX16" s="9" cm="1">
        <f t="array" ref="AX16">PRODUCT(1 + 預測IC!$C25:AW25) - 1</f>
        <v>-0.25552229682952565</v>
      </c>
      <c r="AY16" s="9" cm="1">
        <f t="array" ref="AY16">PRODUCT(1 + 預測IC!$C25:AX25) - 1</f>
        <v>-0.26234307081589225</v>
      </c>
      <c r="AZ16" s="9" cm="1">
        <f t="array" ref="AZ16">PRODUCT(1 + 預測IC!$C25:AY25) - 1</f>
        <v>4.9209646252423189E-2</v>
      </c>
      <c r="BA16" s="9" cm="1">
        <f t="array" ref="BA16">PRODUCT(1 + 預測IC!$C25:AZ25) - 1</f>
        <v>-1.9461667241364333E-2</v>
      </c>
      <c r="BB16" s="9" cm="1">
        <f t="array" ref="BB16">PRODUCT(1 + 預測IC!$C25:BA25) - 1</f>
        <v>0.18543847936631863</v>
      </c>
      <c r="BC16" s="9" cm="1">
        <f t="array" ref="BC16">PRODUCT(1 + 預測IC!$C25:BB25) - 1</f>
        <v>0.27638005784027708</v>
      </c>
      <c r="BD16" s="9" cm="1">
        <f t="array" ref="BD16">PRODUCT(1 + 預測IC!$C25:BC25) - 1</f>
        <v>0.59913723885974557</v>
      </c>
      <c r="BE16" s="9" cm="1">
        <f t="array" ref="BE16">PRODUCT(1 + 預測IC!$C25:BD25) - 1</f>
        <v>0.58497949573230534</v>
      </c>
      <c r="BF16" s="9" cm="1">
        <f t="array" ref="BF16">PRODUCT(1 + 預測IC!$C25:BE25) - 1</f>
        <v>0.65379427489591735</v>
      </c>
      <c r="BG16" s="9" cm="1">
        <f t="array" ref="BG16">PRODUCT(1 + 預測IC!$C25:BF25) - 1</f>
        <v>0.58674434362316497</v>
      </c>
      <c r="BH16" s="9" cm="1">
        <f t="array" ref="BH16">PRODUCT(1 + 預測IC!$C25:BG25) - 1</f>
        <v>0.68333924355327169</v>
      </c>
      <c r="BI16" s="9" cm="1">
        <f t="array" ref="BI16">PRODUCT(1 + 預測IC!$C25:BH25) - 1</f>
        <v>0.64760015876874255</v>
      </c>
      <c r="BJ16" s="9" cm="1">
        <f t="array" ref="BJ16">PRODUCT(1 + 預測IC!$C25:BI25) - 1</f>
        <v>0.6260472664170087</v>
      </c>
      <c r="BK16" s="9" cm="1">
        <f t="array" ref="BK16">PRODUCT(1 + 預測IC!$C25:BJ25) - 1</f>
        <v>0.53170365678581177</v>
      </c>
      <c r="BL16" s="9" cm="1">
        <f t="array" ref="BL16">PRODUCT(1 + 預測IC!$C25:BK25) - 1</f>
        <v>0.6795414985901167</v>
      </c>
      <c r="BM16" s="9" cm="1">
        <f t="array" ref="BM16">PRODUCT(1 + 預測IC!$C25:BL25) - 1</f>
        <v>0.58828939779272171</v>
      </c>
      <c r="BN16" s="9" cm="1">
        <f t="array" ref="BN16">PRODUCT(1 + 預測IC!$C25:BM25) - 1</f>
        <v>0.59007262925045301</v>
      </c>
      <c r="BO16" s="9" cm="1">
        <f t="array" ref="BO16">PRODUCT(1 + 預測IC!$C25:BN25) - 1</f>
        <v>0.23793002014088915</v>
      </c>
      <c r="BP16" s="9" cm="1">
        <f t="array" ref="BP16">PRODUCT(1 + 預測IC!$C25:BO25) - 1</f>
        <v>0.26397759455665515</v>
      </c>
      <c r="BQ16" s="9" cm="1">
        <f t="array" ref="BQ16">PRODUCT(1 + 預測IC!$C25:BP25) - 1</f>
        <v>-4.8728725907314807E-2</v>
      </c>
      <c r="BR16" s="9" cm="1">
        <f t="array" ref="BR16">PRODUCT(1 + 預測IC!$C25:BQ25) - 1</f>
        <v>-4.2937332013499585E-2</v>
      </c>
      <c r="BS16" s="9" cm="1">
        <f t="array" ref="BS16">PRODUCT(1 + 預測IC!$C25:BR25) - 1</f>
        <v>-0.39403264076899336</v>
      </c>
      <c r="BT16" s="9" cm="1">
        <f t="array" ref="BT16">PRODUCT(1 + 預測IC!$C25:BS25) - 1</f>
        <v>-0.4718778051664746</v>
      </c>
      <c r="BU16" s="9" cm="1">
        <f t="array" ref="BU16">PRODUCT(1 + 預測IC!$C25:BT25) - 1</f>
        <v>-0.45744867511773413</v>
      </c>
      <c r="BV16" s="9" cm="1">
        <f t="array" ref="BV16">PRODUCT(1 + 預測IC!$C25:BU25) - 1</f>
        <v>-0.55233028879002344</v>
      </c>
      <c r="BW16" s="9" cm="1">
        <f t="array" ref="BW16">PRODUCT(1 + 預測IC!$C25:BV25) - 1</f>
        <v>-0.41338984482909613</v>
      </c>
      <c r="BX16" s="9" cm="1">
        <f t="array" ref="BX16">PRODUCT(1 + 預測IC!$C25:BW25) - 1</f>
        <v>-0.44313205467424632</v>
      </c>
      <c r="BY16" s="9" cm="1">
        <f t="array" ref="BY16">PRODUCT(1 + 預測IC!$C25:BX25) - 1</f>
        <v>-0.51228072570528294</v>
      </c>
      <c r="BZ16" s="9" cm="1">
        <f t="array" ref="BZ16">PRODUCT(1 + 預測IC!$C25:BY25) - 1</f>
        <v>-0.50211931457082948</v>
      </c>
      <c r="CA16" s="9" cm="1">
        <f t="array" ref="CA16">PRODUCT(1 + 預測IC!$C25:BZ25) - 1</f>
        <v>-0.3345335084033535</v>
      </c>
      <c r="CB16" s="9" cm="1">
        <f t="array" ref="CB16">PRODUCT(1 + 預測IC!$C25:CA25) - 1</f>
        <v>-0.35734810862106947</v>
      </c>
      <c r="CC16" s="9" cm="1">
        <f t="array" ref="CC16">PRODUCT(1 + 預測IC!$C25:CB25) - 1</f>
        <v>-0.25868533568955943</v>
      </c>
      <c r="CD16" s="9" cm="1">
        <f t="array" ref="CD16">PRODUCT(1 + 預測IC!$C25:CC25) - 1</f>
        <v>-0.36327185526371419</v>
      </c>
      <c r="CE16" s="9" cm="1">
        <f t="array" ref="CE16">PRODUCT(1 + 預測IC!$C25:CD25) - 1</f>
        <v>-0.77125323481195351</v>
      </c>
      <c r="CF16" s="9" cm="1">
        <f t="array" ref="CF16">PRODUCT(1 + 預測IC!$C25:CE25) - 1</f>
        <v>-0.72464214912380398</v>
      </c>
      <c r="CG16" s="9" cm="1">
        <f t="array" ref="CG16">PRODUCT(1 + 預測IC!$C25:CF25) - 1</f>
        <v>-0.71267992531624391</v>
      </c>
      <c r="CH16" s="9" cm="1">
        <f t="array" ref="CH16">PRODUCT(1 + 預測IC!$C25:CG25) - 1</f>
        <v>-0.73426038376059477</v>
      </c>
      <c r="CI16" s="9" cm="1">
        <f t="array" ref="CI16">PRODUCT(1 + 預測IC!$C25:CH25) - 1</f>
        <v>-0.72010817542867911</v>
      </c>
      <c r="CJ16" s="9" cm="1">
        <f t="array" ref="CJ16">PRODUCT(1 + 預測IC!$C25:CI25) - 1</f>
        <v>-0.72514400008732727</v>
      </c>
      <c r="CK16" s="9" cm="1">
        <f t="array" ref="CK16">PRODUCT(1 + 預測IC!$C25:CJ25) - 1</f>
        <v>-0.71544046344066792</v>
      </c>
      <c r="CL16" s="9" cm="1">
        <f t="array" ref="CL16">PRODUCT(1 + 預測IC!$C25:CK25) - 1</f>
        <v>-0.68877383966982153</v>
      </c>
      <c r="CM16" s="9" cm="1">
        <f t="array" ref="CM16">PRODUCT(1 + 預測IC!$C25:CL25) - 1</f>
        <v>-0.65025317949385908</v>
      </c>
      <c r="CN16" s="9" cm="1">
        <f t="array" ref="CN16">PRODUCT(1 + 預測IC!$C25:CM25) - 1</f>
        <v>-0.6478136922684834</v>
      </c>
      <c r="CO16" s="9" cm="1">
        <f t="array" ref="CO16">PRODUCT(1 + 預測IC!$C25:CN25) - 1</f>
        <v>-0.53926519357043501</v>
      </c>
      <c r="CP16" s="9" cm="1">
        <f t="array" ref="CP16">PRODUCT(1 + 預測IC!$C25:CO25) - 1</f>
        <v>-0.63892629315001148</v>
      </c>
      <c r="CQ16" s="9" cm="1">
        <f t="array" ref="CQ16">PRODUCT(1 + 預測IC!$C25:CP25) - 1</f>
        <v>-0.61148683795426717</v>
      </c>
      <c r="CR16" s="9" cm="1">
        <f t="array" ref="CR16">PRODUCT(1 + 預測IC!$C25:CQ25) - 1</f>
        <v>-0.65780855510099379</v>
      </c>
      <c r="CS16" s="9" cm="1">
        <f t="array" ref="CS16">PRODUCT(1 + 預測IC!$C25:CR25) - 1</f>
        <v>-0.70947883723258043</v>
      </c>
      <c r="CT16" s="9" cm="1">
        <f t="array" ref="CT16">PRODUCT(1 + 預測IC!$C25:CS25) - 1</f>
        <v>-0.71472432072850633</v>
      </c>
      <c r="CU16" s="9" cm="1">
        <f t="array" ref="CU16">PRODUCT(1 + 預測IC!$C25:CT25) - 1</f>
        <v>-0.74323453782117443</v>
      </c>
      <c r="CV16" s="9" cm="1">
        <f t="array" ref="CV16">PRODUCT(1 + 預測IC!$C25:CU25) - 1</f>
        <v>-0.79512783525803798</v>
      </c>
      <c r="CW16" s="9" cm="1">
        <f t="array" ref="CW16">PRODUCT(1 + 預測IC!$C25:CV25) - 1</f>
        <v>-0.77892179697448882</v>
      </c>
      <c r="CX16" s="9" cm="1">
        <f t="array" ref="CX16">PRODUCT(1 + 預測IC!$C25:CW25) - 1</f>
        <v>-0.78426885801673907</v>
      </c>
      <c r="CY16" s="9" cm="1">
        <f t="array" ref="CY16">PRODUCT(1 + 預測IC!$C25:CX25) - 1</f>
        <v>-0.79761398498147862</v>
      </c>
      <c r="CZ16" s="9" cm="1">
        <f t="array" ref="CZ16">PRODUCT(1 + 預測IC!$C25:CY25) - 1</f>
        <v>-0.74059965322144161</v>
      </c>
      <c r="DA16" s="9" cm="1">
        <f t="array" ref="DA16">PRODUCT(1 + 預測IC!$C25:CZ25) - 1</f>
        <v>-0.72470331449697201</v>
      </c>
      <c r="DB16" s="9" cm="1">
        <f t="array" ref="DB16">PRODUCT(1 + 預測IC!$C25:DA25) - 1</f>
        <v>-0.58216268491328083</v>
      </c>
      <c r="DC16" s="9" cm="1">
        <f t="array" ref="DC16">PRODUCT(1 + 預測IC!$C25:DB25) - 1</f>
        <v>-0.22091074813402467</v>
      </c>
      <c r="DD16" s="9" cm="1">
        <f t="array" ref="DD16">PRODUCT(1 + 預測IC!$C25:DC25) - 1</f>
        <v>-0.34396703793693673</v>
      </c>
      <c r="DE16" s="9" cm="1">
        <f t="array" ref="DE16">PRODUCT(1 + 預測IC!$C25:DD25) - 1</f>
        <v>-0.32040147938214902</v>
      </c>
      <c r="DF16" s="9" cm="1">
        <f t="array" ref="DF16">PRODUCT(1 + 預測IC!$C25:DE25) - 1</f>
        <v>-0.35106520684366993</v>
      </c>
      <c r="DG16" s="9" cm="1">
        <f t="array" ref="DG16">PRODUCT(1 + 預測IC!$C25:DF25) - 1</f>
        <v>-0.28137357786451078</v>
      </c>
      <c r="DH16" s="9" cm="1">
        <f t="array" ref="DH16">PRODUCT(1 + 預測IC!$C25:DG25) - 1</f>
        <v>-0.34224145491097047</v>
      </c>
      <c r="DI16" s="9" cm="1">
        <f t="array" ref="DI16">PRODUCT(1 + 預測IC!$C25:DH25) - 1</f>
        <v>-0.37895495656122924</v>
      </c>
      <c r="DJ16" s="9" cm="1">
        <f t="array" ref="DJ16">PRODUCT(1 + 預測IC!$C25:DI25) - 1</f>
        <v>-0.5141750869576861</v>
      </c>
      <c r="DK16" s="9" cm="1">
        <f t="array" ref="DK16">PRODUCT(1 + 預測IC!$C25:DJ25) - 1</f>
        <v>-0.45586026833083637</v>
      </c>
      <c r="DL16" s="9" cm="1">
        <f t="array" ref="DL16">PRODUCT(1 + 預測IC!$C25:DK25) - 1</f>
        <v>-0.4246387328995429</v>
      </c>
      <c r="DM16" s="9" cm="1">
        <f t="array" ref="DM16">PRODUCT(1 + 預測IC!$C25:DL25) - 1</f>
        <v>-0.46250060429245399</v>
      </c>
      <c r="DN16" s="9" cm="1">
        <f t="array" ref="DN16">PRODUCT(1 + 預測IC!$C25:DM25) - 1</f>
        <v>-0.44916484949515811</v>
      </c>
      <c r="DO16" s="9" cm="1">
        <f t="array" ref="DO16">PRODUCT(1 + 預測IC!$C25:DN25) - 1</f>
        <v>-0.41204721768629826</v>
      </c>
      <c r="DP16" s="9" cm="1">
        <f t="array" ref="DP16">PRODUCT(1 + 預測IC!$C25:DO25) - 1</f>
        <v>-0.38484710690859847</v>
      </c>
      <c r="DQ16" s="9" cm="1">
        <f t="array" ref="DQ16">PRODUCT(1 + 預測IC!$C25:DP25) - 1</f>
        <v>-0.37230166931932862</v>
      </c>
      <c r="DR16" s="9" cm="1">
        <f t="array" ref="DR16">PRODUCT(1 + 預測IC!$C25:DQ25) - 1</f>
        <v>-0.34193181927054495</v>
      </c>
      <c r="DS16" s="9" cm="1">
        <f t="array" ref="DS16">PRODUCT(1 + 預測IC!$C25:DR25) - 1</f>
        <v>-0.26038575121467189</v>
      </c>
      <c r="DT16" s="9" cm="1">
        <f t="array" ref="DT16">PRODUCT(1 + 預測IC!$C25:DS25) - 1</f>
        <v>-7.7557138745724452E-2</v>
      </c>
      <c r="DU16" s="9" cm="1">
        <f t="array" ref="DU16">PRODUCT(1 + 預測IC!$C25:DT25) - 1</f>
        <v>-9.8124346400984441E-2</v>
      </c>
      <c r="DV16" s="9" cm="1">
        <f t="array" ref="DV16">PRODUCT(1 + 預測IC!$C25:DU25) - 1</f>
        <v>0.37557836108424247</v>
      </c>
      <c r="DW16" s="9" cm="1">
        <f t="array" ref="DW16">PRODUCT(1 + 預測IC!$C25:DV25) - 1</f>
        <v>-3.9080599858204224E-2</v>
      </c>
      <c r="DX16" s="9" cm="1">
        <f t="array" ref="DX16">PRODUCT(1 + 預測IC!$C25:DW25) - 1</f>
        <v>-0.25844142973647255</v>
      </c>
      <c r="DY16" s="9" cm="1">
        <f t="array" ref="DY16">PRODUCT(1 + 預測IC!$C25:DX25) - 1</f>
        <v>-0.24572172510102064</v>
      </c>
      <c r="DZ16" s="9" cm="1">
        <f t="array" ref="DZ16">PRODUCT(1 + 預測IC!$C25:DY25) - 1</f>
        <v>-0.2458689957811675</v>
      </c>
      <c r="EA16" s="9" cm="1">
        <f t="array" ref="EA16">PRODUCT(1 + 預測IC!$C25:DZ25) - 1</f>
        <v>-0.30285446221930368</v>
      </c>
      <c r="EB16" s="9" cm="1">
        <f t="array" ref="EB16">PRODUCT(1 + 預測IC!$C25:EA25) - 1</f>
        <v>-0.23776750511958544</v>
      </c>
      <c r="EC16" s="9" cm="1">
        <f t="array" ref="EC16">PRODUCT(1 + 預測IC!$C25:EB25) - 1</f>
        <v>-1.1812988904714716E-3</v>
      </c>
      <c r="ED16" s="9" cm="1">
        <f t="array" ref="ED16">PRODUCT(1 + 預測IC!$C25:EC25) - 1</f>
        <v>-0.12424069998372211</v>
      </c>
      <c r="EE16" s="9" cm="1">
        <f t="array" ref="EE16">PRODUCT(1 + 預測IC!$C25:ED25) - 1</f>
        <v>-0.29442111835894613</v>
      </c>
      <c r="EF16" s="9" cm="1">
        <f t="array" ref="EF16">PRODUCT(1 + 預測IC!$C25:EE25) - 1</f>
        <v>-0.24535124125518248</v>
      </c>
      <c r="EG16" s="9" cm="1">
        <f t="array" ref="EG16">PRODUCT(1 + 預測IC!$C25:EF25) - 1</f>
        <v>-0.30819218421765515</v>
      </c>
    </row>
    <row r="17" spans="1:138" ht="16">
      <c r="C17" s="6">
        <v>964</v>
      </c>
      <c r="D17" s="9" cm="1">
        <f t="array" ref="D17">PRODUCT(1 + 預測IC!$C26:C26) - 1</f>
        <v>2.7766967310441037E-2</v>
      </c>
      <c r="E17" s="9" cm="1">
        <f t="array" ref="E17">PRODUCT(1 + 預測IC!$C26:D26) - 1</f>
        <v>-5.6497980503421807E-2</v>
      </c>
      <c r="F17" s="9" cm="1">
        <f t="array" ref="F17">PRODUCT(1 + 預測IC!$C26:E26) - 1</f>
        <v>2.0756280558543949E-2</v>
      </c>
      <c r="G17" s="9" cm="1">
        <f t="array" ref="G17">PRODUCT(1 + 預測IC!$C26:F26) - 1</f>
        <v>-0.19400852954183401</v>
      </c>
      <c r="H17" s="9" cm="1">
        <f t="array" ref="H17">PRODUCT(1 + 預測IC!$C26:G26) - 1</f>
        <v>-0.23932258901060233</v>
      </c>
      <c r="I17" s="9" cm="1">
        <f t="array" ref="I17">PRODUCT(1 + 預測IC!$C26:H26) - 1</f>
        <v>-0.50618510522992399</v>
      </c>
      <c r="J17" s="9" cm="1">
        <f t="array" ref="J17">PRODUCT(1 + 預測IC!$C26:I26) - 1</f>
        <v>-0.38747879706420052</v>
      </c>
      <c r="K17" s="9" cm="1">
        <f t="array" ref="K17">PRODUCT(1 + 預測IC!$C26:J26) - 1</f>
        <v>-0.38500682996968716</v>
      </c>
      <c r="L17" s="9" cm="1">
        <f t="array" ref="L17">PRODUCT(1 + 預測IC!$C26:K26) - 1</f>
        <v>-0.35398390786697731</v>
      </c>
      <c r="M17" s="9" cm="1">
        <f t="array" ref="M17">PRODUCT(1 + 預測IC!$C26:L26) - 1</f>
        <v>-0.13836993583433155</v>
      </c>
      <c r="N17" s="9" cm="1">
        <f t="array" ref="N17">PRODUCT(1 + 預測IC!$C26:M26) - 1</f>
        <v>-0.26487389223107605</v>
      </c>
      <c r="O17" s="9" cm="1">
        <f t="array" ref="O17">PRODUCT(1 + 預測IC!$C26:N26) - 1</f>
        <v>-0.29833171389810653</v>
      </c>
      <c r="P17" s="9" cm="1">
        <f t="array" ref="P17">PRODUCT(1 + 預測IC!$C26:O26) - 1</f>
        <v>-0.27261641971218398</v>
      </c>
      <c r="Q17" s="9" cm="1">
        <f t="array" ref="Q17">PRODUCT(1 + 預測IC!$C26:P26) - 1</f>
        <v>-0.25530975146321211</v>
      </c>
      <c r="R17" s="9" cm="1">
        <f t="array" ref="R17">PRODUCT(1 + 預測IC!$C26:Q26) - 1</f>
        <v>-0.29889375748455649</v>
      </c>
      <c r="S17" s="9" cm="1">
        <f t="array" ref="S17">PRODUCT(1 + 預測IC!$C26:R26) - 1</f>
        <v>-0.44312498240316489</v>
      </c>
      <c r="T17" s="9" cm="1">
        <f t="array" ref="T17">PRODUCT(1 + 預測IC!$C26:S26) - 1</f>
        <v>-0.35282871675730421</v>
      </c>
      <c r="U17" s="9" cm="1">
        <f t="array" ref="U17">PRODUCT(1 + 預測IC!$C26:T26) - 1</f>
        <v>-0.3472061120175628</v>
      </c>
      <c r="V17" s="9" cm="1">
        <f t="array" ref="V17">PRODUCT(1 + 預測IC!$C26:U26) - 1</f>
        <v>-0.14275364761615073</v>
      </c>
      <c r="W17" s="9" cm="1">
        <f t="array" ref="W17">PRODUCT(1 + 預測IC!$C26:V26) - 1</f>
        <v>-3.9994780577760514E-2</v>
      </c>
      <c r="X17" s="9" cm="1">
        <f t="array" ref="X17">PRODUCT(1 + 預測IC!$C26:W26) - 1</f>
        <v>-0.38412150811426538</v>
      </c>
      <c r="Y17" s="9" cm="1">
        <f t="array" ref="Y17">PRODUCT(1 + 預測IC!$C26:X26) - 1</f>
        <v>-0.62701183753180523</v>
      </c>
      <c r="Z17" s="9" cm="1">
        <f t="array" ref="Z17">PRODUCT(1 + 預測IC!$C26:Y26) - 1</f>
        <v>-0.62170745623133938</v>
      </c>
      <c r="AA17" s="9" cm="1">
        <f t="array" ref="AA17">PRODUCT(1 + 預測IC!$C26:Z26) - 1</f>
        <v>-0.56480850283447204</v>
      </c>
      <c r="AB17" s="9" cm="1">
        <f t="array" ref="AB17">PRODUCT(1 + 預測IC!$C26:AA26) - 1</f>
        <v>-0.65991724566767673</v>
      </c>
      <c r="AC17" s="9" cm="1">
        <f t="array" ref="AC17">PRODUCT(1 + 預測IC!$C26:AB26) - 1</f>
        <v>-0.55775849697048274</v>
      </c>
      <c r="AD17" s="9" cm="1">
        <f t="array" ref="AD17">PRODUCT(1 + 預測IC!$C26:AC26) - 1</f>
        <v>-0.38008915221190431</v>
      </c>
      <c r="AE17" s="9" cm="1">
        <f t="array" ref="AE17">PRODUCT(1 + 預測IC!$C26:AD26) - 1</f>
        <v>-0.4172355410426819</v>
      </c>
      <c r="AF17" s="9" cm="1">
        <f t="array" ref="AF17">PRODUCT(1 + 預測IC!$C26:AE26) - 1</f>
        <v>-0.42171759976545531</v>
      </c>
      <c r="AG17" s="9" cm="1">
        <f t="array" ref="AG17">PRODUCT(1 + 預測IC!$C26:AF26) - 1</f>
        <v>-0.13524262107828289</v>
      </c>
      <c r="AH17" s="9" cm="1">
        <f t="array" ref="AH17">PRODUCT(1 + 預測IC!$C26:AG26) - 1</f>
        <v>0.19341308405668012</v>
      </c>
      <c r="AI17" s="9" cm="1">
        <f t="array" ref="AI17">PRODUCT(1 + 預測IC!$C26:AH26) - 1</f>
        <v>-0.16714416666887866</v>
      </c>
      <c r="AJ17" s="9" cm="1">
        <f t="array" ref="AJ17">PRODUCT(1 + 預測IC!$C26:AI26) - 1</f>
        <v>1.6253218045704898E-2</v>
      </c>
      <c r="AK17" s="9" cm="1">
        <f t="array" ref="AK17">PRODUCT(1 + 預測IC!$C26:AJ26) - 1</f>
        <v>-2.7506804753306802E-2</v>
      </c>
      <c r="AL17" s="9" cm="1">
        <f t="array" ref="AL17">PRODUCT(1 + 預測IC!$C26:AK26) - 1</f>
        <v>4.4907075795880269E-2</v>
      </c>
      <c r="AM17" s="9" cm="1">
        <f t="array" ref="AM17">PRODUCT(1 + 預測IC!$C26:AL26) - 1</f>
        <v>0.15718696616833649</v>
      </c>
      <c r="AN17" s="9" cm="1">
        <f t="array" ref="AN17">PRODUCT(1 + 預測IC!$C26:AM26) - 1</f>
        <v>0.16729542101062589</v>
      </c>
      <c r="AO17" s="9" cm="1">
        <f t="array" ref="AO17">PRODUCT(1 + 預測IC!$C26:AN26) - 1</f>
        <v>3.8121608644756666E-2</v>
      </c>
      <c r="AP17" s="9" cm="1">
        <f t="array" ref="AP17">PRODUCT(1 + 預測IC!$C26:AO26) - 1</f>
        <v>-6.8707024854017029E-2</v>
      </c>
      <c r="AQ17" s="9" cm="1">
        <f t="array" ref="AQ17">PRODUCT(1 + 預測IC!$C26:AP26) - 1</f>
        <v>0.31909131754830855</v>
      </c>
      <c r="AR17" s="9" cm="1">
        <f t="array" ref="AR17">PRODUCT(1 + 預測IC!$C26:AQ26) - 1</f>
        <v>-0.15115409432991223</v>
      </c>
      <c r="AS17" s="9" cm="1">
        <f t="array" ref="AS17">PRODUCT(1 + 預測IC!$C26:AR26) - 1</f>
        <v>-0.13387936330525807</v>
      </c>
      <c r="AT17" s="9" cm="1">
        <f t="array" ref="AT17">PRODUCT(1 + 預測IC!$C26:AS26) - 1</f>
        <v>-0.13672610584070977</v>
      </c>
      <c r="AU17" s="9" cm="1">
        <f t="array" ref="AU17">PRODUCT(1 + 預測IC!$C26:AT26) - 1</f>
        <v>-0.2668810302595761</v>
      </c>
      <c r="AV17" s="9" cm="1">
        <f t="array" ref="AV17">PRODUCT(1 + 預測IC!$C26:AU26) - 1</f>
        <v>-9.8380221640587129E-2</v>
      </c>
      <c r="AW17" s="9" cm="1">
        <f t="array" ref="AW17">PRODUCT(1 + 預測IC!$C26:AV26) - 1</f>
        <v>-0.1227356351399006</v>
      </c>
      <c r="AX17" s="9" cm="1">
        <f t="array" ref="AX17">PRODUCT(1 + 預測IC!$C26:AW26) - 1</f>
        <v>-2.5628837633496215E-2</v>
      </c>
      <c r="AY17" s="9" cm="1">
        <f t="array" ref="AY17">PRODUCT(1 + 預測IC!$C26:AX26) - 1</f>
        <v>-0.11094708737899395</v>
      </c>
      <c r="AZ17" s="9" cm="1">
        <f t="array" ref="AZ17">PRODUCT(1 + 預測IC!$C26:AY26) - 1</f>
        <v>-0.24540169465184636</v>
      </c>
      <c r="BA17" s="9" cm="1">
        <f t="array" ref="BA17">PRODUCT(1 + 預測IC!$C26:AZ26) - 1</f>
        <v>-0.34740435333434205</v>
      </c>
      <c r="BB17" s="9" cm="1">
        <f t="array" ref="BB17">PRODUCT(1 + 預測IC!$C26:BA26) - 1</f>
        <v>-0.23504775717879456</v>
      </c>
      <c r="BC17" s="9" cm="1">
        <f t="array" ref="BC17">PRODUCT(1 + 預測IC!$C26:BB26) - 1</f>
        <v>-0.16053249580478146</v>
      </c>
      <c r="BD17" s="9" cm="1">
        <f t="array" ref="BD17">PRODUCT(1 + 預測IC!$C26:BC26) - 1</f>
        <v>-0.16419834094111385</v>
      </c>
      <c r="BE17" s="9" cm="1">
        <f t="array" ref="BE17">PRODUCT(1 + 預測IC!$C26:BD26) - 1</f>
        <v>-0.17127140477740366</v>
      </c>
      <c r="BF17" s="9" cm="1">
        <f t="array" ref="BF17">PRODUCT(1 + 預測IC!$C26:BE26) - 1</f>
        <v>-0.35800502110269683</v>
      </c>
      <c r="BG17" s="9" cm="1">
        <f t="array" ref="BG17">PRODUCT(1 + 預測IC!$C26:BF26) - 1</f>
        <v>-0.3545978137888175</v>
      </c>
      <c r="BH17" s="9" cm="1">
        <f t="array" ref="BH17">PRODUCT(1 + 預測IC!$C26:BG26) - 1</f>
        <v>-0.20090043841917005</v>
      </c>
      <c r="BI17" s="9" cm="1">
        <f t="array" ref="BI17">PRODUCT(1 + 預測IC!$C26:BH26) - 1</f>
        <v>0.10640002903316592</v>
      </c>
      <c r="BJ17" s="9" cm="1">
        <f t="array" ref="BJ17">PRODUCT(1 + 預測IC!$C26:BI26) - 1</f>
        <v>0.12066041769739377</v>
      </c>
      <c r="BK17" s="9" cm="1">
        <f t="array" ref="BK17">PRODUCT(1 + 預測IC!$C26:BJ26) - 1</f>
        <v>0.18853574222518543</v>
      </c>
      <c r="BL17" s="9" cm="1">
        <f t="array" ref="BL17">PRODUCT(1 + 預測IC!$C26:BK26) - 1</f>
        <v>0.35029047015899928</v>
      </c>
      <c r="BM17" s="9" cm="1">
        <f t="array" ref="BM17">PRODUCT(1 + 預測IC!$C26:BL26) - 1</f>
        <v>0.10045726833674817</v>
      </c>
      <c r="BN17" s="9" cm="1">
        <f t="array" ref="BN17">PRODUCT(1 + 預測IC!$C26:BM26) - 1</f>
        <v>7.1572659599763444E-3</v>
      </c>
      <c r="BO17" s="9" cm="1">
        <f t="array" ref="BO17">PRODUCT(1 + 預測IC!$C26:BN26) - 1</f>
        <v>-1.287525167346526E-2</v>
      </c>
      <c r="BP17" s="9" cm="1">
        <f t="array" ref="BP17">PRODUCT(1 + 預測IC!$C26:BO26) - 1</f>
        <v>4.5515835354161149E-2</v>
      </c>
      <c r="BQ17" s="9" cm="1">
        <f t="array" ref="BQ17">PRODUCT(1 + 預測IC!$C26:BP26) - 1</f>
        <v>-0.54748884253644148</v>
      </c>
      <c r="BR17" s="9" cm="1">
        <f t="array" ref="BR17">PRODUCT(1 + 預測IC!$C26:BQ26) - 1</f>
        <v>-0.56116361762539946</v>
      </c>
      <c r="BS17" s="9" cm="1">
        <f t="array" ref="BS17">PRODUCT(1 + 預測IC!$C26:BR26) - 1</f>
        <v>-0.76549418872257147</v>
      </c>
      <c r="BT17" s="9" cm="1">
        <f t="array" ref="BT17">PRODUCT(1 + 預測IC!$C26:BS26) - 1</f>
        <v>-0.83561007510151641</v>
      </c>
      <c r="BU17" s="9" cm="1">
        <f t="array" ref="BU17">PRODUCT(1 + 預測IC!$C26:BT26) - 1</f>
        <v>-0.8333800800762895</v>
      </c>
      <c r="BV17" s="9" cm="1">
        <f t="array" ref="BV17">PRODUCT(1 + 預測IC!$C26:BU26) - 1</f>
        <v>-0.90402914367191478</v>
      </c>
      <c r="BW17" s="9" cm="1">
        <f t="array" ref="BW17">PRODUCT(1 + 預測IC!$C26:BV26) - 1</f>
        <v>-0.84861875824051702</v>
      </c>
      <c r="BX17" s="9" cm="1">
        <f t="array" ref="BX17">PRODUCT(1 + 預測IC!$C26:BW26) - 1</f>
        <v>-0.86773327746766948</v>
      </c>
      <c r="BY17" s="9" cm="1">
        <f t="array" ref="BY17">PRODUCT(1 + 預測IC!$C26:BX26) - 1</f>
        <v>-0.88300688959930151</v>
      </c>
      <c r="BZ17" s="9" cm="1">
        <f t="array" ref="BZ17">PRODUCT(1 + 預測IC!$C26:BY26) - 1</f>
        <v>-0.89028578360787747</v>
      </c>
      <c r="CA17" s="9" cm="1">
        <f t="array" ref="CA17">PRODUCT(1 + 預測IC!$C26:BZ26) - 1</f>
        <v>-0.87113797931673875</v>
      </c>
      <c r="CB17" s="9" cm="1">
        <f t="array" ref="CB17">PRODUCT(1 + 預測IC!$C26:CA26) - 1</f>
        <v>-0.88213662839049978</v>
      </c>
      <c r="CC17" s="9" cm="1">
        <f t="array" ref="CC17">PRODUCT(1 + 預測IC!$C26:CB26) - 1</f>
        <v>-0.8745783941582459</v>
      </c>
      <c r="CD17" s="9" cm="1">
        <f t="array" ref="CD17">PRODUCT(1 + 預測IC!$C26:CC26) - 1</f>
        <v>-0.9013426350202004</v>
      </c>
      <c r="CE17" s="9" cm="1">
        <f t="array" ref="CE17">PRODUCT(1 + 預測IC!$C26:CD26) - 1</f>
        <v>-0.96954762536752648</v>
      </c>
      <c r="CF17" s="9" cm="1">
        <f t="array" ref="CF17">PRODUCT(1 + 預測IC!$C26:CE26) - 1</f>
        <v>-0.96990129635407862</v>
      </c>
      <c r="CG17" s="9" cm="1">
        <f t="array" ref="CG17">PRODUCT(1 + 預測IC!$C26:CF26) - 1</f>
        <v>-0.97654106344624558</v>
      </c>
      <c r="CH17" s="9" cm="1">
        <f t="array" ref="CH17">PRODUCT(1 + 預測IC!$C26:CG26) - 1</f>
        <v>-0.98265443259417318</v>
      </c>
      <c r="CI17" s="9" cm="1">
        <f t="array" ref="CI17">PRODUCT(1 + 預測IC!$C26:CH26) - 1</f>
        <v>-0.97947754400347453</v>
      </c>
      <c r="CJ17" s="9" cm="1">
        <f t="array" ref="CJ17">PRODUCT(1 + 預測IC!$C26:CI26) - 1</f>
        <v>-0.9824520585541654</v>
      </c>
      <c r="CK17" s="9" cm="1">
        <f t="array" ref="CK17">PRODUCT(1 + 預測IC!$C26:CJ26) - 1</f>
        <v>-0.97743680066347305</v>
      </c>
      <c r="CL17" s="9" cm="1">
        <f t="array" ref="CL17">PRODUCT(1 + 預測IC!$C26:CK26) - 1</f>
        <v>-0.97584817790990819</v>
      </c>
      <c r="CM17" s="9" cm="1">
        <f t="array" ref="CM17">PRODUCT(1 + 預測IC!$C26:CL26) - 1</f>
        <v>-0.97378027768508924</v>
      </c>
      <c r="CN17" s="9" cm="1">
        <f t="array" ref="CN17">PRODUCT(1 + 預測IC!$C26:CM26) - 1</f>
        <v>-0.97260855661957646</v>
      </c>
      <c r="CO17" s="9" cm="1">
        <f t="array" ref="CO17">PRODUCT(1 + 預測IC!$C26:CN26) - 1</f>
        <v>-0.95701946991042297</v>
      </c>
      <c r="CP17" s="9" cm="1">
        <f t="array" ref="CP17">PRODUCT(1 + 預測IC!$C26:CO26) - 1</f>
        <v>-0.97731973272619865</v>
      </c>
      <c r="CQ17" s="9" cm="1">
        <f t="array" ref="CQ17">PRODUCT(1 + 預測IC!$C26:CP26) - 1</f>
        <v>-0.97821389967804528</v>
      </c>
      <c r="CR17" s="9" cm="1">
        <f t="array" ref="CR17">PRODUCT(1 + 預測IC!$C26:CQ26) - 1</f>
        <v>-0.97709322206762661</v>
      </c>
      <c r="CS17" s="9" cm="1">
        <f t="array" ref="CS17">PRODUCT(1 + 預測IC!$C26:CR26) - 1</f>
        <v>-0.9802494887252009</v>
      </c>
      <c r="CT17" s="9" cm="1">
        <f t="array" ref="CT17">PRODUCT(1 + 預測IC!$C26:CS26) - 1</f>
        <v>-0.97517748192711751</v>
      </c>
      <c r="CU17" s="9" cm="1">
        <f t="array" ref="CU17">PRODUCT(1 + 預測IC!$C26:CT26) - 1</f>
        <v>-0.97771167742177867</v>
      </c>
      <c r="CV17" s="9" cm="1">
        <f t="array" ref="CV17">PRODUCT(1 + 預測IC!$C26:CU26) - 1</f>
        <v>-0.97888691938182681</v>
      </c>
      <c r="CW17" s="9" cm="1">
        <f t="array" ref="CW17">PRODUCT(1 + 預測IC!$C26:CV26) - 1</f>
        <v>-0.97699253059058944</v>
      </c>
      <c r="CX17" s="9" cm="1">
        <f t="array" ref="CX17">PRODUCT(1 + 預測IC!$C26:CW26) - 1</f>
        <v>-0.98239912980239841</v>
      </c>
      <c r="CY17" s="9" cm="1">
        <f t="array" ref="CY17">PRODUCT(1 + 預測IC!$C26:CX26) - 1</f>
        <v>-0.98498108286750696</v>
      </c>
      <c r="CZ17" s="9" cm="1">
        <f t="array" ref="CZ17">PRODUCT(1 + 預測IC!$C26:CY26) - 1</f>
        <v>-0.97957084768428737</v>
      </c>
      <c r="DA17" s="9" cm="1">
        <f t="array" ref="DA17">PRODUCT(1 + 預測IC!$C26:CZ26) - 1</f>
        <v>-0.976259140930957</v>
      </c>
      <c r="DB17" s="9" cm="1">
        <f t="array" ref="DB17">PRODUCT(1 + 預測IC!$C26:DA26) - 1</f>
        <v>-0.95695729078601321</v>
      </c>
      <c r="DC17" s="9" cm="1">
        <f t="array" ref="DC17">PRODUCT(1 + 預測IC!$C26:DB26) - 1</f>
        <v>-0.91614808542733883</v>
      </c>
      <c r="DD17" s="9" cm="1">
        <f t="array" ref="DD17">PRODUCT(1 + 預測IC!$C26:DC26) - 1</f>
        <v>-0.93985551868042994</v>
      </c>
      <c r="DE17" s="9" cm="1">
        <f t="array" ref="DE17">PRODUCT(1 + 預測IC!$C26:DD26) - 1</f>
        <v>-0.9380816763852653</v>
      </c>
      <c r="DF17" s="9" cm="1">
        <f t="array" ref="DF17">PRODUCT(1 + 預測IC!$C26:DE26) - 1</f>
        <v>-0.94497102841692959</v>
      </c>
      <c r="DG17" s="9" cm="1">
        <f t="array" ref="DG17">PRODUCT(1 + 預測IC!$C26:DF26) - 1</f>
        <v>-0.93943031231476259</v>
      </c>
      <c r="DH17" s="9" cm="1">
        <f t="array" ref="DH17">PRODUCT(1 + 預測IC!$C26:DG26) - 1</f>
        <v>-0.95267813938652879</v>
      </c>
      <c r="DI17" s="9" cm="1">
        <f t="array" ref="DI17">PRODUCT(1 + 預測IC!$C26:DH26) - 1</f>
        <v>-0.95659390560536106</v>
      </c>
      <c r="DJ17" s="9" cm="1">
        <f t="array" ref="DJ17">PRODUCT(1 + 預測IC!$C26:DI26) - 1</f>
        <v>-0.97292106640916765</v>
      </c>
      <c r="DK17" s="9" cm="1">
        <f t="array" ref="DK17">PRODUCT(1 + 預測IC!$C26:DJ26) - 1</f>
        <v>-0.96670997480900267</v>
      </c>
      <c r="DL17" s="9" cm="1">
        <f t="array" ref="DL17">PRODUCT(1 + 預測IC!$C26:DK26) - 1</f>
        <v>-0.95938435217552087</v>
      </c>
      <c r="DM17" s="9" cm="1">
        <f t="array" ref="DM17">PRODUCT(1 + 預測IC!$C26:DL26) - 1</f>
        <v>-0.96560916304601974</v>
      </c>
      <c r="DN17" s="9" cm="1">
        <f t="array" ref="DN17">PRODUCT(1 + 預測IC!$C26:DM26) - 1</f>
        <v>-0.97011587143710432</v>
      </c>
      <c r="DO17" s="9" cm="1">
        <f t="array" ref="DO17">PRODUCT(1 + 預測IC!$C26:DN26) - 1</f>
        <v>-0.96785431863417914</v>
      </c>
      <c r="DP17" s="9" cm="1">
        <f t="array" ref="DP17">PRODUCT(1 + 預測IC!$C26:DO26) - 1</f>
        <v>-0.96617189322857433</v>
      </c>
      <c r="DQ17" s="9" cm="1">
        <f t="array" ref="DQ17">PRODUCT(1 + 預測IC!$C26:DP26) - 1</f>
        <v>-0.96576885677972135</v>
      </c>
      <c r="DR17" s="9" cm="1">
        <f t="array" ref="DR17">PRODUCT(1 + 預測IC!$C26:DQ26) - 1</f>
        <v>-0.96409784700525225</v>
      </c>
      <c r="DS17" s="9" cm="1">
        <f t="array" ref="DS17">PRODUCT(1 + 預測IC!$C26:DR26) - 1</f>
        <v>-0.95162995663520944</v>
      </c>
      <c r="DT17" s="9" cm="1">
        <f t="array" ref="DT17">PRODUCT(1 + 預測IC!$C26:DS26) - 1</f>
        <v>-0.9446643330174237</v>
      </c>
      <c r="DU17" s="9" cm="1">
        <f t="array" ref="DU17">PRODUCT(1 + 預測IC!$C26:DT26) - 1</f>
        <v>-0.94629317857026807</v>
      </c>
      <c r="DV17" s="9" cm="1">
        <f t="array" ref="DV17">PRODUCT(1 + 預測IC!$C26:DU26) - 1</f>
        <v>-0.90490974673674374</v>
      </c>
      <c r="DW17" s="9" cm="1">
        <f t="array" ref="DW17">PRODUCT(1 + 預測IC!$C26:DV26) - 1</f>
        <v>-0.9354811575516947</v>
      </c>
      <c r="DX17" s="9" cm="1">
        <f t="array" ref="DX17">PRODUCT(1 + 預測IC!$C26:DW26) - 1</f>
        <v>-0.95010482873608693</v>
      </c>
      <c r="DY17" s="9" cm="1">
        <f t="array" ref="DY17">PRODUCT(1 + 預測IC!$C26:DX26) - 1</f>
        <v>-0.94870066273182918</v>
      </c>
      <c r="DZ17" s="9" cm="1">
        <f t="array" ref="DZ17">PRODUCT(1 + 預測IC!$C26:DY26) - 1</f>
        <v>-0.94019588851934999</v>
      </c>
      <c r="EA17" s="9" cm="1">
        <f t="array" ref="EA17">PRODUCT(1 + 預測IC!$C26:DZ26) - 1</f>
        <v>-0.93670911187119776</v>
      </c>
      <c r="EB17" s="9" cm="1">
        <f t="array" ref="EB17">PRODUCT(1 + 預測IC!$C26:EA26) - 1</f>
        <v>-0.93524256694004348</v>
      </c>
      <c r="EC17" s="9" cm="1">
        <f t="array" ref="EC17">PRODUCT(1 + 預測IC!$C26:EB26) - 1</f>
        <v>-0.89212657617748192</v>
      </c>
      <c r="ED17" s="9" cm="1">
        <f t="array" ref="ED17">PRODUCT(1 + 預測IC!$C26:EC26) - 1</f>
        <v>-0.91981243926292156</v>
      </c>
      <c r="EE17" s="9" cm="1">
        <f t="array" ref="EE17">PRODUCT(1 + 預測IC!$C26:ED26) - 1</f>
        <v>-0.9265915030703773</v>
      </c>
      <c r="EF17" s="9" cm="1">
        <f t="array" ref="EF17">PRODUCT(1 + 預測IC!$C26:EE26) - 1</f>
        <v>-0.92920954244745868</v>
      </c>
      <c r="EG17" s="9" cm="1">
        <f t="array" ref="EG17">PRODUCT(1 + 預測IC!$C26:EF26) - 1</f>
        <v>-0.93833852220863811</v>
      </c>
    </row>
    <row r="18" spans="1:138" ht="16">
      <c r="C18" s="43" t="s">
        <v>141</v>
      </c>
      <c r="D18" s="33" cm="1">
        <f t="array" ref="D18">PRODUCT(1 + 預測IC!$C27:C27) - 1</f>
        <v>-1.7446770539390366E-2</v>
      </c>
      <c r="E18" s="33" cm="1">
        <f t="array" ref="E18">PRODUCT(1 + 預測IC!$C27:D27) - 1</f>
        <v>2.893123339404724E-3</v>
      </c>
      <c r="F18" s="33" cm="1">
        <f t="array" ref="F18">PRODUCT(1 + 預測IC!$C27:E27) - 1</f>
        <v>2.6944635852046872E-2</v>
      </c>
      <c r="G18" s="33" cm="1">
        <f t="array" ref="G18">PRODUCT(1 + 預測IC!$C27:F27) - 1</f>
        <v>2.0210365301730038E-2</v>
      </c>
      <c r="H18" s="33" cm="1">
        <f t="array" ref="H18">PRODUCT(1 + 預測IC!$C27:G27) - 1</f>
        <v>5.269909680859941E-2</v>
      </c>
      <c r="I18" s="33" cm="1">
        <f t="array" ref="I18">PRODUCT(1 + 預測IC!$C27:H27) - 1</f>
        <v>8.8857766197530053E-2</v>
      </c>
      <c r="J18" s="33" cm="1">
        <f t="array" ref="J18">PRODUCT(1 + 預測IC!$C27:I27) - 1</f>
        <v>7.9869318529145472E-2</v>
      </c>
      <c r="K18" s="33" cm="1">
        <f t="array" ref="K18">PRODUCT(1 + 預測IC!$C27:J27) - 1</f>
        <v>9.3738646464063713E-2</v>
      </c>
      <c r="L18" s="33" cm="1">
        <f t="array" ref="L18">PRODUCT(1 + 預測IC!$C27:K27) - 1</f>
        <v>3.7937714394164157E-2</v>
      </c>
      <c r="M18" s="33" cm="1">
        <f t="array" ref="M18">PRODUCT(1 + 預測IC!$C27:L27) - 1</f>
        <v>3.8844812525307137E-2</v>
      </c>
      <c r="N18" s="33" cm="1">
        <f t="array" ref="N18">PRODUCT(1 + 預測IC!$C27:M27) - 1</f>
        <v>6.3142951706360639E-2</v>
      </c>
      <c r="O18" s="33" cm="1">
        <f t="array" ref="O18">PRODUCT(1 + 預測IC!$C27:N27) - 1</f>
        <v>7.6952085951054405E-2</v>
      </c>
      <c r="P18" s="33" cm="1">
        <f t="array" ref="P18">PRODUCT(1 + 預測IC!$C27:O27) - 1</f>
        <v>8.3257197491512391E-2</v>
      </c>
      <c r="Q18" s="33" cm="1">
        <f t="array" ref="Q18">PRODUCT(1 + 預測IC!$C27:P27) - 1</f>
        <v>0.11295275081672607</v>
      </c>
      <c r="R18" s="33" cm="1">
        <f t="array" ref="R18">PRODUCT(1 + 預測IC!$C27:Q27) - 1</f>
        <v>0.10882042835093308</v>
      </c>
      <c r="S18" s="33" cm="1">
        <f t="array" ref="S18">PRODUCT(1 + 預測IC!$C27:R27) - 1</f>
        <v>0.13551706985268064</v>
      </c>
      <c r="T18" s="33" cm="1">
        <f t="array" ref="T18">PRODUCT(1 + 預測IC!$C27:S27) - 1</f>
        <v>0.12167508804368476</v>
      </c>
      <c r="U18" s="33" cm="1">
        <f t="array" ref="U18">PRODUCT(1 + 預測IC!$C27:T27) - 1</f>
        <v>7.7088976461827885E-2</v>
      </c>
      <c r="V18" s="33" cm="1">
        <f t="array" ref="V18">PRODUCT(1 + 預測IC!$C27:U27) - 1</f>
        <v>-1.7059521199481731E-3</v>
      </c>
      <c r="W18" s="33" cm="1">
        <f t="array" ref="W18">PRODUCT(1 + 預測IC!$C27:V27) - 1</f>
        <v>-5.9866792867339091E-2</v>
      </c>
      <c r="X18" s="33" cm="1">
        <f t="array" ref="X18">PRODUCT(1 + 預測IC!$C27:W27) - 1</f>
        <v>-5.9140260213613516E-2</v>
      </c>
      <c r="Y18" s="33" cm="1">
        <f t="array" ref="Y18">PRODUCT(1 + 預測IC!$C27:X27) - 1</f>
        <v>-1.7185893241652206E-2</v>
      </c>
      <c r="Z18" s="33" cm="1">
        <f t="array" ref="Z18">PRODUCT(1 + 預測IC!$C27:Y27) - 1</f>
        <v>-4.4409529547694393E-2</v>
      </c>
      <c r="AA18" s="33" cm="1">
        <f t="array" ref="AA18">PRODUCT(1 + 預測IC!$C27:Z27) - 1</f>
        <v>-4.2407561826578566E-2</v>
      </c>
      <c r="AB18" s="33" cm="1">
        <f t="array" ref="AB18">PRODUCT(1 + 預測IC!$C27:AA27) - 1</f>
        <v>-6.481575250614946E-2</v>
      </c>
      <c r="AC18" s="33" cm="1">
        <f t="array" ref="AC18">PRODUCT(1 + 預測IC!$C27:AB27) - 1</f>
        <v>-3.4768870774049443E-2</v>
      </c>
      <c r="AD18" s="33" cm="1">
        <f t="array" ref="AD18">PRODUCT(1 + 預測IC!$C27:AC27) - 1</f>
        <v>2.7817794451217015E-3</v>
      </c>
      <c r="AE18" s="33" cm="1">
        <f t="array" ref="AE18">PRODUCT(1 + 預測IC!$C27:AD27) - 1</f>
        <v>-4.0202844765013457E-2</v>
      </c>
      <c r="AF18" s="33" cm="1">
        <f t="array" ref="AF18">PRODUCT(1 + 預測IC!$C27:AE27) - 1</f>
        <v>-2.2305320482664204E-2</v>
      </c>
      <c r="AG18" s="33" cm="1">
        <f t="array" ref="AG18">PRODUCT(1 + 預測IC!$C27:AF27) - 1</f>
        <v>-7.4152570234460313E-3</v>
      </c>
      <c r="AH18" s="33" cm="1">
        <f t="array" ref="AH18">PRODUCT(1 + 預測IC!$C27:AG27) - 1</f>
        <v>2.8334274381314417E-2</v>
      </c>
      <c r="AI18" s="33" cm="1">
        <f t="array" ref="AI18">PRODUCT(1 + 預測IC!$C27:AH27) - 1</f>
        <v>3.7953941892352683E-2</v>
      </c>
      <c r="AJ18" s="33" cm="1">
        <f t="array" ref="AJ18">PRODUCT(1 + 預測IC!$C27:AI27) - 1</f>
        <v>4.9110131735873752E-2</v>
      </c>
      <c r="AK18" s="33" cm="1">
        <f t="array" ref="AK18">PRODUCT(1 + 預測IC!$C27:AJ27) - 1</f>
        <v>6.3123886850196875E-2</v>
      </c>
      <c r="AL18" s="33" cm="1">
        <f t="array" ref="AL18">PRODUCT(1 + 預測IC!$C27:AK27) - 1</f>
        <v>5.7454515782098925E-2</v>
      </c>
      <c r="AM18" s="33" cm="1">
        <f t="array" ref="AM18">PRODUCT(1 + 預測IC!$C27:AL27) - 1</f>
        <v>5.8917118987427575E-2</v>
      </c>
      <c r="AN18" s="33" cm="1">
        <f t="array" ref="AN18">PRODUCT(1 + 預測IC!$C27:AM27) - 1</f>
        <v>8.0938283596681648E-2</v>
      </c>
      <c r="AO18" s="33" cm="1">
        <f t="array" ref="AO18">PRODUCT(1 + 預測IC!$C27:AN27) - 1</f>
        <v>0.11500697453770203</v>
      </c>
      <c r="AP18" s="33" cm="1">
        <f t="array" ref="AP18">PRODUCT(1 + 預測IC!$C27:AO27) - 1</f>
        <v>0.12196653200545171</v>
      </c>
      <c r="AQ18" s="33" cm="1">
        <f t="array" ref="AQ18">PRODUCT(1 + 預測IC!$C27:AP27) - 1</f>
        <v>0.12886130991117528</v>
      </c>
      <c r="AR18" s="33" cm="1">
        <f t="array" ref="AR18">PRODUCT(1 + 預測IC!$C27:AQ27) - 1</f>
        <v>0.14799139743631429</v>
      </c>
      <c r="AS18" s="33" cm="1">
        <f t="array" ref="AS18">PRODUCT(1 + 預測IC!$C27:AR27) - 1</f>
        <v>0.18780698843660248</v>
      </c>
      <c r="AT18" s="33" cm="1">
        <f t="array" ref="AT18">PRODUCT(1 + 預測IC!$C27:AS27) - 1</f>
        <v>0.19148751365039929</v>
      </c>
      <c r="AU18" s="33" cm="1">
        <f t="array" ref="AU18">PRODUCT(1 + 預測IC!$C27:AT27) - 1</f>
        <v>0.20945675046088996</v>
      </c>
      <c r="AV18" s="33" cm="1">
        <f t="array" ref="AV18">PRODUCT(1 + 預測IC!$C27:AU27) - 1</f>
        <v>0.18617324550329584</v>
      </c>
      <c r="AW18" s="33" cm="1">
        <f t="array" ref="AW18">PRODUCT(1 + 預測IC!$C27:AV27) - 1</f>
        <v>0.23209180697664689</v>
      </c>
      <c r="AX18" s="33" cm="1">
        <f t="array" ref="AX18">PRODUCT(1 + 預測IC!$C27:AW27) - 1</f>
        <v>0.20516203655681697</v>
      </c>
      <c r="AY18" s="33" cm="1">
        <f t="array" ref="AY18">PRODUCT(1 + 預測IC!$C27:AX27) - 1</f>
        <v>0.21453132863303215</v>
      </c>
      <c r="AZ18" s="33" cm="1">
        <f t="array" ref="AZ18">PRODUCT(1 + 預測IC!$C27:AY27) - 1</f>
        <v>0.2660241129922889</v>
      </c>
      <c r="BA18" s="33" cm="1">
        <f t="array" ref="BA18">PRODUCT(1 + 預測IC!$C27:AZ27) - 1</f>
        <v>0.23271631642995261</v>
      </c>
      <c r="BB18" s="33" cm="1">
        <f t="array" ref="BB18">PRODUCT(1 + 預測IC!$C27:BA27) - 1</f>
        <v>0.24451556797958407</v>
      </c>
      <c r="BC18" s="33" cm="1">
        <f t="array" ref="BC18">PRODUCT(1 + 預測IC!$C27:BB27) - 1</f>
        <v>0.21433638745422812</v>
      </c>
      <c r="BD18" s="33" cm="1">
        <f t="array" ref="BD18">PRODUCT(1 + 預測IC!$C27:BC27) - 1</f>
        <v>0.23882150637103883</v>
      </c>
      <c r="BE18" s="33" cm="1">
        <f t="array" ref="BE18">PRODUCT(1 + 預測IC!$C27:BD27) - 1</f>
        <v>0.23447943849994912</v>
      </c>
      <c r="BF18" s="33" cm="1">
        <f t="array" ref="BF18">PRODUCT(1 + 預測IC!$C27:BE27) - 1</f>
        <v>0.25935658802508499</v>
      </c>
      <c r="BG18" s="33" cm="1">
        <f t="array" ref="BG18">PRODUCT(1 + 預測IC!$C27:BF27) - 1</f>
        <v>0.26008869763716325</v>
      </c>
      <c r="BH18" s="33" cm="1">
        <f t="array" ref="BH18">PRODUCT(1 + 預測IC!$C27:BG27) - 1</f>
        <v>0.2535114114609236</v>
      </c>
      <c r="BI18" s="33" cm="1">
        <f t="array" ref="BI18">PRODUCT(1 + 預測IC!$C27:BH27) - 1</f>
        <v>0.10826483627727623</v>
      </c>
      <c r="BJ18" s="33" cm="1">
        <f t="array" ref="BJ18">PRODUCT(1 + 預測IC!$C27:BI27) - 1</f>
        <v>0.11793469710078752</v>
      </c>
      <c r="BK18" s="33" cm="1">
        <f t="array" ref="BK18">PRODUCT(1 + 預測IC!$C27:BJ27) - 1</f>
        <v>9.9625988810205346E-2</v>
      </c>
      <c r="BL18" s="33" cm="1">
        <f t="array" ref="BL18">PRODUCT(1 + 預測IC!$C27:BK27) - 1</f>
        <v>0.12254260303831388</v>
      </c>
      <c r="BM18" s="33" cm="1">
        <f t="array" ref="BM18">PRODUCT(1 + 預測IC!$C27:BL27) - 1</f>
        <v>0.17302993558173996</v>
      </c>
      <c r="BN18" s="33" cm="1">
        <f t="array" ref="BN18">PRODUCT(1 + 預測IC!$C27:BM27) - 1</f>
        <v>0.20112905370185397</v>
      </c>
      <c r="BO18" s="33" cm="1">
        <f t="array" ref="BO18">PRODUCT(1 + 預測IC!$C27:BN27) - 1</f>
        <v>0.23745011694095197</v>
      </c>
      <c r="BP18" s="33" cm="1">
        <f t="array" ref="BP18">PRODUCT(1 + 預測IC!$C27:BO27) - 1</f>
        <v>0.18334151222801376</v>
      </c>
      <c r="BQ18" s="33" cm="1">
        <f t="array" ref="BQ18">PRODUCT(1 + 預測IC!$C27:BP27) - 1</f>
        <v>0.20924423024871497</v>
      </c>
      <c r="BR18" s="33" cm="1">
        <f t="array" ref="BR18">PRODUCT(1 + 預測IC!$C27:BQ27) - 1</f>
        <v>0.21967690051673561</v>
      </c>
      <c r="BS18" s="33" cm="1">
        <f t="array" ref="BS18">PRODUCT(1 + 預測IC!$C27:BR27) - 1</f>
        <v>0.1962676978767699</v>
      </c>
      <c r="BT18" s="33" cm="1">
        <f t="array" ref="BT18">PRODUCT(1 + 預測IC!$C27:BS27) - 1</f>
        <v>0.21987619627534571</v>
      </c>
      <c r="BU18" s="33" cm="1">
        <f t="array" ref="BU18">PRODUCT(1 + 預測IC!$C27:BT27) - 1</f>
        <v>0.27805738326883356</v>
      </c>
      <c r="BV18" s="33" cm="1">
        <f t="array" ref="BV18">PRODUCT(1 + 預測IC!$C27:BU27) - 1</f>
        <v>0.29269729646247922</v>
      </c>
      <c r="BW18" s="33" cm="1">
        <f t="array" ref="BW18">PRODUCT(1 + 預測IC!$C27:BV27) - 1</f>
        <v>0.34857881761669129</v>
      </c>
      <c r="BX18" s="33" cm="1">
        <f t="array" ref="BX18">PRODUCT(1 + 預測IC!$C27:BW27) - 1</f>
        <v>0.2909305384219143</v>
      </c>
      <c r="BY18" s="33" cm="1">
        <f t="array" ref="BY18">PRODUCT(1 + 預測IC!$C27:BX27) - 1</f>
        <v>0.26793739709811137</v>
      </c>
      <c r="BZ18" s="33" cm="1">
        <f t="array" ref="BZ18">PRODUCT(1 + 預測IC!$C27:BY27) - 1</f>
        <v>7.628473289061688E-2</v>
      </c>
      <c r="CA18" s="33" cm="1">
        <f t="array" ref="CA18">PRODUCT(1 + 預測IC!$C27:BZ27) - 1</f>
        <v>0.20998513144491437</v>
      </c>
      <c r="CB18" s="33" cm="1">
        <f t="array" ref="CB18">PRODUCT(1 + 預測IC!$C27:CA27) - 1</f>
        <v>0.20447092205281336</v>
      </c>
      <c r="CC18" s="33" cm="1">
        <f t="array" ref="CC18">PRODUCT(1 + 預測IC!$C27:CB27) - 1</f>
        <v>0.27699361006036605</v>
      </c>
      <c r="CD18" s="33" cm="1">
        <f t="array" ref="CD18">PRODUCT(1 + 預測IC!$C27:CC27) - 1</f>
        <v>0.38680488733361829</v>
      </c>
      <c r="CE18" s="33" cm="1">
        <f t="array" ref="CE18">PRODUCT(1 + 預測IC!$C27:CD27) - 1</f>
        <v>0.37874965946081551</v>
      </c>
      <c r="CF18" s="33" cm="1">
        <f t="array" ref="CF18">PRODUCT(1 + 預測IC!$C27:CE27) - 1</f>
        <v>0.37042015435709108</v>
      </c>
      <c r="CG18" s="33" cm="1">
        <f t="array" ref="CG18">PRODUCT(1 + 預測IC!$C27:CF27) - 1</f>
        <v>0.37378086910184649</v>
      </c>
      <c r="CH18" s="33" cm="1">
        <f t="array" ref="CH18">PRODUCT(1 + 預測IC!$C27:CG27) - 1</f>
        <v>0.49692143719092186</v>
      </c>
      <c r="CI18" s="33" cm="1">
        <f t="array" ref="CI18">PRODUCT(1 + 預測IC!$C27:CH27) - 1</f>
        <v>0.603191980394987</v>
      </c>
      <c r="CJ18" s="33" cm="1">
        <f t="array" ref="CJ18">PRODUCT(1 + 預測IC!$C27:CI27) - 1</f>
        <v>0.64675173719730239</v>
      </c>
      <c r="CK18" s="33" cm="1">
        <f t="array" ref="CK18">PRODUCT(1 + 預測IC!$C27:CJ27) - 1</f>
        <v>0.73315421285472704</v>
      </c>
      <c r="CL18" s="33" cm="1">
        <f t="array" ref="CL18">PRODUCT(1 + 預測IC!$C27:CK27) - 1</f>
        <v>0.7842487445659152</v>
      </c>
      <c r="CM18" s="33" cm="1">
        <f t="array" ref="CM18">PRODUCT(1 + 預測IC!$C27:CL27) - 1</f>
        <v>0.90348131155309508</v>
      </c>
      <c r="CN18" s="33" cm="1">
        <f t="array" ref="CN18">PRODUCT(1 + 預測IC!$C27:CM27) - 1</f>
        <v>0.8487139113221478</v>
      </c>
      <c r="CO18" s="33" cm="1">
        <f t="array" ref="CO18">PRODUCT(1 + 預測IC!$C27:CN27) - 1</f>
        <v>0.92166881344527685</v>
      </c>
      <c r="CP18" s="33" cm="1">
        <f t="array" ref="CP18">PRODUCT(1 + 預測IC!$C27:CO27) - 1</f>
        <v>0.86588067898046694</v>
      </c>
      <c r="CQ18" s="33" cm="1">
        <f t="array" ref="CQ18">PRODUCT(1 + 預測IC!$C27:CP27) - 1</f>
        <v>0.89197293519067467</v>
      </c>
      <c r="CR18" s="33" cm="1">
        <f t="array" ref="CR18">PRODUCT(1 + 預測IC!$C27:CQ27) - 1</f>
        <v>0.83090579105751727</v>
      </c>
      <c r="CS18" s="33" cm="1">
        <f t="array" ref="CS18">PRODUCT(1 + 預測IC!$C27:CR27) - 1</f>
        <v>0.83658814745105547</v>
      </c>
      <c r="CT18" s="33" cm="1">
        <f t="array" ref="CT18">PRODUCT(1 + 預測IC!$C27:CS27) - 1</f>
        <v>0.88358984642415717</v>
      </c>
      <c r="CU18" s="33" cm="1">
        <f t="array" ref="CU18">PRODUCT(1 + 預測IC!$C27:CT27) - 1</f>
        <v>0.9672059526983301</v>
      </c>
      <c r="CV18" s="33" cm="1">
        <f t="array" ref="CV18">PRODUCT(1 + 預測IC!$C27:CU27) - 1</f>
        <v>0.90752297284093331</v>
      </c>
      <c r="CW18" s="33" cm="1">
        <f t="array" ref="CW18">PRODUCT(1 + 預測IC!$C27:CV27) - 1</f>
        <v>0.90512335385454468</v>
      </c>
      <c r="CX18" s="33" cm="1">
        <f t="array" ref="CX18">PRODUCT(1 + 預測IC!$C27:CW27) - 1</f>
        <v>0.90957440110152876</v>
      </c>
      <c r="CY18" s="33" cm="1">
        <f t="array" ref="CY18">PRODUCT(1 + 預測IC!$C27:CX27) - 1</f>
        <v>0.78685723504233995</v>
      </c>
      <c r="CZ18" s="33" cm="1">
        <f t="array" ref="CZ18">PRODUCT(1 + 預測IC!$C27:CY27) - 1</f>
        <v>0.80992516787144164</v>
      </c>
      <c r="DA18" s="33" cm="1">
        <f t="array" ref="DA18">PRODUCT(1 + 預測IC!$C27:CZ27) - 1</f>
        <v>0.58282101623526672</v>
      </c>
      <c r="DB18" s="33" cm="1">
        <f t="array" ref="DB18">PRODUCT(1 + 預測IC!$C27:DA27) - 1</f>
        <v>0.60132527488651344</v>
      </c>
      <c r="DC18" s="33" cm="1">
        <f t="array" ref="DC18">PRODUCT(1 + 預測IC!$C27:DB27) - 1</f>
        <v>0.61147422419279152</v>
      </c>
      <c r="DD18" s="33" cm="1">
        <f t="array" ref="DD18">PRODUCT(1 + 預測IC!$C27:DC27) - 1</f>
        <v>0.42243966588262949</v>
      </c>
      <c r="DE18" s="33" cm="1">
        <f t="array" ref="DE18">PRODUCT(1 + 預測IC!$C27:DD27) - 1</f>
        <v>0.37121637307647259</v>
      </c>
      <c r="DF18" s="33" cm="1">
        <f t="array" ref="DF18">PRODUCT(1 + 預測IC!$C27:DE27) - 1</f>
        <v>0.5616938276257708</v>
      </c>
      <c r="DG18" s="33" cm="1">
        <f t="array" ref="DG18">PRODUCT(1 + 預測IC!$C27:DF27) - 1</f>
        <v>0.48182332962932128</v>
      </c>
      <c r="DH18" s="33" cm="1">
        <f t="array" ref="DH18">PRODUCT(1 + 預測IC!$C27:DG27) - 1</f>
        <v>0.59552577817978314</v>
      </c>
      <c r="DI18" s="33" cm="1">
        <f t="array" ref="DI18">PRODUCT(1 + 預測IC!$C27:DH27) - 1</f>
        <v>0.62027043996328524</v>
      </c>
      <c r="DJ18" s="33" cm="1">
        <f t="array" ref="DJ18">PRODUCT(1 + 預測IC!$C27:DI27) - 1</f>
        <v>0.65789923395288952</v>
      </c>
      <c r="DK18" s="33" cm="1">
        <f t="array" ref="DK18">PRODUCT(1 + 預測IC!$C27:DJ27) - 1</f>
        <v>0.62743885630809859</v>
      </c>
      <c r="DL18" s="33" cm="1">
        <f t="array" ref="DL18">PRODUCT(1 + 預測IC!$C27:DK27) - 1</f>
        <v>0.72866394865424411</v>
      </c>
      <c r="DM18" s="33" cm="1">
        <f t="array" ref="DM18">PRODUCT(1 + 預測IC!$C27:DL27) - 1</f>
        <v>0.76340716304992284</v>
      </c>
      <c r="DN18" s="33" cm="1">
        <f t="array" ref="DN18">PRODUCT(1 + 預測IC!$C27:DM27) - 1</f>
        <v>0.78721129009524526</v>
      </c>
      <c r="DO18" s="33" cm="1">
        <f t="array" ref="DO18">PRODUCT(1 + 預測IC!$C27:DN27) - 1</f>
        <v>0.73314419395664854</v>
      </c>
      <c r="DP18" s="33" cm="1">
        <f t="array" ref="DP18">PRODUCT(1 + 預測IC!$C27:DO27) - 1</f>
        <v>0.7036411650845571</v>
      </c>
      <c r="DQ18" s="33" cm="1">
        <f t="array" ref="DQ18">PRODUCT(1 + 預測IC!$C27:DP27) - 1</f>
        <v>0.666521339911188</v>
      </c>
      <c r="DR18" s="33" cm="1">
        <f t="array" ref="DR18">PRODUCT(1 + 預測IC!$C27:DQ27) - 1</f>
        <v>0.80941825308633253</v>
      </c>
      <c r="DS18" s="33" cm="1">
        <f t="array" ref="DS18">PRODUCT(1 + 預測IC!$C27:DR27) - 1</f>
        <v>0.86027510799998974</v>
      </c>
      <c r="DT18" s="33" cm="1">
        <f t="array" ref="DT18">PRODUCT(1 + 預測IC!$C27:DS27) - 1</f>
        <v>0.85599059714061299</v>
      </c>
      <c r="DU18" s="33" cm="1">
        <f t="array" ref="DU18">PRODUCT(1 + 預測IC!$C27:DT27) - 1</f>
        <v>0.9645125910761998</v>
      </c>
      <c r="DV18" s="33" cm="1">
        <f t="array" ref="DV18">PRODUCT(1 + 預測IC!$C27:DU27) - 1</f>
        <v>1.0974294483812512</v>
      </c>
      <c r="DW18" s="33" cm="1">
        <f t="array" ref="DW18">PRODUCT(1 + 預測IC!$C27:DV27) - 1</f>
        <v>1.1079601605760616</v>
      </c>
      <c r="DX18" s="33" cm="1">
        <f t="array" ref="DX18">PRODUCT(1 + 預測IC!$C27:DW27) - 1</f>
        <v>1.1868319851241949</v>
      </c>
      <c r="DY18" s="33" cm="1">
        <f t="array" ref="DY18">PRODUCT(1 + 預測IC!$C27:DX27) - 1</f>
        <v>1.3707686184169408</v>
      </c>
      <c r="DZ18" s="33" cm="1">
        <f t="array" ref="DZ18">PRODUCT(1 + 預測IC!$C27:DY27) - 1</f>
        <v>1.2834475238077694</v>
      </c>
      <c r="EA18" s="33" cm="1">
        <f t="array" ref="EA18">PRODUCT(1 + 預測IC!$C27:DZ27) - 1</f>
        <v>1.2905072649494538</v>
      </c>
      <c r="EB18" s="33" cm="1">
        <f t="array" ref="EB18">PRODUCT(1 + 預測IC!$C27:EA27) - 1</f>
        <v>1.2860233033025419</v>
      </c>
      <c r="EC18" s="33" cm="1">
        <f t="array" ref="EC18">PRODUCT(1 + 預測IC!$C27:EB27) - 1</f>
        <v>1.3465094307246845</v>
      </c>
      <c r="ED18" s="33" cm="1">
        <f t="array" ref="ED18">PRODUCT(1 + 預測IC!$C27:EC27) - 1</f>
        <v>1.2884273650883467</v>
      </c>
      <c r="EE18" s="33" cm="1">
        <f t="array" ref="EE18">PRODUCT(1 + 預測IC!$C27:ED27) - 1</f>
        <v>1.3664981882262612</v>
      </c>
      <c r="EF18" s="33" cm="1">
        <f t="array" ref="EF18">PRODUCT(1 + 預測IC!$C27:EE27) - 1</f>
        <v>1.4163413115117764</v>
      </c>
      <c r="EG18" s="33" cm="1">
        <f t="array" ref="EG18">PRODUCT(1 + 預測IC!$C27:EF27) - 1</f>
        <v>1.367344209826507</v>
      </c>
    </row>
    <row r="22" spans="1:138" s="1" customFormat="1" ht="16">
      <c r="C22" s="6" t="s">
        <v>164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  <c r="S22" s="1" t="s">
        <v>18</v>
      </c>
      <c r="T22" s="1" t="s">
        <v>19</v>
      </c>
      <c r="U22" s="1" t="s">
        <v>20</v>
      </c>
      <c r="V22" s="1" t="s">
        <v>21</v>
      </c>
      <c r="W22" s="1" t="s">
        <v>22</v>
      </c>
      <c r="X22" s="1" t="s">
        <v>23</v>
      </c>
      <c r="Y22" s="1" t="s">
        <v>24</v>
      </c>
      <c r="Z22" s="1" t="s">
        <v>25</v>
      </c>
      <c r="AA22" s="1" t="s">
        <v>26</v>
      </c>
      <c r="AB22" s="1" t="s">
        <v>27</v>
      </c>
      <c r="AC22" s="1" t="s">
        <v>28</v>
      </c>
      <c r="AD22" s="1" t="s">
        <v>29</v>
      </c>
      <c r="AE22" s="1" t="s">
        <v>30</v>
      </c>
      <c r="AF22" s="1" t="s">
        <v>31</v>
      </c>
      <c r="AG22" s="1" t="s">
        <v>32</v>
      </c>
      <c r="AH22" s="1" t="s">
        <v>33</v>
      </c>
      <c r="AI22" s="1" t="s">
        <v>34</v>
      </c>
      <c r="AJ22" s="1" t="s">
        <v>35</v>
      </c>
      <c r="AK22" s="1" t="s">
        <v>36</v>
      </c>
      <c r="AL22" s="1" t="s">
        <v>37</v>
      </c>
      <c r="AM22" s="1" t="s">
        <v>38</v>
      </c>
      <c r="AN22" s="1" t="s">
        <v>39</v>
      </c>
      <c r="AO22" s="1" t="s">
        <v>40</v>
      </c>
      <c r="AP22" s="1" t="s">
        <v>41</v>
      </c>
      <c r="AQ22" s="1" t="s">
        <v>42</v>
      </c>
      <c r="AR22" s="1" t="s">
        <v>43</v>
      </c>
      <c r="AS22" s="1" t="s">
        <v>44</v>
      </c>
      <c r="AT22" s="1" t="s">
        <v>45</v>
      </c>
      <c r="AU22" s="1" t="s">
        <v>46</v>
      </c>
      <c r="AV22" s="1" t="s">
        <v>47</v>
      </c>
      <c r="AW22" s="1" t="s">
        <v>48</v>
      </c>
      <c r="AX22" s="1" t="s">
        <v>49</v>
      </c>
      <c r="AY22" s="1" t="s">
        <v>50</v>
      </c>
      <c r="AZ22" s="1" t="s">
        <v>51</v>
      </c>
      <c r="BA22" s="1" t="s">
        <v>52</v>
      </c>
      <c r="BB22" s="1" t="s">
        <v>53</v>
      </c>
      <c r="BC22" s="1" t="s">
        <v>54</v>
      </c>
      <c r="BD22" s="1" t="s">
        <v>55</v>
      </c>
      <c r="BE22" s="1" t="s">
        <v>56</v>
      </c>
      <c r="BF22" s="1" t="s">
        <v>57</v>
      </c>
      <c r="BG22" s="1" t="s">
        <v>58</v>
      </c>
      <c r="BH22" s="1" t="s">
        <v>59</v>
      </c>
      <c r="BI22" s="1" t="s">
        <v>60</v>
      </c>
      <c r="BJ22" s="1" t="s">
        <v>61</v>
      </c>
      <c r="BK22" s="1" t="s">
        <v>62</v>
      </c>
      <c r="BL22" s="1" t="s">
        <v>63</v>
      </c>
      <c r="BM22" s="1" t="s">
        <v>64</v>
      </c>
      <c r="BN22" s="1" t="s">
        <v>65</v>
      </c>
      <c r="BO22" s="1" t="s">
        <v>66</v>
      </c>
      <c r="BP22" s="1" t="s">
        <v>67</v>
      </c>
      <c r="BQ22" s="1" t="s">
        <v>68</v>
      </c>
      <c r="BR22" s="1" t="s">
        <v>69</v>
      </c>
      <c r="BS22" s="1" t="s">
        <v>70</v>
      </c>
      <c r="BT22" s="1" t="s">
        <v>71</v>
      </c>
      <c r="BU22" s="1" t="s">
        <v>72</v>
      </c>
      <c r="BV22" s="1" t="s">
        <v>73</v>
      </c>
      <c r="BW22" s="1" t="s">
        <v>74</v>
      </c>
      <c r="BX22" s="1" t="s">
        <v>75</v>
      </c>
      <c r="BY22" s="1" t="s">
        <v>76</v>
      </c>
      <c r="BZ22" s="1" t="s">
        <v>77</v>
      </c>
      <c r="CA22" s="1" t="s">
        <v>78</v>
      </c>
      <c r="CB22" s="1" t="s">
        <v>79</v>
      </c>
      <c r="CC22" s="1" t="s">
        <v>80</v>
      </c>
      <c r="CD22" s="1" t="s">
        <v>81</v>
      </c>
      <c r="CE22" s="1" t="s">
        <v>82</v>
      </c>
      <c r="CF22" s="1" t="s">
        <v>83</v>
      </c>
      <c r="CG22" s="1" t="s">
        <v>84</v>
      </c>
      <c r="CH22" s="1" t="s">
        <v>85</v>
      </c>
      <c r="CI22" s="1" t="s">
        <v>86</v>
      </c>
      <c r="CJ22" s="1" t="s">
        <v>87</v>
      </c>
      <c r="CK22" s="1" t="s">
        <v>88</v>
      </c>
      <c r="CL22" s="1" t="s">
        <v>89</v>
      </c>
      <c r="CM22" s="1" t="s">
        <v>90</v>
      </c>
      <c r="CN22" s="1" t="s">
        <v>91</v>
      </c>
      <c r="CO22" s="1" t="s">
        <v>92</v>
      </c>
      <c r="CP22" s="1" t="s">
        <v>93</v>
      </c>
      <c r="CQ22" s="1" t="s">
        <v>94</v>
      </c>
      <c r="CR22" s="1" t="s">
        <v>95</v>
      </c>
      <c r="CS22" s="1" t="s">
        <v>96</v>
      </c>
      <c r="CT22" s="1" t="s">
        <v>97</v>
      </c>
      <c r="CU22" s="1" t="s">
        <v>98</v>
      </c>
      <c r="CV22" s="1" t="s">
        <v>99</v>
      </c>
      <c r="CW22" s="1" t="s">
        <v>100</v>
      </c>
      <c r="CX22" s="1" t="s">
        <v>101</v>
      </c>
      <c r="CY22" s="1" t="s">
        <v>102</v>
      </c>
      <c r="CZ22" s="1" t="s">
        <v>103</v>
      </c>
      <c r="DA22" s="1" t="s">
        <v>104</v>
      </c>
      <c r="DB22" s="1" t="s">
        <v>105</v>
      </c>
      <c r="DC22" s="1" t="s">
        <v>106</v>
      </c>
      <c r="DD22" s="1" t="s">
        <v>107</v>
      </c>
      <c r="DE22" s="1" t="s">
        <v>108</v>
      </c>
      <c r="DF22" s="1" t="s">
        <v>109</v>
      </c>
      <c r="DG22" s="1" t="s">
        <v>110</v>
      </c>
      <c r="DH22" s="1" t="s">
        <v>111</v>
      </c>
      <c r="DI22" s="1" t="s">
        <v>112</v>
      </c>
      <c r="DJ22" s="1" t="s">
        <v>113</v>
      </c>
      <c r="DK22" s="1" t="s">
        <v>114</v>
      </c>
      <c r="DL22" s="1" t="s">
        <v>115</v>
      </c>
      <c r="DM22" s="1" t="s">
        <v>116</v>
      </c>
      <c r="DN22" s="1" t="s">
        <v>117</v>
      </c>
      <c r="DO22" s="1" t="s">
        <v>118</v>
      </c>
      <c r="DP22" s="1" t="s">
        <v>119</v>
      </c>
      <c r="DQ22" s="1" t="s">
        <v>120</v>
      </c>
      <c r="DR22" s="1" t="s">
        <v>121</v>
      </c>
      <c r="DS22" s="1" t="s">
        <v>122</v>
      </c>
      <c r="DT22" s="1" t="s">
        <v>123</v>
      </c>
      <c r="DU22" s="1" t="s">
        <v>124</v>
      </c>
      <c r="DV22" s="1" t="s">
        <v>125</v>
      </c>
      <c r="DW22" s="1" t="s">
        <v>126</v>
      </c>
      <c r="DX22" s="1" t="s">
        <v>127</v>
      </c>
      <c r="DY22" s="1" t="s">
        <v>128</v>
      </c>
      <c r="DZ22" s="1" t="s">
        <v>129</v>
      </c>
      <c r="EA22" s="1" t="s">
        <v>130</v>
      </c>
      <c r="EB22" s="1" t="s">
        <v>131</v>
      </c>
      <c r="EC22" s="1" t="s">
        <v>132</v>
      </c>
      <c r="ED22" s="1" t="s">
        <v>133</v>
      </c>
      <c r="EE22" s="1" t="s">
        <v>134</v>
      </c>
      <c r="EF22" s="1" t="s">
        <v>140</v>
      </c>
      <c r="EG22" s="1" t="s">
        <v>144</v>
      </c>
      <c r="EH22" s="44"/>
    </row>
    <row r="23" spans="1:138" s="1" customFormat="1" ht="16">
      <c r="C23" s="6">
        <v>10</v>
      </c>
      <c r="D23" s="9">
        <v>1.4499246984096104E-2</v>
      </c>
      <c r="E23" s="9">
        <v>-3.9213245731639645E-4</v>
      </c>
      <c r="F23" s="9">
        <v>-1.7853104735537917E-3</v>
      </c>
      <c r="G23" s="9">
        <v>-9.4001077874112937E-3</v>
      </c>
      <c r="H23" s="9">
        <v>-1.4943066823013496E-2</v>
      </c>
      <c r="I23" s="9">
        <v>-5.4872508254879548E-3</v>
      </c>
      <c r="J23" s="9">
        <v>-1.409789363567826E-2</v>
      </c>
      <c r="K23" s="9">
        <v>-6.8122805047002855E-3</v>
      </c>
      <c r="L23" s="9">
        <v>2.2176880798341347E-2</v>
      </c>
      <c r="M23" s="9">
        <v>3.1129674214090297E-2</v>
      </c>
      <c r="N23" s="9">
        <v>5.8855899268611012E-2</v>
      </c>
      <c r="O23" s="9">
        <v>-9.767125920434605E-3</v>
      </c>
      <c r="P23" s="9">
        <v>1.7874986179957419E-2</v>
      </c>
      <c r="Q23" s="9">
        <v>1.9504096798671933E-2</v>
      </c>
      <c r="R23" s="9">
        <v>4.168402969130991E-2</v>
      </c>
      <c r="S23" s="9">
        <v>6.0273266356878352E-3</v>
      </c>
      <c r="T23" s="9">
        <v>1.7736680301454699E-2</v>
      </c>
      <c r="U23" s="9">
        <v>-4.972664749899991E-3</v>
      </c>
      <c r="V23" s="9">
        <v>-2.179837282866226E-2</v>
      </c>
      <c r="W23" s="9">
        <v>-1.4832858800881366E-2</v>
      </c>
      <c r="X23" s="9">
        <v>-3.6829953972130625E-2</v>
      </c>
      <c r="Y23" s="9">
        <v>-0.13928181032255327</v>
      </c>
      <c r="Z23" s="9">
        <v>-0.1079376474889816</v>
      </c>
      <c r="AA23" s="9">
        <v>-6.0522671739532741E-2</v>
      </c>
      <c r="AB23" s="9">
        <v>-8.5811972866631225E-2</v>
      </c>
      <c r="AC23" s="9">
        <v>-9.5624254282011045E-2</v>
      </c>
      <c r="AD23" s="9">
        <v>-5.332393670178881E-2</v>
      </c>
      <c r="AE23" s="9">
        <v>-5.0928439350713894E-2</v>
      </c>
      <c r="AF23" s="9">
        <v>-8.6855544078927704E-2</v>
      </c>
      <c r="AG23" s="9">
        <v>-3.9360980787525257E-2</v>
      </c>
      <c r="AH23" s="9">
        <v>-3.5696209769714549E-2</v>
      </c>
      <c r="AI23" s="9">
        <v>-2.054407174998063E-2</v>
      </c>
      <c r="AJ23" s="9">
        <v>-1.3174851544021315E-2</v>
      </c>
      <c r="AK23" s="9">
        <v>-2.2203982499711672E-2</v>
      </c>
      <c r="AL23" s="9">
        <v>-4.4344262050292071E-2</v>
      </c>
      <c r="AM23" s="9">
        <v>1.336550449217766E-3</v>
      </c>
      <c r="AN23" s="9">
        <v>-2.7242523458217649E-2</v>
      </c>
      <c r="AO23" s="9">
        <v>-5.3162258092952719E-2</v>
      </c>
      <c r="AP23" s="9">
        <v>-6.7360535844892433E-2</v>
      </c>
      <c r="AQ23" s="9">
        <v>-7.331112023359132E-2</v>
      </c>
      <c r="AR23" s="9">
        <v>-7.1738593537659212E-2</v>
      </c>
      <c r="AS23" s="9">
        <v>-9.2367370896750733E-2</v>
      </c>
      <c r="AT23" s="9">
        <v>-0.11049848799807493</v>
      </c>
      <c r="AU23" s="9">
        <v>-0.17471638976012305</v>
      </c>
      <c r="AV23" s="9">
        <v>-0.17778111052012036</v>
      </c>
      <c r="AW23" s="9">
        <v>-0.17589237317878081</v>
      </c>
      <c r="AX23" s="9">
        <v>-0.18713136854393497</v>
      </c>
      <c r="AY23" s="9">
        <v>-0.19188231068748762</v>
      </c>
      <c r="AZ23" s="9">
        <v>-0.152966177276043</v>
      </c>
      <c r="BA23" s="9">
        <v>-0.17540869390216285</v>
      </c>
      <c r="BB23" s="9">
        <v>-0.17079720021458811</v>
      </c>
      <c r="BC23" s="9">
        <v>-0.16072779217091859</v>
      </c>
      <c r="BD23" s="9">
        <v>-0.13832680596165681</v>
      </c>
      <c r="BE23" s="9">
        <v>-0.15584790796355419</v>
      </c>
      <c r="BF23" s="9">
        <v>-0.13054628428210024</v>
      </c>
      <c r="BG23" s="9">
        <v>-6.8897725630997053E-2</v>
      </c>
      <c r="BH23" s="9">
        <v>-4.213788185631373E-2</v>
      </c>
      <c r="BI23" s="9">
        <v>-4.5232907975361392E-2</v>
      </c>
      <c r="BJ23" s="9">
        <v>7.8098270932347447E-4</v>
      </c>
      <c r="BK23" s="9">
        <v>-2.3901404940896542E-2</v>
      </c>
      <c r="BL23" s="9">
        <v>-1.589158880934527E-2</v>
      </c>
      <c r="BM23" s="9">
        <v>-3.6098902924520226E-2</v>
      </c>
      <c r="BN23" s="9">
        <v>-5.5988056000203401E-2</v>
      </c>
      <c r="BO23" s="9">
        <v>-7.006172301929714E-2</v>
      </c>
      <c r="BP23" s="9">
        <v>-0.12729131433464391</v>
      </c>
      <c r="BQ23" s="9">
        <v>-0.15608631677243112</v>
      </c>
      <c r="BR23" s="9">
        <v>-0.16462479701968102</v>
      </c>
      <c r="BS23" s="9">
        <v>-0.21223005218233082</v>
      </c>
      <c r="BT23" s="9">
        <v>-0.21097461001067497</v>
      </c>
      <c r="BU23" s="9">
        <v>-0.21462369248005131</v>
      </c>
      <c r="BV23" s="9">
        <v>-0.23282004518715649</v>
      </c>
      <c r="BW23" s="9">
        <v>-0.20369088058718632</v>
      </c>
      <c r="BX23" s="9">
        <v>-0.16885575728915048</v>
      </c>
      <c r="BY23" s="9">
        <v>-0.17635106338591855</v>
      </c>
      <c r="BZ23" s="9">
        <v>-0.19098858679621056</v>
      </c>
      <c r="CA23" s="9">
        <v>-0.20041579185595859</v>
      </c>
      <c r="CB23" s="9">
        <v>-0.21520502587098811</v>
      </c>
      <c r="CC23" s="9">
        <v>-0.19989351212090734</v>
      </c>
      <c r="CD23" s="9">
        <v>-0.23482758769386647</v>
      </c>
      <c r="CE23" s="9">
        <v>-0.26876701155497462</v>
      </c>
      <c r="CF23" s="9">
        <v>-0.26191562372607835</v>
      </c>
      <c r="CG23" s="9">
        <v>-0.25331098789696982</v>
      </c>
      <c r="CH23" s="9">
        <v>-0.25677820473726243</v>
      </c>
      <c r="CI23" s="9">
        <v>-0.2480045634316892</v>
      </c>
      <c r="CJ23" s="9">
        <v>-0.24685867304974052</v>
      </c>
      <c r="CK23" s="9">
        <v>-0.29510444869158736</v>
      </c>
      <c r="CL23" s="9">
        <v>-0.2848826194879559</v>
      </c>
      <c r="CM23" s="9">
        <v>-0.23044715229625612</v>
      </c>
      <c r="CN23" s="9">
        <v>-0.21016639438049844</v>
      </c>
      <c r="CO23" s="9">
        <v>-9.9804604007780351E-2</v>
      </c>
      <c r="CP23" s="9">
        <v>-0.15037922141274274</v>
      </c>
      <c r="CQ23" s="9">
        <v>-0.1467667477067679</v>
      </c>
      <c r="CR23" s="9">
        <v>-0.2042546898875367</v>
      </c>
      <c r="CS23" s="9">
        <v>-0.24973948108812272</v>
      </c>
      <c r="CT23" s="9">
        <v>-0.26781987184423117</v>
      </c>
      <c r="CU23" s="9">
        <v>-0.31591245839668192</v>
      </c>
      <c r="CV23" s="9">
        <v>-0.36706820274501861</v>
      </c>
      <c r="CW23" s="9">
        <v>-0.34460976066371518</v>
      </c>
      <c r="CX23" s="9">
        <v>-0.33606565479954109</v>
      </c>
      <c r="CY23" s="9">
        <v>-0.35648338755083575</v>
      </c>
      <c r="CZ23" s="9">
        <v>-0.34591646107905238</v>
      </c>
      <c r="DA23" s="9">
        <v>-0.35397755802179176</v>
      </c>
      <c r="DB23" s="9">
        <v>-0.34310866144537366</v>
      </c>
      <c r="DC23" s="9">
        <v>-0.31973299749657524</v>
      </c>
      <c r="DD23" s="9">
        <v>-0.32279512675090483</v>
      </c>
      <c r="DE23" s="9">
        <v>-0.3193336163228544</v>
      </c>
      <c r="DF23" s="9">
        <v>-0.32532132339859932</v>
      </c>
      <c r="DG23" s="9">
        <v>-0.31223610865875762</v>
      </c>
      <c r="DH23" s="9">
        <v>-0.32208094565279344</v>
      </c>
      <c r="DI23" s="9">
        <v>-0.32111236087874628</v>
      </c>
      <c r="DJ23" s="9">
        <v>-0.34765003707946318</v>
      </c>
      <c r="DK23" s="9">
        <v>-0.32065707230465346</v>
      </c>
      <c r="DL23" s="9">
        <v>-0.33846472927505067</v>
      </c>
      <c r="DM23" s="9">
        <v>-0.34903567045686912</v>
      </c>
      <c r="DN23" s="9">
        <v>-0.36722480948047231</v>
      </c>
      <c r="DO23" s="9">
        <v>-0.3592679043333683</v>
      </c>
      <c r="DP23" s="9">
        <v>-0.35316751846184147</v>
      </c>
      <c r="DQ23" s="9">
        <v>-0.3460107218785281</v>
      </c>
      <c r="DR23" s="9">
        <v>-0.33855265655253763</v>
      </c>
      <c r="DS23" s="9">
        <v>-0.34573071383311116</v>
      </c>
      <c r="DT23" s="9">
        <v>-0.31561844166208242</v>
      </c>
      <c r="DU23" s="9">
        <v>-0.29863630610512915</v>
      </c>
      <c r="DV23" s="9">
        <v>-0.26652286707702799</v>
      </c>
      <c r="DW23" s="9">
        <v>-0.27369932522162832</v>
      </c>
      <c r="DX23" s="9">
        <v>-0.27047297365966316</v>
      </c>
      <c r="DY23" s="9">
        <v>-0.27669465883785427</v>
      </c>
      <c r="DZ23" s="9">
        <v>-0.26559038093859699</v>
      </c>
      <c r="EA23" s="9">
        <v>-0.26040799358425226</v>
      </c>
      <c r="EB23" s="9">
        <v>-0.34407584937137459</v>
      </c>
      <c r="EC23" s="9">
        <v>-0.3231601237502032</v>
      </c>
      <c r="ED23" s="9">
        <v>-0.31308609444530722</v>
      </c>
      <c r="EE23" s="9">
        <v>-0.29698168970110772</v>
      </c>
      <c r="EF23" s="9">
        <v>-0.31681825137789887</v>
      </c>
      <c r="EG23" s="9">
        <v>-0.33855084915885747</v>
      </c>
      <c r="EH23" s="44"/>
    </row>
    <row r="24" spans="1:138" s="1" customFormat="1" ht="16">
      <c r="C24" s="6">
        <v>20</v>
      </c>
      <c r="D24" s="1">
        <v>-7.4773642018864939E-3</v>
      </c>
      <c r="E24" s="1">
        <v>-2.0613071426295315E-3</v>
      </c>
      <c r="F24" s="1">
        <v>-7.5735479547391904E-3</v>
      </c>
      <c r="G24" s="1">
        <v>-1.7888177631160018E-2</v>
      </c>
      <c r="H24" s="1">
        <v>7.6607374377246629E-4</v>
      </c>
      <c r="I24" s="1">
        <v>1.816778155801968E-2</v>
      </c>
      <c r="J24" s="1">
        <v>5.1040338086181913E-2</v>
      </c>
      <c r="K24" s="1">
        <v>7.521469537250125E-2</v>
      </c>
      <c r="L24" s="1">
        <v>0.1400782467850723</v>
      </c>
      <c r="M24" s="1">
        <v>0.16513770291795771</v>
      </c>
      <c r="N24" s="1">
        <v>0.16895907288353107</v>
      </c>
      <c r="O24" s="1">
        <v>8.0680255742253904E-2</v>
      </c>
      <c r="P24" s="1">
        <v>9.9508622348991382E-2</v>
      </c>
      <c r="Q24" s="1">
        <v>9.2941129043873971E-2</v>
      </c>
      <c r="R24" s="1">
        <v>0.11923616116816516</v>
      </c>
      <c r="S24" s="1">
        <v>6.6360635944067381E-2</v>
      </c>
      <c r="T24" s="1">
        <v>9.4276925038321746E-2</v>
      </c>
      <c r="U24" s="1">
        <v>6.5499485189480122E-2</v>
      </c>
      <c r="V24" s="1">
        <v>6.3072459582504958E-2</v>
      </c>
      <c r="W24" s="1">
        <v>5.1287600125974109E-2</v>
      </c>
      <c r="X24" s="1">
        <v>1.4922892914384311E-2</v>
      </c>
      <c r="Y24" s="1">
        <v>-0.13770707566116203</v>
      </c>
      <c r="Z24" s="1">
        <v>-0.11906157330106992</v>
      </c>
      <c r="AA24" s="1">
        <v>-4.7484090949306501E-2</v>
      </c>
      <c r="AB24" s="1">
        <v>-9.2931147661120428E-2</v>
      </c>
      <c r="AC24" s="1">
        <v>-0.10653860756391442</v>
      </c>
      <c r="AD24" s="1">
        <v>-4.6880671165350218E-2</v>
      </c>
      <c r="AE24" s="1">
        <v>-2.739869441649434E-2</v>
      </c>
      <c r="AF24" s="1">
        <v>-6.7125321167793794E-2</v>
      </c>
      <c r="AG24" s="1">
        <v>1.2368182043682729E-3</v>
      </c>
      <c r="AH24" s="1">
        <v>-8.6806404639406809E-3</v>
      </c>
      <c r="AI24" s="1">
        <v>1.6057938910163383E-2</v>
      </c>
      <c r="AJ24" s="1">
        <v>1.2973957069057018E-2</v>
      </c>
      <c r="AK24" s="1">
        <v>1.1890172218542938E-2</v>
      </c>
      <c r="AL24" s="1">
        <v>-1.200935775889278E-2</v>
      </c>
      <c r="AM24" s="1">
        <v>3.665795946535555E-2</v>
      </c>
      <c r="AN24" s="1">
        <v>-6.7131432640110678E-3</v>
      </c>
      <c r="AO24" s="1">
        <v>-3.6489559454143339E-2</v>
      </c>
      <c r="AP24" s="1">
        <v>-3.4843067828350893E-2</v>
      </c>
      <c r="AQ24" s="1">
        <v>-3.2805904213206838E-2</v>
      </c>
      <c r="AR24" s="1">
        <v>-3.0542598302419233E-2</v>
      </c>
      <c r="AS24" s="1">
        <v>-5.0753888670129532E-2</v>
      </c>
      <c r="AT24" s="1">
        <v>-7.297095929780828E-2</v>
      </c>
      <c r="AU24" s="1">
        <v>-0.15308751103242213</v>
      </c>
      <c r="AV24" s="1">
        <v>-0.13979486514747064</v>
      </c>
      <c r="AW24" s="1">
        <v>-0.14401669986200349</v>
      </c>
      <c r="AX24" s="1">
        <v>-0.15368283626589574</v>
      </c>
      <c r="AY24" s="1">
        <v>-0.1535134456713847</v>
      </c>
      <c r="AZ24" s="1">
        <v>-9.5709297582482922E-2</v>
      </c>
      <c r="BA24" s="1">
        <v>-0.11095293254907068</v>
      </c>
      <c r="BB24" s="1">
        <v>-9.5212558937250891E-2</v>
      </c>
      <c r="BC24" s="1">
        <v>-9.3310736920306003E-2</v>
      </c>
      <c r="BD24" s="1">
        <v>-7.5983118754065604E-2</v>
      </c>
      <c r="BE24" s="1">
        <v>-6.1633252788329318E-2</v>
      </c>
      <c r="BF24" s="1">
        <v>-1.5687146675235519E-2</v>
      </c>
      <c r="BG24" s="1">
        <v>5.5165223488283344E-2</v>
      </c>
      <c r="BH24" s="1">
        <v>0.1161810430797181</v>
      </c>
      <c r="BI24" s="1">
        <v>0.11736762579848747</v>
      </c>
      <c r="BJ24" s="1">
        <v>0.15926824290046837</v>
      </c>
      <c r="BK24" s="1">
        <v>0.13113733815115092</v>
      </c>
      <c r="BL24" s="1">
        <v>0.12934623502893405</v>
      </c>
      <c r="BM24" s="1">
        <v>0.11080937676021185</v>
      </c>
      <c r="BN24" s="1">
        <v>8.3247914819584157E-2</v>
      </c>
      <c r="BO24" s="1">
        <v>5.9661734925718468E-2</v>
      </c>
      <c r="BP24" s="1">
        <v>-2.7842838350754406E-2</v>
      </c>
      <c r="BQ24" s="1">
        <v>-8.383717113195388E-2</v>
      </c>
      <c r="BR24" s="1">
        <v>-9.8636234898704322E-2</v>
      </c>
      <c r="BS24" s="1">
        <v>-0.17203266532448869</v>
      </c>
      <c r="BT24" s="1">
        <v>-0.16976892589041448</v>
      </c>
      <c r="BU24" s="1">
        <v>-0.15096321147635128</v>
      </c>
      <c r="BV24" s="1">
        <v>-0.17234084624479118</v>
      </c>
      <c r="BW24" s="1">
        <v>-0.11455825339772241</v>
      </c>
      <c r="BX24" s="1">
        <v>-4.3482587450528798E-2</v>
      </c>
      <c r="BY24" s="1">
        <v>-5.8059443788423981E-2</v>
      </c>
      <c r="BZ24" s="1">
        <v>-5.066845055827196E-2</v>
      </c>
      <c r="CA24" s="1">
        <v>-0.11039632507285402</v>
      </c>
      <c r="CB24" s="1">
        <v>-0.14831388317183269</v>
      </c>
      <c r="CC24" s="1">
        <v>-0.12893822817051626</v>
      </c>
      <c r="CD24" s="1">
        <v>-0.1311738752033953</v>
      </c>
      <c r="CE24" s="1">
        <v>-0.14959658936081233</v>
      </c>
      <c r="CF24" s="1">
        <v>-0.13031757734586069</v>
      </c>
      <c r="CG24" s="1">
        <v>-0.12078135813460755</v>
      </c>
      <c r="CH24" s="1">
        <v>-0.14029711374888265</v>
      </c>
      <c r="CI24" s="1">
        <v>-0.114938384658968</v>
      </c>
      <c r="CJ24" s="1">
        <v>-0.10909057096478414</v>
      </c>
      <c r="CK24" s="1">
        <v>-0.18122052231392538</v>
      </c>
      <c r="CL24" s="1">
        <v>-0.17243099572351739</v>
      </c>
      <c r="CM24" s="1">
        <v>-0.11392976823719336</v>
      </c>
      <c r="CN24" s="1">
        <v>-0.10151527322982157</v>
      </c>
      <c r="CO24" s="1">
        <v>2.5482638585482276E-2</v>
      </c>
      <c r="CP24" s="1">
        <v>-3.6711073990874921E-2</v>
      </c>
      <c r="CQ24" s="1">
        <v>-1.0616468531031042E-2</v>
      </c>
      <c r="CR24" s="1">
        <v>-8.3157352556259556E-2</v>
      </c>
      <c r="CS24" s="1">
        <v>-0.18551814575888959</v>
      </c>
      <c r="CT24" s="1">
        <v>-0.20052039459917359</v>
      </c>
      <c r="CU24" s="1">
        <v>-0.27636574982977946</v>
      </c>
      <c r="CV24" s="1">
        <v>-0.35386043760943531</v>
      </c>
      <c r="CW24" s="1">
        <v>-0.31859615002587705</v>
      </c>
      <c r="CX24" s="1">
        <v>-0.29385497603467181</v>
      </c>
      <c r="CY24" s="1">
        <v>-0.31545089736427523</v>
      </c>
      <c r="CZ24" s="1">
        <v>-0.287246275084997</v>
      </c>
      <c r="DA24" s="1">
        <v>-0.29073749689852235</v>
      </c>
      <c r="DB24" s="1">
        <v>-0.27872498281071822</v>
      </c>
      <c r="DC24" s="1">
        <v>-0.23447029924903651</v>
      </c>
      <c r="DD24" s="1">
        <v>-0.24530244256700118</v>
      </c>
      <c r="DE24" s="1">
        <v>-0.24574799219247623</v>
      </c>
      <c r="DF24" s="1">
        <v>-0.25493182605165277</v>
      </c>
      <c r="DG24" s="1">
        <v>-0.24010970046230362</v>
      </c>
      <c r="DH24" s="1">
        <v>-0.24899742991742768</v>
      </c>
      <c r="DI24" s="1">
        <v>-0.27490561314990136</v>
      </c>
      <c r="DJ24" s="1">
        <v>-0.30693708428824273</v>
      </c>
      <c r="DK24" s="1">
        <v>-0.30207100388367147</v>
      </c>
      <c r="DL24" s="1">
        <v>-0.30483321062688939</v>
      </c>
      <c r="DM24" s="1">
        <v>-0.32126790198939903</v>
      </c>
      <c r="DN24" s="1">
        <v>-0.3446591025072816</v>
      </c>
      <c r="DO24" s="1">
        <v>-0.33763708108572477</v>
      </c>
      <c r="DP24" s="1">
        <v>-0.32949046795384884</v>
      </c>
      <c r="DQ24" s="1">
        <v>-0.32067687914831489</v>
      </c>
      <c r="DR24" s="1">
        <v>-0.31146968607704695</v>
      </c>
      <c r="DS24" s="1">
        <v>-0.32143062760008934</v>
      </c>
      <c r="DT24" s="1">
        <v>-0.30113109325602982</v>
      </c>
      <c r="DU24" s="1">
        <v>-0.28027278523679033</v>
      </c>
      <c r="DV24" s="1">
        <v>-0.2632160752117656</v>
      </c>
      <c r="DW24" s="1">
        <v>-0.2858261110360113</v>
      </c>
      <c r="DX24" s="1">
        <v>-0.27334367773601698</v>
      </c>
      <c r="DY24" s="1">
        <v>-0.2619113643050367</v>
      </c>
      <c r="DZ24" s="1">
        <v>-0.25470826315417006</v>
      </c>
      <c r="EA24" s="1">
        <v>-0.25985807709957254</v>
      </c>
      <c r="EB24" s="1">
        <v>-0.35198277112543874</v>
      </c>
      <c r="EC24" s="1">
        <v>-0.31435915241289825</v>
      </c>
      <c r="ED24" s="1">
        <v>-0.29928543948910635</v>
      </c>
      <c r="EE24" s="1">
        <v>-0.26146225518734423</v>
      </c>
      <c r="EF24" s="1">
        <v>-0.28795174290540915</v>
      </c>
      <c r="EG24" s="1">
        <v>-0.32204409045017635</v>
      </c>
      <c r="EH24" s="44"/>
    </row>
    <row r="25" spans="1:138" s="1" customFormat="1" ht="16">
      <c r="C25" s="6">
        <v>50</v>
      </c>
      <c r="D25" s="1">
        <v>-3.3228977675766158E-2</v>
      </c>
      <c r="E25" s="1">
        <v>0.10370799743454429</v>
      </c>
      <c r="F25" s="1">
        <v>5.0817486816669533E-2</v>
      </c>
      <c r="G25" s="1">
        <v>6.9687863981603648E-2</v>
      </c>
      <c r="H25" s="1">
        <v>8.9108798746094786E-2</v>
      </c>
      <c r="I25" s="1">
        <v>7.6575050582890825E-2</v>
      </c>
      <c r="J25" s="1">
        <v>0.10898010525197521</v>
      </c>
      <c r="K25" s="1">
        <v>0.15914102098314253</v>
      </c>
      <c r="L25" s="1">
        <v>0.21805722211872802</v>
      </c>
      <c r="M25" s="1">
        <v>0.28659862357048849</v>
      </c>
      <c r="N25" s="1">
        <v>0.26212531192188915</v>
      </c>
      <c r="O25" s="1">
        <v>0.10555668645994754</v>
      </c>
      <c r="P25" s="1">
        <v>0.10720883914870871</v>
      </c>
      <c r="Q25" s="1">
        <v>0.12046159702721715</v>
      </c>
      <c r="R25" s="1">
        <v>0.17592555795909881</v>
      </c>
      <c r="S25" s="1">
        <v>0.18939363669796738</v>
      </c>
      <c r="T25" s="1">
        <v>0.23900997463001872</v>
      </c>
      <c r="U25" s="1">
        <v>0.24176184735915651</v>
      </c>
      <c r="V25" s="1">
        <v>0.22339691308342502</v>
      </c>
      <c r="W25" s="1">
        <v>0.20695327231466787</v>
      </c>
      <c r="X25" s="1">
        <v>0.18075968407576637</v>
      </c>
      <c r="Y25" s="1">
        <v>-7.6776442462435868E-2</v>
      </c>
      <c r="Z25" s="1">
        <v>-0.10631245270045353</v>
      </c>
      <c r="AA25" s="1">
        <v>-2.0155128760458441E-3</v>
      </c>
      <c r="AB25" s="1">
        <v>-0.1017200307868511</v>
      </c>
      <c r="AC25" s="1">
        <v>-0.12627539280705957</v>
      </c>
      <c r="AD25" s="1">
        <v>-0.12897219827409467</v>
      </c>
      <c r="AE25" s="1">
        <v>-6.810948623853863E-2</v>
      </c>
      <c r="AF25" s="1">
        <v>-7.3404957003463167E-2</v>
      </c>
      <c r="AG25" s="1">
        <v>1.5622383177287702E-2</v>
      </c>
      <c r="AH25" s="1">
        <v>-1.0102615785936964E-2</v>
      </c>
      <c r="AI25" s="1">
        <v>7.0031739821598826E-2</v>
      </c>
      <c r="AJ25" s="1">
        <v>0.13771474175802667</v>
      </c>
      <c r="AK25" s="1">
        <v>0.11929541612506256</v>
      </c>
      <c r="AL25" s="1">
        <v>0.10958232249638855</v>
      </c>
      <c r="AM25" s="1">
        <v>0.16642642789608053</v>
      </c>
      <c r="AN25" s="1">
        <v>0.13374989124601466</v>
      </c>
      <c r="AO25" s="1">
        <v>0.11205839512008398</v>
      </c>
      <c r="AP25" s="1">
        <v>0.15436593675139143</v>
      </c>
      <c r="AQ25" s="1">
        <v>0.14472492452639241</v>
      </c>
      <c r="AR25" s="1">
        <v>0.11068838278073168</v>
      </c>
      <c r="AS25" s="1">
        <v>0.10226637523549909</v>
      </c>
      <c r="AT25" s="1">
        <v>0.10961776268752099</v>
      </c>
      <c r="AU25" s="1">
        <v>2.1510251181398932E-2</v>
      </c>
      <c r="AV25" s="1">
        <v>8.016701761685896E-2</v>
      </c>
      <c r="AW25" s="1">
        <v>6.6866542818866392E-2</v>
      </c>
      <c r="AX25" s="1">
        <v>7.0950124668785808E-2</v>
      </c>
      <c r="AY25" s="1">
        <v>5.9581836876601457E-2</v>
      </c>
      <c r="AZ25" s="1">
        <v>0.21136536147296203</v>
      </c>
      <c r="BA25" s="1">
        <v>0.17344723572768173</v>
      </c>
      <c r="BB25" s="1">
        <v>0.24945237282341859</v>
      </c>
      <c r="BC25" s="1">
        <v>0.28959452182700818</v>
      </c>
      <c r="BD25" s="1">
        <v>0.25283374854536844</v>
      </c>
      <c r="BE25" s="1">
        <v>0.31826809254308785</v>
      </c>
      <c r="BF25" s="1">
        <v>0.41849211796951979</v>
      </c>
      <c r="BG25" s="1">
        <v>0.57477098491750089</v>
      </c>
      <c r="BH25" s="1">
        <v>0.73299574616164542</v>
      </c>
      <c r="BI25" s="1">
        <v>0.89096460594039506</v>
      </c>
      <c r="BJ25" s="1">
        <v>1.0248662414712628</v>
      </c>
      <c r="BK25" s="1">
        <v>0.88595192177286886</v>
      </c>
      <c r="BL25" s="1">
        <v>0.87467530565505891</v>
      </c>
      <c r="BM25" s="1">
        <v>0.85287835793213751</v>
      </c>
      <c r="BN25" s="1">
        <v>0.82113803203827818</v>
      </c>
      <c r="BO25" s="1">
        <v>0.81242604343754721</v>
      </c>
      <c r="BP25" s="1">
        <v>0.77592209547715929</v>
      </c>
      <c r="BQ25" s="1">
        <v>0.65104041806767721</v>
      </c>
      <c r="BR25" s="1">
        <v>0.68021724626129543</v>
      </c>
      <c r="BS25" s="1">
        <v>0.53432703304172313</v>
      </c>
      <c r="BT25" s="1">
        <v>0.54210040179594166</v>
      </c>
      <c r="BU25" s="1">
        <v>0.58287013534342025</v>
      </c>
      <c r="BV25" s="1">
        <v>0.46140845183246859</v>
      </c>
      <c r="BW25" s="1">
        <v>0.61013490940835946</v>
      </c>
      <c r="BX25" s="1">
        <v>0.63586526403080557</v>
      </c>
      <c r="BY25" s="1">
        <v>0.48507492614960102</v>
      </c>
      <c r="BZ25" s="1">
        <v>0.54829603855982101</v>
      </c>
      <c r="CA25" s="1">
        <v>0.28798635518861126</v>
      </c>
      <c r="CB25" s="1">
        <v>0.22207980165065377</v>
      </c>
      <c r="CC25" s="1">
        <v>0.36428963232509126</v>
      </c>
      <c r="CD25" s="1">
        <v>0.31518372881649426</v>
      </c>
      <c r="CE25" s="1">
        <v>0.35848797771158458</v>
      </c>
      <c r="CF25" s="1">
        <v>0.41698504830939265</v>
      </c>
      <c r="CG25" s="1">
        <v>0.44636665600089698</v>
      </c>
      <c r="CH25" s="1">
        <v>0.3879328190694824</v>
      </c>
      <c r="CI25" s="1">
        <v>0.39085113566194618</v>
      </c>
      <c r="CJ25" s="1">
        <v>0.32412296731097556</v>
      </c>
      <c r="CK25" s="1">
        <v>0.15818771356925887</v>
      </c>
      <c r="CL25" s="1">
        <v>0.24458849218472944</v>
      </c>
      <c r="CM25" s="1">
        <v>0.35890608405610069</v>
      </c>
      <c r="CN25" s="1">
        <v>0.35197959450884575</v>
      </c>
      <c r="CO25" s="1">
        <v>0.63386266783754919</v>
      </c>
      <c r="CP25" s="1">
        <v>0.43998854749474603</v>
      </c>
      <c r="CQ25" s="1">
        <v>0.47712984765397515</v>
      </c>
      <c r="CR25" s="1">
        <v>0.34056508805798114</v>
      </c>
      <c r="CS25" s="1">
        <v>6.2103293257520509E-2</v>
      </c>
      <c r="CT25" s="1">
        <v>7.3194947719344539E-2</v>
      </c>
      <c r="CU25" s="1">
        <v>-3.3777995074612432E-2</v>
      </c>
      <c r="CV25" s="1">
        <v>-0.1318930085229375</v>
      </c>
      <c r="CW25" s="1">
        <v>-8.0956763905784102E-2</v>
      </c>
      <c r="CX25" s="1">
        <v>-3.9816818686902788E-2</v>
      </c>
      <c r="CY25" s="1">
        <v>-0.12684708035551362</v>
      </c>
      <c r="CZ25" s="1">
        <v>-4.2709078244633325E-2</v>
      </c>
      <c r="DA25" s="1">
        <v>-5.2570514619015851E-2</v>
      </c>
      <c r="DB25" s="1">
        <v>-0.10595994786099006</v>
      </c>
      <c r="DC25" s="1">
        <v>-2.5282655475694638E-2</v>
      </c>
      <c r="DD25" s="1">
        <v>-6.7194080133052059E-2</v>
      </c>
      <c r="DE25" s="1">
        <v>-7.2464862114018924E-2</v>
      </c>
      <c r="DF25" s="1">
        <v>-5.9370076222922341E-2</v>
      </c>
      <c r="DG25" s="1">
        <v>-3.8104339757662697E-2</v>
      </c>
      <c r="DH25" s="1">
        <v>-6.4038734054235436E-2</v>
      </c>
      <c r="DI25" s="1">
        <v>-6.2853585850000782E-2</v>
      </c>
      <c r="DJ25" s="1">
        <v>-0.18012844671036088</v>
      </c>
      <c r="DK25" s="1">
        <v>-0.17291847217690348</v>
      </c>
      <c r="DL25" s="1">
        <v>-0.11618769641861915</v>
      </c>
      <c r="DM25" s="1">
        <v>-0.17236112518253577</v>
      </c>
      <c r="DN25" s="1">
        <v>-0.18961163808204473</v>
      </c>
      <c r="DO25" s="1">
        <v>-0.1882594208024696</v>
      </c>
      <c r="DP25" s="1">
        <v>-0.18725415376214705</v>
      </c>
      <c r="DQ25" s="1">
        <v>-0.20186778020269902</v>
      </c>
      <c r="DR25" s="1">
        <v>-0.17602047156142164</v>
      </c>
      <c r="DS25" s="1">
        <v>-0.18053925459974107</v>
      </c>
      <c r="DT25" s="1">
        <v>-0.10724852572123289</v>
      </c>
      <c r="DU25" s="1">
        <v>-0.10032587158903106</v>
      </c>
      <c r="DV25" s="1">
        <v>6.661204458886294E-3</v>
      </c>
      <c r="DW25" s="1">
        <v>-4.3326195575453585E-2</v>
      </c>
      <c r="DX25" s="1">
        <v>8.5147221821204599E-3</v>
      </c>
      <c r="DY25" s="1">
        <v>4.1636788096395483E-2</v>
      </c>
      <c r="DZ25" s="1">
        <v>8.0041752513370756E-2</v>
      </c>
      <c r="EA25" s="1">
        <v>5.5685150116829618E-2</v>
      </c>
      <c r="EB25" s="1">
        <v>-1.0730836740597827E-2</v>
      </c>
      <c r="EC25" s="1">
        <v>7.6481927447617837E-2</v>
      </c>
      <c r="ED25" s="1">
        <v>0.12305055449898461</v>
      </c>
      <c r="EE25" s="1">
        <v>0.21109689156941047</v>
      </c>
      <c r="EF25" s="1">
        <v>0.15961832282767574</v>
      </c>
      <c r="EG25" s="1">
        <v>6.1107140839186558E-2</v>
      </c>
      <c r="EH25" s="44"/>
    </row>
    <row r="26" spans="1:138" s="1" customFormat="1" ht="16">
      <c r="C26" s="6">
        <v>100</v>
      </c>
      <c r="D26" s="1">
        <v>-3.6350225217569587E-2</v>
      </c>
      <c r="E26" s="1">
        <v>0.22675976836332001</v>
      </c>
      <c r="F26" s="1">
        <v>0.10979484224106018</v>
      </c>
      <c r="G26" s="1">
        <v>0.1246041245796925</v>
      </c>
      <c r="H26" s="1">
        <v>0.124546861776337</v>
      </c>
      <c r="I26" s="1">
        <v>0.12314823354078541</v>
      </c>
      <c r="J26" s="1">
        <v>0.21220612823980467</v>
      </c>
      <c r="K26" s="1">
        <v>0.28750983939239116</v>
      </c>
      <c r="L26" s="1">
        <v>0.40919857126018244</v>
      </c>
      <c r="M26" s="1">
        <v>0.52358471384119243</v>
      </c>
      <c r="N26" s="1">
        <v>0.52033488260449245</v>
      </c>
      <c r="O26" s="1">
        <v>0.31536597209655359</v>
      </c>
      <c r="P26" s="1">
        <v>0.29922538490441752</v>
      </c>
      <c r="Q26" s="1">
        <v>0.30513715513966044</v>
      </c>
      <c r="R26" s="1">
        <v>0.37399267230358935</v>
      </c>
      <c r="S26" s="1">
        <v>0.32767377500143668</v>
      </c>
      <c r="T26" s="1">
        <v>0.44525374010196517</v>
      </c>
      <c r="U26" s="1">
        <v>0.4357468310845285</v>
      </c>
      <c r="V26" s="1">
        <v>0.44735935908523783</v>
      </c>
      <c r="W26" s="1">
        <v>0.44656149398036704</v>
      </c>
      <c r="X26" s="1">
        <v>0.43776726121527942</v>
      </c>
      <c r="Y26" s="1">
        <v>7.5646524209353583E-2</v>
      </c>
      <c r="Z26" s="1">
        <v>2.6124473244247604E-2</v>
      </c>
      <c r="AA26" s="1">
        <v>9.0466704660391528E-2</v>
      </c>
      <c r="AB26" s="1">
        <v>-8.4935283755786739E-2</v>
      </c>
      <c r="AC26" s="1">
        <v>-0.10521897495994426</v>
      </c>
      <c r="AD26" s="1">
        <v>-0.10135560680229805</v>
      </c>
      <c r="AE26" s="1">
        <v>-2.7924340609771003E-2</v>
      </c>
      <c r="AF26" s="1">
        <v>-1.2636030087749828E-2</v>
      </c>
      <c r="AG26" s="1">
        <v>0.12334994358125351</v>
      </c>
      <c r="AH26" s="1">
        <v>7.3557969337983309E-2</v>
      </c>
      <c r="AI26" s="1">
        <v>0.21630614370604362</v>
      </c>
      <c r="AJ26" s="1">
        <v>0.31224397138704063</v>
      </c>
      <c r="AK26" s="1">
        <v>0.34137725523212858</v>
      </c>
      <c r="AL26" s="1">
        <v>0.42214424721095312</v>
      </c>
      <c r="AM26" s="1">
        <v>0.46816508221462172</v>
      </c>
      <c r="AN26" s="1">
        <v>0.49906799720877171</v>
      </c>
      <c r="AO26" s="1">
        <v>0.4458503933390261</v>
      </c>
      <c r="AP26" s="1">
        <v>0.52014472213952012</v>
      </c>
      <c r="AQ26" s="1">
        <v>0.38248744671500878</v>
      </c>
      <c r="AR26" s="1">
        <v>0.33209119022544109</v>
      </c>
      <c r="AS26" s="1">
        <v>0.30846811716256539</v>
      </c>
      <c r="AT26" s="1">
        <v>0.37223398355103354</v>
      </c>
      <c r="AU26" s="1">
        <v>0.27481935021031001</v>
      </c>
      <c r="AV26" s="1">
        <v>0.37320235722318662</v>
      </c>
      <c r="AW26" s="1">
        <v>0.24313803889434671</v>
      </c>
      <c r="AX26" s="1">
        <v>0.21475962502749346</v>
      </c>
      <c r="AY26" s="1">
        <v>0.14865721071038851</v>
      </c>
      <c r="AZ26" s="1">
        <v>0.37839585470931247</v>
      </c>
      <c r="BA26" s="1">
        <v>0.37058368659784002</v>
      </c>
      <c r="BB26" s="1">
        <v>0.56706072891906745</v>
      </c>
      <c r="BC26" s="1">
        <v>0.61464613823351888</v>
      </c>
      <c r="BD26" s="1">
        <v>0.56469432857577018</v>
      </c>
      <c r="BE26" s="1">
        <v>0.65847073594764027</v>
      </c>
      <c r="BF26" s="1">
        <v>0.78253799013709702</v>
      </c>
      <c r="BG26" s="1">
        <v>1.009370070822341</v>
      </c>
      <c r="BH26" s="1">
        <v>1.2689201832042101</v>
      </c>
      <c r="BI26" s="1">
        <v>1.3847355473215033</v>
      </c>
      <c r="BJ26" s="1">
        <v>1.6373677388936265</v>
      </c>
      <c r="BK26" s="1">
        <v>1.2942191497620112</v>
      </c>
      <c r="BL26" s="1">
        <v>1.3812244886651417</v>
      </c>
      <c r="BM26" s="1">
        <v>1.3700306132273172</v>
      </c>
      <c r="BN26" s="1">
        <v>1.3436603884591585</v>
      </c>
      <c r="BO26" s="1">
        <v>1.2041381895317387</v>
      </c>
      <c r="BP26" s="1">
        <v>1.1403546384798116</v>
      </c>
      <c r="BQ26" s="1">
        <v>0.8443957475349495</v>
      </c>
      <c r="BR26" s="1">
        <v>0.89643384036627993</v>
      </c>
      <c r="BS26" s="1">
        <v>0.64648323862657864</v>
      </c>
      <c r="BT26" s="1">
        <v>0.64740249832630359</v>
      </c>
      <c r="BU26" s="1">
        <v>0.80456434580114955</v>
      </c>
      <c r="BV26" s="1">
        <v>0.73154054314237338</v>
      </c>
      <c r="BW26" s="1">
        <v>1.0165414628324552</v>
      </c>
      <c r="BX26" s="1">
        <v>0.98797281988290386</v>
      </c>
      <c r="BY26" s="1">
        <v>0.97678810962405649</v>
      </c>
      <c r="BZ26" s="1">
        <v>0.98171474662027891</v>
      </c>
      <c r="CA26" s="1">
        <v>0.68614920428938087</v>
      </c>
      <c r="CB26" s="1">
        <v>0.46706204203118595</v>
      </c>
      <c r="CC26" s="1">
        <v>0.70455431719305883</v>
      </c>
      <c r="CD26" s="1">
        <v>0.60020631461844309</v>
      </c>
      <c r="CE26" s="1">
        <v>0.52481344520905004</v>
      </c>
      <c r="CF26" s="1">
        <v>0.68116086024702627</v>
      </c>
      <c r="CG26" s="1">
        <v>0.75716727022643315</v>
      </c>
      <c r="CH26" s="1">
        <v>0.53708728381080806</v>
      </c>
      <c r="CI26" s="1">
        <v>0.55527848861791651</v>
      </c>
      <c r="CJ26" s="1">
        <v>0.5069081132848583</v>
      </c>
      <c r="CK26" s="1">
        <v>0.42106323652865574</v>
      </c>
      <c r="CL26" s="1">
        <v>0.54288293150585276</v>
      </c>
      <c r="CM26" s="1">
        <v>0.75482956383715072</v>
      </c>
      <c r="CN26" s="1">
        <v>0.67300794036898748</v>
      </c>
      <c r="CO26" s="1">
        <v>1.1363846285916162</v>
      </c>
      <c r="CP26" s="1">
        <v>0.71026941794934384</v>
      </c>
      <c r="CQ26" s="1">
        <v>0.86855822458118914</v>
      </c>
      <c r="CR26" s="1">
        <v>0.74319849243375113</v>
      </c>
      <c r="CS26" s="1">
        <v>0.42682725936700638</v>
      </c>
      <c r="CT26" s="1">
        <v>0.52019300981985839</v>
      </c>
      <c r="CU26" s="1">
        <v>0.26368162136717044</v>
      </c>
      <c r="CV26" s="1">
        <v>0.10692200290760723</v>
      </c>
      <c r="CW26" s="1">
        <v>0.20061392139184253</v>
      </c>
      <c r="CX26" s="1">
        <v>0.23191643668993001</v>
      </c>
      <c r="CY26" s="1">
        <v>4.4187427122736711E-2</v>
      </c>
      <c r="CZ26" s="1">
        <v>0.1412424602071245</v>
      </c>
      <c r="DA26" s="1">
        <v>0.11412273314867427</v>
      </c>
      <c r="DB26" s="1">
        <v>0.17861054930865294</v>
      </c>
      <c r="DC26" s="1">
        <v>0.42572204680315817</v>
      </c>
      <c r="DD26" s="1">
        <v>0.32921145417726971</v>
      </c>
      <c r="DE26" s="1">
        <v>0.31101272662984814</v>
      </c>
      <c r="DF26" s="1">
        <v>0.31080270557633627</v>
      </c>
      <c r="DG26" s="1">
        <v>0.36939599629847253</v>
      </c>
      <c r="DH26" s="1">
        <v>0.31810207895101872</v>
      </c>
      <c r="DI26" s="1">
        <v>0.27473325676744853</v>
      </c>
      <c r="DJ26" s="1">
        <v>0.13373534481800031</v>
      </c>
      <c r="DK26" s="1">
        <v>0.20178642198211483</v>
      </c>
      <c r="DL26" s="1">
        <v>0.38988250486121889</v>
      </c>
      <c r="DM26" s="1">
        <v>0.30296318854469773</v>
      </c>
      <c r="DN26" s="1">
        <v>0.30876449107062798</v>
      </c>
      <c r="DO26" s="1">
        <v>0.33118138654469398</v>
      </c>
      <c r="DP26" s="1">
        <v>0.31150785187068397</v>
      </c>
      <c r="DQ26" s="1">
        <v>0.25239499900591844</v>
      </c>
      <c r="DR26" s="1">
        <v>0.30625132125019716</v>
      </c>
      <c r="DS26" s="1">
        <v>0.34605624815887936</v>
      </c>
      <c r="DT26" s="1">
        <v>0.35894008269001731</v>
      </c>
      <c r="DU26" s="1">
        <v>0.43058175951708111</v>
      </c>
      <c r="DV26" s="1">
        <v>0.7004476252179761</v>
      </c>
      <c r="DW26" s="1">
        <v>0.53567059350716195</v>
      </c>
      <c r="DX26" s="1">
        <v>0.55045764256440677</v>
      </c>
      <c r="DY26" s="1">
        <v>0.62842285111651353</v>
      </c>
      <c r="DZ26" s="1">
        <v>0.64534665676784342</v>
      </c>
      <c r="EA26" s="1">
        <v>0.59948342943174215</v>
      </c>
      <c r="EB26" s="1">
        <v>0.52998392260477334</v>
      </c>
      <c r="EC26" s="1">
        <v>0.64518312887245255</v>
      </c>
      <c r="ED26" s="1">
        <v>0.77047546676249512</v>
      </c>
      <c r="EE26" s="1">
        <v>0.96639634297498067</v>
      </c>
      <c r="EF26" s="1">
        <v>0.8693661279935514</v>
      </c>
      <c r="EG26" s="1">
        <v>0.5708593156955577</v>
      </c>
      <c r="EH26" s="44"/>
    </row>
    <row r="27" spans="1:138" ht="16">
      <c r="A27" s="1"/>
      <c r="B27" s="1"/>
      <c r="C27" s="6">
        <v>192</v>
      </c>
      <c r="D27" s="1">
        <v>1.1241331728202963E-2</v>
      </c>
      <c r="E27" s="1">
        <v>0.23632989290661865</v>
      </c>
      <c r="F27" s="1">
        <v>5.5671304430283675E-2</v>
      </c>
      <c r="G27" s="1">
        <v>8.0818137381297062E-2</v>
      </c>
      <c r="H27" s="1">
        <v>5.9111792663703255E-2</v>
      </c>
      <c r="I27" s="1">
        <v>7.137951217825611E-2</v>
      </c>
      <c r="J27" s="1">
        <v>0.2705095104523807</v>
      </c>
      <c r="K27" s="1">
        <v>0.45764048313411099</v>
      </c>
      <c r="L27" s="1">
        <v>0.77063161253714663</v>
      </c>
      <c r="M27" s="1">
        <v>0.78656689217946063</v>
      </c>
      <c r="N27" s="1">
        <v>0.64771807859542618</v>
      </c>
      <c r="O27" s="1">
        <v>6.0271020082181215E-2</v>
      </c>
      <c r="P27" s="1">
        <v>0.11314131370113212</v>
      </c>
      <c r="Q27" s="1">
        <v>0.1105389498224727</v>
      </c>
      <c r="R27" s="1">
        <v>0.20858707164221246</v>
      </c>
      <c r="S27" s="1">
        <v>0.12569143964167639</v>
      </c>
      <c r="T27" s="1">
        <v>0.30955615752404109</v>
      </c>
      <c r="U27" s="1">
        <v>0.23126625911307208</v>
      </c>
      <c r="V27" s="1">
        <v>0.42998582809452346</v>
      </c>
      <c r="W27" s="1">
        <v>0.20431073803239208</v>
      </c>
      <c r="X27" s="1">
        <v>0.24969813688220777</v>
      </c>
      <c r="Y27" s="1">
        <v>-2.9463316281693852E-2</v>
      </c>
      <c r="Z27" s="1">
        <v>-0.11247469793444576</v>
      </c>
      <c r="AA27" s="1">
        <v>-4.6773713065247025E-2</v>
      </c>
      <c r="AB27" s="1">
        <v>-0.1711538899087921</v>
      </c>
      <c r="AC27" s="1">
        <v>-0.19842172122512092</v>
      </c>
      <c r="AD27" s="1">
        <v>-0.16054854011253339</v>
      </c>
      <c r="AE27" s="1">
        <v>-0.13789400873170143</v>
      </c>
      <c r="AF27" s="1">
        <v>2.383515558576077E-2</v>
      </c>
      <c r="AG27" s="1">
        <v>0.25266008052624467</v>
      </c>
      <c r="AH27" s="1">
        <v>0.21237046259213832</v>
      </c>
      <c r="AI27" s="1">
        <v>0.47502137312652692</v>
      </c>
      <c r="AJ27" s="1">
        <v>0.63782497586592402</v>
      </c>
      <c r="AK27" s="1">
        <v>0.70607716339773163</v>
      </c>
      <c r="AL27" s="1">
        <v>0.74896370276553781</v>
      </c>
      <c r="AM27" s="1">
        <v>0.7853076321743151</v>
      </c>
      <c r="AN27" s="1">
        <v>0.70775105676993966</v>
      </c>
      <c r="AO27" s="1">
        <v>0.64892839306680661</v>
      </c>
      <c r="AP27" s="1">
        <v>0.56795233170080994</v>
      </c>
      <c r="AQ27" s="1">
        <v>0.34887762700809555</v>
      </c>
      <c r="AR27" s="1">
        <v>0.30394889928810032</v>
      </c>
      <c r="AS27" s="1">
        <v>0.34272703540882943</v>
      </c>
      <c r="AT27" s="1">
        <v>0.39951326645871377</v>
      </c>
      <c r="AU27" s="1">
        <v>6.4856409584014729E-2</v>
      </c>
      <c r="AV27" s="1">
        <v>0.21720822831141917</v>
      </c>
      <c r="AW27" s="1">
        <v>-6.9456927495279652E-2</v>
      </c>
      <c r="AX27" s="1">
        <v>-9.1760462425012013E-2</v>
      </c>
      <c r="AY27" s="1">
        <v>-0.11633474950905631</v>
      </c>
      <c r="AZ27" s="1">
        <v>0.19730939604777986</v>
      </c>
      <c r="BA27" s="1">
        <v>0.16355381699151761</v>
      </c>
      <c r="BB27" s="1">
        <v>0.17533320197101276</v>
      </c>
      <c r="BC27" s="1">
        <v>0.24830113698153222</v>
      </c>
      <c r="BD27" s="1">
        <v>0.54806901460757818</v>
      </c>
      <c r="BE27" s="1">
        <v>0.59379689988353745</v>
      </c>
      <c r="BF27" s="1">
        <v>0.56149102138011897</v>
      </c>
      <c r="BG27" s="1">
        <v>0.65494524951935373</v>
      </c>
      <c r="BH27" s="1">
        <v>0.74768727066582463</v>
      </c>
      <c r="BI27" s="1">
        <v>0.81255628721743345</v>
      </c>
      <c r="BJ27" s="1">
        <v>0.96046019652022463</v>
      </c>
      <c r="BK27" s="1">
        <v>0.86412360629261298</v>
      </c>
      <c r="BL27" s="1">
        <v>0.89761000762361687</v>
      </c>
      <c r="BM27" s="1">
        <v>0.89922283424830507</v>
      </c>
      <c r="BN27" s="1">
        <v>0.88132797088009074</v>
      </c>
      <c r="BO27" s="1">
        <v>0.77149560444758603</v>
      </c>
      <c r="BP27" s="1">
        <v>0.6551863704753611</v>
      </c>
      <c r="BQ27" s="1">
        <v>0.32542553723819467</v>
      </c>
      <c r="BR27" s="1">
        <v>0.38577932444171736</v>
      </c>
      <c r="BS27" s="1">
        <v>8.8959170458010606E-2</v>
      </c>
      <c r="BT27" s="1">
        <v>8.556303938995713E-2</v>
      </c>
      <c r="BU27" s="1">
        <v>0.1387640760107145</v>
      </c>
      <c r="BV27" s="1">
        <v>5.751165582523754E-2</v>
      </c>
      <c r="BW27" s="1">
        <v>0.19439350909914932</v>
      </c>
      <c r="BX27" s="1">
        <v>0.11104369651349644</v>
      </c>
      <c r="BY27" s="1">
        <v>0.12402598732467229</v>
      </c>
      <c r="BZ27" s="1">
        <v>2.9319097847672504E-2</v>
      </c>
      <c r="CA27" s="1">
        <v>6.8046429734034186E-2</v>
      </c>
      <c r="CB27" s="1">
        <v>-6.8421065281249804E-2</v>
      </c>
      <c r="CC27" s="1">
        <v>9.2427994737878771E-2</v>
      </c>
      <c r="CD27" s="1">
        <v>4.9520573729631145E-2</v>
      </c>
      <c r="CE27" s="1">
        <v>-0.14869137022921197</v>
      </c>
      <c r="CF27" s="1">
        <v>0.11103585191081722</v>
      </c>
      <c r="CG27" s="1">
        <v>0.12669585698479913</v>
      </c>
      <c r="CH27" s="1">
        <v>3.1844606084956872E-2</v>
      </c>
      <c r="CI27" s="1">
        <v>3.1611629304867606E-2</v>
      </c>
      <c r="CJ27" s="1">
        <v>-6.3220779063997035E-2</v>
      </c>
      <c r="CK27" s="1">
        <v>-0.20932982472472672</v>
      </c>
      <c r="CL27" s="1">
        <v>-0.15277258849229225</v>
      </c>
      <c r="CM27" s="1">
        <v>6.8594673884279089E-3</v>
      </c>
      <c r="CN27" s="1">
        <v>8.685921167972066E-2</v>
      </c>
      <c r="CO27" s="1">
        <v>0.22807186344891073</v>
      </c>
      <c r="CP27" s="1">
        <v>-3.5065932355213381E-2</v>
      </c>
      <c r="CQ27" s="1">
        <v>9.1776257363580083E-2</v>
      </c>
      <c r="CR27" s="1">
        <v>1.065441052280125E-2</v>
      </c>
      <c r="CS27" s="1">
        <v>-0.18691448923475318</v>
      </c>
      <c r="CT27" s="1">
        <v>-0.16818221687796697</v>
      </c>
      <c r="CU27" s="1">
        <v>-0.26013464856564128</v>
      </c>
      <c r="CV27" s="1">
        <v>-0.36869361856268423</v>
      </c>
      <c r="CW27" s="1">
        <v>-0.3515618328032043</v>
      </c>
      <c r="CX27" s="1">
        <v>-0.30753047672844147</v>
      </c>
      <c r="CY27" s="1">
        <v>-0.4080453280935793</v>
      </c>
      <c r="CZ27" s="1">
        <v>-0.34827764370946168</v>
      </c>
      <c r="DA27" s="1">
        <v>-0.35679085422958035</v>
      </c>
      <c r="DB27" s="1">
        <v>-0.21231356265229639</v>
      </c>
      <c r="DC27" s="1">
        <v>8.8968559963744864E-2</v>
      </c>
      <c r="DD27" s="1">
        <v>4.8314846863242167E-2</v>
      </c>
      <c r="DE27" s="1">
        <v>4.5491849814025986E-2</v>
      </c>
      <c r="DF27" s="1">
        <v>6.3666137595661532E-3</v>
      </c>
      <c r="DG27" s="1">
        <v>9.9280303167841977E-2</v>
      </c>
      <c r="DH27" s="1">
        <v>4.8370173517497506E-2</v>
      </c>
      <c r="DI27" s="1">
        <v>1.1866839561704534E-2</v>
      </c>
      <c r="DJ27" s="1">
        <v>-0.11952378174390133</v>
      </c>
      <c r="DK27" s="1">
        <v>7.1237105350685503E-4</v>
      </c>
      <c r="DL27" s="1">
        <v>0.11369653112169154</v>
      </c>
      <c r="DM27" s="1">
        <v>4.2234134180938021E-2</v>
      </c>
      <c r="DN27" s="1">
        <v>3.6694888187323471E-2</v>
      </c>
      <c r="DO27" s="1">
        <v>9.1878697803942755E-2</v>
      </c>
      <c r="DP27" s="1">
        <v>8.6540761339466199E-2</v>
      </c>
      <c r="DQ27" s="1">
        <v>5.4791489588750908E-2</v>
      </c>
      <c r="DR27" s="1">
        <v>0.12861575330604258</v>
      </c>
      <c r="DS27" s="1">
        <v>0.22816968917685077</v>
      </c>
      <c r="DT27" s="1">
        <v>0.31388703895157954</v>
      </c>
      <c r="DU27" s="1">
        <v>0.27488385705689389</v>
      </c>
      <c r="DV27" s="1">
        <v>0.622473709340718</v>
      </c>
      <c r="DW27" s="1">
        <v>0.39299108658426674</v>
      </c>
      <c r="DX27" s="1">
        <v>0.48116623058708496</v>
      </c>
      <c r="DY27" s="1">
        <v>0.54369752071675759</v>
      </c>
      <c r="DZ27" s="1">
        <v>0.5568318998292805</v>
      </c>
      <c r="EA27" s="1">
        <v>0.46142058683177467</v>
      </c>
      <c r="EB27" s="1">
        <v>0.47008037959914084</v>
      </c>
      <c r="EC27" s="1">
        <v>0.77916402773787241</v>
      </c>
      <c r="ED27" s="1">
        <v>1.0122454496903273</v>
      </c>
      <c r="EE27" s="1">
        <v>1.1286087026188523</v>
      </c>
      <c r="EF27" s="1">
        <v>1.0859990920929854</v>
      </c>
      <c r="EG27" s="1">
        <v>0.64889520755140784</v>
      </c>
    </row>
    <row r="28" spans="1:138" ht="16">
      <c r="A28" s="46"/>
      <c r="B28" s="46"/>
      <c r="C28" s="19">
        <v>964</v>
      </c>
      <c r="D28" s="46">
        <v>2.7766967310441037E-2</v>
      </c>
      <c r="E28" s="46">
        <v>-5.6497980503421807E-2</v>
      </c>
      <c r="F28" s="46">
        <v>2.0756280558543949E-2</v>
      </c>
      <c r="G28" s="46">
        <v>-0.19400852954183401</v>
      </c>
      <c r="H28" s="46">
        <v>-0.23932258901060233</v>
      </c>
      <c r="I28" s="46">
        <v>-0.50618510522992399</v>
      </c>
      <c r="J28" s="46">
        <v>-0.38747879706420052</v>
      </c>
      <c r="K28" s="46">
        <v>-0.38500682996968716</v>
      </c>
      <c r="L28" s="46">
        <v>-0.35398390786697731</v>
      </c>
      <c r="M28" s="46">
        <v>-0.13836993583433155</v>
      </c>
      <c r="N28" s="46">
        <v>-0.26487389223107605</v>
      </c>
      <c r="O28" s="46">
        <v>-0.29833171389810653</v>
      </c>
      <c r="P28" s="46">
        <v>-0.27261641971218398</v>
      </c>
      <c r="Q28" s="46">
        <v>-0.25530975146321211</v>
      </c>
      <c r="R28" s="46">
        <v>-0.29889375748455649</v>
      </c>
      <c r="S28" s="46">
        <v>-0.44312498240316489</v>
      </c>
      <c r="T28" s="46">
        <v>-0.35282871675730421</v>
      </c>
      <c r="U28" s="46">
        <v>-0.3472061120175628</v>
      </c>
      <c r="V28" s="46">
        <v>-0.14275364761615073</v>
      </c>
      <c r="W28" s="46">
        <v>-3.9994780577760514E-2</v>
      </c>
      <c r="X28" s="46">
        <v>-0.38412150811426538</v>
      </c>
      <c r="Y28" s="46">
        <v>-0.62701183753180523</v>
      </c>
      <c r="Z28" s="46">
        <v>-0.62170745623133938</v>
      </c>
      <c r="AA28" s="46">
        <v>-0.56480850283447204</v>
      </c>
      <c r="AB28" s="46">
        <v>-0.65991724566767673</v>
      </c>
      <c r="AC28" s="46">
        <v>-0.55775849697048274</v>
      </c>
      <c r="AD28" s="46">
        <v>-0.38008915221190431</v>
      </c>
      <c r="AE28" s="46">
        <v>-0.4172355410426819</v>
      </c>
      <c r="AF28" s="46">
        <v>-0.42171759976545531</v>
      </c>
      <c r="AG28" s="46">
        <v>-0.13524262107828289</v>
      </c>
      <c r="AH28" s="46">
        <v>0.19341308405668012</v>
      </c>
      <c r="AI28" s="46">
        <v>-0.16714416666887866</v>
      </c>
      <c r="AJ28" s="46">
        <v>1.6253218045704898E-2</v>
      </c>
      <c r="AK28" s="46">
        <v>-2.7506804753306802E-2</v>
      </c>
      <c r="AL28" s="46">
        <v>4.4907075795880269E-2</v>
      </c>
      <c r="AM28" s="46">
        <v>0.15718696616833649</v>
      </c>
      <c r="AN28" s="46">
        <v>0.16729542101062589</v>
      </c>
      <c r="AO28" s="46">
        <v>3.8121608644756666E-2</v>
      </c>
      <c r="AP28" s="46">
        <v>-6.8707024854017029E-2</v>
      </c>
      <c r="AQ28" s="46">
        <v>0.31909131754830855</v>
      </c>
      <c r="AR28" s="46">
        <v>-0.15115409432991223</v>
      </c>
      <c r="AS28" s="46">
        <v>-0.13387936330525807</v>
      </c>
      <c r="AT28" s="46">
        <v>-0.13672610584070977</v>
      </c>
      <c r="AU28" s="46">
        <v>-0.2668810302595761</v>
      </c>
      <c r="AV28" s="46">
        <v>-9.8380221640587129E-2</v>
      </c>
      <c r="AW28" s="46">
        <v>-0.1227356351399006</v>
      </c>
      <c r="AX28" s="46">
        <v>-2.5628837633496215E-2</v>
      </c>
      <c r="AY28" s="46">
        <v>-0.11094708737899395</v>
      </c>
      <c r="AZ28" s="46">
        <v>-0.24540169465184636</v>
      </c>
      <c r="BA28" s="46">
        <v>-0.34740435333434205</v>
      </c>
      <c r="BB28" s="46">
        <v>-0.23504775717879456</v>
      </c>
      <c r="BC28" s="46">
        <v>-0.16053249580478146</v>
      </c>
      <c r="BD28" s="46">
        <v>-0.16419834094111385</v>
      </c>
      <c r="BE28" s="46">
        <v>-0.17127140477740366</v>
      </c>
      <c r="BF28" s="46">
        <v>-0.35800502110269683</v>
      </c>
      <c r="BG28" s="46">
        <v>-0.3545978137888175</v>
      </c>
      <c r="BH28" s="46">
        <v>-0.20090043841917005</v>
      </c>
      <c r="BI28" s="46">
        <v>0.10640002903316592</v>
      </c>
      <c r="BJ28" s="46">
        <v>0.12066041769739377</v>
      </c>
      <c r="BK28" s="46">
        <v>0.18853574222518543</v>
      </c>
      <c r="BL28" s="46">
        <v>0.35029047015899928</v>
      </c>
      <c r="BM28" s="46">
        <v>0.10045726833674817</v>
      </c>
      <c r="BN28" s="46">
        <v>7.1572659599763444E-3</v>
      </c>
      <c r="BO28" s="46">
        <v>-1.287525167346526E-2</v>
      </c>
      <c r="BP28" s="46">
        <v>4.5515835354161149E-2</v>
      </c>
      <c r="BQ28" s="46">
        <v>-0.54748884253644148</v>
      </c>
      <c r="BR28" s="46">
        <v>-0.56116361762539946</v>
      </c>
      <c r="BS28" s="46">
        <v>-0.76549418872257147</v>
      </c>
      <c r="BT28" s="46">
        <v>-0.83561007510151641</v>
      </c>
      <c r="BU28" s="46">
        <v>-0.8333800800762895</v>
      </c>
      <c r="BV28" s="46">
        <v>-0.90402914367191478</v>
      </c>
      <c r="BW28" s="46">
        <v>-0.84861875824051702</v>
      </c>
      <c r="BX28" s="46">
        <v>-0.86773327746766948</v>
      </c>
      <c r="BY28" s="46">
        <v>-0.88300688959930151</v>
      </c>
      <c r="BZ28" s="46">
        <v>-0.89028578360787747</v>
      </c>
      <c r="CA28" s="46">
        <v>-0.87113797931673875</v>
      </c>
      <c r="CB28" s="46">
        <v>-0.88213662839049978</v>
      </c>
      <c r="CC28" s="46">
        <v>-0.8745783941582459</v>
      </c>
      <c r="CD28" s="46">
        <v>-0.9013426350202004</v>
      </c>
      <c r="CE28" s="46">
        <v>-0.96954762536752648</v>
      </c>
      <c r="CF28" s="46">
        <v>-0.96990129635407862</v>
      </c>
      <c r="CG28" s="46">
        <v>-0.97654106344624558</v>
      </c>
      <c r="CH28" s="46">
        <v>-0.98265443259417318</v>
      </c>
      <c r="CI28" s="46">
        <v>-0.97947754400347453</v>
      </c>
      <c r="CJ28" s="46">
        <v>-0.9824520585541654</v>
      </c>
      <c r="CK28" s="46">
        <v>-0.97743680066347305</v>
      </c>
      <c r="CL28" s="46">
        <v>-0.97584817790990819</v>
      </c>
      <c r="CM28" s="46">
        <v>-0.97378027768508924</v>
      </c>
      <c r="CN28" s="46">
        <v>-0.97260855661957646</v>
      </c>
      <c r="CO28" s="46">
        <v>-0.95701946991042297</v>
      </c>
      <c r="CP28" s="46">
        <v>-0.97731973272619865</v>
      </c>
      <c r="CQ28" s="46">
        <v>-0.97821389967804528</v>
      </c>
      <c r="CR28" s="46">
        <v>-0.97709322206762661</v>
      </c>
      <c r="CS28" s="46">
        <v>-0.9802494887252009</v>
      </c>
      <c r="CT28" s="46">
        <v>-0.97517748192711751</v>
      </c>
      <c r="CU28" s="46">
        <v>-0.97771167742177867</v>
      </c>
      <c r="CV28" s="46">
        <v>-0.97888691938182681</v>
      </c>
      <c r="CW28" s="46">
        <v>-0.97699253059058944</v>
      </c>
      <c r="CX28" s="46">
        <v>-0.98239912980239841</v>
      </c>
      <c r="CY28" s="46">
        <v>-0.98498108286750696</v>
      </c>
      <c r="CZ28" s="46">
        <v>-0.97957084768428737</v>
      </c>
      <c r="DA28" s="46">
        <v>-0.976259140930957</v>
      </c>
      <c r="DB28" s="46">
        <v>-0.95695729078601321</v>
      </c>
      <c r="DC28" s="46">
        <v>-0.91614808542733883</v>
      </c>
      <c r="DD28" s="46">
        <v>-0.93985551868042994</v>
      </c>
      <c r="DE28" s="46">
        <v>-0.9380816763852653</v>
      </c>
      <c r="DF28" s="46">
        <v>-0.94497102841692959</v>
      </c>
      <c r="DG28" s="46">
        <v>-0.93943031231476259</v>
      </c>
      <c r="DH28" s="46">
        <v>-0.95267813938652879</v>
      </c>
      <c r="DI28" s="46">
        <v>-0.95659390560536106</v>
      </c>
      <c r="DJ28" s="46">
        <v>-0.97292106640916765</v>
      </c>
      <c r="DK28" s="46">
        <v>-0.96670997480900267</v>
      </c>
      <c r="DL28" s="46">
        <v>-0.95938435217552087</v>
      </c>
      <c r="DM28" s="46">
        <v>-0.96560916304601974</v>
      </c>
      <c r="DN28" s="46">
        <v>-0.97011587143710432</v>
      </c>
      <c r="DO28" s="46">
        <v>-0.96785431863417914</v>
      </c>
      <c r="DP28" s="46">
        <v>-0.96617189322857433</v>
      </c>
      <c r="DQ28" s="46">
        <v>-0.96576885677972135</v>
      </c>
      <c r="DR28" s="46">
        <v>-0.96409784700525225</v>
      </c>
      <c r="DS28" s="46">
        <v>-0.95162995663520944</v>
      </c>
      <c r="DT28" s="46">
        <v>-0.9446643330174237</v>
      </c>
      <c r="DU28" s="46">
        <v>-0.94629317857026807</v>
      </c>
      <c r="DV28" s="46">
        <v>-0.90490974673674374</v>
      </c>
      <c r="DW28" s="46">
        <v>-0.9354811575516947</v>
      </c>
      <c r="DX28" s="46">
        <v>-0.95010482873608693</v>
      </c>
      <c r="DY28" s="46">
        <v>-0.94870066273182918</v>
      </c>
      <c r="DZ28" s="46">
        <v>-0.94019588851934999</v>
      </c>
      <c r="EA28" s="46">
        <v>-0.93670911187119776</v>
      </c>
      <c r="EB28" s="46">
        <v>-0.93524256694004348</v>
      </c>
      <c r="EC28" s="46">
        <v>-0.89212657617748192</v>
      </c>
      <c r="ED28" s="46">
        <v>-0.91981243926292156</v>
      </c>
      <c r="EE28" s="46">
        <v>-0.9265915030703773</v>
      </c>
      <c r="EF28" s="46">
        <v>-0.92920954244745868</v>
      </c>
      <c r="EG28" s="46">
        <v>-0.93833852220863811</v>
      </c>
    </row>
    <row r="29" spans="1:138" s="1" customFormat="1" ht="16">
      <c r="C29" s="6" t="s">
        <v>165</v>
      </c>
      <c r="D29" s="45">
        <v>-1.7446770539390366E-2</v>
      </c>
      <c r="E29" s="45">
        <v>2.893123339404724E-3</v>
      </c>
      <c r="F29" s="45">
        <v>2.6944635852046872E-2</v>
      </c>
      <c r="G29" s="45">
        <v>2.0210365301730038E-2</v>
      </c>
      <c r="H29" s="45">
        <v>5.269909680859941E-2</v>
      </c>
      <c r="I29" s="45">
        <v>8.8857766197530053E-2</v>
      </c>
      <c r="J29" s="45">
        <v>7.9869318529145472E-2</v>
      </c>
      <c r="K29" s="45">
        <v>9.3738646464063713E-2</v>
      </c>
      <c r="L29" s="45">
        <v>3.7937714394164157E-2</v>
      </c>
      <c r="M29" s="45">
        <v>3.8844812525307137E-2</v>
      </c>
      <c r="N29" s="45">
        <v>6.3142951706360639E-2</v>
      </c>
      <c r="O29" s="45">
        <v>7.6952085951054405E-2</v>
      </c>
      <c r="P29" s="45">
        <v>8.3257197491512391E-2</v>
      </c>
      <c r="Q29" s="45">
        <v>0.11295275081672607</v>
      </c>
      <c r="R29" s="45">
        <v>0.10882042835093308</v>
      </c>
      <c r="S29" s="45">
        <v>0.13551706985268064</v>
      </c>
      <c r="T29" s="45">
        <v>0.12167508804368476</v>
      </c>
      <c r="U29" s="45">
        <v>7.7088976461827885E-2</v>
      </c>
      <c r="V29" s="45">
        <v>-1.7059521199481731E-3</v>
      </c>
      <c r="W29" s="45">
        <v>-5.9866792867339091E-2</v>
      </c>
      <c r="X29" s="45">
        <v>-5.9140260213613516E-2</v>
      </c>
      <c r="Y29" s="45">
        <v>-1.7185893241652206E-2</v>
      </c>
      <c r="Z29" s="45">
        <v>-4.4409529547694393E-2</v>
      </c>
      <c r="AA29" s="45">
        <v>-4.2407561826578566E-2</v>
      </c>
      <c r="AB29" s="45">
        <v>-6.481575250614946E-2</v>
      </c>
      <c r="AC29" s="45">
        <v>-3.4768870774049443E-2</v>
      </c>
      <c r="AD29" s="45">
        <v>2.7817794451217015E-3</v>
      </c>
      <c r="AE29" s="45">
        <v>-4.0202844765013457E-2</v>
      </c>
      <c r="AF29" s="45">
        <v>-2.2305320482664204E-2</v>
      </c>
      <c r="AG29" s="45">
        <v>-7.4152570234460313E-3</v>
      </c>
      <c r="AH29" s="45">
        <v>2.8334274381314417E-2</v>
      </c>
      <c r="AI29" s="45">
        <v>3.7953941892352683E-2</v>
      </c>
      <c r="AJ29" s="45">
        <v>4.9110131735873752E-2</v>
      </c>
      <c r="AK29" s="45">
        <v>6.3123886850196875E-2</v>
      </c>
      <c r="AL29" s="45">
        <v>5.7454515782098925E-2</v>
      </c>
      <c r="AM29" s="45">
        <v>5.8917118987427575E-2</v>
      </c>
      <c r="AN29" s="45">
        <v>8.0938283596681648E-2</v>
      </c>
      <c r="AO29" s="45">
        <v>0.11500697453770203</v>
      </c>
      <c r="AP29" s="45">
        <v>0.12196653200545171</v>
      </c>
      <c r="AQ29" s="45">
        <v>0.12886130991117528</v>
      </c>
      <c r="AR29" s="45">
        <v>0.14799139743631429</v>
      </c>
      <c r="AS29" s="45">
        <v>0.18780698843660248</v>
      </c>
      <c r="AT29" s="45">
        <v>0.19148751365039929</v>
      </c>
      <c r="AU29" s="45">
        <v>0.20945675046088996</v>
      </c>
      <c r="AV29" s="45">
        <v>0.18617324550329584</v>
      </c>
      <c r="AW29" s="45">
        <v>0.23209180697664689</v>
      </c>
      <c r="AX29" s="45">
        <v>0.20516203655681697</v>
      </c>
      <c r="AY29" s="45">
        <v>0.21453132863303215</v>
      </c>
      <c r="AZ29" s="45">
        <v>0.2660241129922889</v>
      </c>
      <c r="BA29" s="45">
        <v>0.23271631642995261</v>
      </c>
      <c r="BB29" s="45">
        <v>0.24451556797958407</v>
      </c>
      <c r="BC29" s="45">
        <v>0.21433638745422812</v>
      </c>
      <c r="BD29" s="45">
        <v>0.23882150637103883</v>
      </c>
      <c r="BE29" s="45">
        <v>0.23447943849994912</v>
      </c>
      <c r="BF29" s="45">
        <v>0.25935658802508499</v>
      </c>
      <c r="BG29" s="45">
        <v>0.26008869763716325</v>
      </c>
      <c r="BH29" s="45">
        <v>0.2535114114609236</v>
      </c>
      <c r="BI29" s="45">
        <v>0.10826483627727623</v>
      </c>
      <c r="BJ29" s="45">
        <v>0.11793469710078752</v>
      </c>
      <c r="BK29" s="45">
        <v>9.9625988810205346E-2</v>
      </c>
      <c r="BL29" s="45">
        <v>0.12254260303831388</v>
      </c>
      <c r="BM29" s="45">
        <v>0.17302993558173996</v>
      </c>
      <c r="BN29" s="45">
        <v>0.20112905370185397</v>
      </c>
      <c r="BO29" s="45">
        <v>0.23745011694095197</v>
      </c>
      <c r="BP29" s="45">
        <v>0.18334151222801376</v>
      </c>
      <c r="BQ29" s="45">
        <v>0.20924423024871497</v>
      </c>
      <c r="BR29" s="45">
        <v>0.21967690051673561</v>
      </c>
      <c r="BS29" s="45">
        <v>0.1962676978767699</v>
      </c>
      <c r="BT29" s="45">
        <v>0.21987619627534571</v>
      </c>
      <c r="BU29" s="45">
        <v>0.27805738326883356</v>
      </c>
      <c r="BV29" s="45">
        <v>0.29269729646247922</v>
      </c>
      <c r="BW29" s="45">
        <v>0.34857881761669129</v>
      </c>
      <c r="BX29" s="45">
        <v>0.2909305384219143</v>
      </c>
      <c r="BY29" s="45">
        <v>0.26793739709811137</v>
      </c>
      <c r="BZ29" s="45">
        <v>7.628473289061688E-2</v>
      </c>
      <c r="CA29" s="45">
        <v>0.20998513144491437</v>
      </c>
      <c r="CB29" s="45">
        <v>0.20447092205281336</v>
      </c>
      <c r="CC29" s="45">
        <v>0.27699361006036605</v>
      </c>
      <c r="CD29" s="45">
        <v>0.38680488733361829</v>
      </c>
      <c r="CE29" s="45">
        <v>0.37874965946081551</v>
      </c>
      <c r="CF29" s="45">
        <v>0.37042015435709108</v>
      </c>
      <c r="CG29" s="45">
        <v>0.37378086910184649</v>
      </c>
      <c r="CH29" s="45">
        <v>0.49692143719092186</v>
      </c>
      <c r="CI29" s="45">
        <v>0.603191980394987</v>
      </c>
      <c r="CJ29" s="45">
        <v>0.64675173719730239</v>
      </c>
      <c r="CK29" s="45">
        <v>0.73315421285472704</v>
      </c>
      <c r="CL29" s="45">
        <v>0.7842487445659152</v>
      </c>
      <c r="CM29" s="45">
        <v>0.90348131155309508</v>
      </c>
      <c r="CN29" s="45">
        <v>0.8487139113221478</v>
      </c>
      <c r="CO29" s="45">
        <v>0.92166881344527685</v>
      </c>
      <c r="CP29" s="45">
        <v>0.86588067898046694</v>
      </c>
      <c r="CQ29" s="45">
        <v>0.89197293519067467</v>
      </c>
      <c r="CR29" s="45">
        <v>0.83090579105751727</v>
      </c>
      <c r="CS29" s="45">
        <v>0.83658814745105547</v>
      </c>
      <c r="CT29" s="45">
        <v>0.88358984642415717</v>
      </c>
      <c r="CU29" s="45">
        <v>0.9672059526983301</v>
      </c>
      <c r="CV29" s="45">
        <v>0.90752297284093331</v>
      </c>
      <c r="CW29" s="45">
        <v>0.90512335385454468</v>
      </c>
      <c r="CX29" s="45">
        <v>0.90957440110152876</v>
      </c>
      <c r="CY29" s="45">
        <v>0.78685723504233995</v>
      </c>
      <c r="CZ29" s="45">
        <v>0.80992516787144164</v>
      </c>
      <c r="DA29" s="45">
        <v>0.58282101623526672</v>
      </c>
      <c r="DB29" s="45">
        <v>0.60132527488651344</v>
      </c>
      <c r="DC29" s="45">
        <v>0.61147422419279152</v>
      </c>
      <c r="DD29" s="45">
        <v>0.42243966588262949</v>
      </c>
      <c r="DE29" s="45">
        <v>0.37121637307647259</v>
      </c>
      <c r="DF29" s="45">
        <v>0.5616938276257708</v>
      </c>
      <c r="DG29" s="45">
        <v>0.48182332962932128</v>
      </c>
      <c r="DH29" s="45">
        <v>0.59552577817978314</v>
      </c>
      <c r="DI29" s="45">
        <v>0.62027043996328524</v>
      </c>
      <c r="DJ29" s="45">
        <v>0.65789923395288952</v>
      </c>
      <c r="DK29" s="45">
        <v>0.62743885630809859</v>
      </c>
      <c r="DL29" s="45">
        <v>0.72866394865424411</v>
      </c>
      <c r="DM29" s="45">
        <v>0.76340716304992284</v>
      </c>
      <c r="DN29" s="45">
        <v>0.78721129009524526</v>
      </c>
      <c r="DO29" s="45">
        <v>0.73314419395664854</v>
      </c>
      <c r="DP29" s="45">
        <v>0.7036411650845571</v>
      </c>
      <c r="DQ29" s="45">
        <v>0.666521339911188</v>
      </c>
      <c r="DR29" s="45">
        <v>0.80941825308633253</v>
      </c>
      <c r="DS29" s="45">
        <v>0.86027510799998974</v>
      </c>
      <c r="DT29" s="45">
        <v>0.85599059714061299</v>
      </c>
      <c r="DU29" s="45">
        <v>0.9645125910761998</v>
      </c>
      <c r="DV29" s="45">
        <v>1.0974294483812512</v>
      </c>
      <c r="DW29" s="45">
        <v>1.1079601605760616</v>
      </c>
      <c r="DX29" s="45">
        <v>1.1868319851241949</v>
      </c>
      <c r="DY29" s="45">
        <v>1.3707686184169408</v>
      </c>
      <c r="DZ29" s="45">
        <v>1.2834475238077694</v>
      </c>
      <c r="EA29" s="45">
        <v>1.2905072649494538</v>
      </c>
      <c r="EB29" s="45">
        <v>1.2860233033025419</v>
      </c>
      <c r="EC29" s="45">
        <v>1.3465094307246845</v>
      </c>
      <c r="ED29" s="45">
        <v>1.2884273650883467</v>
      </c>
      <c r="EE29" s="45">
        <v>1.3664981882262612</v>
      </c>
      <c r="EF29" s="45">
        <v>1.4163413115117764</v>
      </c>
      <c r="EG29" s="45">
        <v>1.367344209826507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D500-3A57-4D2B-B694-49EE22681976}">
  <dimension ref="A3:EH29"/>
  <sheetViews>
    <sheetView topLeftCell="C28" zoomScale="119" zoomScaleNormal="74" workbookViewId="0">
      <selection activeCell="AA46" sqref="AA46"/>
    </sheetView>
  </sheetViews>
  <sheetFormatPr baseColWidth="10" defaultColWidth="8.83203125" defaultRowHeight="15"/>
  <cols>
    <col min="2" max="2" width="7.6640625" customWidth="1"/>
    <col min="3" max="3" width="10.83203125" customWidth="1"/>
  </cols>
  <sheetData>
    <row r="3" spans="3:137" ht="16">
      <c r="C3" s="6" t="s">
        <v>136</v>
      </c>
      <c r="D3" s="10">
        <v>964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</row>
    <row r="4" spans="3:137" ht="18">
      <c r="C4" s="29" t="s">
        <v>138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14" t="s">
        <v>17</v>
      </c>
      <c r="S4" s="14" t="s">
        <v>18</v>
      </c>
      <c r="T4" s="14" t="s">
        <v>19</v>
      </c>
      <c r="U4" s="14" t="s">
        <v>20</v>
      </c>
      <c r="V4" s="14" t="s">
        <v>21</v>
      </c>
      <c r="W4" s="14" t="s">
        <v>22</v>
      </c>
      <c r="X4" s="14" t="s">
        <v>23</v>
      </c>
      <c r="Y4" s="14" t="s">
        <v>24</v>
      </c>
      <c r="Z4" s="14" t="s">
        <v>25</v>
      </c>
      <c r="AA4" s="14" t="s">
        <v>26</v>
      </c>
      <c r="AB4" s="14" t="s">
        <v>27</v>
      </c>
      <c r="AC4" s="14" t="s">
        <v>28</v>
      </c>
      <c r="AD4" s="14" t="s">
        <v>29</v>
      </c>
      <c r="AE4" s="14" t="s">
        <v>30</v>
      </c>
      <c r="AF4" s="14" t="s">
        <v>31</v>
      </c>
      <c r="AG4" s="14" t="s">
        <v>32</v>
      </c>
      <c r="AH4" s="14" t="s">
        <v>33</v>
      </c>
      <c r="AI4" s="14" t="s">
        <v>34</v>
      </c>
      <c r="AJ4" s="14" t="s">
        <v>35</v>
      </c>
      <c r="AK4" s="14" t="s">
        <v>36</v>
      </c>
      <c r="AL4" s="14" t="s">
        <v>37</v>
      </c>
      <c r="AM4" s="14" t="s">
        <v>38</v>
      </c>
      <c r="AN4" s="14" t="s">
        <v>39</v>
      </c>
      <c r="AO4" s="14" t="s">
        <v>40</v>
      </c>
      <c r="AP4" s="14" t="s">
        <v>41</v>
      </c>
      <c r="AQ4" s="14" t="s">
        <v>42</v>
      </c>
      <c r="AR4" s="14" t="s">
        <v>43</v>
      </c>
      <c r="AS4" s="14" t="s">
        <v>44</v>
      </c>
      <c r="AT4" s="14" t="s">
        <v>45</v>
      </c>
      <c r="AU4" s="14" t="s">
        <v>46</v>
      </c>
      <c r="AV4" s="14" t="s">
        <v>47</v>
      </c>
      <c r="AW4" s="14" t="s">
        <v>48</v>
      </c>
      <c r="AX4" s="14" t="s">
        <v>49</v>
      </c>
      <c r="AY4" s="14" t="s">
        <v>50</v>
      </c>
      <c r="AZ4" s="14" t="s">
        <v>51</v>
      </c>
      <c r="BA4" s="14" t="s">
        <v>52</v>
      </c>
      <c r="BB4" s="14" t="s">
        <v>53</v>
      </c>
      <c r="BC4" s="14" t="s">
        <v>54</v>
      </c>
      <c r="BD4" s="14" t="s">
        <v>55</v>
      </c>
      <c r="BE4" s="14" t="s">
        <v>56</v>
      </c>
      <c r="BF4" s="14" t="s">
        <v>57</v>
      </c>
      <c r="BG4" s="14" t="s">
        <v>58</v>
      </c>
      <c r="BH4" s="14" t="s">
        <v>59</v>
      </c>
      <c r="BI4" s="14" t="s">
        <v>60</v>
      </c>
      <c r="BJ4" s="14" t="s">
        <v>61</v>
      </c>
      <c r="BK4" s="14" t="s">
        <v>62</v>
      </c>
      <c r="BL4" s="14" t="s">
        <v>63</v>
      </c>
      <c r="BM4" s="14" t="s">
        <v>64</v>
      </c>
      <c r="BN4" s="14" t="s">
        <v>65</v>
      </c>
      <c r="BO4" s="14" t="s">
        <v>66</v>
      </c>
      <c r="BP4" s="14" t="s">
        <v>67</v>
      </c>
      <c r="BQ4" s="14" t="s">
        <v>68</v>
      </c>
      <c r="BR4" s="14" t="s">
        <v>69</v>
      </c>
      <c r="BS4" s="14" t="s">
        <v>70</v>
      </c>
      <c r="BT4" s="14" t="s">
        <v>71</v>
      </c>
      <c r="BU4" s="14" t="s">
        <v>72</v>
      </c>
      <c r="BV4" s="14" t="s">
        <v>73</v>
      </c>
      <c r="BW4" s="14" t="s">
        <v>74</v>
      </c>
      <c r="BX4" s="14" t="s">
        <v>75</v>
      </c>
      <c r="BY4" s="14" t="s">
        <v>76</v>
      </c>
      <c r="BZ4" s="14" t="s">
        <v>77</v>
      </c>
      <c r="CA4" s="14" t="s">
        <v>78</v>
      </c>
      <c r="CB4" s="14" t="s">
        <v>79</v>
      </c>
      <c r="CC4" s="14" t="s">
        <v>80</v>
      </c>
      <c r="CD4" s="14" t="s">
        <v>81</v>
      </c>
      <c r="CE4" s="14" t="s">
        <v>82</v>
      </c>
      <c r="CF4" s="14" t="s">
        <v>83</v>
      </c>
      <c r="CG4" s="14" t="s">
        <v>84</v>
      </c>
      <c r="CH4" s="14" t="s">
        <v>85</v>
      </c>
      <c r="CI4" s="14" t="s">
        <v>86</v>
      </c>
      <c r="CJ4" s="14" t="s">
        <v>87</v>
      </c>
      <c r="CK4" s="14" t="s">
        <v>88</v>
      </c>
      <c r="CL4" s="14" t="s">
        <v>89</v>
      </c>
      <c r="CM4" s="14" t="s">
        <v>90</v>
      </c>
      <c r="CN4" s="14" t="s">
        <v>91</v>
      </c>
      <c r="CO4" s="14" t="s">
        <v>92</v>
      </c>
      <c r="CP4" s="14" t="s">
        <v>93</v>
      </c>
      <c r="CQ4" s="14" t="s">
        <v>94</v>
      </c>
      <c r="CR4" s="14" t="s">
        <v>95</v>
      </c>
      <c r="CS4" s="14" t="s">
        <v>96</v>
      </c>
      <c r="CT4" s="14" t="s">
        <v>97</v>
      </c>
      <c r="CU4" s="14" t="s">
        <v>98</v>
      </c>
      <c r="CV4" s="14" t="s">
        <v>99</v>
      </c>
      <c r="CW4" s="14" t="s">
        <v>100</v>
      </c>
      <c r="CX4" s="14" t="s">
        <v>101</v>
      </c>
      <c r="CY4" s="14" t="s">
        <v>102</v>
      </c>
      <c r="CZ4" s="14" t="s">
        <v>103</v>
      </c>
      <c r="DA4" s="14" t="s">
        <v>104</v>
      </c>
      <c r="DB4" s="14" t="s">
        <v>105</v>
      </c>
      <c r="DC4" s="14" t="s">
        <v>106</v>
      </c>
      <c r="DD4" s="14" t="s">
        <v>107</v>
      </c>
      <c r="DE4" s="14" t="s">
        <v>108</v>
      </c>
      <c r="DF4" s="14" t="s">
        <v>109</v>
      </c>
      <c r="DG4" s="14" t="s">
        <v>110</v>
      </c>
      <c r="DH4" s="14" t="s">
        <v>111</v>
      </c>
      <c r="DI4" s="14" t="s">
        <v>112</v>
      </c>
      <c r="DJ4" s="14" t="s">
        <v>113</v>
      </c>
      <c r="DK4" s="14" t="s">
        <v>114</v>
      </c>
      <c r="DL4" s="14" t="s">
        <v>115</v>
      </c>
      <c r="DM4" s="14" t="s">
        <v>116</v>
      </c>
      <c r="DN4" s="14" t="s">
        <v>117</v>
      </c>
      <c r="DO4" s="14" t="s">
        <v>118</v>
      </c>
      <c r="DP4" s="14" t="s">
        <v>119</v>
      </c>
      <c r="DQ4" s="14" t="s">
        <v>120</v>
      </c>
      <c r="DR4" s="14" t="s">
        <v>121</v>
      </c>
      <c r="DS4" s="14" t="s">
        <v>122</v>
      </c>
      <c r="DT4" s="14" t="s">
        <v>123</v>
      </c>
      <c r="DU4" s="14" t="s">
        <v>124</v>
      </c>
      <c r="DV4" s="14" t="s">
        <v>125</v>
      </c>
      <c r="DW4" s="14" t="s">
        <v>126</v>
      </c>
      <c r="DX4" s="14" t="s">
        <v>127</v>
      </c>
      <c r="DY4" s="14" t="s">
        <v>128</v>
      </c>
      <c r="DZ4" s="14" t="s">
        <v>129</v>
      </c>
      <c r="EA4" s="14" t="s">
        <v>130</v>
      </c>
      <c r="EB4" s="14" t="s">
        <v>131</v>
      </c>
      <c r="EC4" s="14" t="s">
        <v>132</v>
      </c>
      <c r="ED4" s="14" t="s">
        <v>133</v>
      </c>
      <c r="EE4" s="14" t="s">
        <v>134</v>
      </c>
      <c r="EF4" s="14" t="s">
        <v>140</v>
      </c>
      <c r="EG4" s="14" t="s">
        <v>144</v>
      </c>
    </row>
    <row r="5" spans="3:137" ht="16">
      <c r="C5" s="6">
        <v>10</v>
      </c>
      <c r="D5" s="9" cm="1">
        <f t="array" ref="D5">PRODUCT(1 + 真實IC!$C14:C14) - 1</f>
        <v>1.4499246984096104E-2</v>
      </c>
      <c r="E5" s="9" cm="1">
        <f t="array" ref="E5">PRODUCT(1 + 真實IC!$C14:D14) - 1</f>
        <v>-3.9213245731639645E-4</v>
      </c>
      <c r="F5" s="9" cm="1">
        <f t="array" ref="F5">PRODUCT(1 + 真實IC!$C14:E14) - 1</f>
        <v>1.0010455589208878E-3</v>
      </c>
      <c r="G5" s="9" cm="1">
        <f t="array" ref="G5">PRODUCT(1 + 真實IC!$C14:F14) - 1</f>
        <v>-5.5014357119156254E-2</v>
      </c>
      <c r="H5" s="9" cm="1">
        <f t="array" ref="H5">PRODUCT(1 + 真實IC!$C14:G14) - 1</f>
        <v>-1.536138516245622E-2</v>
      </c>
      <c r="I5" s="9" cm="1">
        <f t="array" ref="I5">PRODUCT(1 + 真實IC!$C14:H14) - 1</f>
        <v>-2.4813185614166122E-2</v>
      </c>
      <c r="J5" s="9" cm="1">
        <f t="array" ref="J5">PRODUCT(1 + 真實IC!$C14:I14) - 1</f>
        <v>9.0323693452580844E-3</v>
      </c>
      <c r="K5" s="9" cm="1">
        <f t="array" ref="K5">PRODUCT(1 + 真實IC!$C14:J14) - 1</f>
        <v>3.2546476297351079E-2</v>
      </c>
      <c r="L5" s="9" cm="1">
        <f t="array" ref="L5">PRODUCT(1 + 真實IC!$C14:K14) - 1</f>
        <v>4.2835704774678351E-2</v>
      </c>
      <c r="M5" s="9" cm="1">
        <f t="array" ref="M5">PRODUCT(1 + 真實IC!$C14:L14) - 1</f>
        <v>7.5489742594432307E-2</v>
      </c>
      <c r="N5" s="9" cm="1">
        <f t="array" ref="N5">PRODUCT(1 + 真實IC!$C14:M14) - 1</f>
        <v>5.6109786849479981E-2</v>
      </c>
      <c r="O5" s="9" cm="1">
        <f t="array" ref="O5">PRODUCT(1 + 真實IC!$C14:N14) - 1</f>
        <v>9.2760338902505568E-2</v>
      </c>
      <c r="P5" s="9" cm="1">
        <f t="array" ref="P5">PRODUCT(1 + 真實IC!$C14:O14) - 1</f>
        <v>0.12202967709692758</v>
      </c>
      <c r="Q5" s="9" cm="1">
        <f t="array" ref="Q5">PRODUCT(1 + 真實IC!$C14:P14) - 1</f>
        <v>0.12174431341185543</v>
      </c>
      <c r="R5" s="9" cm="1">
        <f t="array" ref="R5">PRODUCT(1 + 真實IC!$C14:Q14) - 1</f>
        <v>0.1478582699885751</v>
      </c>
      <c r="S5" s="9" cm="1">
        <f t="array" ref="S5">PRODUCT(1 + 真實IC!$C14:R14) - 1</f>
        <v>0.17813861189379732</v>
      </c>
      <c r="T5" s="9" cm="1">
        <f t="array" ref="T5">PRODUCT(1 + 真實IC!$C14:S14) - 1</f>
        <v>0.26134171506414328</v>
      </c>
      <c r="U5" s="9" cm="1">
        <f t="array" ref="U5">PRODUCT(1 + 真實IC!$C14:T14) - 1</f>
        <v>0.36397823295921805</v>
      </c>
      <c r="V5" s="9" cm="1">
        <f t="array" ref="V5">PRODUCT(1 + 真實IC!$C14:U14) - 1</f>
        <v>0.37666431631300812</v>
      </c>
      <c r="W5" s="9" cm="1">
        <f t="array" ref="W5">PRODUCT(1 + 真實IC!$C14:V14) - 1</f>
        <v>0.39334010433867883</v>
      </c>
      <c r="X5" s="9" cm="1">
        <f t="array" ref="X5">PRODUCT(1 + 真實IC!$C14:W14) - 1</f>
        <v>0.43293557367053337</v>
      </c>
      <c r="Y5" s="9" cm="1">
        <f t="array" ref="Y5">PRODUCT(1 + 真實IC!$C14:X14) - 1</f>
        <v>0.58535612511784896</v>
      </c>
      <c r="Z5" s="9" cm="1">
        <f t="array" ref="Z5">PRODUCT(1 + 真實IC!$C14:Y14) - 1</f>
        <v>0.66308010963605168</v>
      </c>
      <c r="AA5" s="9" cm="1">
        <f t="array" ref="AA5">PRODUCT(1 + 真實IC!$C14:Z14) - 1</f>
        <v>0.77178361299203746</v>
      </c>
      <c r="AB5" s="9" cm="1">
        <f t="array" ref="AB5">PRODUCT(1 + 真實IC!$C14:AA14) - 1</f>
        <v>0.78401206415056124</v>
      </c>
      <c r="AC5" s="9" cm="1">
        <f t="array" ref="AC5">PRODUCT(1 + 真實IC!$C14:AB14) - 1</f>
        <v>0.80872643092733809</v>
      </c>
      <c r="AD5" s="9" cm="1">
        <f t="array" ref="AD5">PRODUCT(1 + 真實IC!$C14:AC14) - 1</f>
        <v>0.85659289637632297</v>
      </c>
      <c r="AE5" s="9" cm="1">
        <f t="array" ref="AE5">PRODUCT(1 + 真實IC!$C14:AD14) - 1</f>
        <v>0.91065120334982819</v>
      </c>
      <c r="AF5" s="9" cm="1">
        <f t="array" ref="AF5">PRODUCT(1 + 真實IC!$C14:AE14) - 1</f>
        <v>0.99937748258041958</v>
      </c>
      <c r="AG5" s="9" cm="1">
        <f t="array" ref="AG5">PRODUCT(1 + 真實IC!$C14:AF14) - 1</f>
        <v>1.0438325611711594</v>
      </c>
      <c r="AH5" s="9" cm="1">
        <f t="array" ref="AH5">PRODUCT(1 + 真實IC!$C14:AG14) - 1</f>
        <v>1.0516296401838132</v>
      </c>
      <c r="AI5" s="9" cm="1">
        <f t="array" ref="AI5">PRODUCT(1 + 真實IC!$C14:AH14) - 1</f>
        <v>1.0902058780226143</v>
      </c>
      <c r="AJ5" s="9" cm="1">
        <f t="array" ref="AJ5">PRODUCT(1 + 真實IC!$C14:AI14) - 1</f>
        <v>1.071825041265178</v>
      </c>
      <c r="AK5" s="9" cm="1">
        <f t="array" ref="AK5">PRODUCT(1 + 真實IC!$C14:AJ14) - 1</f>
        <v>1.1133694647888608</v>
      </c>
      <c r="AL5" s="9" cm="1">
        <f t="array" ref="AL5">PRODUCT(1 + 真實IC!$C14:AK14) - 1</f>
        <v>1.1433070669142906</v>
      </c>
      <c r="AM5" s="9" cm="1">
        <f t="array" ref="AM5">PRODUCT(1 + 真實IC!$C14:AL14) - 1</f>
        <v>1.2440707331435772</v>
      </c>
      <c r="AN5" s="9" cm="1">
        <f t="array" ref="AN5">PRODUCT(1 + 真實IC!$C14:AM14) - 1</f>
        <v>1.3081185932833592</v>
      </c>
      <c r="AO5" s="9" cm="1">
        <f t="array" ref="AO5">PRODUCT(1 + 真實IC!$C14:AN14) - 1</f>
        <v>1.2466173220147101</v>
      </c>
      <c r="AP5" s="9" cm="1">
        <f t="array" ref="AP5">PRODUCT(1 + 真實IC!$C14:AO14) - 1</f>
        <v>1.2129282374667736</v>
      </c>
      <c r="AQ5" s="9" cm="1">
        <f t="array" ref="AQ5">PRODUCT(1 + 真實IC!$C14:AP14) - 1</f>
        <v>1.3008348875706091</v>
      </c>
      <c r="AR5" s="9" cm="1">
        <f t="array" ref="AR5">PRODUCT(1 + 真實IC!$C14:AQ14) - 1</f>
        <v>1.3231380718723176</v>
      </c>
      <c r="AS5" s="9" cm="1">
        <f t="array" ref="AS5">PRODUCT(1 + 真實IC!$C14:AR14) - 1</f>
        <v>1.3747652296163011</v>
      </c>
      <c r="AT5" s="9" cm="1">
        <f t="array" ref="AT5">PRODUCT(1 + 真實IC!$C14:AS14) - 1</f>
        <v>1.4300078758104657</v>
      </c>
      <c r="AU5" s="9" cm="1">
        <f t="array" ref="AU5">PRODUCT(1 + 真實IC!$C14:AT14) - 1</f>
        <v>1.6168360195928444</v>
      </c>
      <c r="AV5" s="9" cm="1">
        <f t="array" ref="AV5">PRODUCT(1 + 真實IC!$C14:AU14) - 1</f>
        <v>1.6071183036764651</v>
      </c>
      <c r="AW5" s="9" cm="1">
        <f t="array" ref="AW5">PRODUCT(1 + 真實IC!$C14:AV14) - 1</f>
        <v>1.7294190235482185</v>
      </c>
      <c r="AX5" s="9" cm="1">
        <f t="array" ref="AX5">PRODUCT(1 + 真實IC!$C14:AW14) - 1</f>
        <v>1.7773569659231527</v>
      </c>
      <c r="AY5" s="9" cm="1">
        <f t="array" ref="AY5">PRODUCT(1 + 真實IC!$C14:AX14) - 1</f>
        <v>1.8897890644963988</v>
      </c>
      <c r="AZ5" s="9" cm="1">
        <f t="array" ref="AZ5">PRODUCT(1 + 真實IC!$C14:AY14) - 1</f>
        <v>2.0289512413082291</v>
      </c>
      <c r="BA5" s="9" cm="1">
        <f t="array" ref="BA5">PRODUCT(1 + 真實IC!$C14:AZ14) - 1</f>
        <v>2.1004785714312058</v>
      </c>
      <c r="BB5" s="9" cm="1">
        <f t="array" ref="BB5">PRODUCT(1 + 真實IC!$C14:BA14) - 1</f>
        <v>2.1824376447651788</v>
      </c>
      <c r="BC5" s="9" cm="1">
        <f t="array" ref="BC5">PRODUCT(1 + 真實IC!$C14:BB14) - 1</f>
        <v>2.1863646843518585</v>
      </c>
      <c r="BD5" s="9" cm="1">
        <f t="array" ref="BD5">PRODUCT(1 + 真實IC!$C14:BC14) - 1</f>
        <v>2.3051399630145442</v>
      </c>
      <c r="BE5" s="9" cm="1">
        <f t="array" ref="BE5">PRODUCT(1 + 真實IC!$C14:BD14) - 1</f>
        <v>2.3323134360992155</v>
      </c>
      <c r="BF5" s="9" cm="1">
        <f t="array" ref="BF5">PRODUCT(1 + 真實IC!$C14:BE14) - 1</f>
        <v>2.2144543579055185</v>
      </c>
      <c r="BG5" s="9" cm="1">
        <f t="array" ref="BG5">PRODUCT(1 + 真實IC!$C14:BF14) - 1</f>
        <v>2.4423750331895482</v>
      </c>
      <c r="BH5" s="9" cm="1">
        <f t="array" ref="BH5">PRODUCT(1 + 真實IC!$C14:BG14) - 1</f>
        <v>2.5413087600612281</v>
      </c>
      <c r="BI5" s="9" cm="1">
        <f t="array" ref="BI5">PRODUCT(1 + 真實IC!$C14:BH14) - 1</f>
        <v>2.8385090912484356</v>
      </c>
      <c r="BJ5" s="9" cm="1">
        <f t="array" ref="BJ5">PRODUCT(1 + 真實IC!$C14:BI14) - 1</f>
        <v>3.1401166854202867</v>
      </c>
      <c r="BK5" s="9" cm="1">
        <f t="array" ref="BK5">PRODUCT(1 + 真實IC!$C14:BJ14) - 1</f>
        <v>3.2422249056125239</v>
      </c>
      <c r="BL5" s="9" cm="1">
        <f t="array" ref="BL5">PRODUCT(1 + 真實IC!$C14:BK14) - 1</f>
        <v>3.239436136977349</v>
      </c>
      <c r="BM5" s="9" cm="1">
        <f t="array" ref="BM5">PRODUCT(1 + 真實IC!$C14:BL14) - 1</f>
        <v>3.4540209877411634</v>
      </c>
      <c r="BN5" s="9" cm="1">
        <f t="array" ref="BN5">PRODUCT(1 + 真實IC!$C14:BM14) - 1</f>
        <v>3.5459253392314407</v>
      </c>
      <c r="BO5" s="9" cm="1">
        <f t="array" ref="BO5">PRODUCT(1 + 真實IC!$C14:BN14) - 1</f>
        <v>3.6109559807832845</v>
      </c>
      <c r="BP5" s="9" cm="1">
        <f t="array" ref="BP5">PRODUCT(1 + 真實IC!$C14:BO14) - 1</f>
        <v>3.8947201110329281</v>
      </c>
      <c r="BQ5" s="9" cm="1">
        <f t="array" ref="BQ5">PRODUCT(1 + 真實IC!$C14:BP14) - 1</f>
        <v>4.0562212853016639</v>
      </c>
      <c r="BR5" s="9" cm="1">
        <f t="array" ref="BR5">PRODUCT(1 + 真實IC!$C14:BQ14) - 1</f>
        <v>4.2193663464204674</v>
      </c>
      <c r="BS5" s="9" cm="1">
        <f t="array" ref="BS5">PRODUCT(1 + 真實IC!$C14:BR14) - 1</f>
        <v>4.5168006799058817</v>
      </c>
      <c r="BT5" s="9" cm="1">
        <f t="array" ref="BT5">PRODUCT(1 + 真實IC!$C14:BS14) - 1</f>
        <v>4.6968848039482358</v>
      </c>
      <c r="BU5" s="9" cm="1">
        <f t="array" ref="BU5">PRODUCT(1 + 真實IC!$C14:BT14) - 1</f>
        <v>4.7901130893320918</v>
      </c>
      <c r="BV5" s="9" cm="1">
        <f t="array" ref="BV5">PRODUCT(1 + 真實IC!$C14:BU14) - 1</f>
        <v>4.8880529519686435</v>
      </c>
      <c r="BW5" s="9" cm="1">
        <f t="array" ref="BW5">PRODUCT(1 + 真實IC!$C14:BV14) - 1</f>
        <v>5.1116172702687441</v>
      </c>
      <c r="BX5" s="9" cm="1">
        <f t="array" ref="BX5">PRODUCT(1 + 真實IC!$C14:BW14) - 1</f>
        <v>5.3834436953827636</v>
      </c>
      <c r="BY5" s="9" cm="1">
        <f t="array" ref="BY5">PRODUCT(1 + 真實IC!$C14:BX14) - 1</f>
        <v>5.4789934259146182</v>
      </c>
      <c r="BZ5" s="9" cm="1">
        <f t="array" ref="BZ5">PRODUCT(1 + 真實IC!$C14:BY14) - 1</f>
        <v>6.0492181557677176</v>
      </c>
      <c r="CA5" s="9" cm="1">
        <f t="array" ref="CA5">PRODUCT(1 + 真實IC!$C14:BZ14) - 1</f>
        <v>6.2588336491036305</v>
      </c>
      <c r="CB5" s="9" cm="1">
        <f t="array" ref="CB5">PRODUCT(1 + 真實IC!$C14:CA14) - 1</f>
        <v>6.2544515751817125</v>
      </c>
      <c r="CC5" s="9" cm="1">
        <f t="array" ref="CC5">PRODUCT(1 + 真實IC!$C14:CB14) - 1</f>
        <v>6.4515830469243918</v>
      </c>
      <c r="CD5" s="9" cm="1">
        <f t="array" ref="CD5">PRODUCT(1 + 真實IC!$C14:CC14) - 1</f>
        <v>6.3314547300711306</v>
      </c>
      <c r="CE5" s="9" cm="1">
        <f t="array" ref="CE5">PRODUCT(1 + 真實IC!$C14:CD14) - 1</f>
        <v>6.6909585315712974</v>
      </c>
      <c r="CF5" s="9" cm="1">
        <f t="array" ref="CF5">PRODUCT(1 + 真實IC!$C14:CE14) - 1</f>
        <v>7.0817864259614467</v>
      </c>
      <c r="CG5" s="9" cm="1">
        <f t="array" ref="CG5">PRODUCT(1 + 真實IC!$C14:CF14) - 1</f>
        <v>7.1760044195668584</v>
      </c>
      <c r="CH5" s="9" cm="1">
        <f t="array" ref="CH5">PRODUCT(1 + 真實IC!$C14:CG14) - 1</f>
        <v>7.3448875329194365</v>
      </c>
      <c r="CI5" s="9" cm="1">
        <f t="array" ref="CI5">PRODUCT(1 + 真實IC!$C14:CH14) - 1</f>
        <v>7.6165817436609551</v>
      </c>
      <c r="CJ5" s="9" cm="1">
        <f t="array" ref="CJ5">PRODUCT(1 + 真實IC!$C14:CI14) - 1</f>
        <v>8.1257683177126889</v>
      </c>
      <c r="CK5" s="9" cm="1">
        <f t="array" ref="CK5">PRODUCT(1 + 真實IC!$C14:CJ14) - 1</f>
        <v>8.7103594894635386</v>
      </c>
      <c r="CL5" s="9" cm="1">
        <f t="array" ref="CL5">PRODUCT(1 + 真實IC!$C14:CK14) - 1</f>
        <v>9.3803020870502287</v>
      </c>
      <c r="CM5" s="9" cm="1">
        <f t="array" ref="CM5">PRODUCT(1 + 真實IC!$C14:CL14) - 1</f>
        <v>10.496338587180771</v>
      </c>
      <c r="CN5" s="9" cm="1">
        <f t="array" ref="CN5">PRODUCT(1 + 真實IC!$C14:CM14) - 1</f>
        <v>10.193364645235262</v>
      </c>
      <c r="CO5" s="9" cm="1">
        <f t="array" ref="CO5">PRODUCT(1 + 真實IC!$C14:CN14) - 1</f>
        <v>11.941459353386172</v>
      </c>
      <c r="CP5" s="9" cm="1">
        <f t="array" ref="CP5">PRODUCT(1 + 真實IC!$C14:CO14) - 1</f>
        <v>12.668534117791028</v>
      </c>
      <c r="CQ5" s="9" cm="1">
        <f t="array" ref="CQ5">PRODUCT(1 + 真實IC!$C14:CP14) - 1</f>
        <v>12.654796939807042</v>
      </c>
      <c r="CR5" s="9" cm="1">
        <f t="array" ref="CR5">PRODUCT(1 + 真實IC!$C14:CQ14) - 1</f>
        <v>13.574810517402572</v>
      </c>
      <c r="CS5" s="9" cm="1">
        <f t="array" ref="CS5">PRODUCT(1 + 真實IC!$C14:CR14) - 1</f>
        <v>14.388206339682224</v>
      </c>
      <c r="CT5" s="9" cm="1">
        <f t="array" ref="CT5">PRODUCT(1 + 真實IC!$C14:CS14) - 1</f>
        <v>14.730688774042138</v>
      </c>
      <c r="CU5" s="9" cm="1">
        <f t="array" ref="CU5">PRODUCT(1 + 真實IC!$C14:CT14) - 1</f>
        <v>15.763944775268026</v>
      </c>
      <c r="CV5" s="9" cm="1">
        <f t="array" ref="CV5">PRODUCT(1 + 真實IC!$C14:CU14) - 1</f>
        <v>16.624230589120774</v>
      </c>
      <c r="CW5" s="9" cm="1">
        <f t="array" ref="CW5">PRODUCT(1 + 真實IC!$C14:CV14) - 1</f>
        <v>17.249594591419193</v>
      </c>
      <c r="CX5" s="9" cm="1">
        <f t="array" ref="CX5">PRODUCT(1 + 真實IC!$C14:CW14) - 1</f>
        <v>17.558842711100464</v>
      </c>
      <c r="CY5" s="9" cm="1">
        <f t="array" ref="CY5">PRODUCT(1 + 真實IC!$C14:CX14) - 1</f>
        <v>18.129576087657679</v>
      </c>
      <c r="CZ5" s="9" cm="1">
        <f t="array" ref="CZ5">PRODUCT(1 + 真實IC!$C14:CY14) - 1</f>
        <v>17.815457042330575</v>
      </c>
      <c r="DA5" s="9" cm="1">
        <f t="array" ref="DA5">PRODUCT(1 + 真實IC!$C14:CZ14) - 1</f>
        <v>18.047343665697362</v>
      </c>
      <c r="DB5" s="9" cm="1">
        <f t="array" ref="DB5">PRODUCT(1 + 真實IC!$C14:DA14) - 1</f>
        <v>19.256768585630034</v>
      </c>
      <c r="DC5" s="9" cm="1">
        <f t="array" ref="DC5">PRODUCT(1 + 真實IC!$C14:DB14) - 1</f>
        <v>18.535925750058247</v>
      </c>
      <c r="DD5" s="9" cm="1">
        <f t="array" ref="DD5">PRODUCT(1 + 真實IC!$C14:DC14) - 1</f>
        <v>19.010972059338325</v>
      </c>
      <c r="DE5" s="9" cm="1">
        <f t="array" ref="DE5">PRODUCT(1 + 真實IC!$C14:DD14) - 1</f>
        <v>20.287549360431242</v>
      </c>
      <c r="DF5" s="9" cm="1">
        <f t="array" ref="DF5">PRODUCT(1 + 真實IC!$C14:DE14) - 1</f>
        <v>21.929502729352535</v>
      </c>
      <c r="DG5" s="9" cm="1">
        <f t="array" ref="DG5">PRODUCT(1 + 真實IC!$C14:DF14) - 1</f>
        <v>21.662962859342677</v>
      </c>
      <c r="DH5" s="9" cm="1">
        <f t="array" ref="DH5">PRODUCT(1 + 真實IC!$C14:DG14) - 1</f>
        <v>20.58886484220594</v>
      </c>
      <c r="DI5" s="9" cm="1">
        <f t="array" ref="DI5">PRODUCT(1 + 真實IC!$C14:DH14) - 1</f>
        <v>19.9238596881634</v>
      </c>
      <c r="DJ5" s="9" cm="1">
        <f t="array" ref="DJ5">PRODUCT(1 + 真實IC!$C14:DI14) - 1</f>
        <v>19.296577972246542</v>
      </c>
      <c r="DK5" s="9" cm="1">
        <f t="array" ref="DK5">PRODUCT(1 + 真實IC!$C14:DJ14) - 1</f>
        <v>20.244418926966993</v>
      </c>
      <c r="DL5" s="9" cm="1">
        <f t="array" ref="DL5">PRODUCT(1 + 真實IC!$C14:DK14) - 1</f>
        <v>20.267175919386556</v>
      </c>
      <c r="DM5" s="9" cm="1">
        <f t="array" ref="DM5">PRODUCT(1 + 真實IC!$C14:DL14) - 1</f>
        <v>20.528985137514709</v>
      </c>
      <c r="DN5" s="9" cm="1">
        <f t="array" ref="DN5">PRODUCT(1 + 真實IC!$C14:DM14) - 1</f>
        <v>21.730617629587464</v>
      </c>
      <c r="DO5" s="9" cm="1">
        <f t="array" ref="DO5">PRODUCT(1 + 真實IC!$C14:DN14) - 1</f>
        <v>22.1297259669029</v>
      </c>
      <c r="DP5" s="9" cm="1">
        <f t="array" ref="DP5">PRODUCT(1 + 真實IC!$C14:DO14) - 1</f>
        <v>22.569901496689969</v>
      </c>
      <c r="DQ5" s="9" cm="1">
        <f t="array" ref="DQ5">PRODUCT(1 + 真實IC!$C14:DP14) - 1</f>
        <v>24.067084418443251</v>
      </c>
      <c r="DR5" s="9" cm="1">
        <f t="array" ref="DR5">PRODUCT(1 + 真實IC!$C14:DQ14) - 1</f>
        <v>24.736058670657624</v>
      </c>
      <c r="DS5" s="9" cm="1">
        <f t="array" ref="DS5">PRODUCT(1 + 真實IC!$C14:DR14) - 1</f>
        <v>25.23475573648324</v>
      </c>
      <c r="DT5" s="9" cm="1">
        <f t="array" ref="DT5">PRODUCT(1 + 真實IC!$C14:DS14) - 1</f>
        <v>24.02732001883604</v>
      </c>
      <c r="DU5" s="9" cm="1">
        <f t="array" ref="DU5">PRODUCT(1 + 真實IC!$C14:DT14) - 1</f>
        <v>24.27949357157285</v>
      </c>
      <c r="DV5" s="9" cm="1">
        <f t="array" ref="DV5">PRODUCT(1 + 真實IC!$C14:DU14) - 1</f>
        <v>25.436969332777085</v>
      </c>
      <c r="DW5" s="9" cm="1">
        <f t="array" ref="DW5">PRODUCT(1 + 真實IC!$C14:DV14) - 1</f>
        <v>25.408493470471537</v>
      </c>
      <c r="DX5" s="9" cm="1">
        <f t="array" ref="DX5">PRODUCT(1 + 真實IC!$C14:DW14) - 1</f>
        <v>26.926491396586147</v>
      </c>
      <c r="DY5" s="9" cm="1">
        <f t="array" ref="DY5">PRODUCT(1 + 真實IC!$C14:DX14) - 1</f>
        <v>27.980199367898365</v>
      </c>
      <c r="DZ5" s="9" cm="1">
        <f t="array" ref="DZ5">PRODUCT(1 + 真實IC!$C14:DY14) - 1</f>
        <v>26.162322985598127</v>
      </c>
      <c r="EA5" s="9" cm="1">
        <f t="array" ref="EA5">PRODUCT(1 + 真實IC!$C14:DZ14) - 1</f>
        <v>26.935180323001525</v>
      </c>
      <c r="EB5" s="9" cm="1">
        <f t="array" ref="EB5">PRODUCT(1 + 真實IC!$C14:EA14) - 1</f>
        <v>29.637494464462939</v>
      </c>
      <c r="EC5" s="9" cm="1">
        <f t="array" ref="EC5">PRODUCT(1 + 真實IC!$C14:EB14) - 1</f>
        <v>30.61444496601823</v>
      </c>
      <c r="ED5" s="9" cm="1">
        <f t="array" ref="ED5">PRODUCT(1 + 真實IC!$C14:EC14) - 1</f>
        <v>31.299927436983481</v>
      </c>
      <c r="EE5" s="9" cm="1">
        <f t="array" ref="EE5">PRODUCT(1 + 真實IC!$C14:ED14) - 1</f>
        <v>32.216632992124012</v>
      </c>
      <c r="EF5" s="9" cm="1">
        <f t="array" ref="EF5">PRODUCT(1 + 真實IC!$C14:EE14) - 1</f>
        <v>31.279383166065472</v>
      </c>
      <c r="EG5" s="9" cm="1">
        <f t="array" ref="EG5">PRODUCT(1 + 真實IC!$C14:EF14) - 1</f>
        <v>30.252548282990183</v>
      </c>
    </row>
    <row r="6" spans="3:137" ht="16">
      <c r="C6" s="6">
        <v>20</v>
      </c>
      <c r="D6" s="9" cm="1">
        <f t="array" ref="D6">PRODUCT(1 + 真實IC!$C15:C15) - 1</f>
        <v>-7.4773642018864939E-3</v>
      </c>
      <c r="E6" s="9" cm="1">
        <f t="array" ref="E6">PRODUCT(1 + 真實IC!$C15:D15) - 1</f>
        <v>-2.0613071426295315E-3</v>
      </c>
      <c r="F6" s="9" cm="1">
        <f t="array" ref="F6">PRODUCT(1 + 真實IC!$C15:E15) - 1</f>
        <v>3.4509336694801274E-3</v>
      </c>
      <c r="G6" s="9" cm="1">
        <f t="array" ref="G6">PRODUCT(1 + 真實IC!$C15:F15) - 1</f>
        <v>-5.6742602548122578E-2</v>
      </c>
      <c r="H6" s="9" cm="1">
        <f t="array" ref="H6">PRODUCT(1 + 真實IC!$C15:G15) - 1</f>
        <v>-2.7811881860548726E-2</v>
      </c>
      <c r="I6" s="9" cm="1">
        <f t="array" ref="I6">PRODUCT(1 + 真實IC!$C15:H15) - 1</f>
        <v>-4.4716665122293442E-2</v>
      </c>
      <c r="J6" s="9" cm="1">
        <f t="array" ref="J6">PRODUCT(1 + 真實IC!$C15:I15) - 1</f>
        <v>1.0770031231770449E-2</v>
      </c>
      <c r="K6" s="9" cm="1">
        <f t="array" ref="K6">PRODUCT(1 + 真實IC!$C15:J15) - 1</f>
        <v>5.1055973038990787E-2</v>
      </c>
      <c r="L6" s="9" cm="1">
        <f t="array" ref="L6">PRODUCT(1 + 真實IC!$C15:K15) - 1</f>
        <v>6.7727495995814513E-2</v>
      </c>
      <c r="M6" s="9" cm="1">
        <f t="array" ref="M6">PRODUCT(1 + 真實IC!$C15:L15) - 1</f>
        <v>0.13030417350407486</v>
      </c>
      <c r="N6" s="9" cm="1">
        <f t="array" ref="N6">PRODUCT(1 + 真實IC!$C15:M15) - 1</f>
        <v>0.12818909094345354</v>
      </c>
      <c r="O6" s="9" cm="1">
        <f t="array" ref="O6">PRODUCT(1 + 真實IC!$C15:N15) - 1</f>
        <v>0.17714394295791691</v>
      </c>
      <c r="P6" s="9" cm="1">
        <f t="array" ref="P6">PRODUCT(1 + 真實IC!$C15:O15) - 1</f>
        <v>0.20683181625194602</v>
      </c>
      <c r="Q6" s="9" cm="1">
        <f t="array" ref="Q6">PRODUCT(1 + 真實IC!$C15:P15) - 1</f>
        <v>0.19925575132375384</v>
      </c>
      <c r="R6" s="9" cm="1">
        <f t="array" ref="R6">PRODUCT(1 + 真實IC!$C15:Q15) - 1</f>
        <v>0.2077219192231714</v>
      </c>
      <c r="S6" s="9" cm="1">
        <f t="array" ref="S6">PRODUCT(1 + 真實IC!$C15:R15) - 1</f>
        <v>0.21699003486270141</v>
      </c>
      <c r="T6" s="9" cm="1">
        <f t="array" ref="T6">PRODUCT(1 + 真實IC!$C15:S15) - 1</f>
        <v>0.32941677392414337</v>
      </c>
      <c r="U6" s="9" cm="1">
        <f t="array" ref="U6">PRODUCT(1 + 真實IC!$C15:T15) - 1</f>
        <v>0.460682274826691</v>
      </c>
      <c r="V6" s="9" cm="1">
        <f t="array" ref="V6">PRODUCT(1 + 真實IC!$C15:U15) - 1</f>
        <v>0.50075501209876228</v>
      </c>
      <c r="W6" s="9" cm="1">
        <f t="array" ref="W6">PRODUCT(1 + 真實IC!$C15:V15) - 1</f>
        <v>0.53501837874449687</v>
      </c>
      <c r="X6" s="9" cm="1">
        <f t="array" ref="X6">PRODUCT(1 + 真實IC!$C15:W15) - 1</f>
        <v>0.58255621566379845</v>
      </c>
      <c r="Y6" s="9" cm="1">
        <f t="array" ref="Y6">PRODUCT(1 + 真實IC!$C15:X15) - 1</f>
        <v>0.82055016294012328</v>
      </c>
      <c r="Z6" s="9" cm="1">
        <f t="array" ref="Z6">PRODUCT(1 + 真實IC!$C15:Y15) - 1</f>
        <v>0.92904450628665547</v>
      </c>
      <c r="AA6" s="9" cm="1">
        <f t="array" ref="AA6">PRODUCT(1 + 真實IC!$C15:Z15) - 1</f>
        <v>1.101880309641269</v>
      </c>
      <c r="AB6" s="9" cm="1">
        <f t="array" ref="AB6">PRODUCT(1 + 真實IC!$C15:AA15) - 1</f>
        <v>1.1897324935356348</v>
      </c>
      <c r="AC6" s="9" cm="1">
        <f t="array" ref="AC6">PRODUCT(1 + 真實IC!$C15:AB15) - 1</f>
        <v>1.2106743689598298</v>
      </c>
      <c r="AD6" s="9" cm="1">
        <f t="array" ref="AD6">PRODUCT(1 + 真實IC!$C15:AC15) - 1</f>
        <v>1.3496976261533722</v>
      </c>
      <c r="AE6" s="9" cm="1">
        <f t="array" ref="AE6">PRODUCT(1 + 真實IC!$C15:AD15) - 1</f>
        <v>1.4498187898693997</v>
      </c>
      <c r="AF6" s="9" cm="1">
        <f t="array" ref="AF6">PRODUCT(1 + 真實IC!$C15:AE15) - 1</f>
        <v>1.6386297947285708</v>
      </c>
      <c r="AG6" s="9" cm="1">
        <f t="array" ref="AG6">PRODUCT(1 + 真實IC!$C15:AF15) - 1</f>
        <v>1.8123322354275091</v>
      </c>
      <c r="AH6" s="9" cm="1">
        <f t="array" ref="AH6">PRODUCT(1 + 真實IC!$C15:AG15) - 1</f>
        <v>1.7844755004380533</v>
      </c>
      <c r="AI6" s="9" cm="1">
        <f t="array" ref="AI6">PRODUCT(1 + 真實IC!$C15:AH15) - 1</f>
        <v>1.934604740786614</v>
      </c>
      <c r="AJ6" s="9" cm="1">
        <f t="array" ref="AJ6">PRODUCT(1 + 真實IC!$C15:AI15) - 1</f>
        <v>1.8798859646830386</v>
      </c>
      <c r="AK6" s="9" cm="1">
        <f t="array" ref="AK6">PRODUCT(1 + 真實IC!$C15:AJ15) - 1</f>
        <v>1.9174275515929291</v>
      </c>
      <c r="AL6" s="9" cm="1">
        <f t="array" ref="AL6">PRODUCT(1 + 真實IC!$C15:AK15) - 1</f>
        <v>1.9533690896965581</v>
      </c>
      <c r="AM6" s="9" cm="1">
        <f t="array" ref="AM6">PRODUCT(1 + 真實IC!$C15:AL15) - 1</f>
        <v>2.191408942020959</v>
      </c>
      <c r="AN6" s="9" cm="1">
        <f t="array" ref="AN6">PRODUCT(1 + 真實IC!$C15:AM15) - 1</f>
        <v>2.3249292838193245</v>
      </c>
      <c r="AO6" s="9" cm="1">
        <f t="array" ref="AO6">PRODUCT(1 + 真實IC!$C15:AN15) - 1</f>
        <v>2.2252556824962402</v>
      </c>
      <c r="AP6" s="9" cm="1">
        <f t="array" ref="AP6">PRODUCT(1 + 真實IC!$C15:AO15) - 1</f>
        <v>2.2307671499892767</v>
      </c>
      <c r="AQ6" s="9" cm="1">
        <f t="array" ref="AQ6">PRODUCT(1 + 真實IC!$C15:AP15) - 1</f>
        <v>2.382319821547922</v>
      </c>
      <c r="AR6" s="9" cm="1">
        <f t="array" ref="AR6">PRODUCT(1 + 真實IC!$C15:AQ15) - 1</f>
        <v>2.4915462505469588</v>
      </c>
      <c r="AS6" s="9" cm="1">
        <f t="array" ref="AS6">PRODUCT(1 + 真實IC!$C15:AR15) - 1</f>
        <v>2.5643381596896657</v>
      </c>
      <c r="AT6" s="9" cm="1">
        <f t="array" ref="AT6">PRODUCT(1 + 真實IC!$C15:AS15) - 1</f>
        <v>2.6193791356543019</v>
      </c>
      <c r="AU6" s="9" cm="1">
        <f t="array" ref="AU6">PRODUCT(1 + 真實IC!$C15:AT15) - 1</f>
        <v>2.9392003094205545</v>
      </c>
      <c r="AV6" s="9" cm="1">
        <f t="array" ref="AV6">PRODUCT(1 + 真實IC!$C15:AU15) - 1</f>
        <v>3.0010277065426001</v>
      </c>
      <c r="AW6" s="9" cm="1">
        <f t="array" ref="AW6">PRODUCT(1 + 真實IC!$C15:AV15) - 1</f>
        <v>3.3337602016138765</v>
      </c>
      <c r="AX6" s="9" cm="1">
        <f t="array" ref="AX6">PRODUCT(1 + 真實IC!$C15:AW15) - 1</f>
        <v>3.5587370014139559</v>
      </c>
      <c r="AY6" s="9" cm="1">
        <f t="array" ref="AY6">PRODUCT(1 + 真實IC!$C15:AX15) - 1</f>
        <v>3.7795358907972885</v>
      </c>
      <c r="AZ6" s="9" cm="1">
        <f t="array" ref="AZ6">PRODUCT(1 + 真實IC!$C15:AY15) - 1</f>
        <v>4.1059167399851351</v>
      </c>
      <c r="BA6" s="9" cm="1">
        <f t="array" ref="BA6">PRODUCT(1 + 真實IC!$C15:AZ15) - 1</f>
        <v>4.2653261978576253</v>
      </c>
      <c r="BB6" s="9" cm="1">
        <f t="array" ref="BB6">PRODUCT(1 + 真實IC!$C15:BA15) - 1</f>
        <v>4.4032160032931493</v>
      </c>
      <c r="BC6" s="9" cm="1">
        <f t="array" ref="BC6">PRODUCT(1 + 真實IC!$C15:BB15) - 1</f>
        <v>4.6974882890449194</v>
      </c>
      <c r="BD6" s="9" cm="1">
        <f t="array" ref="BD6">PRODUCT(1 + 真實IC!$C15:BC15) - 1</f>
        <v>4.9669285265340246</v>
      </c>
      <c r="BE6" s="9" cm="1">
        <f t="array" ref="BE6">PRODUCT(1 + 真實IC!$C15:BD15) - 1</f>
        <v>5.0323398657427258</v>
      </c>
      <c r="BF6" s="9" cm="1">
        <f t="array" ref="BF6">PRODUCT(1 + 真實IC!$C15:BE15) - 1</f>
        <v>4.7682814909562401</v>
      </c>
      <c r="BG6" s="9" cm="1">
        <f t="array" ref="BG6">PRODUCT(1 + 真實IC!$C15:BF15) - 1</f>
        <v>5.1834913645489005</v>
      </c>
      <c r="BH6" s="9" cm="1">
        <f t="array" ref="BH6">PRODUCT(1 + 真實IC!$C15:BG15) - 1</f>
        <v>5.5410569714755775</v>
      </c>
      <c r="BI6" s="9" cm="1">
        <f t="array" ref="BI6">PRODUCT(1 + 真實IC!$C15:BH15) - 1</f>
        <v>5.9488029642231197</v>
      </c>
      <c r="BJ6" s="9" cm="1">
        <f t="array" ref="BJ6">PRODUCT(1 + 真實IC!$C15:BI15) - 1</f>
        <v>6.4375783555607882</v>
      </c>
      <c r="BK6" s="9" cm="1">
        <f t="array" ref="BK6">PRODUCT(1 + 真實IC!$C15:BJ15) - 1</f>
        <v>6.6180592835661889</v>
      </c>
      <c r="BL6" s="9" cm="1">
        <f t="array" ref="BL6">PRODUCT(1 + 真實IC!$C15:BK15) - 1</f>
        <v>6.550423137134433</v>
      </c>
      <c r="BM6" s="9" cm="1">
        <f t="array" ref="BM6">PRODUCT(1 + 真實IC!$C15:BL15) - 1</f>
        <v>6.847234131887145</v>
      </c>
      <c r="BN6" s="9" cm="1">
        <f t="array" ref="BN6">PRODUCT(1 + 真實IC!$C15:BM15) - 1</f>
        <v>7.0419401268041177</v>
      </c>
      <c r="BO6" s="9" cm="1">
        <f t="array" ref="BO6">PRODUCT(1 + 真實IC!$C15:BN15) - 1</f>
        <v>7.1080952638835999</v>
      </c>
      <c r="BP6" s="9" cm="1">
        <f t="array" ref="BP6">PRODUCT(1 + 真實IC!$C15:BO15) - 1</f>
        <v>7.7776442272618613</v>
      </c>
      <c r="BQ6" s="9" cm="1">
        <f t="array" ref="BQ6">PRODUCT(1 + 真實IC!$C15:BP15) - 1</f>
        <v>8.2832192014383192</v>
      </c>
      <c r="BR6" s="9" cm="1">
        <f t="array" ref="BR6">PRODUCT(1 + 真實IC!$C15:BQ15) - 1</f>
        <v>8.5076549999217939</v>
      </c>
      <c r="BS6" s="9" cm="1">
        <f t="array" ref="BS6">PRODUCT(1 + 真實IC!$C15:BR15) - 1</f>
        <v>9.2818462484857953</v>
      </c>
      <c r="BT6" s="9" cm="1">
        <f t="array" ref="BT6">PRODUCT(1 + 真實IC!$C15:BS15) - 1</f>
        <v>9.6949761193349584</v>
      </c>
      <c r="BU6" s="9" cm="1">
        <f t="array" ref="BU6">PRODUCT(1 + 真實IC!$C15:BT15) - 1</f>
        <v>9.7005489684641333</v>
      </c>
      <c r="BV6" s="9" cm="1">
        <f t="array" ref="BV6">PRODUCT(1 + 真實IC!$C15:BU15) - 1</f>
        <v>9.8666981730947558</v>
      </c>
      <c r="BW6" s="9" cm="1">
        <f t="array" ref="BW6">PRODUCT(1 + 真實IC!$C15:BV15) - 1</f>
        <v>10.625351047625315</v>
      </c>
      <c r="BX6" s="9" cm="1">
        <f t="array" ref="BX6">PRODUCT(1 + 真實IC!$C15:BW15) - 1</f>
        <v>11.505552942373598</v>
      </c>
      <c r="BY6" s="9" cm="1">
        <f t="array" ref="BY6">PRODUCT(1 + 真實IC!$C15:BX15) - 1</f>
        <v>11.983645578739278</v>
      </c>
      <c r="BZ6" s="9" cm="1">
        <f t="array" ref="BZ6">PRODUCT(1 + 真實IC!$C15:BY15) - 1</f>
        <v>13.13780658526658</v>
      </c>
      <c r="CA6" s="9" cm="1">
        <f t="array" ref="CA6">PRODUCT(1 + 真實IC!$C15:BZ15) - 1</f>
        <v>13.839320914808035</v>
      </c>
      <c r="CB6" s="9" cm="1">
        <f t="array" ref="CB6">PRODUCT(1 + 真實IC!$C15:CA15) - 1</f>
        <v>13.675776975795776</v>
      </c>
      <c r="CC6" s="9" cm="1">
        <f t="array" ref="CC6">PRODUCT(1 + 真實IC!$C15:CB15) - 1</f>
        <v>14.057602235165483</v>
      </c>
      <c r="CD6" s="9" cm="1">
        <f t="array" ref="CD6">PRODUCT(1 + 真實IC!$C15:CC15) - 1</f>
        <v>14.181448143148071</v>
      </c>
      <c r="CE6" s="9" cm="1">
        <f t="array" ref="CE6">PRODUCT(1 + 真實IC!$C15:CD15) - 1</f>
        <v>15.745692830951391</v>
      </c>
      <c r="CF6" s="9" cm="1">
        <f t="array" ref="CF6">PRODUCT(1 + 真實IC!$C15:CE15) - 1</f>
        <v>17.075934997553002</v>
      </c>
      <c r="CG6" s="9" cm="1">
        <f t="array" ref="CG6">PRODUCT(1 + 真實IC!$C15:CF15) - 1</f>
        <v>17.274140772551839</v>
      </c>
      <c r="CH6" s="9" cm="1">
        <f t="array" ref="CH6">PRODUCT(1 + 真實IC!$C15:CG15) - 1</f>
        <v>17.402220989937188</v>
      </c>
      <c r="CI6" s="9" cm="1">
        <f t="array" ref="CI6">PRODUCT(1 + 真實IC!$C15:CH15) - 1</f>
        <v>18.690026653005042</v>
      </c>
      <c r="CJ6" s="9" cm="1">
        <f t="array" ref="CJ6">PRODUCT(1 + 真實IC!$C15:CI15) - 1</f>
        <v>19.721125553818691</v>
      </c>
      <c r="CK6" s="9" cm="1">
        <f t="array" ref="CK6">PRODUCT(1 + 真實IC!$C15:CJ15) - 1</f>
        <v>21.398752627218219</v>
      </c>
      <c r="CL6" s="9" cm="1">
        <f t="array" ref="CL6">PRODUCT(1 + 真實IC!$C15:CK15) - 1</f>
        <v>22.176267717530244</v>
      </c>
      <c r="CM6" s="9" cm="1">
        <f t="array" ref="CM6">PRODUCT(1 + 真實IC!$C15:CL15) - 1</f>
        <v>24.398980765900362</v>
      </c>
      <c r="CN6" s="9" cm="1">
        <f t="array" ref="CN6">PRODUCT(1 + 真實IC!$C15:CM15) - 1</f>
        <v>24.043122382887887</v>
      </c>
      <c r="CO6" s="9" cm="1">
        <f t="array" ref="CO6">PRODUCT(1 + 真實IC!$C15:CN15) - 1</f>
        <v>28.844731706967639</v>
      </c>
      <c r="CP6" s="9" cm="1">
        <f t="array" ref="CP6">PRODUCT(1 + 真實IC!$C15:CO15) - 1</f>
        <v>30.65476202426483</v>
      </c>
      <c r="CQ6" s="9" cm="1">
        <f t="array" ref="CQ6">PRODUCT(1 + 真實IC!$C15:CP15) - 1</f>
        <v>31.30612192759294</v>
      </c>
      <c r="CR6" s="9" cm="1">
        <f t="array" ref="CR6">PRODUCT(1 + 真實IC!$C15:CQ15) - 1</f>
        <v>33.674783391540011</v>
      </c>
      <c r="CS6" s="9" cm="1">
        <f t="array" ref="CS6">PRODUCT(1 + 真實IC!$C15:CR15) - 1</f>
        <v>35.883362873124192</v>
      </c>
      <c r="CT6" s="9" cm="1">
        <f t="array" ref="CT6">PRODUCT(1 + 真實IC!$C15:CS15) - 1</f>
        <v>36.637175744360853</v>
      </c>
      <c r="CU6" s="9" cm="1">
        <f t="array" ref="CU6">PRODUCT(1 + 真實IC!$C15:CT15) - 1</f>
        <v>40.207754587052669</v>
      </c>
      <c r="CV6" s="9" cm="1">
        <f t="array" ref="CV6">PRODUCT(1 + 真實IC!$C15:CU15) - 1</f>
        <v>44.017988696623682</v>
      </c>
      <c r="CW6" s="9" cm="1">
        <f t="array" ref="CW6">PRODUCT(1 + 真實IC!$C15:CV15) - 1</f>
        <v>46.474930497180878</v>
      </c>
      <c r="CX6" s="9" cm="1">
        <f t="array" ref="CX6">PRODUCT(1 + 真實IC!$C15:CW15) - 1</f>
        <v>47.517866486171798</v>
      </c>
      <c r="CY6" s="9" cm="1">
        <f t="array" ref="CY6">PRODUCT(1 + 真實IC!$C15:CX15) - 1</f>
        <v>49.001680705851143</v>
      </c>
      <c r="CZ6" s="9" cm="1">
        <f t="array" ref="CZ6">PRODUCT(1 + 真實IC!$C15:CY15) - 1</f>
        <v>46.941523863620837</v>
      </c>
      <c r="DA6" s="9" cm="1">
        <f t="array" ref="DA6">PRODUCT(1 + 真實IC!$C15:CZ15) - 1</f>
        <v>47.176351810547779</v>
      </c>
      <c r="DB6" s="9" cm="1">
        <f t="array" ref="DB6">PRODUCT(1 + 真實IC!$C15:DA15) - 1</f>
        <v>51.597184174541766</v>
      </c>
      <c r="DC6" s="9" cm="1">
        <f t="array" ref="DC6">PRODUCT(1 + 真實IC!$C15:DB15) - 1</f>
        <v>48.3700215993697</v>
      </c>
      <c r="DD6" s="9" cm="1">
        <f t="array" ref="DD6">PRODUCT(1 + 真實IC!$C15:DC15) - 1</f>
        <v>49.727663089310177</v>
      </c>
      <c r="DE6" s="9" cm="1">
        <f t="array" ref="DE6">PRODUCT(1 + 真實IC!$C15:DD15) - 1</f>
        <v>53.978948097282711</v>
      </c>
      <c r="DF6" s="9" cm="1">
        <f t="array" ref="DF6">PRODUCT(1 + 真實IC!$C15:DE15) - 1</f>
        <v>57.205466458029463</v>
      </c>
      <c r="DG6" s="9" cm="1">
        <f t="array" ref="DG6">PRODUCT(1 + 真實IC!$C15:DF15) - 1</f>
        <v>56.200163059337669</v>
      </c>
      <c r="DH6" s="9" cm="1">
        <f t="array" ref="DH6">PRODUCT(1 + 真實IC!$C15:DG15) - 1</f>
        <v>52.119745943082457</v>
      </c>
      <c r="DI6" s="9" cm="1">
        <f t="array" ref="DI6">PRODUCT(1 + 真實IC!$C15:DH15) - 1</f>
        <v>50.058353622278418</v>
      </c>
      <c r="DJ6" s="9" cm="1">
        <f t="array" ref="DJ6">PRODUCT(1 + 真實IC!$C15:DI15) - 1</f>
        <v>48.548536679824615</v>
      </c>
      <c r="DK6" s="9" cm="1">
        <f t="array" ref="DK6">PRODUCT(1 + 真實IC!$C15:DJ15) - 1</f>
        <v>51.623293137964282</v>
      </c>
      <c r="DL6" s="9" cm="1">
        <f t="array" ref="DL6">PRODUCT(1 + 真實IC!$C15:DK15) - 1</f>
        <v>50.391861144052818</v>
      </c>
      <c r="DM6" s="9" cm="1">
        <f t="array" ref="DM6">PRODUCT(1 + 真實IC!$C15:DL15) - 1</f>
        <v>51.174667612519286</v>
      </c>
      <c r="DN6" s="9" cm="1">
        <f t="array" ref="DN6">PRODUCT(1 + 真實IC!$C15:DM15) - 1</f>
        <v>53.811784552114105</v>
      </c>
      <c r="DO6" s="9" cm="1">
        <f t="array" ref="DO6">PRODUCT(1 + 真實IC!$C15:DN15) - 1</f>
        <v>55.700641789466012</v>
      </c>
      <c r="DP6" s="9" cm="1">
        <f t="array" ref="DP6">PRODUCT(1 + 真實IC!$C15:DO15) - 1</f>
        <v>58.213905642112472</v>
      </c>
      <c r="DQ6" s="9" cm="1">
        <f t="array" ref="DQ6">PRODUCT(1 + 真實IC!$C15:DP15) - 1</f>
        <v>62.440920915454612</v>
      </c>
      <c r="DR6" s="9" cm="1">
        <f t="array" ref="DR6">PRODUCT(1 + 真實IC!$C15:DQ15) - 1</f>
        <v>63.669085581483785</v>
      </c>
      <c r="DS6" s="9" cm="1">
        <f t="array" ref="DS6">PRODUCT(1 + 真實IC!$C15:DR15) - 1</f>
        <v>65.249216797953864</v>
      </c>
      <c r="DT6" s="9" cm="1">
        <f t="array" ref="DT6">PRODUCT(1 + 真實IC!$C15:DS15) - 1</f>
        <v>63.267358632294503</v>
      </c>
      <c r="DU6" s="9" cm="1">
        <f t="array" ref="DU6">PRODUCT(1 + 真實IC!$C15:DT15) - 1</f>
        <v>62.009399557944519</v>
      </c>
      <c r="DV6" s="9" cm="1">
        <f t="array" ref="DV6">PRODUCT(1 + 真實IC!$C15:DU15) - 1</f>
        <v>63.502650104909549</v>
      </c>
      <c r="DW6" s="9" cm="1">
        <f t="array" ref="DW6">PRODUCT(1 + 真實IC!$C15:DV15) - 1</f>
        <v>63.382115447367369</v>
      </c>
      <c r="DX6" s="9" cm="1">
        <f t="array" ref="DX6">PRODUCT(1 + 真實IC!$C15:DW15) - 1</f>
        <v>67.773746673784785</v>
      </c>
      <c r="DY6" s="9" cm="1">
        <f t="array" ref="DY6">PRODUCT(1 + 真實IC!$C15:DX15) - 1</f>
        <v>71.115789578060472</v>
      </c>
      <c r="DZ6" s="9" cm="1">
        <f t="array" ref="DZ6">PRODUCT(1 + 真實IC!$C15:DY15) - 1</f>
        <v>70.430356055685635</v>
      </c>
      <c r="EA6" s="9" cm="1">
        <f t="array" ref="EA6">PRODUCT(1 + 真實IC!$C15:DZ15) - 1</f>
        <v>73.47463331228667</v>
      </c>
      <c r="EB6" s="9" cm="1">
        <f t="array" ref="EB6">PRODUCT(1 + 真實IC!$C15:EA15) - 1</f>
        <v>83.629737246444037</v>
      </c>
      <c r="EC6" s="9" cm="1">
        <f t="array" ref="EC6">PRODUCT(1 + 真實IC!$C15:EB15) - 1</f>
        <v>88.543305627075853</v>
      </c>
      <c r="ED6" s="9" cm="1">
        <f t="array" ref="ED6">PRODUCT(1 + 真實IC!$C15:EC15) - 1</f>
        <v>88.675466540592808</v>
      </c>
      <c r="EE6" s="9" cm="1">
        <f t="array" ref="EE6">PRODUCT(1 + 真實IC!$C15:ED15) - 1</f>
        <v>89.777135454942211</v>
      </c>
      <c r="EF6" s="9" cm="1">
        <f t="array" ref="EF6">PRODUCT(1 + 真實IC!$C15:EE15) - 1</f>
        <v>86.521188373558047</v>
      </c>
      <c r="EG6" s="9" cm="1">
        <f t="array" ref="EG6">PRODUCT(1 + 真實IC!$C15:EF15) - 1</f>
        <v>82.330738159218143</v>
      </c>
    </row>
    <row r="7" spans="3:137" ht="16">
      <c r="C7" s="6">
        <v>50</v>
      </c>
      <c r="D7" s="9" cm="1">
        <f t="array" ref="D7">PRODUCT(1 + 真實IC!$C16:C16) - 1</f>
        <v>-3.3228977675766158E-2</v>
      </c>
      <c r="E7" s="9" cm="1">
        <f t="array" ref="E7">PRODUCT(1 + 真實IC!$C16:D16) - 1</f>
        <v>0.10370799743454429</v>
      </c>
      <c r="F7" s="9" cm="1">
        <f t="array" ref="F7">PRODUCT(1 + 真實IC!$C16:E16) - 1</f>
        <v>0.15659850805241926</v>
      </c>
      <c r="G7" s="9" cm="1">
        <f t="array" ref="G7">PRODUCT(1 + 真實IC!$C16:F16) - 1</f>
        <v>8.6807150865061189E-2</v>
      </c>
      <c r="H7" s="9" cm="1">
        <f t="array" ref="H7">PRODUCT(1 + 真實IC!$C16:G16) - 1</f>
        <v>8.9154553677129655E-2</v>
      </c>
      <c r="I7" s="9" cm="1">
        <f t="array" ref="I7">PRODUCT(1 + 真實IC!$C16:H16) - 1</f>
        <v>0.1016888284000157</v>
      </c>
      <c r="J7" s="9" cm="1">
        <f t="array" ref="J7">PRODUCT(1 + 真實IC!$C16:I16) - 1</f>
        <v>0.13379852760311284</v>
      </c>
      <c r="K7" s="9" cm="1">
        <f t="array" ref="K7">PRODUCT(1 + 真實IC!$C16:J16) - 1</f>
        <v>0.2155164075169993</v>
      </c>
      <c r="L7" s="9" cm="1">
        <f t="array" ref="L7">PRODUCT(1 + 真實IC!$C16:K16) - 1</f>
        <v>0.25566700143670396</v>
      </c>
      <c r="M7" s="9" cm="1">
        <f t="array" ref="M7">PRODUCT(1 + 真實IC!$C16:L16) - 1</f>
        <v>0.3942391855583729</v>
      </c>
      <c r="N7" s="9" cm="1">
        <f t="array" ref="N7">PRODUCT(1 + 真實IC!$C16:M16) - 1</f>
        <v>0.34889209500359097</v>
      </c>
      <c r="O7" s="9" cm="1">
        <f t="array" ref="O7">PRODUCT(1 + 真實IC!$C16:N16) - 1</f>
        <v>0.42627726111613651</v>
      </c>
      <c r="P7" s="9" cm="1">
        <f t="array" ref="P7">PRODUCT(1 + 真實IC!$C16:O16) - 1</f>
        <v>0.44085478637698849</v>
      </c>
      <c r="Q7" s="9" cm="1">
        <f t="array" ref="Q7">PRODUCT(1 + 真實IC!$C16:P16) - 1</f>
        <v>0.45028002407424639</v>
      </c>
      <c r="R7" s="9" cm="1">
        <f t="array" ref="R7">PRODUCT(1 + 真實IC!$C16:Q16) - 1</f>
        <v>0.51864444592729675</v>
      </c>
      <c r="S7" s="9" cm="1">
        <f t="array" ref="S7">PRODUCT(1 + 真實IC!$C16:R16) - 1</f>
        <v>0.55488146531145977</v>
      </c>
      <c r="T7" s="9" cm="1">
        <f t="array" ref="T7">PRODUCT(1 + 真實IC!$C16:S16) - 1</f>
        <v>0.71316020022671101</v>
      </c>
      <c r="U7" s="9" cm="1">
        <f t="array" ref="U7">PRODUCT(1 + 真實IC!$C16:T16) - 1</f>
        <v>0.95949010073308472</v>
      </c>
      <c r="V7" s="9" cm="1">
        <f t="array" ref="V7">PRODUCT(1 + 真實IC!$C16:U16) - 1</f>
        <v>1.0284308846043189</v>
      </c>
      <c r="W7" s="9" cm="1">
        <f t="array" ref="W7">PRODUCT(1 + 真實IC!$C16:V16) - 1</f>
        <v>1.1484688772960485</v>
      </c>
      <c r="X7" s="9" cm="1">
        <f t="array" ref="X7">PRODUCT(1 + 真實IC!$C16:W16) - 1</f>
        <v>1.251154953159296</v>
      </c>
      <c r="Y7" s="9" cm="1">
        <f t="array" ref="Y7">PRODUCT(1 + 真實IC!$C16:X16) - 1</f>
        <v>1.7421555646238822</v>
      </c>
      <c r="Z7" s="9" cm="1">
        <f t="array" ref="Z7">PRODUCT(1 + 真實IC!$C16:Y16) - 1</f>
        <v>1.8243007620764442</v>
      </c>
      <c r="AA7" s="9" cm="1">
        <f t="array" ref="AA7">PRODUCT(1 + 真實IC!$C16:Z16) - 1</f>
        <v>2.2359252511865408</v>
      </c>
      <c r="AB7" s="9" cm="1">
        <f t="array" ref="AB7">PRODUCT(1 + 真實IC!$C16:AA16) - 1</f>
        <v>2.5824393215559058</v>
      </c>
      <c r="AC7" s="9" cm="1">
        <f t="array" ref="AC7">PRODUCT(1 + 真實IC!$C16:AB16) - 1</f>
        <v>2.7051896937413766</v>
      </c>
      <c r="AD7" s="9" cm="1">
        <f t="array" ref="AD7">PRODUCT(1 + 真實IC!$C16:AC16) - 1</f>
        <v>2.9583331970477316</v>
      </c>
      <c r="AE7" s="9" cm="1">
        <f t="array" ref="AE7">PRODUCT(1 + 真實IC!$C16:AD16) - 1</f>
        <v>3.1096201228981428</v>
      </c>
      <c r="AF7" s="9" cm="1">
        <f t="array" ref="AF7">PRODUCT(1 + 真實IC!$C16:AE16) - 1</f>
        <v>3.5897754797682602</v>
      </c>
      <c r="AG7" s="9" cm="1">
        <f t="array" ref="AG7">PRODUCT(1 + 真實IC!$C16:AF16) - 1</f>
        <v>4.3082289775508844</v>
      </c>
      <c r="AH7" s="9" cm="1">
        <f t="array" ref="AH7">PRODUCT(1 + 真實IC!$C16:AG16) - 1</f>
        <v>4.1737752797928085</v>
      </c>
      <c r="AI7" s="9" cm="1">
        <f t="array" ref="AI7">PRODUCT(1 + 真實IC!$C16:AH16) - 1</f>
        <v>4.5838062280628611</v>
      </c>
      <c r="AJ7" s="9" cm="1">
        <f t="array" ref="AJ7">PRODUCT(1 + 真實IC!$C16:AI16) - 1</f>
        <v>4.7818227599275058</v>
      </c>
      <c r="AK7" s="9" cm="1">
        <f t="array" ref="AK7">PRODUCT(1 + 真實IC!$C16:AJ16) - 1</f>
        <v>4.932494455460156</v>
      </c>
      <c r="AL7" s="9" cm="1">
        <f t="array" ref="AL7">PRODUCT(1 + 真實IC!$C16:AK16) - 1</f>
        <v>4.910210957926175</v>
      </c>
      <c r="AM7" s="9" cm="1">
        <f t="array" ref="AM7">PRODUCT(1 + 真實IC!$C16:AL16) - 1</f>
        <v>5.5127235165299044</v>
      </c>
      <c r="AN7" s="9" cm="1">
        <f t="array" ref="AN7">PRODUCT(1 + 真實IC!$C16:AM16) - 1</f>
        <v>5.6951724422315388</v>
      </c>
      <c r="AO7" s="9" cm="1">
        <f t="array" ref="AO7">PRODUCT(1 + 真實IC!$C16:AN16) - 1</f>
        <v>5.5670768999832445</v>
      </c>
      <c r="AP7" s="9" cm="1">
        <f t="array" ref="AP7">PRODUCT(1 + 真實IC!$C16:AO16) - 1</f>
        <v>5.8169170887370338</v>
      </c>
      <c r="AQ7" s="9" cm="1">
        <f t="array" ref="AQ7">PRODUCT(1 + 真實IC!$C16:AP16) - 1</f>
        <v>6.3432689273220975</v>
      </c>
      <c r="AR7" s="9" cm="1">
        <f t="array" ref="AR7">PRODUCT(1 + 真實IC!$C16:AQ16) - 1</f>
        <v>6.7069042157176906</v>
      </c>
      <c r="AS7" s="9" cm="1">
        <f t="array" ref="AS7">PRODUCT(1 + 真實IC!$C16:AR16) - 1</f>
        <v>6.7653432940959624</v>
      </c>
      <c r="AT7" s="9" cm="1">
        <f t="array" ref="AT7">PRODUCT(1 + 真實IC!$C16:AS16) - 1</f>
        <v>6.9764305721745838</v>
      </c>
      <c r="AU7" s="9" cm="1">
        <f t="array" ref="AU7">PRODUCT(1 + 真實IC!$C16:AT16) - 1</f>
        <v>7.9905273327275452</v>
      </c>
      <c r="AV7" s="9" cm="1">
        <f t="array" ref="AV7">PRODUCT(1 + 真實IC!$C16:AU16) - 1</f>
        <v>8.5067779149194713</v>
      </c>
      <c r="AW7" s="9" cm="1">
        <f t="array" ref="AW7">PRODUCT(1 + 真實IC!$C16:AV16) - 1</f>
        <v>8.7223488055102241</v>
      </c>
      <c r="AX7" s="9" cm="1">
        <f t="array" ref="AX7">PRODUCT(1 + 真實IC!$C16:AW16) - 1</f>
        <v>9.9348280530705235</v>
      </c>
      <c r="AY7" s="9" cm="1">
        <f t="array" ref="AY7">PRODUCT(1 + 真實IC!$C16:AX16) - 1</f>
        <v>10.52205803313956</v>
      </c>
      <c r="AZ7" s="9" cm="1">
        <f t="array" ref="AZ7">PRODUCT(1 + 真實IC!$C16:AY16) - 1</f>
        <v>12.172575735508786</v>
      </c>
      <c r="BA7" s="9" cm="1">
        <f t="array" ref="BA7">PRODUCT(1 + 真實IC!$C16:AZ16) - 1</f>
        <v>12.977032582109395</v>
      </c>
      <c r="BB7" s="9" cm="1">
        <f t="array" ref="BB7">PRODUCT(1 + 真實IC!$C16:BA16) - 1</f>
        <v>13.911953937275138</v>
      </c>
      <c r="BC7" s="9" cm="1">
        <f t="array" ref="BC7">PRODUCT(1 + 真實IC!$C16:BB16) - 1</f>
        <v>15.999357453310562</v>
      </c>
      <c r="BD7" s="9" cm="1">
        <f t="array" ref="BD7">PRODUCT(1 + 真實IC!$C16:BC16) - 1</f>
        <v>16.580774611239832</v>
      </c>
      <c r="BE7" s="9" cm="1">
        <f t="array" ref="BE7">PRODUCT(1 + 真實IC!$C16:BD16) - 1</f>
        <v>17.531712603917445</v>
      </c>
      <c r="BF7" s="9" cm="1">
        <f t="array" ref="BF7">PRODUCT(1 + 真實IC!$C16:BE16) - 1</f>
        <v>16.23297738073628</v>
      </c>
      <c r="BG7" s="9" cm="1">
        <f t="array" ref="BG7">PRODUCT(1 + 真實IC!$C16:BF16) - 1</f>
        <v>18.131578116746518</v>
      </c>
      <c r="BH7" s="9" cm="1">
        <f t="array" ref="BH7">PRODUCT(1 + 真實IC!$C16:BG16) - 1</f>
        <v>20.053819133845586</v>
      </c>
      <c r="BI7" s="9" cm="1">
        <f t="array" ref="BI7">PRODUCT(1 + 真實IC!$C16:BH16) - 1</f>
        <v>21.571529251341985</v>
      </c>
      <c r="BJ7" s="9" cm="1">
        <f t="array" ref="BJ7">PRODUCT(1 + 真實IC!$C16:BI16) - 1</f>
        <v>22.538269356335714</v>
      </c>
      <c r="BK7" s="9" cm="1">
        <f t="array" ref="BK7">PRODUCT(1 + 真實IC!$C16:BJ16) - 1</f>
        <v>24.153093391397459</v>
      </c>
      <c r="BL7" s="9" cm="1">
        <f t="array" ref="BL7">PRODUCT(1 + 真實IC!$C16:BK16) - 1</f>
        <v>23.305649960899231</v>
      </c>
      <c r="BM7" s="9" cm="1">
        <f t="array" ref="BM7">PRODUCT(1 + 真實IC!$C16:BL16) - 1</f>
        <v>24.338557886678792</v>
      </c>
      <c r="BN7" s="9" cm="1">
        <f t="array" ref="BN7">PRODUCT(1 + 真實IC!$C16:BM16) - 1</f>
        <v>24.772614489240208</v>
      </c>
      <c r="BO7" s="9" cm="1">
        <f t="array" ref="BO7">PRODUCT(1 + 真實IC!$C16:BN16) - 1</f>
        <v>26.906398396420059</v>
      </c>
      <c r="BP7" s="9" cm="1">
        <f t="array" ref="BP7">PRODUCT(1 + 真實IC!$C16:BO16) - 1</f>
        <v>27.468459242165054</v>
      </c>
      <c r="BQ7" s="9" cm="1">
        <f t="array" ref="BQ7">PRODUCT(1 + 真實IC!$C16:BP16) - 1</f>
        <v>29.470342631351578</v>
      </c>
      <c r="BR7" s="9" cm="1">
        <f t="array" ref="BR7">PRODUCT(1 + 真實IC!$C16:BQ16) - 1</f>
        <v>29.898606204558391</v>
      </c>
      <c r="BS7" s="9" cm="1">
        <f t="array" ref="BS7">PRODUCT(1 + 真實IC!$C16:BR16) - 1</f>
        <v>32.58147608784347</v>
      </c>
      <c r="BT7" s="9" cm="1">
        <f t="array" ref="BT7">PRODUCT(1 + 真實IC!$C16:BS16) - 1</f>
        <v>33.600093733084364</v>
      </c>
      <c r="BU7" s="9" cm="1">
        <f t="array" ref="BU7">PRODUCT(1 + 真實IC!$C16:BT16) - 1</f>
        <v>32.536954779045537</v>
      </c>
      <c r="BV7" s="9" cm="1">
        <f t="array" ref="BV7">PRODUCT(1 + 真實IC!$C16:BU16) - 1</f>
        <v>33.140704267997577</v>
      </c>
      <c r="BW7" s="9" cm="1">
        <f t="array" ref="BW7">PRODUCT(1 + 真實IC!$C16:BV16) - 1</f>
        <v>36.615178497675466</v>
      </c>
      <c r="BX7" s="9" cm="1">
        <f t="array" ref="BX7">PRODUCT(1 + 真實IC!$C16:BW16) - 1</f>
        <v>41.538911646954993</v>
      </c>
      <c r="BY7" s="9" cm="1">
        <f t="array" ref="BY7">PRODUCT(1 + 真實IC!$C16:BX16) - 1</f>
        <v>44.456716650910138</v>
      </c>
      <c r="BZ7" s="9" cm="1">
        <f t="array" ref="BZ7">PRODUCT(1 + 真實IC!$C16:BY16) - 1</f>
        <v>47.484587295348497</v>
      </c>
      <c r="CA7" s="9" cm="1">
        <f t="array" ref="CA7">PRODUCT(1 + 真實IC!$C16:BZ16) - 1</f>
        <v>48.772260607338175</v>
      </c>
      <c r="CB7" s="9" cm="1">
        <f t="array" ref="CB7">PRODUCT(1 + 真實IC!$C16:CA16) - 1</f>
        <v>43.96842494741113</v>
      </c>
      <c r="CC7" s="9" cm="1">
        <f t="array" ref="CC7">PRODUCT(1 + 真實IC!$C16:CB16) - 1</f>
        <v>46.643014669313828</v>
      </c>
      <c r="CD7" s="9" cm="1">
        <f t="array" ref="CD7">PRODUCT(1 + 真實IC!$C16:CC16) - 1</f>
        <v>48.023503487422253</v>
      </c>
      <c r="CE7" s="9" cm="1">
        <f t="array" ref="CE7">PRODUCT(1 + 真實IC!$C16:CD16) - 1</f>
        <v>52.75857283205</v>
      </c>
      <c r="CF7" s="9" cm="1">
        <f t="array" ref="CF7">PRODUCT(1 + 真實IC!$C16:CE16) - 1</f>
        <v>58.906032750751002</v>
      </c>
      <c r="CG7" s="9" cm="1">
        <f t="array" ref="CG7">PRODUCT(1 + 真實IC!$C16:CF16) - 1</f>
        <v>60.148202210998306</v>
      </c>
      <c r="CH7" s="9" cm="1">
        <f t="array" ref="CH7">PRODUCT(1 + 真實IC!$C16:CG16) - 1</f>
        <v>59.912485310352089</v>
      </c>
      <c r="CI7" s="9" cm="1">
        <f t="array" ref="CI7">PRODUCT(1 + 真實IC!$C16:CH16) - 1</f>
        <v>61.446164303693038</v>
      </c>
      <c r="CJ7" s="9" cm="1">
        <f t="array" ref="CJ7">PRODUCT(1 + 真實IC!$C16:CI16) - 1</f>
        <v>65.481994995305385</v>
      </c>
      <c r="CK7" s="9" cm="1">
        <f t="array" ref="CK7">PRODUCT(1 + 真實IC!$C16:CJ16) - 1</f>
        <v>73.813325982792662</v>
      </c>
      <c r="CL7" s="9" cm="1">
        <f t="array" ref="CL7">PRODUCT(1 + 真實IC!$C16:CK16) - 1</f>
        <v>77.573650133906895</v>
      </c>
      <c r="CM7" s="9" cm="1">
        <f t="array" ref="CM7">PRODUCT(1 + 真實IC!$C16:CL16) - 1</f>
        <v>79.15038296392035</v>
      </c>
      <c r="CN7" s="9" cm="1">
        <f t="array" ref="CN7">PRODUCT(1 + 真實IC!$C16:CM16) - 1</f>
        <v>79.558918032179818</v>
      </c>
      <c r="CO7" s="9" cm="1">
        <f t="array" ref="CO7">PRODUCT(1 + 真實IC!$C16:CN16) - 1</f>
        <v>97.110645254181719</v>
      </c>
      <c r="CP7" s="9" cm="1">
        <f t="array" ref="CP7">PRODUCT(1 + 真實IC!$C16:CO16) - 1</f>
        <v>108.7524529895247</v>
      </c>
      <c r="CQ7" s="9" cm="1">
        <f t="array" ref="CQ7">PRODUCT(1 + 真實IC!$C16:CP16) - 1</f>
        <v>119.03179724702747</v>
      </c>
      <c r="CR7" s="9" cm="1">
        <f t="array" ref="CR7">PRODUCT(1 + 真實IC!$C16:CQ16) - 1</f>
        <v>130.12907049010076</v>
      </c>
      <c r="CS7" s="9" cm="1">
        <f t="array" ref="CS7">PRODUCT(1 + 真實IC!$C16:CR16) - 1</f>
        <v>146.59752277491074</v>
      </c>
      <c r="CT7" s="9" cm="1">
        <f t="array" ref="CT7">PRODUCT(1 + 真實IC!$C16:CS16) - 1</f>
        <v>143.37819698584519</v>
      </c>
      <c r="CU7" s="9" cm="1">
        <f t="array" ref="CU7">PRODUCT(1 + 真實IC!$C16:CT16) - 1</f>
        <v>157.76939463328367</v>
      </c>
      <c r="CV7" s="9" cm="1">
        <f t="array" ref="CV7">PRODUCT(1 + 真實IC!$C16:CU16) - 1</f>
        <v>177.13035173299511</v>
      </c>
      <c r="CW7" s="9" cm="1">
        <f t="array" ref="CW7">PRODUCT(1 + 真實IC!$C16:CV16) - 1</f>
        <v>187.58216384681467</v>
      </c>
      <c r="CX7" s="9" cm="1">
        <f t="array" ref="CX7">PRODUCT(1 + 真實IC!$C16:CW16) - 1</f>
        <v>185.94652487594772</v>
      </c>
      <c r="CY7" s="9" cm="1">
        <f t="array" ref="CY7">PRODUCT(1 + 真實IC!$C16:CX16) - 1</f>
        <v>202.8912134464569</v>
      </c>
      <c r="CZ7" s="9" cm="1">
        <f t="array" ref="CZ7">PRODUCT(1 + 真實IC!$C16:CY16) - 1</f>
        <v>183.24402569573306</v>
      </c>
      <c r="DA7" s="9" cm="1">
        <f t="array" ref="DA7">PRODUCT(1 + 真實IC!$C16:CZ16) - 1</f>
        <v>185.14199703910162</v>
      </c>
      <c r="DB7" s="9" cm="1">
        <f t="array" ref="DB7">PRODUCT(1 + 真實IC!$C16:DA16) - 1</f>
        <v>201.9422776382454</v>
      </c>
      <c r="DC7" s="9" cm="1">
        <f t="array" ref="DC7">PRODUCT(1 + 真實IC!$C16:DB16) - 1</f>
        <v>183.62896669519967</v>
      </c>
      <c r="DD7" s="9" cm="1">
        <f t="array" ref="DD7">PRODUCT(1 + 真實IC!$C16:DC16) - 1</f>
        <v>187.24530880574176</v>
      </c>
      <c r="DE7" s="9" cm="1">
        <f t="array" ref="DE7">PRODUCT(1 + 真實IC!$C16:DD16) - 1</f>
        <v>205.13357838006092</v>
      </c>
      <c r="DF7" s="9" cm="1">
        <f t="array" ref="DF7">PRODUCT(1 + 真實IC!$C16:DE16) - 1</f>
        <v>211.19417851762819</v>
      </c>
      <c r="DG7" s="9" cm="1">
        <f t="array" ref="DG7">PRODUCT(1 + 真實IC!$C16:DF16) - 1</f>
        <v>197.57546959250342</v>
      </c>
      <c r="DH7" s="9" cm="1">
        <f t="array" ref="DH7">PRODUCT(1 + 真實IC!$C16:DG16) - 1</f>
        <v>180.23490528192858</v>
      </c>
      <c r="DI7" s="9" cm="1">
        <f t="array" ref="DI7">PRODUCT(1 + 真實IC!$C16:DH16) - 1</f>
        <v>178.71013246077973</v>
      </c>
      <c r="DJ7" s="9" cm="1">
        <f t="array" ref="DJ7">PRODUCT(1 + 真實IC!$C16:DI16) - 1</f>
        <v>171.40327398968049</v>
      </c>
      <c r="DK7" s="9" cm="1">
        <f t="array" ref="DK7">PRODUCT(1 + 真實IC!$C16:DJ16) - 1</f>
        <v>184.49209173637058</v>
      </c>
      <c r="DL7" s="9" cm="1">
        <f t="array" ref="DL7">PRODUCT(1 + 真實IC!$C16:DK16) - 1</f>
        <v>170.13253970521089</v>
      </c>
      <c r="DM7" s="9" cm="1">
        <f t="array" ref="DM7">PRODUCT(1 + 真實IC!$C16:DL16) - 1</f>
        <v>178.498992716842</v>
      </c>
      <c r="DN7" s="9" cm="1">
        <f t="array" ref="DN7">PRODUCT(1 + 真實IC!$C16:DM16) - 1</f>
        <v>176.69657468995109</v>
      </c>
      <c r="DO7" s="9" cm="1">
        <f t="array" ref="DO7">PRODUCT(1 + 真實IC!$C16:DN16) - 1</f>
        <v>180.12680092820682</v>
      </c>
      <c r="DP7" s="9" cm="1">
        <f t="array" ref="DP7">PRODUCT(1 + 真實IC!$C16:DO16) - 1</f>
        <v>192.85794094041549</v>
      </c>
      <c r="DQ7" s="9" cm="1">
        <f t="array" ref="DQ7">PRODUCT(1 + 真實IC!$C16:DP16) - 1</f>
        <v>205.67759152324962</v>
      </c>
      <c r="DR7" s="9" cm="1">
        <f t="array" ref="DR7">PRODUCT(1 + 真實IC!$C16:DQ16) - 1</f>
        <v>215.23127902209762</v>
      </c>
      <c r="DS7" s="9" cm="1">
        <f t="array" ref="DS7">PRODUCT(1 + 真實IC!$C16:DR16) - 1</f>
        <v>212.16807472424429</v>
      </c>
      <c r="DT7" s="9" cm="1">
        <f t="array" ref="DT7">PRODUCT(1 + 真實IC!$C16:DS16) - 1</f>
        <v>193.10280081348833</v>
      </c>
      <c r="DU7" s="9" cm="1">
        <f t="array" ref="DU7">PRODUCT(1 + 真實IC!$C16:DT16) - 1</f>
        <v>199.34286475090002</v>
      </c>
      <c r="DV7" s="9" cm="1">
        <f t="array" ref="DV7">PRODUCT(1 + 真實IC!$C16:DU16) - 1</f>
        <v>223.16715471311076</v>
      </c>
      <c r="DW7" s="9" cm="1">
        <f t="array" ref="DW7">PRODUCT(1 + 真實IC!$C16:DV16) - 1</f>
        <v>222.93059060159993</v>
      </c>
      <c r="DX7" s="9" cm="1">
        <f t="array" ref="DX7">PRODUCT(1 + 真實IC!$C16:DW16) - 1</f>
        <v>240.54647276619048</v>
      </c>
      <c r="DY7" s="9" cm="1">
        <f t="array" ref="DY7">PRODUCT(1 + 真實IC!$C16:DX16) - 1</f>
        <v>256.31730185991916</v>
      </c>
      <c r="DZ7" s="9" cm="1">
        <f t="array" ref="DZ7">PRODUCT(1 + 真實IC!$C16:DY16) - 1</f>
        <v>244.05330538342295</v>
      </c>
      <c r="EA7" s="9" cm="1">
        <f t="array" ref="EA7">PRODUCT(1 + 真實IC!$C16:DZ16) - 1</f>
        <v>248.39809111721237</v>
      </c>
      <c r="EB7" s="9" cm="1">
        <f t="array" ref="EB7">PRODUCT(1 + 真實IC!$C16:EA16) - 1</f>
        <v>296.36985366708598</v>
      </c>
      <c r="EC7" s="9" cm="1">
        <f t="array" ref="EC7">PRODUCT(1 + 真實IC!$C16:EB16) - 1</f>
        <v>322.58561767523929</v>
      </c>
      <c r="ED7" s="9" cm="1">
        <f t="array" ref="ED7">PRODUCT(1 + 真實IC!$C16:EC16) - 1</f>
        <v>320.38080438064043</v>
      </c>
      <c r="EE7" s="9" cm="1">
        <f t="array" ref="EE7">PRODUCT(1 + 真實IC!$C16:ED16) - 1</f>
        <v>330.86485699907155</v>
      </c>
      <c r="EF7" s="9" cm="1">
        <f t="array" ref="EF7">PRODUCT(1 + 真實IC!$C16:EE16) - 1</f>
        <v>316.75869590418648</v>
      </c>
      <c r="EG7" s="9" cm="1">
        <f t="array" ref="EG7">PRODUCT(1 + 真實IC!$C16:EF16) - 1</f>
        <v>289.7646547576893</v>
      </c>
    </row>
    <row r="8" spans="3:137" ht="16">
      <c r="C8" s="6">
        <v>100</v>
      </c>
      <c r="D8" s="9" cm="1">
        <f t="array" ref="D8">PRODUCT(1 + 真實IC!$C17:C17) - 1</f>
        <v>-3.6350225217569587E-2</v>
      </c>
      <c r="E8" s="9" cm="1">
        <f t="array" ref="E8">PRODUCT(1 + 真實IC!$C17:D17) - 1</f>
        <v>0.22675976836332001</v>
      </c>
      <c r="F8" s="9" cm="1">
        <f t="array" ref="F8">PRODUCT(1 + 真實IC!$C17:E17) - 1</f>
        <v>0.34372469448557963</v>
      </c>
      <c r="G8" s="9" cm="1">
        <f t="array" ref="G8">PRODUCT(1 + 真實IC!$C17:F17) - 1</f>
        <v>0.39064949115372549</v>
      </c>
      <c r="H8" s="9" cm="1">
        <f t="array" ref="H8">PRODUCT(1 + 真實IC!$C17:G17) - 1</f>
        <v>0.52427699783670656</v>
      </c>
      <c r="I8" s="9" cm="1">
        <f t="array" ref="I8">PRODUCT(1 + 真實IC!$C17:H17) - 1</f>
        <v>0.52617278085868624</v>
      </c>
      <c r="J8" s="9" cm="1">
        <f t="array" ref="J8">PRODUCT(1 + 真實IC!$C17:I17) - 1</f>
        <v>0.56122860450817025</v>
      </c>
      <c r="K8" s="9" cm="1">
        <f t="array" ref="K8">PRODUCT(1 + 真實IC!$C17:J17) - 1</f>
        <v>0.59121604682361628</v>
      </c>
      <c r="L8" s="9" cm="1">
        <f t="array" ref="L8">PRODUCT(1 + 真實IC!$C17:K17) - 1</f>
        <v>0.59825673659641843</v>
      </c>
      <c r="M8" s="9" cm="1">
        <f t="array" ref="M8">PRODUCT(1 + 真實IC!$C17:L17) - 1</f>
        <v>0.6377078454256413</v>
      </c>
      <c r="N8" s="9" cm="1">
        <f t="array" ref="N8">PRODUCT(1 + 真實IC!$C17:M17) - 1</f>
        <v>0.74854042463016812</v>
      </c>
      <c r="O8" s="9" cm="1">
        <f t="array" ref="O8">PRODUCT(1 + 真實IC!$C17:N17) - 1</f>
        <v>0.94052350905306814</v>
      </c>
      <c r="P8" s="9" cm="1">
        <f t="array" ref="P8">PRODUCT(1 + 真實IC!$C17:O17) - 1</f>
        <v>0.83708535887676017</v>
      </c>
      <c r="Q8" s="9" cm="1">
        <f t="array" ref="Q8">PRODUCT(1 + 真實IC!$C17:P17) - 1</f>
        <v>0.87731122674904372</v>
      </c>
      <c r="R8" s="9" cm="1">
        <f t="array" ref="R8">PRODUCT(1 + 真實IC!$C17:Q17) - 1</f>
        <v>0.9927130574775116</v>
      </c>
      <c r="S8" s="9" cm="1">
        <f t="array" ref="S8">PRODUCT(1 + 真實IC!$C17:R17) - 1</f>
        <v>1.0172699988325351</v>
      </c>
      <c r="T8" s="9" cm="1">
        <f t="array" ref="T8">PRODUCT(1 + 真實IC!$C17:S17) - 1</f>
        <v>1.3063867881782332</v>
      </c>
      <c r="U8" s="9" cm="1">
        <f t="array" ref="U8">PRODUCT(1 + 真實IC!$C17:T17) - 1</f>
        <v>1.7641867749931914</v>
      </c>
      <c r="V8" s="9" cm="1">
        <f t="array" ref="V8">PRODUCT(1 + 真實IC!$C17:U17) - 1</f>
        <v>1.8615224638459407</v>
      </c>
      <c r="W8" s="9" cm="1">
        <f t="array" ref="W8">PRODUCT(1 + 真實IC!$C17:V17) - 1</f>
        <v>2.3985334892296057</v>
      </c>
      <c r="X8" s="9" cm="1">
        <f t="array" ref="X8">PRODUCT(1 + 真實IC!$C17:W17) - 1</f>
        <v>2.5707420214731673</v>
      </c>
      <c r="Y8" s="9" cm="1">
        <f t="array" ref="Y8">PRODUCT(1 + 真實IC!$C17:X17) - 1</f>
        <v>3.4700807165140777</v>
      </c>
      <c r="Z8" s="9" cm="1">
        <f t="array" ref="Z8">PRODUCT(1 + 真實IC!$C17:Y17) - 1</f>
        <v>3.5116819647100179</v>
      </c>
      <c r="AA8" s="9" cm="1">
        <f t="array" ref="AA8">PRODUCT(1 + 真實IC!$C17:Z17) - 1</f>
        <v>3.8961774485877134</v>
      </c>
      <c r="AB8" s="9" cm="1">
        <f t="array" ref="AB8">PRODUCT(1 + 真實IC!$C17:AA17) - 1</f>
        <v>4.4511357083854879</v>
      </c>
      <c r="AC8" s="9" cm="1">
        <f t="array" ref="AC8">PRODUCT(1 + 真實IC!$C17:AB17) - 1</f>
        <v>4.6322279740989831</v>
      </c>
      <c r="AD8" s="9" cm="1">
        <f t="array" ref="AD8">PRODUCT(1 + 真實IC!$C17:AC17) - 1</f>
        <v>5.5284526120987687</v>
      </c>
      <c r="AE8" s="9" cm="1">
        <f t="array" ref="AE8">PRODUCT(1 + 真實IC!$C17:AD17) - 1</f>
        <v>5.4779993454142817</v>
      </c>
      <c r="AF8" s="9" cm="1">
        <f t="array" ref="AF8">PRODUCT(1 + 真實IC!$C17:AE17) - 1</f>
        <v>6.8499919484380705</v>
      </c>
      <c r="AG8" s="9" cm="1">
        <f t="array" ref="AG8">PRODUCT(1 + 真實IC!$C17:AF17) - 1</f>
        <v>8.4468850516462304</v>
      </c>
      <c r="AH8" s="9" cm="1">
        <f t="array" ref="AH8">PRODUCT(1 + 真實IC!$C17:AG17) - 1</f>
        <v>8.0281561774797989</v>
      </c>
      <c r="AI8" s="9" cm="1">
        <f t="array" ref="AI8">PRODUCT(1 + 真實IC!$C17:AH17) - 1</f>
        <v>9.5181612826390527</v>
      </c>
      <c r="AJ8" s="9" cm="1">
        <f t="array" ref="AJ8">PRODUCT(1 + 真實IC!$C17:AI17) - 1</f>
        <v>9.7795297769127814</v>
      </c>
      <c r="AK8" s="9" cm="1">
        <f t="array" ref="AK8">PRODUCT(1 + 真實IC!$C17:AJ17) - 1</f>
        <v>10.318151713598009</v>
      </c>
      <c r="AL8" s="9" cm="1">
        <f t="array" ref="AL8">PRODUCT(1 + 真實IC!$C17:AK17) - 1</f>
        <v>10.340342617332849</v>
      </c>
      <c r="AM8" s="9" cm="1">
        <f t="array" ref="AM8">PRODUCT(1 + 真實IC!$C17:AL17) - 1</f>
        <v>11.358522241934264</v>
      </c>
      <c r="AN8" s="9" cm="1">
        <f t="array" ref="AN8">PRODUCT(1 + 真實IC!$C17:AM17) - 1</f>
        <v>11.098391847251591</v>
      </c>
      <c r="AO8" s="9" cm="1">
        <f t="array" ref="AO8">PRODUCT(1 + 真實IC!$C17:AN17) - 1</f>
        <v>10.668893368205394</v>
      </c>
      <c r="AP8" s="9" cm="1">
        <f t="array" ref="AP8">PRODUCT(1 + 真實IC!$C17:AO17) - 1</f>
        <v>11.268493855661966</v>
      </c>
      <c r="AQ8" s="9" cm="1">
        <f t="array" ref="AQ8">PRODUCT(1 + 真實IC!$C17:AP17) - 1</f>
        <v>12.189540720012907</v>
      </c>
      <c r="AR8" s="9" cm="1">
        <f t="array" ref="AR8">PRODUCT(1 + 真實IC!$C17:AQ17) - 1</f>
        <v>13.853827126466976</v>
      </c>
      <c r="AS8" s="9" cm="1">
        <f t="array" ref="AS8">PRODUCT(1 + 真實IC!$C17:AR17) - 1</f>
        <v>14.117242308585606</v>
      </c>
      <c r="AT8" s="9" cm="1">
        <f t="array" ref="AT8">PRODUCT(1 + 真實IC!$C17:AS17) - 1</f>
        <v>14.12933050614844</v>
      </c>
      <c r="AU8" s="9" cm="1">
        <f t="array" ref="AU8">PRODUCT(1 + 真實IC!$C17:AT17) - 1</f>
        <v>15.924610247320818</v>
      </c>
      <c r="AV8" s="9" cm="1">
        <f t="array" ref="AV8">PRODUCT(1 + 真實IC!$C17:AU17) - 1</f>
        <v>17.23075142597305</v>
      </c>
      <c r="AW8" s="9" cm="1">
        <f t="array" ref="AW8">PRODUCT(1 + 真實IC!$C17:AV17) - 1</f>
        <v>17.149382996092733</v>
      </c>
      <c r="AX8" s="9" cm="1">
        <f t="array" ref="AX8">PRODUCT(1 + 真實IC!$C17:AW17) - 1</f>
        <v>20.586164147398268</v>
      </c>
      <c r="AY8" s="9" cm="1">
        <f t="array" ref="AY8">PRODUCT(1 + 真實IC!$C17:AX17) - 1</f>
        <v>23.029207823787676</v>
      </c>
      <c r="AZ8" s="9" cm="1">
        <f t="array" ref="AZ8">PRODUCT(1 + 真實IC!$C17:AY17) - 1</f>
        <v>27.835200046995148</v>
      </c>
      <c r="BA8" s="9" cm="1">
        <f t="array" ref="BA8">PRODUCT(1 + 真實IC!$C17:AZ17) - 1</f>
        <v>29.791562519585703</v>
      </c>
      <c r="BB8" s="9" cm="1">
        <f t="array" ref="BB8">PRODUCT(1 + 真實IC!$C17:BA17) - 1</f>
        <v>29.325016816473532</v>
      </c>
      <c r="BC8" s="9" cm="1">
        <f t="array" ref="BC8">PRODUCT(1 + 真實IC!$C17:BB17) - 1</f>
        <v>31.892478047581015</v>
      </c>
      <c r="BD8" s="9" cm="1">
        <f t="array" ref="BD8">PRODUCT(1 + 真實IC!$C17:BC17) - 1</f>
        <v>33.835529120041514</v>
      </c>
      <c r="BE8" s="9" cm="1">
        <f t="array" ref="BE8">PRODUCT(1 + 真實IC!$C17:BD17) - 1</f>
        <v>34.171604230236753</v>
      </c>
      <c r="BF8" s="9" cm="1">
        <f t="array" ref="BF8">PRODUCT(1 + 真實IC!$C17:BE17) - 1</f>
        <v>32.715571188950165</v>
      </c>
      <c r="BG8" s="9" cm="1">
        <f t="array" ref="BG8">PRODUCT(1 + 真實IC!$C17:BF17) - 1</f>
        <v>37.005955577163299</v>
      </c>
      <c r="BH8" s="9" cm="1">
        <f t="array" ref="BH8">PRODUCT(1 + 真實IC!$C17:BG17) - 1</f>
        <v>41.915180704218166</v>
      </c>
      <c r="BI8" s="9" cm="1">
        <f t="array" ref="BI8">PRODUCT(1 + 真實IC!$C17:BH17) - 1</f>
        <v>44.85213549518464</v>
      </c>
      <c r="BJ8" s="9" cm="1">
        <f t="array" ref="BJ8">PRODUCT(1 + 真實IC!$C17:BI17) - 1</f>
        <v>51.058404625969054</v>
      </c>
      <c r="BK8" s="9" cm="1">
        <f t="array" ref="BK8">PRODUCT(1 + 真實IC!$C17:BJ17) - 1</f>
        <v>57.831736928629994</v>
      </c>
      <c r="BL8" s="9" cm="1">
        <f t="array" ref="BL8">PRODUCT(1 + 真實IC!$C17:BK17) - 1</f>
        <v>60.514754308375899</v>
      </c>
      <c r="BM8" s="9" cm="1">
        <f t="array" ref="BM8">PRODUCT(1 + 真實IC!$C17:BL17) - 1</f>
        <v>61.813494813225255</v>
      </c>
      <c r="BN8" s="9" cm="1">
        <f t="array" ref="BN8">PRODUCT(1 + 真實IC!$C17:BM17) - 1</f>
        <v>62.512391260998456</v>
      </c>
      <c r="BO8" s="9" cm="1">
        <f t="array" ref="BO8">PRODUCT(1 + 真實IC!$C17:BN17) - 1</f>
        <v>68.946512020517474</v>
      </c>
      <c r="BP8" s="9" cm="1">
        <f t="array" ref="BP8">PRODUCT(1 + 真實IC!$C17:BO17) - 1</f>
        <v>70.970630536114143</v>
      </c>
      <c r="BQ8" s="9" cm="1">
        <f t="array" ref="BQ8">PRODUCT(1 + 真實IC!$C17:BP17) - 1</f>
        <v>80.922414979275089</v>
      </c>
      <c r="BR8" s="9" cm="1">
        <f t="array" ref="BR8">PRODUCT(1 + 真實IC!$C17:BQ17) - 1</f>
        <v>80.446634772196148</v>
      </c>
      <c r="BS8" s="9" cm="1">
        <f t="array" ref="BS8">PRODUCT(1 + 真實IC!$C17:BR17) - 1</f>
        <v>91.181327930304008</v>
      </c>
      <c r="BT8" s="9" cm="1">
        <f t="array" ref="BT8">PRODUCT(1 + 真實IC!$C17:BS17) - 1</f>
        <v>92.275143354962509</v>
      </c>
      <c r="BU8" s="9" cm="1">
        <f t="array" ref="BU8">PRODUCT(1 + 真實IC!$C17:BT17) - 1</f>
        <v>86.692538711066433</v>
      </c>
      <c r="BV8" s="9" cm="1">
        <f t="array" ref="BV8">PRODUCT(1 + 真實IC!$C17:BU17) - 1</f>
        <v>85.36486644921537</v>
      </c>
      <c r="BW8" s="9" cm="1">
        <f t="array" ref="BW8">PRODUCT(1 + 真實IC!$C17:BV17) - 1</f>
        <v>99.579992086567302</v>
      </c>
      <c r="BX8" s="9" cm="1">
        <f t="array" ref="BX8">PRODUCT(1 + 真實IC!$C17:BW17) - 1</f>
        <v>129.64123849295535</v>
      </c>
      <c r="BY8" s="9" cm="1">
        <f t="array" ref="BY8">PRODUCT(1 + 真實IC!$C17:BX17) - 1</f>
        <v>138.24594926307606</v>
      </c>
      <c r="BZ8" s="9" cm="1">
        <f t="array" ref="BZ8">PRODUCT(1 + 真實IC!$C17:BY17) - 1</f>
        <v>140.66311446308279</v>
      </c>
      <c r="CA8" s="9" cm="1">
        <f t="array" ref="CA8">PRODUCT(1 + 真實IC!$C17:BZ17) - 1</f>
        <v>142.47254149960406</v>
      </c>
      <c r="CB8" s="9" cm="1">
        <f t="array" ref="CB8">PRODUCT(1 + 真實IC!$C17:CA17) - 1</f>
        <v>129.14099635655651</v>
      </c>
      <c r="CC8" s="9" cm="1">
        <f t="array" ref="CC8">PRODUCT(1 + 真實IC!$C17:CB17) - 1</f>
        <v>141.20299819576687</v>
      </c>
      <c r="CD8" s="9" cm="1">
        <f t="array" ref="CD8">PRODUCT(1 + 真實IC!$C17:CC17) - 1</f>
        <v>136.17490734480052</v>
      </c>
      <c r="CE8" s="9" cm="1">
        <f t="array" ref="CE8">PRODUCT(1 + 真實IC!$C17:CD17) - 1</f>
        <v>134.81800546395075</v>
      </c>
      <c r="CF8" s="9" cm="1">
        <f t="array" ref="CF8">PRODUCT(1 + 真實IC!$C17:CE17) - 1</f>
        <v>148.05900402079806</v>
      </c>
      <c r="CG8" s="9" cm="1">
        <f t="array" ref="CG8">PRODUCT(1 + 真實IC!$C17:CF17) - 1</f>
        <v>154.79806156051626</v>
      </c>
      <c r="CH8" s="9" cm="1">
        <f t="array" ref="CH8">PRODUCT(1 + 真實IC!$C17:CG17) - 1</f>
        <v>158.61697555678884</v>
      </c>
      <c r="CI8" s="9" cm="1">
        <f t="array" ref="CI8">PRODUCT(1 + 真實IC!$C17:CH17) - 1</f>
        <v>164.2502155713496</v>
      </c>
      <c r="CJ8" s="9" cm="1">
        <f t="array" ref="CJ8">PRODUCT(1 + 真實IC!$C17:CI17) - 1</f>
        <v>180.04611977909195</v>
      </c>
      <c r="CK8" s="9" cm="1">
        <f t="array" ref="CK8">PRODUCT(1 + 真實IC!$C17:CJ17) - 1</f>
        <v>190.35987527792301</v>
      </c>
      <c r="CL8" s="9" cm="1">
        <f t="array" ref="CL8">PRODUCT(1 + 真實IC!$C17:CK17) - 1</f>
        <v>194.46592639554626</v>
      </c>
      <c r="CM8" s="9" cm="1">
        <f t="array" ref="CM8">PRODUCT(1 + 真實IC!$C17:CL17) - 1</f>
        <v>207.17639858095276</v>
      </c>
      <c r="CN8" s="9" cm="1">
        <f t="array" ref="CN8">PRODUCT(1 + 真實IC!$C17:CM17) - 1</f>
        <v>216.88294288056181</v>
      </c>
      <c r="CO8" s="9" cm="1">
        <f t="array" ref="CO8">PRODUCT(1 + 真實IC!$C17:CN17) - 1</f>
        <v>283.93827642645596</v>
      </c>
      <c r="CP8" s="9" cm="1">
        <f t="array" ref="CP8">PRODUCT(1 + 真實IC!$C17:CO17) - 1</f>
        <v>340.77098906376204</v>
      </c>
      <c r="CQ8" s="9" cm="1">
        <f t="array" ref="CQ8">PRODUCT(1 + 真實IC!$C17:CP17) - 1</f>
        <v>385.23496673217284</v>
      </c>
      <c r="CR8" s="9" cm="1">
        <f t="array" ref="CR8">PRODUCT(1 + 真實IC!$C17:CQ17) - 1</f>
        <v>411.1470904961364</v>
      </c>
      <c r="CS8" s="9" cm="1">
        <f t="array" ref="CS8">PRODUCT(1 + 真實IC!$C17:CR17) - 1</f>
        <v>467.39614828058239</v>
      </c>
      <c r="CT8" s="9" cm="1">
        <f t="array" ref="CT8">PRODUCT(1 + 真實IC!$C17:CS17) - 1</f>
        <v>439.33334990104902</v>
      </c>
      <c r="CU8" s="9" cm="1">
        <f t="array" ref="CU8">PRODUCT(1 + 真實IC!$C17:CT17) - 1</f>
        <v>513.63346721215669</v>
      </c>
      <c r="CV8" s="9" cm="1">
        <f t="array" ref="CV8">PRODUCT(1 + 真實IC!$C17:CU17) - 1</f>
        <v>608.46503748170562</v>
      </c>
      <c r="CW8" s="9" cm="1">
        <f t="array" ref="CW8">PRODUCT(1 + 真實IC!$C17:CV17) - 1</f>
        <v>660.05128155376747</v>
      </c>
      <c r="CX8" s="9" cm="1">
        <f t="array" ref="CX8">PRODUCT(1 + 真實IC!$C17:CW17) - 1</f>
        <v>687.80403927042278</v>
      </c>
      <c r="CY8" s="9" cm="1">
        <f t="array" ref="CY8">PRODUCT(1 + 真實IC!$C17:CX17) - 1</f>
        <v>792.76935690638288</v>
      </c>
      <c r="CZ8" s="9" cm="1">
        <f t="array" ref="CZ8">PRODUCT(1 + 真實IC!$C17:CY17) - 1</f>
        <v>718.99015865630986</v>
      </c>
      <c r="DA8" s="9" cm="1">
        <f t="array" ref="DA8">PRODUCT(1 + 真實IC!$C17:CZ17) - 1</f>
        <v>736.09952609430854</v>
      </c>
      <c r="DB8" s="9" cm="1">
        <f t="array" ref="DB8">PRODUCT(1 + 真實IC!$C17:DA17) - 1</f>
        <v>856.00427829477837</v>
      </c>
      <c r="DC8" s="9" cm="1">
        <f t="array" ref="DC8">PRODUCT(1 + 真實IC!$C17:DB17) - 1</f>
        <v>676.32184571105222</v>
      </c>
      <c r="DD8" s="9" cm="1">
        <f t="array" ref="DD8">PRODUCT(1 + 真實IC!$C17:DC17) - 1</f>
        <v>733.72279570613819</v>
      </c>
      <c r="DE8" s="9" cm="1">
        <f t="array" ref="DE8">PRODUCT(1 + 真實IC!$C17:DD17) - 1</f>
        <v>807.34110176193008</v>
      </c>
      <c r="DF8" s="9" cm="1">
        <f t="array" ref="DF8">PRODUCT(1 + 真實IC!$C17:DE17) - 1</f>
        <v>789.30415104689644</v>
      </c>
      <c r="DG8" s="9" cm="1">
        <f t="array" ref="DG8">PRODUCT(1 + 真實IC!$C17:DF17) - 1</f>
        <v>794.08906829275804</v>
      </c>
      <c r="DH8" s="9" cm="1">
        <f t="array" ref="DH8">PRODUCT(1 + 真實IC!$C17:DG17) - 1</f>
        <v>704.17120296224459</v>
      </c>
      <c r="DI8" s="9" cm="1">
        <f t="array" ref="DI8">PRODUCT(1 + 真實IC!$C17:DH17) - 1</f>
        <v>704.83294603242859</v>
      </c>
      <c r="DJ8" s="9" cm="1">
        <f t="array" ref="DJ8">PRODUCT(1 + 真實IC!$C17:DI17) - 1</f>
        <v>666.64151206980489</v>
      </c>
      <c r="DK8" s="9" cm="1">
        <f t="array" ref="DK8">PRODUCT(1 + 真實IC!$C17:DJ17) - 1</f>
        <v>700.10237511741684</v>
      </c>
      <c r="DL8" s="9" cm="1">
        <f t="array" ref="DL8">PRODUCT(1 + 真實IC!$C17:DK17) - 1</f>
        <v>649.4907777393762</v>
      </c>
      <c r="DM8" s="9" cm="1">
        <f t="array" ref="DM8">PRODUCT(1 + 真實IC!$C17:DL17) - 1</f>
        <v>698.49069423075605</v>
      </c>
      <c r="DN8" s="9" cm="1">
        <f t="array" ref="DN8">PRODUCT(1 + 真實IC!$C17:DM17) - 1</f>
        <v>661.89487072633415</v>
      </c>
      <c r="DO8" s="9" cm="1">
        <f t="array" ref="DO8">PRODUCT(1 + 真實IC!$C17:DN17) - 1</f>
        <v>630.7622185121545</v>
      </c>
      <c r="DP8" s="9" cm="1">
        <f t="array" ref="DP8">PRODUCT(1 + 真實IC!$C17:DO17) - 1</f>
        <v>652.30809986686495</v>
      </c>
      <c r="DQ8" s="9" cm="1">
        <f t="array" ref="DQ8">PRODUCT(1 + 真實IC!$C17:DP17) - 1</f>
        <v>747.32649154846922</v>
      </c>
      <c r="DR8" s="9" cm="1">
        <f t="array" ref="DR8">PRODUCT(1 + 真實IC!$C17:DQ17) - 1</f>
        <v>778.69373339028721</v>
      </c>
      <c r="DS8" s="9" cm="1">
        <f t="array" ref="DS8">PRODUCT(1 + 真實IC!$C17:DR17) - 1</f>
        <v>750.48837685973592</v>
      </c>
      <c r="DT8" s="9" cm="1">
        <f t="array" ref="DT8">PRODUCT(1 + 真實IC!$C17:DS17) - 1</f>
        <v>743.29547395335487</v>
      </c>
      <c r="DU8" s="9" cm="1">
        <f t="array" ref="DU8">PRODUCT(1 + 真實IC!$C17:DT17) - 1</f>
        <v>779.88471555936633</v>
      </c>
      <c r="DV8" s="9" cm="1">
        <f t="array" ref="DV8">PRODUCT(1 + 真實IC!$C17:DU17) - 1</f>
        <v>927.1913118969029</v>
      </c>
      <c r="DW8" s="9" cm="1">
        <f t="array" ref="DW8">PRODUCT(1 + 真實IC!$C17:DV17) - 1</f>
        <v>942.21886421532474</v>
      </c>
      <c r="DX8" s="9" cm="1">
        <f t="array" ref="DX8">PRODUCT(1 + 真實IC!$C17:DW17) - 1</f>
        <v>997.87223622487318</v>
      </c>
      <c r="DY8" s="9" cm="1">
        <f t="array" ref="DY8">PRODUCT(1 + 真實IC!$C17:DX17) - 1</f>
        <v>1110.1492241756769</v>
      </c>
      <c r="DZ8" s="9" cm="1">
        <f t="array" ref="DZ8">PRODUCT(1 + 真實IC!$C17:DY17) - 1</f>
        <v>1203.1231184482504</v>
      </c>
      <c r="EA8" s="9" cm="1">
        <f t="array" ref="EA8">PRODUCT(1 + 真實IC!$C17:DZ17) - 1</f>
        <v>1184.2610768322072</v>
      </c>
      <c r="EB8" s="9" cm="1">
        <f t="array" ref="EB8">PRODUCT(1 + 真實IC!$C17:EA17) - 1</f>
        <v>1356.4235563125631</v>
      </c>
      <c r="EC8" s="9" cm="1">
        <f t="array" ref="EC8">PRODUCT(1 + 真實IC!$C17:EB17) - 1</f>
        <v>1458.6299350502122</v>
      </c>
      <c r="ED8" s="9" cm="1">
        <f t="array" ref="ED8">PRODUCT(1 + 真實IC!$C17:EC17) - 1</f>
        <v>1479.2811713814963</v>
      </c>
      <c r="EE8" s="9" cm="1">
        <f t="array" ref="EE8">PRODUCT(1 + 真實IC!$C17:ED17) - 1</f>
        <v>1566.9994919954297</v>
      </c>
      <c r="EF8" s="9" cm="1">
        <f t="array" ref="EF8">PRODUCT(1 + 真實IC!$C17:EE17) - 1</f>
        <v>1489.6278429163283</v>
      </c>
      <c r="EG8" s="9" cm="1">
        <f t="array" ref="EG8">PRODUCT(1 + 真實IC!$C17:EF17) - 1</f>
        <v>1251.599262507</v>
      </c>
    </row>
    <row r="9" spans="3:137" ht="16">
      <c r="C9" s="6">
        <v>107</v>
      </c>
      <c r="D9" s="9" cm="1">
        <f t="array" ref="D9">PRODUCT(1 + 真實IC!$C18:C18) - 1</f>
        <v>-3.9435389831589451E-2</v>
      </c>
      <c r="E9" s="9" cm="1">
        <f t="array" ref="E9">PRODUCT(1 + 真實IC!$C18:D18) - 1</f>
        <v>0.18566137765463653</v>
      </c>
      <c r="F9" s="9" cm="1">
        <f t="array" ref="F9">PRODUCT(1 + 真實IC!$C18:E18) - 1</f>
        <v>0.28846316499901881</v>
      </c>
      <c r="G9" s="9" cm="1">
        <f t="array" ref="G9">PRODUCT(1 + 真實IC!$C18:F18) - 1</f>
        <v>0.3898851510632646</v>
      </c>
      <c r="H9" s="9" cm="1">
        <f t="array" ref="H9">PRODUCT(1 + 真實IC!$C18:G18) - 1</f>
        <v>0.54142592685068247</v>
      </c>
      <c r="I9" s="9" cm="1">
        <f t="array" ref="I9">PRODUCT(1 + 真實IC!$C18:H18) - 1</f>
        <v>0.54242685093901577</v>
      </c>
      <c r="J9" s="9" cm="1">
        <f t="array" ref="J9">PRODUCT(1 + 真實IC!$C18:I18) - 1</f>
        <v>0.58444297986620319</v>
      </c>
      <c r="K9" s="9" cm="1">
        <f t="array" ref="K9">PRODUCT(1 + 真實IC!$C18:J18) - 1</f>
        <v>0.6500499724854949</v>
      </c>
      <c r="L9" s="9" cm="1">
        <f t="array" ref="L9">PRODUCT(1 + 真實IC!$C18:K18) - 1</f>
        <v>0.61778377070468604</v>
      </c>
      <c r="M9" s="9" cm="1">
        <f t="array" ref="M9">PRODUCT(1 + 真實IC!$C18:L18) - 1</f>
        <v>0.62415748668819093</v>
      </c>
      <c r="N9" s="9" cm="1">
        <f t="array" ref="N9">PRODUCT(1 + 真實IC!$C18:M18) - 1</f>
        <v>0.7043781737198016</v>
      </c>
      <c r="O9" s="9" cm="1">
        <f t="array" ref="O9">PRODUCT(1 + 真實IC!$C18:N18) - 1</f>
        <v>0.9093168633404054</v>
      </c>
      <c r="P9" s="9" cm="1">
        <f t="array" ref="P9">PRODUCT(1 + 真實IC!$C18:O18) - 1</f>
        <v>0.78292131698099765</v>
      </c>
      <c r="Q9" s="9" cm="1">
        <f t="array" ref="Q9">PRODUCT(1 + 真實IC!$C18:P18) - 1</f>
        <v>0.79752019678436725</v>
      </c>
      <c r="R9" s="9" cm="1">
        <f t="array" ref="R9">PRODUCT(1 + 真實IC!$C18:Q18) - 1</f>
        <v>0.9346694288607027</v>
      </c>
      <c r="S9" s="9" cm="1">
        <f t="array" ref="S9">PRODUCT(1 + 真實IC!$C18:R18) - 1</f>
        <v>0.93281195869580058</v>
      </c>
      <c r="T9" s="9" cm="1">
        <f t="array" ref="T9">PRODUCT(1 + 真實IC!$C18:S18) - 1</f>
        <v>1.2139139758120203</v>
      </c>
      <c r="U9" s="9" cm="1">
        <f t="array" ref="U9">PRODUCT(1 + 真實IC!$C18:T18) - 1</f>
        <v>1.711070054319674</v>
      </c>
      <c r="V9" s="9" cm="1">
        <f t="array" ref="V9">PRODUCT(1 + 真實IC!$C18:U18) - 1</f>
        <v>1.7860263537693459</v>
      </c>
      <c r="W9" s="9" cm="1">
        <f t="array" ref="W9">PRODUCT(1 + 真實IC!$C18:V18) - 1</f>
        <v>2.4172239002209741</v>
      </c>
      <c r="X9" s="9" cm="1">
        <f t="array" ref="X9">PRODUCT(1 + 真實IC!$C18:W18) - 1</f>
        <v>2.7645210028215197</v>
      </c>
      <c r="Y9" s="9" cm="1">
        <f t="array" ref="Y9">PRODUCT(1 + 真實IC!$C18:X18) - 1</f>
        <v>3.7851991893199308</v>
      </c>
      <c r="Z9" s="9" cm="1">
        <f t="array" ref="Z9">PRODUCT(1 + 真實IC!$C18:Y18) - 1</f>
        <v>4.1315183345464224</v>
      </c>
      <c r="AA9" s="9" cm="1">
        <f t="array" ref="AA9">PRODUCT(1 + 真實IC!$C18:Z18) - 1</f>
        <v>4.6201458978242709</v>
      </c>
      <c r="AB9" s="9" cm="1">
        <f t="array" ref="AB9">PRODUCT(1 + 真實IC!$C18:AA18) - 1</f>
        <v>5.3440628665031165</v>
      </c>
      <c r="AC9" s="9" cm="1">
        <f t="array" ref="AC9">PRODUCT(1 + 真實IC!$C18:AB18) - 1</f>
        <v>5.5151106633628544</v>
      </c>
      <c r="AD9" s="9" cm="1">
        <f t="array" ref="AD9">PRODUCT(1 + 真實IC!$C18:AC18) - 1</f>
        <v>6.4442720445677262</v>
      </c>
      <c r="AE9" s="9" cm="1">
        <f t="array" ref="AE9">PRODUCT(1 + 真實IC!$C18:AD18) - 1</f>
        <v>6.4121496352406071</v>
      </c>
      <c r="AF9" s="9" cm="1">
        <f t="array" ref="AF9">PRODUCT(1 + 真實IC!$C18:AE18) - 1</f>
        <v>7.9659455266161743</v>
      </c>
      <c r="AG9" s="9" cm="1">
        <f t="array" ref="AG9">PRODUCT(1 + 真實IC!$C18:AF18) - 1</f>
        <v>9.8214366427776003</v>
      </c>
      <c r="AH9" s="9" cm="1">
        <f t="array" ref="AH9">PRODUCT(1 + 真實IC!$C18:AG18) - 1</f>
        <v>9.3477157037328276</v>
      </c>
      <c r="AI9" s="9" cm="1">
        <f t="array" ref="AI9">PRODUCT(1 + 真實IC!$C18:AH18) - 1</f>
        <v>11.182119322830236</v>
      </c>
      <c r="AJ9" s="9" cm="1">
        <f t="array" ref="AJ9">PRODUCT(1 + 真實IC!$C18:AI18) - 1</f>
        <v>11.588798126806793</v>
      </c>
      <c r="AK9" s="9" cm="1">
        <f t="array" ref="AK9">PRODUCT(1 + 真實IC!$C18:AJ18) - 1</f>
        <v>12.288209639463128</v>
      </c>
      <c r="AL9" s="9" cm="1">
        <f t="array" ref="AL9">PRODUCT(1 + 真實IC!$C18:AK18) - 1</f>
        <v>12.570219093708111</v>
      </c>
      <c r="AM9" s="9" cm="1">
        <f t="array" ref="AM9">PRODUCT(1 + 真實IC!$C18:AL18) - 1</f>
        <v>13.658840115045296</v>
      </c>
      <c r="AN9" s="9" cm="1">
        <f t="array" ref="AN9">PRODUCT(1 + 真實IC!$C18:AM18) - 1</f>
        <v>13.234043623984038</v>
      </c>
      <c r="AO9" s="9" cm="1">
        <f t="array" ref="AO9">PRODUCT(1 + 真實IC!$C18:AN18) - 1</f>
        <v>12.92043180244408</v>
      </c>
      <c r="AP9" s="9" cm="1">
        <f t="array" ref="AP9">PRODUCT(1 + 真實IC!$C18:AO18) - 1</f>
        <v>13.492424480068166</v>
      </c>
      <c r="AQ9" s="9" cm="1">
        <f t="array" ref="AQ9">PRODUCT(1 + 真實IC!$C18:AP18) - 1</f>
        <v>14.233467332812545</v>
      </c>
      <c r="AR9" s="9" cm="1">
        <f t="array" ref="AR9">PRODUCT(1 + 真實IC!$C18:AQ18) - 1</f>
        <v>16.158887952936137</v>
      </c>
      <c r="AS9" s="9" cm="1">
        <f t="array" ref="AS9">PRODUCT(1 + 真實IC!$C18:AR18) - 1</f>
        <v>16.748672890351994</v>
      </c>
      <c r="AT9" s="9" cm="1">
        <f t="array" ref="AT9">PRODUCT(1 + 真實IC!$C18:AS18) - 1</f>
        <v>16.601622950361769</v>
      </c>
      <c r="AU9" s="9" cm="1">
        <f t="array" ref="AU9">PRODUCT(1 + 真實IC!$C18:AT18) - 1</f>
        <v>18.916431703108433</v>
      </c>
      <c r="AV9" s="9" cm="1">
        <f t="array" ref="AV9">PRODUCT(1 + 真實IC!$C18:AU18) - 1</f>
        <v>20.551376995759185</v>
      </c>
      <c r="AW9" s="9" cm="1">
        <f t="array" ref="AW9">PRODUCT(1 + 真實IC!$C18:AV18) - 1</f>
        <v>20.094030169587224</v>
      </c>
      <c r="AX9" s="9" cm="1">
        <f t="array" ref="AX9">PRODUCT(1 + 真實IC!$C18:AW18) - 1</f>
        <v>24.648114905585231</v>
      </c>
      <c r="AY9" s="9" cm="1">
        <f t="array" ref="AY9">PRODUCT(1 + 真實IC!$C18:AX18) - 1</f>
        <v>25.317020149159205</v>
      </c>
      <c r="AZ9" s="9" cm="1">
        <f t="array" ref="AZ9">PRODUCT(1 + 真實IC!$C18:AY18) - 1</f>
        <v>31.262890002897819</v>
      </c>
      <c r="BA9" s="9" cm="1">
        <f t="array" ref="BA9">PRODUCT(1 + 真實IC!$C18:AZ18) - 1</f>
        <v>34.106869613031527</v>
      </c>
      <c r="BB9" s="9" cm="1">
        <f t="array" ref="BB9">PRODUCT(1 + 真實IC!$C18:BA18) - 1</f>
        <v>35.297398398002578</v>
      </c>
      <c r="BC9" s="9" cm="1">
        <f t="array" ref="BC9">PRODUCT(1 + 真實IC!$C18:BB18) - 1</f>
        <v>39.608139236829516</v>
      </c>
      <c r="BD9" s="9" cm="1">
        <f t="array" ref="BD9">PRODUCT(1 + 真實IC!$C18:BC18) - 1</f>
        <v>42.431101203103857</v>
      </c>
      <c r="BE9" s="9" cm="1">
        <f t="array" ref="BE9">PRODUCT(1 + 真實IC!$C18:BD18) - 1</f>
        <v>41.695542608433186</v>
      </c>
      <c r="BF9" s="9" cm="1">
        <f t="array" ref="BF9">PRODUCT(1 + 真實IC!$C18:BE18) - 1</f>
        <v>39.082675994635316</v>
      </c>
      <c r="BG9" s="9" cm="1">
        <f t="array" ref="BG9">PRODUCT(1 + 真實IC!$C18:BF18) - 1</f>
        <v>45.443490078474866</v>
      </c>
      <c r="BH9" s="9" cm="1">
        <f t="array" ref="BH9">PRODUCT(1 + 真實IC!$C18:BG18) - 1</f>
        <v>51.0528833008959</v>
      </c>
      <c r="BI9" s="9" cm="1">
        <f t="array" ref="BI9">PRODUCT(1 + 真實IC!$C18:BH18) - 1</f>
        <v>55.301483230917057</v>
      </c>
      <c r="BJ9" s="9" cm="1">
        <f t="array" ref="BJ9">PRODUCT(1 + 真實IC!$C18:BI18) - 1</f>
        <v>62.190933896810272</v>
      </c>
      <c r="BK9" s="9" cm="1">
        <f t="array" ref="BK9">PRODUCT(1 + 真實IC!$C18:BJ18) - 1</f>
        <v>68.293080395018805</v>
      </c>
      <c r="BL9" s="9" cm="1">
        <f t="array" ref="BL9">PRODUCT(1 + 真實IC!$C18:BK18) - 1</f>
        <v>71.852778503322426</v>
      </c>
      <c r="BM9" s="9" cm="1">
        <f t="array" ref="BM9">PRODUCT(1 + 真實IC!$C18:BL18) - 1</f>
        <v>72.567840797658633</v>
      </c>
      <c r="BN9" s="9" cm="1">
        <f t="array" ref="BN9">PRODUCT(1 + 真實IC!$C18:BM18) - 1</f>
        <v>72.462031065012809</v>
      </c>
      <c r="BO9" s="9" cm="1">
        <f t="array" ref="BO9">PRODUCT(1 + 真實IC!$C18:BN18) - 1</f>
        <v>79.901083081190464</v>
      </c>
      <c r="BP9" s="9" cm="1">
        <f t="array" ref="BP9">PRODUCT(1 + 真實IC!$C18:BO18) - 1</f>
        <v>82.286634913085507</v>
      </c>
      <c r="BQ9" s="9" cm="1">
        <f t="array" ref="BQ9">PRODUCT(1 + 真實IC!$C18:BP18) - 1</f>
        <v>92.7776655084715</v>
      </c>
      <c r="BR9" s="9" cm="1">
        <f t="array" ref="BR9">PRODUCT(1 + 真實IC!$C18:BQ18) - 1</f>
        <v>94.90192540751616</v>
      </c>
      <c r="BS9" s="9" cm="1">
        <f t="array" ref="BS9">PRODUCT(1 + 真實IC!$C18:BR18) - 1</f>
        <v>109.04957194239338</v>
      </c>
      <c r="BT9" s="9" cm="1">
        <f t="array" ref="BT9">PRODUCT(1 + 真實IC!$C18:BS18) - 1</f>
        <v>112.57192718213585</v>
      </c>
      <c r="BU9" s="9" cm="1">
        <f t="array" ref="BU9">PRODUCT(1 + 真實IC!$C18:BT18) - 1</f>
        <v>107.27256083332779</v>
      </c>
      <c r="BV9" s="9" cm="1">
        <f t="array" ref="BV9">PRODUCT(1 + 真實IC!$C18:BU18) - 1</f>
        <v>105.64148044556768</v>
      </c>
      <c r="BW9" s="9" cm="1">
        <f t="array" ref="BW9">PRODUCT(1 + 真實IC!$C18:BV18) - 1</f>
        <v>124.22746524504402</v>
      </c>
      <c r="BX9" s="9" cm="1">
        <f t="array" ref="BX9">PRODUCT(1 + 真實IC!$C18:BW18) - 1</f>
        <v>164.04614687613503</v>
      </c>
      <c r="BY9" s="9" cm="1">
        <f t="array" ref="BY9">PRODUCT(1 + 真實IC!$C18:BX18) - 1</f>
        <v>175.51020546345626</v>
      </c>
      <c r="BZ9" s="9" cm="1">
        <f t="array" ref="BZ9">PRODUCT(1 + 真實IC!$C18:BY18) - 1</f>
        <v>186.28345761921784</v>
      </c>
      <c r="CA9" s="9" cm="1">
        <f t="array" ref="CA9">PRODUCT(1 + 真實IC!$C18:BZ18) - 1</f>
        <v>180.96427563941174</v>
      </c>
      <c r="CB9" s="9" cm="1">
        <f t="array" ref="CB9">PRODUCT(1 + 真實IC!$C18:CA18) - 1</f>
        <v>157.223417734029</v>
      </c>
      <c r="CC9" s="9" cm="1">
        <f t="array" ref="CC9">PRODUCT(1 + 真實IC!$C18:CB18) - 1</f>
        <v>175.55606089272274</v>
      </c>
      <c r="CD9" s="9" cm="1">
        <f t="array" ref="CD9">PRODUCT(1 + 真實IC!$C18:CC18) - 1</f>
        <v>171.90432351251033</v>
      </c>
      <c r="CE9" s="9" cm="1">
        <f t="array" ref="CE9">PRODUCT(1 + 真實IC!$C18:CD18) - 1</f>
        <v>183.13185251830578</v>
      </c>
      <c r="CF9" s="9" cm="1">
        <f t="array" ref="CF9">PRODUCT(1 + 真實IC!$C18:CE18) - 1</f>
        <v>205.46896366777023</v>
      </c>
      <c r="CG9" s="9" cm="1">
        <f t="array" ref="CG9">PRODUCT(1 + 真實IC!$C18:CF18) - 1</f>
        <v>202.99264915393002</v>
      </c>
      <c r="CH9" s="9" cm="1">
        <f t="array" ref="CH9">PRODUCT(1 + 真實IC!$C18:CG18) - 1</f>
        <v>214.10793076159797</v>
      </c>
      <c r="CI9" s="9" cm="1">
        <f t="array" ref="CI9">PRODUCT(1 + 真實IC!$C18:CH18) - 1</f>
        <v>226.95229709814706</v>
      </c>
      <c r="CJ9" s="9" cm="1">
        <f t="array" ref="CJ9">PRODUCT(1 + 真實IC!$C18:CI18) - 1</f>
        <v>250.23431250092025</v>
      </c>
      <c r="CK9" s="9" cm="1">
        <f t="array" ref="CK9">PRODUCT(1 + 真實IC!$C18:CJ18) - 1</f>
        <v>263.99905420474954</v>
      </c>
      <c r="CL9" s="9" cm="1">
        <f t="array" ref="CL9">PRODUCT(1 + 真實IC!$C18:CK18) - 1</f>
        <v>280.0908839695673</v>
      </c>
      <c r="CM9" s="9" cm="1">
        <f t="array" ref="CM9">PRODUCT(1 + 真實IC!$C18:CL18) - 1</f>
        <v>299.29514418857883</v>
      </c>
      <c r="CN9" s="9" cm="1">
        <f t="array" ref="CN9">PRODUCT(1 + 真實IC!$C18:CM18) - 1</f>
        <v>301.39712814094514</v>
      </c>
      <c r="CO9" s="9" cm="1">
        <f t="array" ref="CO9">PRODUCT(1 + 真實IC!$C18:CN18) - 1</f>
        <v>392.71984586608738</v>
      </c>
      <c r="CP9" s="9" cm="1">
        <f t="array" ref="CP9">PRODUCT(1 + 真實IC!$C18:CO18) - 1</f>
        <v>473.0787856326117</v>
      </c>
      <c r="CQ9" s="9" cm="1">
        <f t="array" ref="CQ9">PRODUCT(1 + 真實IC!$C18:CP18) - 1</f>
        <v>525.77333016551097</v>
      </c>
      <c r="CR9" s="9" cm="1">
        <f t="array" ref="CR9">PRODUCT(1 + 真實IC!$C18:CQ18) - 1</f>
        <v>574.04651677617278</v>
      </c>
      <c r="CS9" s="9" cm="1">
        <f t="array" ref="CS9">PRODUCT(1 + 真實IC!$C18:CR18) - 1</f>
        <v>651.12426560040251</v>
      </c>
      <c r="CT9" s="9" cm="1">
        <f t="array" ref="CT9">PRODUCT(1 + 真實IC!$C18:CS18) - 1</f>
        <v>592.89554899495749</v>
      </c>
      <c r="CU9" s="9" cm="1">
        <f t="array" ref="CU9">PRODUCT(1 + 真實IC!$C18:CT18) - 1</f>
        <v>686.12467640677346</v>
      </c>
      <c r="CV9" s="9" cm="1">
        <f t="array" ref="CV9">PRODUCT(1 + 真實IC!$C18:CU18) - 1</f>
        <v>801.63952675712824</v>
      </c>
      <c r="CW9" s="9" cm="1">
        <f t="array" ref="CW9">PRODUCT(1 + 真實IC!$C18:CV18) - 1</f>
        <v>873.95498421005084</v>
      </c>
      <c r="CX9" s="9" cm="1">
        <f t="array" ref="CX9">PRODUCT(1 + 真實IC!$C18:CW18) - 1</f>
        <v>919.39512369864804</v>
      </c>
      <c r="CY9" s="9" cm="1">
        <f t="array" ref="CY9">PRODUCT(1 + 真實IC!$C18:CX18) - 1</f>
        <v>1068.7439361093811</v>
      </c>
      <c r="CZ9" s="9" cm="1">
        <f t="array" ref="CZ9">PRODUCT(1 + 真實IC!$C18:CY18) - 1</f>
        <v>981.79446662033797</v>
      </c>
      <c r="DA9" s="9" cm="1">
        <f t="array" ref="DA9">PRODUCT(1 + 真實IC!$C18:CZ18) - 1</f>
        <v>1013.9562408410513</v>
      </c>
      <c r="DB9" s="9" cm="1">
        <f t="array" ref="DB9">PRODUCT(1 + 真實IC!$C18:DA18) - 1</f>
        <v>1184.296032627783</v>
      </c>
      <c r="DC9" s="9" cm="1">
        <f t="array" ref="DC9">PRODUCT(1 + 真實IC!$C18:DB18) - 1</f>
        <v>909.70401723322152</v>
      </c>
      <c r="DD9" s="9" cm="1">
        <f t="array" ref="DD9">PRODUCT(1 + 真實IC!$C18:DC18) - 1</f>
        <v>997.2530346116032</v>
      </c>
      <c r="DE9" s="9" cm="1">
        <f t="array" ref="DE9">PRODUCT(1 + 真實IC!$C18:DD18) - 1</f>
        <v>1094.97505257282</v>
      </c>
      <c r="DF9" s="9" cm="1">
        <f t="array" ref="DF9">PRODUCT(1 + 真實IC!$C18:DE18) - 1</f>
        <v>1039.4840497667831</v>
      </c>
      <c r="DG9" s="9" cm="1">
        <f t="array" ref="DG9">PRODUCT(1 + 真實IC!$C18:DF18) - 1</f>
        <v>1042.291289834033</v>
      </c>
      <c r="DH9" s="9" cm="1">
        <f t="array" ref="DH9">PRODUCT(1 + 真實IC!$C18:DG18) - 1</f>
        <v>910.44856657443029</v>
      </c>
      <c r="DI9" s="9" cm="1">
        <f t="array" ref="DI9">PRODUCT(1 + 真實IC!$C18:DH18) - 1</f>
        <v>906.82206588369581</v>
      </c>
      <c r="DJ9" s="9" cm="1">
        <f t="array" ref="DJ9">PRODUCT(1 + 真實IC!$C18:DI18) - 1</f>
        <v>865.60739990889033</v>
      </c>
      <c r="DK9" s="9" cm="1">
        <f t="array" ref="DK9">PRODUCT(1 + 真實IC!$C18:DJ18) - 1</f>
        <v>922.84797161104223</v>
      </c>
      <c r="DL9" s="9" cm="1">
        <f t="array" ref="DL9">PRODUCT(1 + 真實IC!$C18:DK18) - 1</f>
        <v>869.55509060875431</v>
      </c>
      <c r="DM9" s="9" cm="1">
        <f t="array" ref="DM9">PRODUCT(1 + 真實IC!$C18:DL18) - 1</f>
        <v>917.84807433977164</v>
      </c>
      <c r="DN9" s="9" cm="1">
        <f t="array" ref="DN9">PRODUCT(1 + 真實IC!$C18:DM18) - 1</f>
        <v>871.02930729048762</v>
      </c>
      <c r="DO9" s="9" cm="1">
        <f t="array" ref="DO9">PRODUCT(1 + 真實IC!$C18:DN18) - 1</f>
        <v>820.7310316033703</v>
      </c>
      <c r="DP9" s="9" cm="1">
        <f t="array" ref="DP9">PRODUCT(1 + 真實IC!$C18:DO18) - 1</f>
        <v>858.99400564123994</v>
      </c>
      <c r="DQ9" s="9" cm="1">
        <f t="array" ref="DQ9">PRODUCT(1 + 真實IC!$C18:DP18) - 1</f>
        <v>975.09451299321836</v>
      </c>
      <c r="DR9" s="9" cm="1">
        <f t="array" ref="DR9">PRODUCT(1 + 真實IC!$C18:DQ18) - 1</f>
        <v>1015.5569596432239</v>
      </c>
      <c r="DS9" s="9" cm="1">
        <f t="array" ref="DS9">PRODUCT(1 + 真實IC!$C18:DR18) - 1</f>
        <v>988.75504891322817</v>
      </c>
      <c r="DT9" s="9" cm="1">
        <f t="array" ref="DT9">PRODUCT(1 + 真實IC!$C18:DS18) - 1</f>
        <v>999.07128991482944</v>
      </c>
      <c r="DU9" s="9" cm="1">
        <f t="array" ref="DU9">PRODUCT(1 + 真實IC!$C18:DT18) - 1</f>
        <v>1045.8489597231724</v>
      </c>
      <c r="DV9" s="9" cm="1">
        <f t="array" ref="DV9">PRODUCT(1 + 真實IC!$C18:DU18) - 1</f>
        <v>1244.8635755624828</v>
      </c>
      <c r="DW9" s="9" cm="1">
        <f t="array" ref="DW9">PRODUCT(1 + 真實IC!$C18:DV18) - 1</f>
        <v>1258.163064321855</v>
      </c>
      <c r="DX9" s="9" cm="1">
        <f t="array" ref="DX9">PRODUCT(1 + 真實IC!$C18:DW18) - 1</f>
        <v>1319.2925915219962</v>
      </c>
      <c r="DY9" s="9" cm="1">
        <f t="array" ref="DY9">PRODUCT(1 + 真實IC!$C18:DX18) - 1</f>
        <v>1458.1107978723419</v>
      </c>
      <c r="DZ9" s="9" cm="1">
        <f t="array" ref="DZ9">PRODUCT(1 + 真實IC!$C18:DY18) - 1</f>
        <v>1596.704238891987</v>
      </c>
      <c r="EA9" s="9" cm="1">
        <f t="array" ref="EA9">PRODUCT(1 + 真實IC!$C18:DZ18) - 1</f>
        <v>1572.5912913840596</v>
      </c>
      <c r="EB9" s="9" cm="1">
        <f t="array" ref="EB9">PRODUCT(1 + 真實IC!$C18:EA18) - 1</f>
        <v>1805.3975320312345</v>
      </c>
      <c r="EC9" s="9" cm="1">
        <f t="array" ref="EC9">PRODUCT(1 + 真實IC!$C18:EB18) - 1</f>
        <v>1966.0024470387791</v>
      </c>
      <c r="ED9" s="9" cm="1">
        <f t="array" ref="ED9">PRODUCT(1 + 真實IC!$C18:EC18) - 1</f>
        <v>1998.1147807602338</v>
      </c>
      <c r="EE9" s="9" cm="1">
        <f t="array" ref="EE9">PRODUCT(1 + 真實IC!$C18:ED18) - 1</f>
        <v>2114.493631707343</v>
      </c>
      <c r="EF9" s="9" cm="1">
        <f t="array" ref="EF9">PRODUCT(1 + 真實IC!$C18:EE18) - 1</f>
        <v>1989.1696805473011</v>
      </c>
      <c r="EG9" s="9" cm="1">
        <f t="array" ref="EG9">PRODUCT(1 + 真實IC!$C18:EF18) - 1</f>
        <v>1674.7392913734948</v>
      </c>
    </row>
    <row r="10" spans="3:137" ht="16">
      <c r="C10" s="6">
        <v>120</v>
      </c>
      <c r="D10" s="9" cm="1">
        <f t="array" ref="D10">PRODUCT(1 + 真實IC!$C19:C19) - 1</f>
        <v>-3.8913468982799793E-2</v>
      </c>
      <c r="E10" s="9" cm="1">
        <f t="array" ref="E10">PRODUCT(1 + 真實IC!$C19:D19) - 1</f>
        <v>0.12307513033911155</v>
      </c>
      <c r="F10" s="9" cm="1">
        <f t="array" ref="F10">PRODUCT(1 + 真實IC!$C19:E19) - 1</f>
        <v>0.23164404889562951</v>
      </c>
      <c r="G10" s="9" cm="1">
        <f t="array" ref="G10">PRODUCT(1 + 真實IC!$C19:F19) - 1</f>
        <v>0.33110197130927621</v>
      </c>
      <c r="H10" s="9" cm="1">
        <f t="array" ref="H10">PRODUCT(1 + 真實IC!$C19:G19) - 1</f>
        <v>0.51044488220734618</v>
      </c>
      <c r="I10" s="9" cm="1">
        <f t="array" ref="I10">PRODUCT(1 + 真實IC!$C19:H19) - 1</f>
        <v>0.49844763473117659</v>
      </c>
      <c r="J10" s="9" cm="1">
        <f t="array" ref="J10">PRODUCT(1 + 真實IC!$C19:I19) - 1</f>
        <v>0.53473858990259471</v>
      </c>
      <c r="K10" s="9" cm="1">
        <f t="array" ref="K10">PRODUCT(1 + 真實IC!$C19:J19) - 1</f>
        <v>0.57887127058376686</v>
      </c>
      <c r="L10" s="9" cm="1">
        <f t="array" ref="L10">PRODUCT(1 + 真實IC!$C19:K19) - 1</f>
        <v>0.57161126700937692</v>
      </c>
      <c r="M10" s="9" cm="1">
        <f t="array" ref="M10">PRODUCT(1 + 真實IC!$C19:L19) - 1</f>
        <v>0.59137046622404066</v>
      </c>
      <c r="N10" s="9" cm="1">
        <f t="array" ref="N10">PRODUCT(1 + 真實IC!$C19:M19) - 1</f>
        <v>0.67085496804510769</v>
      </c>
      <c r="O10" s="9" cm="1">
        <f t="array" ref="O10">PRODUCT(1 + 真實IC!$C19:N19) - 1</f>
        <v>0.85344236790086159</v>
      </c>
      <c r="P10" s="9" cm="1">
        <f t="array" ref="P10">PRODUCT(1 + 真實IC!$C19:O19) - 1</f>
        <v>0.72373171097261824</v>
      </c>
      <c r="Q10" s="9" cm="1">
        <f t="array" ref="Q10">PRODUCT(1 + 真實IC!$C19:P19) - 1</f>
        <v>0.74680032066042012</v>
      </c>
      <c r="R10" s="9" cm="1">
        <f t="array" ref="R10">PRODUCT(1 + 真實IC!$C19:Q19) - 1</f>
        <v>0.87846970043774109</v>
      </c>
      <c r="S10" s="9" cm="1">
        <f t="array" ref="S10">PRODUCT(1 + 真實IC!$C19:R19) - 1</f>
        <v>0.87202805695624241</v>
      </c>
      <c r="T10" s="9" cm="1">
        <f t="array" ref="T10">PRODUCT(1 + 真實IC!$C19:S19) - 1</f>
        <v>1.1877607516658708</v>
      </c>
      <c r="U10" s="9" cm="1">
        <f t="array" ref="U10">PRODUCT(1 + 真實IC!$C19:T19) - 1</f>
        <v>1.6349692869454415</v>
      </c>
      <c r="V10" s="9" cm="1">
        <f t="array" ref="V10">PRODUCT(1 + 真實IC!$C19:U19) - 1</f>
        <v>1.6562079904594849</v>
      </c>
      <c r="W10" s="9" cm="1">
        <f t="array" ref="W10">PRODUCT(1 + 真實IC!$C19:V19) - 1</f>
        <v>2.1451178686105647</v>
      </c>
      <c r="X10" s="9" cm="1">
        <f t="array" ref="X10">PRODUCT(1 + 真實IC!$C19:W19) - 1</f>
        <v>2.5497915493959287</v>
      </c>
      <c r="Y10" s="9" cm="1">
        <f t="array" ref="Y10">PRODUCT(1 + 真實IC!$C19:X19) - 1</f>
        <v>3.5129776057032336</v>
      </c>
      <c r="Z10" s="9" cm="1">
        <f t="array" ref="Z10">PRODUCT(1 + 真實IC!$C19:Y19) - 1</f>
        <v>3.915062064248068</v>
      </c>
      <c r="AA10" s="9" cm="1">
        <f t="array" ref="AA10">PRODUCT(1 + 真實IC!$C19:Z19) - 1</f>
        <v>4.6084049907282383</v>
      </c>
      <c r="AB10" s="9" cm="1">
        <f t="array" ref="AB10">PRODUCT(1 + 真實IC!$C19:AA19) - 1</f>
        <v>5.265865419634344</v>
      </c>
      <c r="AC10" s="9" cm="1">
        <f t="array" ref="AC10">PRODUCT(1 + 真實IC!$C19:AB19) - 1</f>
        <v>5.5072906646335058</v>
      </c>
      <c r="AD10" s="9" cm="1">
        <f t="array" ref="AD10">PRODUCT(1 + 真實IC!$C19:AC19) - 1</f>
        <v>6.7930774426596559</v>
      </c>
      <c r="AE10" s="9" cm="1">
        <f t="array" ref="AE10">PRODUCT(1 + 真實IC!$C19:AD19) - 1</f>
        <v>6.8682983623979057</v>
      </c>
      <c r="AF10" s="9" cm="1">
        <f t="array" ref="AF10">PRODUCT(1 + 真實IC!$C19:AE19) - 1</f>
        <v>8.6160260739036794</v>
      </c>
      <c r="AG10" s="9" cm="1">
        <f t="array" ref="AG10">PRODUCT(1 + 真實IC!$C19:AF19) - 1</f>
        <v>10.64705785319039</v>
      </c>
      <c r="AH10" s="9" cm="1">
        <f t="array" ref="AH10">PRODUCT(1 + 真實IC!$C19:AG19) - 1</f>
        <v>9.9174845003793006</v>
      </c>
      <c r="AI10" s="9" cm="1">
        <f t="array" ref="AI10">PRODUCT(1 + 真實IC!$C19:AH19) - 1</f>
        <v>12.275543772945946</v>
      </c>
      <c r="AJ10" s="9" cm="1">
        <f t="array" ref="AJ10">PRODUCT(1 + 真實IC!$C19:AI19) - 1</f>
        <v>13.032753915480583</v>
      </c>
      <c r="AK10" s="9" cm="1">
        <f t="array" ref="AK10">PRODUCT(1 + 真實IC!$C19:AJ19) - 1</f>
        <v>13.756382231266148</v>
      </c>
      <c r="AL10" s="9" cm="1">
        <f t="array" ref="AL10">PRODUCT(1 + 真實IC!$C19:AK19) - 1</f>
        <v>14.019541928317501</v>
      </c>
      <c r="AM10" s="9" cm="1">
        <f t="array" ref="AM10">PRODUCT(1 + 真實IC!$C19:AL19) - 1</f>
        <v>15.167433665846264</v>
      </c>
      <c r="AN10" s="9" cm="1">
        <f t="array" ref="AN10">PRODUCT(1 + 真實IC!$C19:AM19) - 1</f>
        <v>14.690152546417552</v>
      </c>
      <c r="AO10" s="9" cm="1">
        <f t="array" ref="AO10">PRODUCT(1 + 真實IC!$C19:AN19) - 1</f>
        <v>14.79145029528477</v>
      </c>
      <c r="AP10" s="9" cm="1">
        <f t="array" ref="AP10">PRODUCT(1 + 真實IC!$C19:AO19) - 1</f>
        <v>16.002568116157764</v>
      </c>
      <c r="AQ10" s="9" cm="1">
        <f t="array" ref="AQ10">PRODUCT(1 + 真實IC!$C19:AP19) - 1</f>
        <v>17.022083609803008</v>
      </c>
      <c r="AR10" s="9" cm="1">
        <f t="array" ref="AR10">PRODUCT(1 + 真實IC!$C19:AQ19) - 1</f>
        <v>19.053589235369941</v>
      </c>
      <c r="AS10" s="9" cm="1">
        <f t="array" ref="AS10">PRODUCT(1 + 真實IC!$C19:AR19) - 1</f>
        <v>19.972096274197547</v>
      </c>
      <c r="AT10" s="9" cm="1">
        <f t="array" ref="AT10">PRODUCT(1 + 真實IC!$C19:AS19) - 1</f>
        <v>20.18011934039793</v>
      </c>
      <c r="AU10" s="9" cm="1">
        <f t="array" ref="AU10">PRODUCT(1 + 真實IC!$C19:AT19) - 1</f>
        <v>23.205669294470855</v>
      </c>
      <c r="AV10" s="9" cm="1">
        <f t="array" ref="AV10">PRODUCT(1 + 真實IC!$C19:AU19) - 1</f>
        <v>26.006255780352806</v>
      </c>
      <c r="AW10" s="9" cm="1">
        <f t="array" ref="AW10">PRODUCT(1 + 真實IC!$C19:AV19) - 1</f>
        <v>24.351437751150325</v>
      </c>
      <c r="AX10" s="9" cm="1">
        <f t="array" ref="AX10">PRODUCT(1 + 真實IC!$C19:AW19) - 1</f>
        <v>30.695378117287159</v>
      </c>
      <c r="AY10" s="9" cm="1">
        <f t="array" ref="AY10">PRODUCT(1 + 真實IC!$C19:AX19) - 1</f>
        <v>31.620542176057455</v>
      </c>
      <c r="AZ10" s="9" cm="1">
        <f t="array" ref="AZ10">PRODUCT(1 + 真實IC!$C19:AY19) - 1</f>
        <v>39.386822690575372</v>
      </c>
      <c r="BA10" s="9" cm="1">
        <f t="array" ref="BA10">PRODUCT(1 + 真實IC!$C19:AZ19) - 1</f>
        <v>42.233860695305886</v>
      </c>
      <c r="BB10" s="9" cm="1">
        <f t="array" ref="BB10">PRODUCT(1 + 真實IC!$C19:BA19) - 1</f>
        <v>43.910107307856535</v>
      </c>
      <c r="BC10" s="9" cm="1">
        <f t="array" ref="BC10">PRODUCT(1 + 真實IC!$C19:BB19) - 1</f>
        <v>49.893330924248701</v>
      </c>
      <c r="BD10" s="9" cm="1">
        <f t="array" ref="BD10">PRODUCT(1 + 真實IC!$C19:BC19) - 1</f>
        <v>52.506639959171004</v>
      </c>
      <c r="BE10" s="9" cm="1">
        <f t="array" ref="BE10">PRODUCT(1 + 真實IC!$C19:BD19) - 1</f>
        <v>53.227632827108266</v>
      </c>
      <c r="BF10" s="9" cm="1">
        <f t="array" ref="BF10">PRODUCT(1 + 真實IC!$C19:BE19) - 1</f>
        <v>50.835638204813641</v>
      </c>
      <c r="BG10" s="9" cm="1">
        <f t="array" ref="BG10">PRODUCT(1 + 真實IC!$C19:BF19) - 1</f>
        <v>53.689747678081744</v>
      </c>
      <c r="BH10" s="9" cm="1">
        <f t="array" ref="BH10">PRODUCT(1 + 真實IC!$C19:BG19) - 1</f>
        <v>59.848964301624761</v>
      </c>
      <c r="BI10" s="9" cm="1">
        <f t="array" ref="BI10">PRODUCT(1 + 真實IC!$C19:BH19) - 1</f>
        <v>65.27407514037715</v>
      </c>
      <c r="BJ10" s="9" cm="1">
        <f t="array" ref="BJ10">PRODUCT(1 + 真實IC!$C19:BI19) - 1</f>
        <v>73.114280646448321</v>
      </c>
      <c r="BK10" s="9" cm="1">
        <f t="array" ref="BK10">PRODUCT(1 + 真實IC!$C19:BJ19) - 1</f>
        <v>80.36771517594488</v>
      </c>
      <c r="BL10" s="9" cm="1">
        <f t="array" ref="BL10">PRODUCT(1 + 真實IC!$C19:BK19) - 1</f>
        <v>81.730732359789044</v>
      </c>
      <c r="BM10" s="9" cm="1">
        <f t="array" ref="BM10">PRODUCT(1 + 真實IC!$C19:BL19) - 1</f>
        <v>82.66745792868744</v>
      </c>
      <c r="BN10" s="9" cm="1">
        <f t="array" ref="BN10">PRODUCT(1 + 真實IC!$C19:BM19) - 1</f>
        <v>81.955564215798645</v>
      </c>
      <c r="BO10" s="9" cm="1">
        <f t="array" ref="BO10">PRODUCT(1 + 真實IC!$C19:BN19) - 1</f>
        <v>89.691624775581829</v>
      </c>
      <c r="BP10" s="9" cm="1">
        <f t="array" ref="BP10">PRODUCT(1 + 真實IC!$C19:BO19) - 1</f>
        <v>92.611648929193393</v>
      </c>
      <c r="BQ10" s="9" cm="1">
        <f t="array" ref="BQ10">PRODUCT(1 + 真實IC!$C19:BP19) - 1</f>
        <v>106.62786370967851</v>
      </c>
      <c r="BR10" s="9" cm="1">
        <f t="array" ref="BR10">PRODUCT(1 + 真實IC!$C19:BQ19) - 1</f>
        <v>108.69009284216652</v>
      </c>
      <c r="BS10" s="9" cm="1">
        <f t="array" ref="BS10">PRODUCT(1 + 真實IC!$C19:BR19) - 1</f>
        <v>128.24653076512502</v>
      </c>
      <c r="BT10" s="9" cm="1">
        <f t="array" ref="BT10">PRODUCT(1 + 真實IC!$C19:BS19) - 1</f>
        <v>130.94856109135767</v>
      </c>
      <c r="BU10" s="9" cm="1">
        <f t="array" ref="BU10">PRODUCT(1 + 真實IC!$C19:BT19) - 1</f>
        <v>124.00144820356033</v>
      </c>
      <c r="BV10" s="9" cm="1">
        <f t="array" ref="BV10">PRODUCT(1 + 真實IC!$C19:BU19) - 1</f>
        <v>119.18759432373952</v>
      </c>
      <c r="BW10" s="9" cm="1">
        <f t="array" ref="BW10">PRODUCT(1 + 真實IC!$C19:BV19) - 1</f>
        <v>141.83921048392304</v>
      </c>
      <c r="BX10" s="9" cm="1">
        <f t="array" ref="BX10">PRODUCT(1 + 真實IC!$C19:BW19) - 1</f>
        <v>171.59787815555364</v>
      </c>
      <c r="BY10" s="9" cm="1">
        <f t="array" ref="BY10">PRODUCT(1 + 真實IC!$C19:BX19) - 1</f>
        <v>184.00806334277121</v>
      </c>
      <c r="BZ10" s="9" cm="1">
        <f t="array" ref="BZ10">PRODUCT(1 + 真實IC!$C19:BY19) - 1</f>
        <v>193.5096946680446</v>
      </c>
      <c r="CA10" s="9" cm="1">
        <f t="array" ref="CA10">PRODUCT(1 + 真實IC!$C19:BZ19) - 1</f>
        <v>188.54458130240934</v>
      </c>
      <c r="CB10" s="9" cm="1">
        <f t="array" ref="CB10">PRODUCT(1 + 真實IC!$C19:CA19) - 1</f>
        <v>163.73739444395193</v>
      </c>
      <c r="CC10" s="9" cm="1">
        <f t="array" ref="CC10">PRODUCT(1 + 真實IC!$C19:CB19) - 1</f>
        <v>181.72108999704241</v>
      </c>
      <c r="CD10" s="9" cm="1">
        <f t="array" ref="CD10">PRODUCT(1 + 真實IC!$C19:CC19) - 1</f>
        <v>160.76648065813623</v>
      </c>
      <c r="CE10" s="9" cm="1">
        <f t="array" ref="CE10">PRODUCT(1 + 真實IC!$C19:CD19) - 1</f>
        <v>170.5662051428815</v>
      </c>
      <c r="CF10" s="9" cm="1">
        <f t="array" ref="CF10">PRODUCT(1 + 真實IC!$C19:CE19) - 1</f>
        <v>189.8664752705339</v>
      </c>
      <c r="CG10" s="9" cm="1">
        <f t="array" ref="CG10">PRODUCT(1 + 真實IC!$C19:CF19) - 1</f>
        <v>189.97326162131108</v>
      </c>
      <c r="CH10" s="9" cm="1">
        <f t="array" ref="CH10">PRODUCT(1 + 真實IC!$C19:CG19) - 1</f>
        <v>208.27777624553994</v>
      </c>
      <c r="CI10" s="9" cm="1">
        <f t="array" ref="CI10">PRODUCT(1 + 真實IC!$C19:CH19) - 1</f>
        <v>232.52038124557697</v>
      </c>
      <c r="CJ10" s="9" cm="1">
        <f t="array" ref="CJ10">PRODUCT(1 + 真實IC!$C19:CI19) - 1</f>
        <v>262.98324627602102</v>
      </c>
      <c r="CK10" s="9" cm="1">
        <f t="array" ref="CK10">PRODUCT(1 + 真實IC!$C19:CJ19) - 1</f>
        <v>284.40928461188588</v>
      </c>
      <c r="CL10" s="9" cm="1">
        <f t="array" ref="CL10">PRODUCT(1 + 真實IC!$C19:CK19) - 1</f>
        <v>299.26404527242107</v>
      </c>
      <c r="CM10" s="9" cm="1">
        <f t="array" ref="CM10">PRODUCT(1 + 真實IC!$C19:CL19) - 1</f>
        <v>300.18559886577486</v>
      </c>
      <c r="CN10" s="9" cm="1">
        <f t="array" ref="CN10">PRODUCT(1 + 真實IC!$C19:CM19) - 1</f>
        <v>299.68262707980057</v>
      </c>
      <c r="CO10" s="9" cm="1">
        <f t="array" ref="CO10">PRODUCT(1 + 真實IC!$C19:CN19) - 1</f>
        <v>401.78069213150724</v>
      </c>
      <c r="CP10" s="9" cm="1">
        <f t="array" ref="CP10">PRODUCT(1 + 真實IC!$C19:CO19) - 1</f>
        <v>475.36785689316059</v>
      </c>
      <c r="CQ10" s="9" cm="1">
        <f t="array" ref="CQ10">PRODUCT(1 + 真實IC!$C19:CP19) - 1</f>
        <v>526.92104542530285</v>
      </c>
      <c r="CR10" s="9" cm="1">
        <f t="array" ref="CR10">PRODUCT(1 + 真實IC!$C19:CQ19) - 1</f>
        <v>575.43052865109291</v>
      </c>
      <c r="CS10" s="9" cm="1">
        <f t="array" ref="CS10">PRODUCT(1 + 真實IC!$C19:CR19) - 1</f>
        <v>669.45213871693534</v>
      </c>
      <c r="CT10" s="9" cm="1">
        <f t="array" ref="CT10">PRODUCT(1 + 真實IC!$C19:CS19) - 1</f>
        <v>610.10378485591468</v>
      </c>
      <c r="CU10" s="9" cm="1">
        <f t="array" ref="CU10">PRODUCT(1 + 真實IC!$C19:CT19) - 1</f>
        <v>680.07918413533855</v>
      </c>
      <c r="CV10" s="9" cm="1">
        <f t="array" ref="CV10">PRODUCT(1 + 真實IC!$C19:CU19) - 1</f>
        <v>796.44935339698714</v>
      </c>
      <c r="CW10" s="9" cm="1">
        <f t="array" ref="CW10">PRODUCT(1 + 真實IC!$C19:CV19) - 1</f>
        <v>849.44596174787193</v>
      </c>
      <c r="CX10" s="9" cm="1">
        <f t="array" ref="CX10">PRODUCT(1 + 真實IC!$C19:CW19) - 1</f>
        <v>896.9034706940314</v>
      </c>
      <c r="CY10" s="9" cm="1">
        <f t="array" ref="CY10">PRODUCT(1 + 真實IC!$C19:CX19) - 1</f>
        <v>1009.1502537283967</v>
      </c>
      <c r="CZ10" s="9" cm="1">
        <f t="array" ref="CZ10">PRODUCT(1 + 真實IC!$C19:CY19) - 1</f>
        <v>932.77389066335309</v>
      </c>
      <c r="DA10" s="9" cm="1">
        <f t="array" ref="DA10">PRODUCT(1 + 真實IC!$C19:CZ19) - 1</f>
        <v>962.27431447368315</v>
      </c>
      <c r="DB10" s="9" cm="1">
        <f t="array" ref="DB10">PRODUCT(1 + 真實IC!$C19:DA19) - 1</f>
        <v>1171.5891244320117</v>
      </c>
      <c r="DC10" s="9" cm="1">
        <f t="array" ref="DC10">PRODUCT(1 + 真實IC!$C19:DB19) - 1</f>
        <v>908.55748346587029</v>
      </c>
      <c r="DD10" s="9" cm="1">
        <f t="array" ref="DD10">PRODUCT(1 + 真實IC!$C19:DC19) - 1</f>
        <v>1010.8339333754947</v>
      </c>
      <c r="DE10" s="9" cm="1">
        <f t="array" ref="DE10">PRODUCT(1 + 真實IC!$C19:DD19) - 1</f>
        <v>1101.1467276241988</v>
      </c>
      <c r="DF10" s="9" cm="1">
        <f t="array" ref="DF10">PRODUCT(1 + 真實IC!$C19:DE19) - 1</f>
        <v>1042.1052177096985</v>
      </c>
      <c r="DG10" s="9" cm="1">
        <f t="array" ref="DG10">PRODUCT(1 + 真實IC!$C19:DF19) - 1</f>
        <v>1058.4553130076961</v>
      </c>
      <c r="DH10" s="9" cm="1">
        <f t="array" ref="DH10">PRODUCT(1 + 真實IC!$C19:DG19) - 1</f>
        <v>927.91721113680944</v>
      </c>
      <c r="DI10" s="9" cm="1">
        <f t="array" ref="DI10">PRODUCT(1 + 真實IC!$C19:DH19) - 1</f>
        <v>916.16279059688918</v>
      </c>
      <c r="DJ10" s="9" cm="1">
        <f t="array" ref="DJ10">PRODUCT(1 + 真實IC!$C19:DI19) - 1</f>
        <v>884.02124610347369</v>
      </c>
      <c r="DK10" s="9" cm="1">
        <f t="array" ref="DK10">PRODUCT(1 + 真實IC!$C19:DJ19) - 1</f>
        <v>955.83057281329309</v>
      </c>
      <c r="DL10" s="9" cm="1">
        <f t="array" ref="DL10">PRODUCT(1 + 真實IC!$C19:DK19) - 1</f>
        <v>890.65308117842335</v>
      </c>
      <c r="DM10" s="9" cm="1">
        <f t="array" ref="DM10">PRODUCT(1 + 真實IC!$C19:DL19) - 1</f>
        <v>923.16499144604427</v>
      </c>
      <c r="DN10" s="9" cm="1">
        <f t="array" ref="DN10">PRODUCT(1 + 真實IC!$C19:DM19) - 1</f>
        <v>865.9901217282661</v>
      </c>
      <c r="DO10" s="9" cm="1">
        <f t="array" ref="DO10">PRODUCT(1 + 真實IC!$C19:DN19) - 1</f>
        <v>837.55558981057004</v>
      </c>
      <c r="DP10" s="9" cm="1">
        <f t="array" ref="DP10">PRODUCT(1 + 真實IC!$C19:DO19) - 1</f>
        <v>892.27179851466406</v>
      </c>
      <c r="DQ10" s="9" cm="1">
        <f t="array" ref="DQ10">PRODUCT(1 + 真實IC!$C19:DP19) - 1</f>
        <v>1001.0567827599536</v>
      </c>
      <c r="DR10" s="9" cm="1">
        <f t="array" ref="DR10">PRODUCT(1 + 真實IC!$C19:DQ19) - 1</f>
        <v>1073.5874544906981</v>
      </c>
      <c r="DS10" s="9" cm="1">
        <f t="array" ref="DS10">PRODUCT(1 + 真實IC!$C19:DR19) - 1</f>
        <v>1041.820155054379</v>
      </c>
      <c r="DT10" s="9" cm="1">
        <f t="array" ref="DT10">PRODUCT(1 + 真實IC!$C19:DS19) - 1</f>
        <v>1048.6042593559948</v>
      </c>
      <c r="DU10" s="9" cm="1">
        <f t="array" ref="DU10">PRODUCT(1 + 真實IC!$C19:DT19) - 1</f>
        <v>1041.0217325937513</v>
      </c>
      <c r="DV10" s="9" cm="1">
        <f t="array" ref="DV10">PRODUCT(1 + 真實IC!$C19:DU19) - 1</f>
        <v>1207.2816137964476</v>
      </c>
      <c r="DW10" s="9" cm="1">
        <f t="array" ref="DW10">PRODUCT(1 + 真實IC!$C19:DV19) - 1</f>
        <v>1235.6758459460473</v>
      </c>
      <c r="DX10" s="9" cm="1">
        <f t="array" ref="DX10">PRODUCT(1 + 真實IC!$C19:DW19) - 1</f>
        <v>1313.0444828579386</v>
      </c>
      <c r="DY10" s="9" cm="1">
        <f t="array" ref="DY10">PRODUCT(1 + 真實IC!$C19:DX19) - 1</f>
        <v>1458.668309559303</v>
      </c>
      <c r="DZ10" s="9" cm="1">
        <f t="array" ref="DZ10">PRODUCT(1 + 真實IC!$C19:DY19) - 1</f>
        <v>1642.601898403994</v>
      </c>
      <c r="EA10" s="9" cm="1">
        <f t="array" ref="EA10">PRODUCT(1 + 真實IC!$C19:DZ19) - 1</f>
        <v>1690.4425291056796</v>
      </c>
      <c r="EB10" s="9" cm="1">
        <f t="array" ref="EB10">PRODUCT(1 + 真實IC!$C19:EA19) - 1</f>
        <v>1913.4602827475005</v>
      </c>
      <c r="EC10" s="9" cm="1">
        <f t="array" ref="EC10">PRODUCT(1 + 真實IC!$C19:EB19) - 1</f>
        <v>2079.7478404795606</v>
      </c>
      <c r="ED10" s="9" cm="1">
        <f t="array" ref="ED10">PRODUCT(1 + 真實IC!$C19:EC19) - 1</f>
        <v>2058.4815460109567</v>
      </c>
      <c r="EE10" s="9" cm="1">
        <f t="array" ref="EE10">PRODUCT(1 + 真實IC!$C19:ED19) - 1</f>
        <v>2213.6655245820743</v>
      </c>
      <c r="EF10" s="9" cm="1">
        <f t="array" ref="EF10">PRODUCT(1 + 真實IC!$C19:EE19) - 1</f>
        <v>2071.309703796021</v>
      </c>
      <c r="EG10" s="9" cm="1">
        <f t="array" ref="EG10">PRODUCT(1 + 真實IC!$C19:EF19) - 1</f>
        <v>1781.5700379110156</v>
      </c>
    </row>
    <row r="11" spans="3:137" ht="16">
      <c r="C11" s="6">
        <v>137</v>
      </c>
      <c r="D11" s="9" cm="1">
        <f t="array" ref="D11">PRODUCT(1 + 真實IC!$C20:C20) - 1</f>
        <v>-5.9146797802220652E-2</v>
      </c>
      <c r="E11" s="9" cm="1">
        <f t="array" ref="E11">PRODUCT(1 + 真實IC!$C20:D20) - 1</f>
        <v>0.1139879635576273</v>
      </c>
      <c r="F11" s="9" cm="1">
        <f t="array" ref="F11">PRODUCT(1 + 真實IC!$C20:E20) - 1</f>
        <v>0.22591659821402565</v>
      </c>
      <c r="G11" s="9" cm="1">
        <f t="array" ref="G11">PRODUCT(1 + 真實IC!$C20:F20) - 1</f>
        <v>0.37227015054722301</v>
      </c>
      <c r="H11" s="9" cm="1">
        <f t="array" ref="H11">PRODUCT(1 + 真實IC!$C20:G20) - 1</f>
        <v>0.59731409540454306</v>
      </c>
      <c r="I11" s="9" cm="1">
        <f t="array" ref="I11">PRODUCT(1 + 真實IC!$C20:H20) - 1</f>
        <v>0.58354168947858098</v>
      </c>
      <c r="J11" s="9" cm="1">
        <f t="array" ref="J11">PRODUCT(1 + 真實IC!$C20:I20) - 1</f>
        <v>0.63205619257617207</v>
      </c>
      <c r="K11" s="9" cm="1">
        <f t="array" ref="K11">PRODUCT(1 + 真實IC!$C20:J20) - 1</f>
        <v>0.61306771754140033</v>
      </c>
      <c r="L11" s="9" cm="1">
        <f t="array" ref="L11">PRODUCT(1 + 真實IC!$C20:K20) - 1</f>
        <v>0.58934987827612484</v>
      </c>
      <c r="M11" s="9" cm="1">
        <f t="array" ref="M11">PRODUCT(1 + 真實IC!$C20:L20) - 1</f>
        <v>0.63595415103940223</v>
      </c>
      <c r="N11" s="9" cm="1">
        <f t="array" ref="N11">PRODUCT(1 + 真實IC!$C20:M20) - 1</f>
        <v>0.75051286494962444</v>
      </c>
      <c r="O11" s="9" cm="1">
        <f t="array" ref="O11">PRODUCT(1 + 真實IC!$C20:N20) - 1</f>
        <v>0.99769839018961703</v>
      </c>
      <c r="P11" s="9" cm="1">
        <f t="array" ref="P11">PRODUCT(1 + 真實IC!$C20:O20) - 1</f>
        <v>0.85911667621353094</v>
      </c>
      <c r="Q11" s="9" cm="1">
        <f t="array" ref="Q11">PRODUCT(1 + 真實IC!$C20:P20) - 1</f>
        <v>0.87459955950547119</v>
      </c>
      <c r="R11" s="9" cm="1">
        <f t="array" ref="R11">PRODUCT(1 + 真實IC!$C20:Q20) - 1</f>
        <v>1.0159623079377242</v>
      </c>
      <c r="S11" s="9" cm="1">
        <f t="array" ref="S11">PRODUCT(1 + 真實IC!$C20:R20) - 1</f>
        <v>1.0092966818013989</v>
      </c>
      <c r="T11" s="9" cm="1">
        <f t="array" ref="T11">PRODUCT(1 + 真實IC!$C20:S20) - 1</f>
        <v>1.3950130592974332</v>
      </c>
      <c r="U11" s="9" cm="1">
        <f t="array" ref="U11">PRODUCT(1 + 真實IC!$C20:T20) - 1</f>
        <v>1.9346415325552067</v>
      </c>
      <c r="V11" s="9" cm="1">
        <f t="array" ref="V11">PRODUCT(1 + 真實IC!$C20:U20) - 1</f>
        <v>1.9556115061832888</v>
      </c>
      <c r="W11" s="9" cm="1">
        <f t="array" ref="W11">PRODUCT(1 + 真實IC!$C20:V20) - 1</f>
        <v>2.6357840445939926</v>
      </c>
      <c r="X11" s="9" cm="1">
        <f t="array" ref="X11">PRODUCT(1 + 真實IC!$C20:W20) - 1</f>
        <v>3.2398144061026573</v>
      </c>
      <c r="Y11" s="9" cm="1">
        <f t="array" ref="Y11">PRODUCT(1 + 真實IC!$C20:X20) - 1</f>
        <v>4.4355971989228955</v>
      </c>
      <c r="Z11" s="9" cm="1">
        <f t="array" ref="Z11">PRODUCT(1 + 真實IC!$C20:Y20) - 1</f>
        <v>4.7203250107319565</v>
      </c>
      <c r="AA11" s="9" cm="1">
        <f t="array" ref="AA11">PRODUCT(1 + 真實IC!$C20:Z20) - 1</f>
        <v>5.5494848589680048</v>
      </c>
      <c r="AB11" s="9" cm="1">
        <f t="array" ref="AB11">PRODUCT(1 + 真實IC!$C20:AA20) - 1</f>
        <v>6.2333664112913567</v>
      </c>
      <c r="AC11" s="9" cm="1">
        <f t="array" ref="AC11">PRODUCT(1 + 真實IC!$C20:AB20) - 1</f>
        <v>6.4994921704731317</v>
      </c>
      <c r="AD11" s="9" cm="1">
        <f t="array" ref="AD11">PRODUCT(1 + 真實IC!$C20:AC20) - 1</f>
        <v>7.936656009259627</v>
      </c>
      <c r="AE11" s="9" cm="1">
        <f t="array" ref="AE11">PRODUCT(1 + 真實IC!$C20:AD20) - 1</f>
        <v>8.0988003918350451</v>
      </c>
      <c r="AF11" s="9" cm="1">
        <f t="array" ref="AF11">PRODUCT(1 + 真實IC!$C20:AE20) - 1</f>
        <v>10.44985169859153</v>
      </c>
      <c r="AG11" s="9" cm="1">
        <f t="array" ref="AG11">PRODUCT(1 + 真實IC!$C20:AF20) - 1</f>
        <v>13.378372150362104</v>
      </c>
      <c r="AH11" s="9" cm="1">
        <f t="array" ref="AH11">PRODUCT(1 + 真實IC!$C20:AG20) - 1</f>
        <v>12.203371867343984</v>
      </c>
      <c r="AI11" s="9" cm="1">
        <f t="array" ref="AI11">PRODUCT(1 + 真實IC!$C20:AH20) - 1</f>
        <v>16.061959732169623</v>
      </c>
      <c r="AJ11" s="9" cm="1">
        <f t="array" ref="AJ11">PRODUCT(1 + 真實IC!$C20:AI20) - 1</f>
        <v>17.451208476784924</v>
      </c>
      <c r="AK11" s="9" cm="1">
        <f t="array" ref="AK11">PRODUCT(1 + 真實IC!$C20:AJ20) - 1</f>
        <v>18.483336796524071</v>
      </c>
      <c r="AL11" s="9" cm="1">
        <f t="array" ref="AL11">PRODUCT(1 + 真實IC!$C20:AK20) - 1</f>
        <v>18.76862327903072</v>
      </c>
      <c r="AM11" s="9" cm="1">
        <f t="array" ref="AM11">PRODUCT(1 + 真實IC!$C20:AL20) - 1</f>
        <v>21.230291480988036</v>
      </c>
      <c r="AN11" s="9" cm="1">
        <f t="array" ref="AN11">PRODUCT(1 + 真實IC!$C20:AM20) - 1</f>
        <v>20.345452166547069</v>
      </c>
      <c r="AO11" s="9" cm="1">
        <f t="array" ref="AO11">PRODUCT(1 + 真實IC!$C20:AN20) - 1</f>
        <v>20.285804055918966</v>
      </c>
      <c r="AP11" s="9" cm="1">
        <f t="array" ref="AP11">PRODUCT(1 + 真實IC!$C20:AO20) - 1</f>
        <v>19.762507879515045</v>
      </c>
      <c r="AQ11" s="9" cm="1">
        <f t="array" ref="AQ11">PRODUCT(1 + 真實IC!$C20:AP20) - 1</f>
        <v>21.77544909756686</v>
      </c>
      <c r="AR11" s="9" cm="1">
        <f t="array" ref="AR11">PRODUCT(1 + 真實IC!$C20:AQ20) - 1</f>
        <v>24.83526879275831</v>
      </c>
      <c r="AS11" s="9" cm="1">
        <f t="array" ref="AS11">PRODUCT(1 + 真實IC!$C20:AR20) - 1</f>
        <v>25.842908193752411</v>
      </c>
      <c r="AT11" s="9" cm="1">
        <f t="array" ref="AT11">PRODUCT(1 + 真實IC!$C20:AS20) - 1</f>
        <v>25.856480238878969</v>
      </c>
      <c r="AU11" s="9" cm="1">
        <f t="array" ref="AU11">PRODUCT(1 + 真實IC!$C20:AT20) - 1</f>
        <v>29.938265452067874</v>
      </c>
      <c r="AV11" s="9" cm="1">
        <f t="array" ref="AV11">PRODUCT(1 + 真實IC!$C20:AU20) - 1</f>
        <v>34.235535287610922</v>
      </c>
      <c r="AW11" s="9" cm="1">
        <f t="array" ref="AW11">PRODUCT(1 + 真實IC!$C20:AV20) - 1</f>
        <v>32.613587795481784</v>
      </c>
      <c r="AX11" s="9" cm="1">
        <f t="array" ref="AX11">PRODUCT(1 + 真實IC!$C20:AW20) - 1</f>
        <v>39.786295059142446</v>
      </c>
      <c r="AY11" s="9" cm="1">
        <f t="array" ref="AY11">PRODUCT(1 + 真實IC!$C20:AX20) - 1</f>
        <v>42.54547188851005</v>
      </c>
      <c r="AZ11" s="9" cm="1">
        <f t="array" ref="AZ11">PRODUCT(1 + 真實IC!$C20:AY20) - 1</f>
        <v>53.577228798786138</v>
      </c>
      <c r="BA11" s="9" cm="1">
        <f t="array" ref="BA11">PRODUCT(1 + 真實IC!$C20:AZ20) - 1</f>
        <v>56.395942225558663</v>
      </c>
      <c r="BB11" s="9" cm="1">
        <f t="array" ref="BB11">PRODUCT(1 + 真實IC!$C20:BA20) - 1</f>
        <v>58.422147553419656</v>
      </c>
      <c r="BC11" s="9" cm="1">
        <f t="array" ref="BC11">PRODUCT(1 + 真實IC!$C20:BB20) - 1</f>
        <v>67.906316860883479</v>
      </c>
      <c r="BD11" s="9" cm="1">
        <f t="array" ref="BD11">PRODUCT(1 + 真實IC!$C20:BC20) - 1</f>
        <v>76.040122849406941</v>
      </c>
      <c r="BE11" s="9" cm="1">
        <f t="array" ref="BE11">PRODUCT(1 + 真實IC!$C20:BD20) - 1</f>
        <v>76.337293588784291</v>
      </c>
      <c r="BF11" s="9" cm="1">
        <f t="array" ref="BF11">PRODUCT(1 + 真實IC!$C20:BE20) - 1</f>
        <v>69.286231900138773</v>
      </c>
      <c r="BG11" s="9" cm="1">
        <f t="array" ref="BG11">PRODUCT(1 + 真實IC!$C20:BF20) - 1</f>
        <v>72.061774580356087</v>
      </c>
      <c r="BH11" s="9" cm="1">
        <f t="array" ref="BH11">PRODUCT(1 + 真實IC!$C20:BG20) - 1</f>
        <v>74.961258999166972</v>
      </c>
      <c r="BI11" s="9" cm="1">
        <f t="array" ref="BI11">PRODUCT(1 + 真實IC!$C20:BH20) - 1</f>
        <v>80.054093228528444</v>
      </c>
      <c r="BJ11" s="9" cm="1">
        <f t="array" ref="BJ11">PRODUCT(1 + 真實IC!$C20:BI20) - 1</f>
        <v>87.934248300856524</v>
      </c>
      <c r="BK11" s="9" cm="1">
        <f t="array" ref="BK11">PRODUCT(1 + 真實IC!$C20:BJ20) - 1</f>
        <v>96.697282777358822</v>
      </c>
      <c r="BL11" s="9" cm="1">
        <f t="array" ref="BL11">PRODUCT(1 + 真實IC!$C20:BK20) - 1</f>
        <v>96.793132008869961</v>
      </c>
      <c r="BM11" s="9" cm="1">
        <f t="array" ref="BM11">PRODUCT(1 + 真實IC!$C20:BL20) - 1</f>
        <v>99.396025880811365</v>
      </c>
      <c r="BN11" s="9" cm="1">
        <f t="array" ref="BN11">PRODUCT(1 + 真實IC!$C20:BM20) - 1</f>
        <v>97.81617232446844</v>
      </c>
      <c r="BO11" s="9" cm="1">
        <f t="array" ref="BO11">PRODUCT(1 + 真實IC!$C20:BN20) - 1</f>
        <v>110.84578570954129</v>
      </c>
      <c r="BP11" s="9" cm="1">
        <f t="array" ref="BP11">PRODUCT(1 + 真實IC!$C20:BO20) - 1</f>
        <v>114.19798153450942</v>
      </c>
      <c r="BQ11" s="9" cm="1">
        <f t="array" ref="BQ11">PRODUCT(1 + 真實IC!$C20:BP20) - 1</f>
        <v>133.19106059428384</v>
      </c>
      <c r="BR11" s="9" cm="1">
        <f t="array" ref="BR11">PRODUCT(1 + 真實IC!$C20:BQ20) - 1</f>
        <v>133.79816686640572</v>
      </c>
      <c r="BS11" s="9" cm="1">
        <f t="array" ref="BS11">PRODUCT(1 + 真實IC!$C20:BR20) - 1</f>
        <v>157.27830552579687</v>
      </c>
      <c r="BT11" s="9" cm="1">
        <f t="array" ref="BT11">PRODUCT(1 + 真實IC!$C20:BS20) - 1</f>
        <v>162.48142887376596</v>
      </c>
      <c r="BU11" s="9" cm="1">
        <f t="array" ref="BU11">PRODUCT(1 + 真實IC!$C20:BT20) - 1</f>
        <v>152.4199115467693</v>
      </c>
      <c r="BV11" s="9" cm="1">
        <f t="array" ref="BV11">PRODUCT(1 + 真實IC!$C20:BU20) - 1</f>
        <v>153.78851950503534</v>
      </c>
      <c r="BW11" s="9" cm="1">
        <f t="array" ref="BW11">PRODUCT(1 + 真實IC!$C20:BV20) - 1</f>
        <v>183.18016093852887</v>
      </c>
      <c r="BX11" s="9" cm="1">
        <f t="array" ref="BX11">PRODUCT(1 + 真實IC!$C20:BW20) - 1</f>
        <v>223.40059551350595</v>
      </c>
      <c r="BY11" s="9" cm="1">
        <f t="array" ref="BY11">PRODUCT(1 + 真實IC!$C20:BX20) - 1</f>
        <v>223.39496734019809</v>
      </c>
      <c r="BZ11" s="9" cm="1">
        <f t="array" ref="BZ11">PRODUCT(1 + 真實IC!$C20:BY20) - 1</f>
        <v>230.27157507050009</v>
      </c>
      <c r="CA11" s="9" cm="1">
        <f t="array" ref="CA11">PRODUCT(1 + 真實IC!$C20:BZ20) - 1</f>
        <v>232.34104907792107</v>
      </c>
      <c r="CB11" s="9" cm="1">
        <f t="array" ref="CB11">PRODUCT(1 + 真實IC!$C20:CA20) - 1</f>
        <v>205.66410334565185</v>
      </c>
      <c r="CC11" s="9" cm="1">
        <f t="array" ref="CC11">PRODUCT(1 + 真實IC!$C20:CB20) - 1</f>
        <v>225.79055885986074</v>
      </c>
      <c r="CD11" s="9" cm="1">
        <f t="array" ref="CD11">PRODUCT(1 + 真實IC!$C20:CC20) - 1</f>
        <v>201.84191520200508</v>
      </c>
      <c r="CE11" s="9" cm="1">
        <f t="array" ref="CE11">PRODUCT(1 + 真實IC!$C20:CD20) - 1</f>
        <v>212.04974086682904</v>
      </c>
      <c r="CF11" s="9" cm="1">
        <f t="array" ref="CF11">PRODUCT(1 + 真實IC!$C20:CE20) - 1</f>
        <v>239.7623106756846</v>
      </c>
      <c r="CG11" s="9" cm="1">
        <f t="array" ref="CG11">PRODUCT(1 + 真實IC!$C20:CF20) - 1</f>
        <v>242.7871477710226</v>
      </c>
      <c r="CH11" s="9" cm="1">
        <f t="array" ref="CH11">PRODUCT(1 + 真實IC!$C20:CG20) - 1</f>
        <v>273.41518529168229</v>
      </c>
      <c r="CI11" s="9" cm="1">
        <f t="array" ref="CI11">PRODUCT(1 + 真實IC!$C20:CH20) - 1</f>
        <v>306.89007118731189</v>
      </c>
      <c r="CJ11" s="9" cm="1">
        <f t="array" ref="CJ11">PRODUCT(1 + 真實IC!$C20:CI20) - 1</f>
        <v>346.09934614834049</v>
      </c>
      <c r="CK11" s="9" cm="1">
        <f t="array" ref="CK11">PRODUCT(1 + 真實IC!$C20:CJ20) - 1</f>
        <v>371.84163887761065</v>
      </c>
      <c r="CL11" s="9" cm="1">
        <f t="array" ref="CL11">PRODUCT(1 + 真實IC!$C20:CK20) - 1</f>
        <v>387.36311055273296</v>
      </c>
      <c r="CM11" s="9" cm="1">
        <f t="array" ref="CM11">PRODUCT(1 + 真實IC!$C20:CL20) - 1</f>
        <v>391.85558325384</v>
      </c>
      <c r="CN11" s="9" cm="1">
        <f t="array" ref="CN11">PRODUCT(1 + 真實IC!$C20:CM20) - 1</f>
        <v>385.74716986936392</v>
      </c>
      <c r="CO11" s="9" cm="1">
        <f t="array" ref="CO11">PRODUCT(1 + 真實IC!$C20:CN20) - 1</f>
        <v>520.75307309692505</v>
      </c>
      <c r="CP11" s="9" cm="1">
        <f t="array" ref="CP11">PRODUCT(1 + 真實IC!$C20:CO20) - 1</f>
        <v>633.85734921907715</v>
      </c>
      <c r="CQ11" s="9" cm="1">
        <f t="array" ref="CQ11">PRODUCT(1 + 真實IC!$C20:CP20) - 1</f>
        <v>707.67241624519602</v>
      </c>
      <c r="CR11" s="9" cm="1">
        <f t="array" ref="CR11">PRODUCT(1 + 真實IC!$C20:CQ20) - 1</f>
        <v>772.71452439629525</v>
      </c>
      <c r="CS11" s="9" cm="1">
        <f t="array" ref="CS11">PRODUCT(1 + 真實IC!$C20:CR20) - 1</f>
        <v>890.79366711860098</v>
      </c>
      <c r="CT11" s="9" cm="1">
        <f t="array" ref="CT11">PRODUCT(1 + 真實IC!$C20:CS20) - 1</f>
        <v>775.39793702878694</v>
      </c>
      <c r="CU11" s="9" cm="1">
        <f t="array" ref="CU11">PRODUCT(1 + 真實IC!$C20:CT20) - 1</f>
        <v>853.73482042923854</v>
      </c>
      <c r="CV11" s="9" cm="1">
        <f t="array" ref="CV11">PRODUCT(1 + 真實IC!$C20:CU20) - 1</f>
        <v>1018.0419859306029</v>
      </c>
      <c r="CW11" s="9" cm="1">
        <f t="array" ref="CW11">PRODUCT(1 + 真實IC!$C20:CV20) - 1</f>
        <v>1068.6359673268582</v>
      </c>
      <c r="CX11" s="9" cm="1">
        <f t="array" ref="CX11">PRODUCT(1 + 真實IC!$C20:CW20) - 1</f>
        <v>1140.300272299894</v>
      </c>
      <c r="CY11" s="9" cm="1">
        <f t="array" ref="CY11">PRODUCT(1 + 真實IC!$C20:CX20) - 1</f>
        <v>1315.0055985333147</v>
      </c>
      <c r="CZ11" s="9" cm="1">
        <f t="array" ref="CZ11">PRODUCT(1 + 真實IC!$C20:CY20) - 1</f>
        <v>1192.3823236482219</v>
      </c>
      <c r="DA11" s="9" cm="1">
        <f t="array" ref="DA11">PRODUCT(1 + 真實IC!$C20:CZ20) - 1</f>
        <v>1301.5281322697115</v>
      </c>
      <c r="DB11" s="9" cm="1">
        <f t="array" ref="DB11">PRODUCT(1 + 真實IC!$C20:DA20) - 1</f>
        <v>1591.0688639003672</v>
      </c>
      <c r="DC11" s="9" cm="1">
        <f t="array" ref="DC11">PRODUCT(1 + 真實IC!$C20:DB20) - 1</f>
        <v>1237.0212266635021</v>
      </c>
      <c r="DD11" s="9" cm="1">
        <f t="array" ref="DD11">PRODUCT(1 + 真實IC!$C20:DC20) - 1</f>
        <v>1425.0227771428247</v>
      </c>
      <c r="DE11" s="9" cm="1">
        <f t="array" ref="DE11">PRODUCT(1 + 真實IC!$C20:DD20) - 1</f>
        <v>1512.9932404696208</v>
      </c>
      <c r="DF11" s="9" cm="1">
        <f t="array" ref="DF11">PRODUCT(1 + 真實IC!$C20:DE20) - 1</f>
        <v>1497.0720493447698</v>
      </c>
      <c r="DG11" s="9" cm="1">
        <f t="array" ref="DG11">PRODUCT(1 + 真實IC!$C20:DF20) - 1</f>
        <v>1539.1258905789668</v>
      </c>
      <c r="DH11" s="9" cm="1">
        <f t="array" ref="DH11">PRODUCT(1 + 真實IC!$C20:DG20) - 1</f>
        <v>1357.0566845193139</v>
      </c>
      <c r="DI11" s="9" cm="1">
        <f t="array" ref="DI11">PRODUCT(1 + 真實IC!$C20:DH20) - 1</f>
        <v>1339.3340004906991</v>
      </c>
      <c r="DJ11" s="9" cm="1">
        <f t="array" ref="DJ11">PRODUCT(1 + 真實IC!$C20:DI20) - 1</f>
        <v>1314.386031295963</v>
      </c>
      <c r="DK11" s="9" cm="1">
        <f t="array" ref="DK11">PRODUCT(1 + 真實IC!$C20:DJ20) - 1</f>
        <v>1414.7872826074331</v>
      </c>
      <c r="DL11" s="9" cm="1">
        <f t="array" ref="DL11">PRODUCT(1 + 真實IC!$C20:DK20) - 1</f>
        <v>1333.7326253825954</v>
      </c>
      <c r="DM11" s="9" cm="1">
        <f t="array" ref="DM11">PRODUCT(1 + 真實IC!$C20:DL20) - 1</f>
        <v>1383.3619077216929</v>
      </c>
      <c r="DN11" s="9" cm="1">
        <f t="array" ref="DN11">PRODUCT(1 + 真實IC!$C20:DM20) - 1</f>
        <v>1293.3547066325027</v>
      </c>
      <c r="DO11" s="9" cm="1">
        <f t="array" ref="DO11">PRODUCT(1 + 真實IC!$C20:DN20) - 1</f>
        <v>1212.5069097625558</v>
      </c>
      <c r="DP11" s="9" cm="1">
        <f t="array" ref="DP11">PRODUCT(1 + 真實IC!$C20:DO20) - 1</f>
        <v>1249.153626120235</v>
      </c>
      <c r="DQ11" s="9" cm="1">
        <f t="array" ref="DQ11">PRODUCT(1 + 真實IC!$C20:DP20) - 1</f>
        <v>1397.0879265617907</v>
      </c>
      <c r="DR11" s="9" cm="1">
        <f t="array" ref="DR11">PRODUCT(1 + 真實IC!$C20:DQ20) - 1</f>
        <v>1524.0408719414352</v>
      </c>
      <c r="DS11" s="9" cm="1">
        <f t="array" ref="DS11">PRODUCT(1 + 真實IC!$C20:DR20) - 1</f>
        <v>1465.3783910330678</v>
      </c>
      <c r="DT11" s="9" cm="1">
        <f t="array" ref="DT11">PRODUCT(1 + 真實IC!$C20:DS20) - 1</f>
        <v>1502.6033614788366</v>
      </c>
      <c r="DU11" s="9" cm="1">
        <f t="array" ref="DU11">PRODUCT(1 + 真實IC!$C20:DT20) - 1</f>
        <v>1496.6143174457538</v>
      </c>
      <c r="DV11" s="9" cm="1">
        <f t="array" ref="DV11">PRODUCT(1 + 真實IC!$C20:DU20) - 1</f>
        <v>1740.1096088556121</v>
      </c>
      <c r="DW11" s="9" cm="1">
        <f t="array" ref="DW11">PRODUCT(1 + 真實IC!$C20:DV20) - 1</f>
        <v>1770.6577344430045</v>
      </c>
      <c r="DX11" s="9" cm="1">
        <f t="array" ref="DX11">PRODUCT(1 + 真實IC!$C20:DW20) - 1</f>
        <v>1866.6688840015934</v>
      </c>
      <c r="DY11" s="9" cm="1">
        <f t="array" ref="DY11">PRODUCT(1 + 真實IC!$C20:DX20) - 1</f>
        <v>2089.8845411513644</v>
      </c>
      <c r="DZ11" s="9" cm="1">
        <f t="array" ref="DZ11">PRODUCT(1 + 真實IC!$C20:DY20) - 1</f>
        <v>2436.4760541824025</v>
      </c>
      <c r="EA11" s="9" cm="1">
        <f t="array" ref="EA11">PRODUCT(1 + 真實IC!$C20:DZ20) - 1</f>
        <v>2464.6521623700069</v>
      </c>
      <c r="EB11" s="9" cm="1">
        <f t="array" ref="EB11">PRODUCT(1 + 真實IC!$C20:EA20) - 1</f>
        <v>2701.5942330353</v>
      </c>
      <c r="EC11" s="9" cm="1">
        <f t="array" ref="EC11">PRODUCT(1 + 真實IC!$C20:EB20) - 1</f>
        <v>2977.2006782672825</v>
      </c>
      <c r="ED11" s="9" cm="1">
        <f t="array" ref="ED11">PRODUCT(1 + 真實IC!$C20:EC20) - 1</f>
        <v>3005.5617169539046</v>
      </c>
      <c r="EE11" s="9" cm="1">
        <f t="array" ref="EE11">PRODUCT(1 + 真實IC!$C20:ED20) - 1</f>
        <v>3249.4302928829911</v>
      </c>
      <c r="EF11" s="9" cm="1">
        <f t="array" ref="EF11">PRODUCT(1 + 真實IC!$C20:EE20) - 1</f>
        <v>3077.1085998635185</v>
      </c>
      <c r="EG11" s="9" cm="1">
        <f t="array" ref="EG11">PRODUCT(1 + 真實IC!$C20:EF20) - 1</f>
        <v>2600.1984497448716</v>
      </c>
    </row>
    <row r="12" spans="3:137" ht="16">
      <c r="C12" s="6">
        <v>160</v>
      </c>
      <c r="D12" s="9" cm="1">
        <f t="array" ref="D12">PRODUCT(1 + 真實IC!$C21:C21) - 1</f>
        <v>-7.3861929880770893E-2</v>
      </c>
      <c r="E12" s="9" cm="1">
        <f t="array" ref="E12">PRODUCT(1 + 真實IC!$C21:D21) - 1</f>
        <v>0.12946507855124256</v>
      </c>
      <c r="F12" s="9" cm="1">
        <f t="array" ref="F12">PRODUCT(1 + 真實IC!$C21:E21) - 1</f>
        <v>0.28824943187549312</v>
      </c>
      <c r="G12" s="9" cm="1">
        <f t="array" ref="G12">PRODUCT(1 + 真實IC!$C21:F21) - 1</f>
        <v>0.5171567494972229</v>
      </c>
      <c r="H12" s="9" cm="1">
        <f t="array" ref="H12">PRODUCT(1 + 真實IC!$C21:G21) - 1</f>
        <v>0.87489498220259065</v>
      </c>
      <c r="I12" s="9" cm="1">
        <f t="array" ref="I12">PRODUCT(1 + 真實IC!$C21:H21) - 1</f>
        <v>0.89752269313216804</v>
      </c>
      <c r="J12" s="9" cm="1">
        <f t="array" ref="J12">PRODUCT(1 + 真實IC!$C21:I21) - 1</f>
        <v>0.92802534688673854</v>
      </c>
      <c r="K12" s="9" cm="1">
        <f t="array" ref="K12">PRODUCT(1 + 真實IC!$C21:J21) - 1</f>
        <v>0.86193896565415451</v>
      </c>
      <c r="L12" s="9" cm="1">
        <f t="array" ref="L12">PRODUCT(1 + 真實IC!$C21:K21) - 1</f>
        <v>0.89388572652808684</v>
      </c>
      <c r="M12" s="9" cm="1">
        <f t="array" ref="M12">PRODUCT(1 + 真實IC!$C21:L21) - 1</f>
        <v>0.96734349016008858</v>
      </c>
      <c r="N12" s="9" cm="1">
        <f t="array" ref="N12">PRODUCT(1 + 真實IC!$C21:M21) - 1</f>
        <v>1.0889424279593163</v>
      </c>
      <c r="O12" s="9" cm="1">
        <f t="array" ref="O12">PRODUCT(1 + 真實IC!$C21:N21) - 1</f>
        <v>1.4061349270326153</v>
      </c>
      <c r="P12" s="9" cm="1">
        <f t="array" ref="P12">PRODUCT(1 + 真實IC!$C21:O21) - 1</f>
        <v>1.1985946186325096</v>
      </c>
      <c r="Q12" s="9" cm="1">
        <f t="array" ref="Q12">PRODUCT(1 + 真實IC!$C21:P21) - 1</f>
        <v>1.2502905274883402</v>
      </c>
      <c r="R12" s="9" cm="1">
        <f t="array" ref="R12">PRODUCT(1 + 真實IC!$C21:Q21) - 1</f>
        <v>1.4482662111364917</v>
      </c>
      <c r="S12" s="9" cm="1">
        <f t="array" ref="S12">PRODUCT(1 + 真實IC!$C21:R21) - 1</f>
        <v>1.4394457123910191</v>
      </c>
      <c r="T12" s="9" cm="1">
        <f t="array" ref="T12">PRODUCT(1 + 真實IC!$C21:S21) - 1</f>
        <v>1.8798160115701079</v>
      </c>
      <c r="U12" s="9" cm="1">
        <f t="array" ref="U12">PRODUCT(1 + 真實IC!$C21:T21) - 1</f>
        <v>2.5259015153113062</v>
      </c>
      <c r="V12" s="9" cm="1">
        <f t="array" ref="V12">PRODUCT(1 + 真實IC!$C21:U21) - 1</f>
        <v>2.6169047767642462</v>
      </c>
      <c r="W12" s="9" cm="1">
        <f t="array" ref="W12">PRODUCT(1 + 真實IC!$C21:V21) - 1</f>
        <v>3.6828152810320542</v>
      </c>
      <c r="X12" s="9" cm="1">
        <f t="array" ref="X12">PRODUCT(1 + 真實IC!$C21:W21) - 1</f>
        <v>4.5010659007512634</v>
      </c>
      <c r="Y12" s="9" cm="1">
        <f t="array" ref="Y12">PRODUCT(1 + 真實IC!$C21:X21) - 1</f>
        <v>6.0396560048108672</v>
      </c>
      <c r="Z12" s="9" cm="1">
        <f t="array" ref="Z12">PRODUCT(1 + 真實IC!$C21:Y21) - 1</f>
        <v>6.6127885458857243</v>
      </c>
      <c r="AA12" s="9" cm="1">
        <f t="array" ref="AA12">PRODUCT(1 + 真實IC!$C21:Z21) - 1</f>
        <v>7.5163439744673344</v>
      </c>
      <c r="AB12" s="9" cm="1">
        <f t="array" ref="AB12">PRODUCT(1 + 真實IC!$C21:AA21) - 1</f>
        <v>8.3818371192622863</v>
      </c>
      <c r="AC12" s="9" cm="1">
        <f t="array" ref="AC12">PRODUCT(1 + 真實IC!$C21:AB21) - 1</f>
        <v>8.9267698721882329</v>
      </c>
      <c r="AD12" s="9" cm="1">
        <f t="array" ref="AD12">PRODUCT(1 + 真實IC!$C21:AC21) - 1</f>
        <v>10.591321366111393</v>
      </c>
      <c r="AE12" s="9" cm="1">
        <f t="array" ref="AE12">PRODUCT(1 + 真實IC!$C21:AD21) - 1</f>
        <v>10.944668749499408</v>
      </c>
      <c r="AF12" s="9" cm="1">
        <f t="array" ref="AF12">PRODUCT(1 + 真實IC!$C21:AE21) - 1</f>
        <v>14.629513749004321</v>
      </c>
      <c r="AG12" s="9" cm="1">
        <f t="array" ref="AG12">PRODUCT(1 + 真實IC!$C21:AF21) - 1</f>
        <v>18.934432725537587</v>
      </c>
      <c r="AH12" s="9" cm="1">
        <f t="array" ref="AH12">PRODUCT(1 + 真實IC!$C21:AG21) - 1</f>
        <v>18.107410852949538</v>
      </c>
      <c r="AI12" s="9" cm="1">
        <f t="array" ref="AI12">PRODUCT(1 + 真實IC!$C21:AH21) - 1</f>
        <v>23.832664030344514</v>
      </c>
      <c r="AJ12" s="9" cm="1">
        <f t="array" ref="AJ12">PRODUCT(1 + 真實IC!$C21:AI21) - 1</f>
        <v>25.018829820383459</v>
      </c>
      <c r="AK12" s="9" cm="1">
        <f t="array" ref="AK12">PRODUCT(1 + 真實IC!$C21:AJ21) - 1</f>
        <v>26.522525227049904</v>
      </c>
      <c r="AL12" s="9" cm="1">
        <f t="array" ref="AL12">PRODUCT(1 + 真實IC!$C21:AK21) - 1</f>
        <v>26.692507321519077</v>
      </c>
      <c r="AM12" s="9" cm="1">
        <f t="array" ref="AM12">PRODUCT(1 + 真實IC!$C21:AL21) - 1</f>
        <v>30.078530230210806</v>
      </c>
      <c r="AN12" s="9" cm="1">
        <f t="array" ref="AN12">PRODUCT(1 + 真實IC!$C21:AM21) - 1</f>
        <v>28.699545217859985</v>
      </c>
      <c r="AO12" s="9" cm="1">
        <f t="array" ref="AO12">PRODUCT(1 + 真實IC!$C21:AN21) - 1</f>
        <v>29.003655144706787</v>
      </c>
      <c r="AP12" s="9" cm="1">
        <f t="array" ref="AP12">PRODUCT(1 + 真實IC!$C21:AO21) - 1</f>
        <v>27.326747074334662</v>
      </c>
      <c r="AQ12" s="9" cm="1">
        <f t="array" ref="AQ12">PRODUCT(1 + 真實IC!$C21:AP21) - 1</f>
        <v>29.843038941468031</v>
      </c>
      <c r="AR12" s="9" cm="1">
        <f t="array" ref="AR12">PRODUCT(1 + 真實IC!$C21:AQ21) - 1</f>
        <v>34.014856137622473</v>
      </c>
      <c r="AS12" s="9" cm="1">
        <f t="array" ref="AS12">PRODUCT(1 + 真實IC!$C21:AR21) - 1</f>
        <v>32.57418686770162</v>
      </c>
      <c r="AT12" s="9" cm="1">
        <f t="array" ref="AT12">PRODUCT(1 + 真實IC!$C21:AS21) - 1</f>
        <v>33.294939469162344</v>
      </c>
      <c r="AU12" s="9" cm="1">
        <f t="array" ref="AU12">PRODUCT(1 + 真實IC!$C21:AT21) - 1</f>
        <v>39.164426001087804</v>
      </c>
      <c r="AV12" s="9" cm="1">
        <f t="array" ref="AV12">PRODUCT(1 + 真實IC!$C21:AU21) - 1</f>
        <v>45.310170643197338</v>
      </c>
      <c r="AW12" s="9" cm="1">
        <f t="array" ref="AW12">PRODUCT(1 + 真實IC!$C21:AV21) - 1</f>
        <v>42.339543773177503</v>
      </c>
      <c r="AX12" s="9" cm="1">
        <f t="array" ref="AX12">PRODUCT(1 + 真實IC!$C21:AW21) - 1</f>
        <v>49.787079728684127</v>
      </c>
      <c r="AY12" s="9" cm="1">
        <f t="array" ref="AY12">PRODUCT(1 + 真實IC!$C21:AX21) - 1</f>
        <v>52.481283799033228</v>
      </c>
      <c r="AZ12" s="9" cm="1">
        <f t="array" ref="AZ12">PRODUCT(1 + 真實IC!$C21:AY21) - 1</f>
        <v>67.707854106757864</v>
      </c>
      <c r="BA12" s="9" cm="1">
        <f t="array" ref="BA12">PRODUCT(1 + 真實IC!$C21:AZ21) - 1</f>
        <v>75.651274131023527</v>
      </c>
      <c r="BB12" s="9" cm="1">
        <f t="array" ref="BB12">PRODUCT(1 + 真實IC!$C21:BA21) - 1</f>
        <v>75.766942172713101</v>
      </c>
      <c r="BC12" s="9" cm="1">
        <f t="array" ref="BC12">PRODUCT(1 + 真實IC!$C21:BB21) - 1</f>
        <v>90.997165279190469</v>
      </c>
      <c r="BD12" s="9" cm="1">
        <f t="array" ref="BD12">PRODUCT(1 + 真實IC!$C21:BC21) - 1</f>
        <v>99.608514606808541</v>
      </c>
      <c r="BE12" s="9" cm="1">
        <f t="array" ref="BE12">PRODUCT(1 + 真實IC!$C21:BD21) - 1</f>
        <v>98.167795971590976</v>
      </c>
      <c r="BF12" s="9" cm="1">
        <f t="array" ref="BF12">PRODUCT(1 + 真實IC!$C21:BE21) - 1</f>
        <v>89.294190012667784</v>
      </c>
      <c r="BG12" s="9" cm="1">
        <f t="array" ref="BG12">PRODUCT(1 + 真實IC!$C21:BF21) - 1</f>
        <v>93.595676944122332</v>
      </c>
      <c r="BH12" s="9" cm="1">
        <f t="array" ref="BH12">PRODUCT(1 + 真實IC!$C21:BG21) - 1</f>
        <v>100.13712781559893</v>
      </c>
      <c r="BI12" s="9" cm="1">
        <f t="array" ref="BI12">PRODUCT(1 + 真實IC!$C21:BH21) - 1</f>
        <v>103.972692073898</v>
      </c>
      <c r="BJ12" s="9" cm="1">
        <f t="array" ref="BJ12">PRODUCT(1 + 真實IC!$C21:BI21) - 1</f>
        <v>117.84999061005954</v>
      </c>
      <c r="BK12" s="9" cm="1">
        <f t="array" ref="BK12">PRODUCT(1 + 真實IC!$C21:BJ21) - 1</f>
        <v>124.85170706782368</v>
      </c>
      <c r="BL12" s="9" cm="1">
        <f t="array" ref="BL12">PRODUCT(1 + 真實IC!$C21:BK21) - 1</f>
        <v>116.10261763429789</v>
      </c>
      <c r="BM12" s="9" cm="1">
        <f t="array" ref="BM12">PRODUCT(1 + 真實IC!$C21:BL21) - 1</f>
        <v>118.09640628034921</v>
      </c>
      <c r="BN12" s="9" cm="1">
        <f t="array" ref="BN12">PRODUCT(1 + 真實IC!$C21:BM21) - 1</f>
        <v>117.75498171119726</v>
      </c>
      <c r="BO12" s="9" cm="1">
        <f t="array" ref="BO12">PRODUCT(1 + 真實IC!$C21:BN21) - 1</f>
        <v>137.51985275605938</v>
      </c>
      <c r="BP12" s="9" cm="1">
        <f t="array" ref="BP12">PRODUCT(1 + 真實IC!$C21:BO21) - 1</f>
        <v>142.80505882573749</v>
      </c>
      <c r="BQ12" s="9" cm="1">
        <f t="array" ref="BQ12">PRODUCT(1 + 真實IC!$C21:BP21) - 1</f>
        <v>164.84861050075486</v>
      </c>
      <c r="BR12" s="9" cm="1">
        <f t="array" ref="BR12">PRODUCT(1 + 真實IC!$C21:BQ21) - 1</f>
        <v>164.88242456131547</v>
      </c>
      <c r="BS12" s="9" cm="1">
        <f t="array" ref="BS12">PRODUCT(1 + 真實IC!$C21:BR21) - 1</f>
        <v>196.85186384028742</v>
      </c>
      <c r="BT12" s="9" cm="1">
        <f t="array" ref="BT12">PRODUCT(1 + 真實IC!$C21:BS21) - 1</f>
        <v>196.15939578271571</v>
      </c>
      <c r="BU12" s="9" cm="1">
        <f t="array" ref="BU12">PRODUCT(1 + 真實IC!$C21:BT21) - 1</f>
        <v>179.92856325492042</v>
      </c>
      <c r="BV12" s="9" cm="1">
        <f t="array" ref="BV12">PRODUCT(1 + 真實IC!$C21:BU21) - 1</f>
        <v>187.75311477905592</v>
      </c>
      <c r="BW12" s="9" cm="1">
        <f t="array" ref="BW12">PRODUCT(1 + 真實IC!$C21:BV21) - 1</f>
        <v>219.95665063685752</v>
      </c>
      <c r="BX12" s="9" cm="1">
        <f t="array" ref="BX12">PRODUCT(1 + 真實IC!$C21:BW21) - 1</f>
        <v>287.89043724976716</v>
      </c>
      <c r="BY12" s="9" cm="1">
        <f t="array" ref="BY12">PRODUCT(1 + 真實IC!$C21:BX21) - 1</f>
        <v>281.13784985249646</v>
      </c>
      <c r="BZ12" s="9" cm="1">
        <f t="array" ref="BZ12">PRODUCT(1 + 真實IC!$C21:BY21) - 1</f>
        <v>277.09359018165168</v>
      </c>
      <c r="CA12" s="9" cm="1">
        <f t="array" ref="CA12">PRODUCT(1 + 真實IC!$C21:BZ21) - 1</f>
        <v>292.17701631980867</v>
      </c>
      <c r="CB12" s="9" cm="1">
        <f t="array" ref="CB12">PRODUCT(1 + 真實IC!$C21:CA21) - 1</f>
        <v>275.69602817878956</v>
      </c>
      <c r="CC12" s="9" cm="1">
        <f t="array" ref="CC12">PRODUCT(1 + 真實IC!$C21:CB21) - 1</f>
        <v>297.54859716507593</v>
      </c>
      <c r="CD12" s="9" cm="1">
        <f t="array" ref="CD12">PRODUCT(1 + 真實IC!$C21:CC21) - 1</f>
        <v>266.07657223944415</v>
      </c>
      <c r="CE12" s="9" cm="1">
        <f t="array" ref="CE12">PRODUCT(1 + 真實IC!$C21:CD21) - 1</f>
        <v>267.04655824671948</v>
      </c>
      <c r="CF12" s="9" cm="1">
        <f t="array" ref="CF12">PRODUCT(1 + 真實IC!$C21:CE21) - 1</f>
        <v>297.71493352821767</v>
      </c>
      <c r="CG12" s="9" cm="1">
        <f t="array" ref="CG12">PRODUCT(1 + 真實IC!$C21:CF21) - 1</f>
        <v>301.0794812171016</v>
      </c>
      <c r="CH12" s="9" cm="1">
        <f t="array" ref="CH12">PRODUCT(1 + 真實IC!$C21:CG21) - 1</f>
        <v>331.88922682666896</v>
      </c>
      <c r="CI12" s="9" cm="1">
        <f t="array" ref="CI12">PRODUCT(1 + 真實IC!$C21:CH21) - 1</f>
        <v>367.75938625329445</v>
      </c>
      <c r="CJ12" s="9" cm="1">
        <f t="array" ref="CJ12">PRODUCT(1 + 真實IC!$C21:CI21) - 1</f>
        <v>420.48914679810269</v>
      </c>
      <c r="CK12" s="9" cm="1">
        <f t="array" ref="CK12">PRODUCT(1 + 真實IC!$C21:CJ21) - 1</f>
        <v>471.81648919737984</v>
      </c>
      <c r="CL12" s="9" cm="1">
        <f t="array" ref="CL12">PRODUCT(1 + 真實IC!$C21:CK21) - 1</f>
        <v>498.3785829922536</v>
      </c>
      <c r="CM12" s="9" cm="1">
        <f t="array" ref="CM12">PRODUCT(1 + 真實IC!$C21:CL21) - 1</f>
        <v>523.3548594792727</v>
      </c>
      <c r="CN12" s="9" cm="1">
        <f t="array" ref="CN12">PRODUCT(1 + 真實IC!$C21:CM21) - 1</f>
        <v>483.72313813293897</v>
      </c>
      <c r="CO12" s="9" cm="1">
        <f t="array" ref="CO12">PRODUCT(1 + 真實IC!$C21:CN21) - 1</f>
        <v>675.14202010501015</v>
      </c>
      <c r="CP12" s="9" cm="1">
        <f t="array" ref="CP12">PRODUCT(1 + 真實IC!$C21:CO21) - 1</f>
        <v>833.16093984150382</v>
      </c>
      <c r="CQ12" s="9" cm="1">
        <f t="array" ref="CQ12">PRODUCT(1 + 真實IC!$C21:CP21) - 1</f>
        <v>947.78693579356172</v>
      </c>
      <c r="CR12" s="9" cm="1">
        <f t="array" ref="CR12">PRODUCT(1 + 真實IC!$C21:CQ21) - 1</f>
        <v>1028.9764143383111</v>
      </c>
      <c r="CS12" s="9" cm="1">
        <f t="array" ref="CS12">PRODUCT(1 + 真實IC!$C21:CR21) - 1</f>
        <v>1195.4168620483817</v>
      </c>
      <c r="CT12" s="9" cm="1">
        <f t="array" ref="CT12">PRODUCT(1 + 真實IC!$C21:CS21) - 1</f>
        <v>1047.1252291081964</v>
      </c>
      <c r="CU12" s="9" cm="1">
        <f t="array" ref="CU12">PRODUCT(1 + 真實IC!$C21:CT21) - 1</f>
        <v>1190.586915027146</v>
      </c>
      <c r="CV12" s="9" cm="1">
        <f t="array" ref="CV12">PRODUCT(1 + 真實IC!$C21:CU21) - 1</f>
        <v>1441.6024899984352</v>
      </c>
      <c r="CW12" s="9" cm="1">
        <f t="array" ref="CW12">PRODUCT(1 + 真實IC!$C21:CV21) - 1</f>
        <v>1465.1315811524671</v>
      </c>
      <c r="CX12" s="9" cm="1">
        <f t="array" ref="CX12">PRODUCT(1 + 真實IC!$C21:CW21) - 1</f>
        <v>1554.6443798579328</v>
      </c>
      <c r="CY12" s="9" cm="1">
        <f t="array" ref="CY12">PRODUCT(1 + 真實IC!$C21:CX21) - 1</f>
        <v>1785.1135471222792</v>
      </c>
      <c r="CZ12" s="9" cm="1">
        <f t="array" ref="CZ12">PRODUCT(1 + 真實IC!$C21:CY21) - 1</f>
        <v>1592.4059709320552</v>
      </c>
      <c r="DA12" s="9" cm="1">
        <f t="array" ref="DA12">PRODUCT(1 + 真實IC!$C21:CZ21) - 1</f>
        <v>1684.0256400614835</v>
      </c>
      <c r="DB12" s="9" cm="1">
        <f t="array" ref="DB12">PRODUCT(1 + 真實IC!$C21:DA21) - 1</f>
        <v>2056.4981464078346</v>
      </c>
      <c r="DC12" s="9" cm="1">
        <f t="array" ref="DC12">PRODUCT(1 + 真實IC!$C21:DB21) - 1</f>
        <v>1467.7688078898932</v>
      </c>
      <c r="DD12" s="9" cm="1">
        <f t="array" ref="DD12">PRODUCT(1 + 真實IC!$C21:DC21) - 1</f>
        <v>1767.1700436658891</v>
      </c>
      <c r="DE12" s="9" cm="1">
        <f t="array" ref="DE12">PRODUCT(1 + 真實IC!$C21:DD21) - 1</f>
        <v>1845.8381201908096</v>
      </c>
      <c r="DF12" s="9" cm="1">
        <f t="array" ref="DF12">PRODUCT(1 + 真實IC!$C21:DE21) - 1</f>
        <v>1851.7802315327842</v>
      </c>
      <c r="DG12" s="9" cm="1">
        <f t="array" ref="DG12">PRODUCT(1 + 真實IC!$C21:DF21) - 1</f>
        <v>1891.2376737857921</v>
      </c>
      <c r="DH12" s="9" cm="1">
        <f t="array" ref="DH12">PRODUCT(1 + 真實IC!$C21:DG21) - 1</f>
        <v>1651.8870207304119</v>
      </c>
      <c r="DI12" s="9" cm="1">
        <f t="array" ref="DI12">PRODUCT(1 + 真實IC!$C21:DH21) - 1</f>
        <v>1580.4482428990359</v>
      </c>
      <c r="DJ12" s="9" cm="1">
        <f t="array" ref="DJ12">PRODUCT(1 + 真實IC!$C21:DI21) - 1</f>
        <v>1487.7009955921235</v>
      </c>
      <c r="DK12" s="9" cm="1">
        <f t="array" ref="DK12">PRODUCT(1 + 真實IC!$C21:DJ21) - 1</f>
        <v>1661.4949628923862</v>
      </c>
      <c r="DL12" s="9" cm="1">
        <f t="array" ref="DL12">PRODUCT(1 + 真實IC!$C21:DK21) - 1</f>
        <v>1634.9211619890941</v>
      </c>
      <c r="DM12" s="9" cm="1">
        <f t="array" ref="DM12">PRODUCT(1 + 真實IC!$C21:DL21) - 1</f>
        <v>1680.6718135990293</v>
      </c>
      <c r="DN12" s="9" cm="1">
        <f t="array" ref="DN12">PRODUCT(1 + 真實IC!$C21:DM21) - 1</f>
        <v>1601.0035522813419</v>
      </c>
      <c r="DO12" s="9" cm="1">
        <f t="array" ref="DO12">PRODUCT(1 + 真實IC!$C21:DN21) - 1</f>
        <v>1497.2232540273792</v>
      </c>
      <c r="DP12" s="9" cm="1">
        <f t="array" ref="DP12">PRODUCT(1 + 真實IC!$C21:DO21) - 1</f>
        <v>1570.1949964820133</v>
      </c>
      <c r="DQ12" s="9" cm="1">
        <f t="array" ref="DQ12">PRODUCT(1 + 真實IC!$C21:DP21) - 1</f>
        <v>1730.7643283548086</v>
      </c>
      <c r="DR12" s="9" cm="1">
        <f t="array" ref="DR12">PRODUCT(1 + 真實IC!$C21:DQ21) - 1</f>
        <v>1923.4187915759392</v>
      </c>
      <c r="DS12" s="9" cm="1">
        <f t="array" ref="DS12">PRODUCT(1 + 真實IC!$C21:DR21) - 1</f>
        <v>1853.878057171506</v>
      </c>
      <c r="DT12" s="9" cm="1">
        <f t="array" ref="DT12">PRODUCT(1 + 真實IC!$C21:DS21) - 1</f>
        <v>1937.1972562728238</v>
      </c>
      <c r="DU12" s="9" cm="1">
        <f t="array" ref="DU12">PRODUCT(1 + 真實IC!$C21:DT21) - 1</f>
        <v>1910.312467233349</v>
      </c>
      <c r="DV12" s="9" cm="1">
        <f t="array" ref="DV12">PRODUCT(1 + 真實IC!$C21:DU21) - 1</f>
        <v>2282.0998969981838</v>
      </c>
      <c r="DW12" s="9" cm="1">
        <f t="array" ref="DW12">PRODUCT(1 + 真實IC!$C21:DV21) - 1</f>
        <v>2384.2938128666433</v>
      </c>
      <c r="DX12" s="9" cm="1">
        <f t="array" ref="DX12">PRODUCT(1 + 真實IC!$C21:DW21) - 1</f>
        <v>2399.8177123424198</v>
      </c>
      <c r="DY12" s="9" cm="1">
        <f t="array" ref="DY12">PRODUCT(1 + 真實IC!$C21:DX21) - 1</f>
        <v>2788.8314490853545</v>
      </c>
      <c r="DZ12" s="9" cm="1">
        <f t="array" ref="DZ12">PRODUCT(1 + 真實IC!$C21:DY21) - 1</f>
        <v>3213.218962016249</v>
      </c>
      <c r="EA12" s="9" cm="1">
        <f t="array" ref="EA12">PRODUCT(1 + 真實IC!$C21:DZ21) - 1</f>
        <v>3413.267690706537</v>
      </c>
      <c r="EB12" s="9" cm="1">
        <f t="array" ref="EB12">PRODUCT(1 + 真實IC!$C21:EA21) - 1</f>
        <v>3679.6849880305431</v>
      </c>
      <c r="EC12" s="9" cm="1">
        <f t="array" ref="EC12">PRODUCT(1 + 真實IC!$C21:EB21) - 1</f>
        <v>4142.2587477812076</v>
      </c>
      <c r="ED12" s="9" cm="1">
        <f t="array" ref="ED12">PRODUCT(1 + 真實IC!$C21:EC21) - 1</f>
        <v>4352.5754543965459</v>
      </c>
      <c r="EE12" s="9" cm="1">
        <f t="array" ref="EE12">PRODUCT(1 + 真實IC!$C21:ED21) - 1</f>
        <v>4738.7271837606604</v>
      </c>
      <c r="EF12" s="9" cm="1">
        <f t="array" ref="EF12">PRODUCT(1 + 真實IC!$C21:EE21) - 1</f>
        <v>4630.5861094046868</v>
      </c>
      <c r="EG12" s="9" cm="1">
        <f t="array" ref="EG12">PRODUCT(1 + 真實IC!$C21:EF21) - 1</f>
        <v>3851.3822563294675</v>
      </c>
    </row>
    <row r="13" spans="3:137" ht="16">
      <c r="C13" s="6">
        <v>192</v>
      </c>
      <c r="D13" s="9" cm="1">
        <f t="array" ref="D13">PRODUCT(1 + 真實IC!$C22:C22) - 1</f>
        <v>1.1241331728202963E-2</v>
      </c>
      <c r="E13" s="9" cm="1">
        <f t="array" ref="E13">PRODUCT(1 + 真實IC!$C22:D22) - 1</f>
        <v>0.23632989290661865</v>
      </c>
      <c r="F13" s="9" cm="1">
        <f t="array" ref="F13">PRODUCT(1 + 真實IC!$C22:E22) - 1</f>
        <v>0.41698848138295364</v>
      </c>
      <c r="G13" s="9" cm="1">
        <f t="array" ref="G13">PRODUCT(1 + 真實IC!$C22:F22) - 1</f>
        <v>0.70822391550713659</v>
      </c>
      <c r="H13" s="9" cm="1">
        <f t="array" ref="H13">PRODUCT(1 + 真實IC!$C22:G22) - 1</f>
        <v>1.2323568185130069</v>
      </c>
      <c r="I13" s="9" cm="1">
        <f t="array" ref="I13">PRODUCT(1 + 真實IC!$C22:H22) - 1</f>
        <v>1.2064993712674799</v>
      </c>
      <c r="J13" s="9" cm="1">
        <f t="array" ref="J13">PRODUCT(1 + 真實IC!$C22:I22) - 1</f>
        <v>1.2638799262918874</v>
      </c>
      <c r="K13" s="9" cm="1">
        <f t="array" ref="K13">PRODUCT(1 + 真實IC!$C22:J22) - 1</f>
        <v>1.1668710082147919</v>
      </c>
      <c r="L13" s="9" cm="1">
        <f t="array" ref="L13">PRODUCT(1 + 真實IC!$C22:K22) - 1</f>
        <v>1.1902979796060276</v>
      </c>
      <c r="M13" s="9" cm="1">
        <f t="array" ref="M13">PRODUCT(1 + 真實IC!$C22:L22) - 1</f>
        <v>1.2641183189256071</v>
      </c>
      <c r="N13" s="9" cm="1">
        <f t="array" ref="N13">PRODUCT(1 + 真實IC!$C22:M22) - 1</f>
        <v>1.3474284194302708</v>
      </c>
      <c r="O13" s="9" cm="1">
        <f t="array" ref="O13">PRODUCT(1 + 真實IC!$C22:N22) - 1</f>
        <v>1.742133456891386</v>
      </c>
      <c r="P13" s="9" cm="1">
        <f t="array" ref="P13">PRODUCT(1 + 真實IC!$C22:O22) - 1</f>
        <v>1.4195177613521364</v>
      </c>
      <c r="Q13" s="9" cm="1">
        <f t="array" ref="Q13">PRODUCT(1 + 真實IC!$C22:P22) - 1</f>
        <v>1.5238925611241951</v>
      </c>
      <c r="R13" s="9" cm="1">
        <f t="array" ref="R13">PRODUCT(1 + 真實IC!$C22:Q22) - 1</f>
        <v>1.7394641584428125</v>
      </c>
      <c r="S13" s="9" cm="1">
        <f t="array" ref="S13">PRODUCT(1 + 真實IC!$C22:R22) - 1</f>
        <v>1.6586757980107527</v>
      </c>
      <c r="T13" s="9" cm="1">
        <f t="array" ref="T13">PRODUCT(1 + 真實IC!$C22:S22) - 1</f>
        <v>1.9823800926231834</v>
      </c>
      <c r="U13" s="9" cm="1">
        <f t="array" ref="U13">PRODUCT(1 + 真實IC!$C22:T22) - 1</f>
        <v>2.7411614564649027</v>
      </c>
      <c r="V13" s="9" cm="1">
        <f t="array" ref="V13">PRODUCT(1 + 真實IC!$C22:U22) - 1</f>
        <v>2.8570323823028105</v>
      </c>
      <c r="W13" s="9" cm="1">
        <f t="array" ref="W13">PRODUCT(1 + 真實IC!$C22:V22) - 1</f>
        <v>3.8040731456202108</v>
      </c>
      <c r="X13" s="9" cm="1">
        <f t="array" ref="X13">PRODUCT(1 + 真實IC!$C22:W22) - 1</f>
        <v>4.8919250616295358</v>
      </c>
      <c r="Y13" s="9" cm="1">
        <f t="array" ref="Y13">PRODUCT(1 + 真實IC!$C22:X22) - 1</f>
        <v>6.208081590630063</v>
      </c>
      <c r="Z13" s="9" cm="1">
        <f t="array" ref="Z13">PRODUCT(1 + 真實IC!$C22:Y22) - 1</f>
        <v>6.7927371946839061</v>
      </c>
      <c r="AA13" s="9" cm="1">
        <f t="array" ref="AA13">PRODUCT(1 + 真實IC!$C22:Z22) - 1</f>
        <v>7.7197866994885107</v>
      </c>
      <c r="AB13" s="9" cm="1">
        <f t="array" ref="AB13">PRODUCT(1 + 真實IC!$C22:AA22) - 1</f>
        <v>8.7965964132561076</v>
      </c>
      <c r="AC13" s="9" cm="1">
        <f t="array" ref="AC13">PRODUCT(1 + 真實IC!$C22:AB22) - 1</f>
        <v>9.5258497397373816</v>
      </c>
      <c r="AD13" s="9" cm="1">
        <f t="array" ref="AD13">PRODUCT(1 + 真實IC!$C22:AC22) - 1</f>
        <v>11.135142702989755</v>
      </c>
      <c r="AE13" s="9" cm="1">
        <f t="array" ref="AE13">PRODUCT(1 + 真實IC!$C22:AD22) - 1</f>
        <v>12.577390389061087</v>
      </c>
      <c r="AF13" s="9" cm="1">
        <f t="array" ref="AF13">PRODUCT(1 + 真實IC!$C22:AE22) - 1</f>
        <v>14.766353657601719</v>
      </c>
      <c r="AG13" s="9" cm="1">
        <f t="array" ref="AG13">PRODUCT(1 + 真實IC!$C22:AF22) - 1</f>
        <v>19.592561060334226</v>
      </c>
      <c r="AH13" s="9" cm="1">
        <f t="array" ref="AH13">PRODUCT(1 + 真實IC!$C22:AG22) - 1</f>
        <v>18.93023739383958</v>
      </c>
      <c r="AI13" s="9" cm="1">
        <f t="array" ref="AI13">PRODUCT(1 + 真實IC!$C22:AH22) - 1</f>
        <v>27.076873391931922</v>
      </c>
      <c r="AJ13" s="9" cm="1">
        <f t="array" ref="AJ13">PRODUCT(1 + 真實IC!$C22:AI22) - 1</f>
        <v>29.415097263352898</v>
      </c>
      <c r="AK13" s="9" cm="1">
        <f t="array" ref="AK13">PRODUCT(1 + 真實IC!$C22:AJ22) - 1</f>
        <v>31.347345463217806</v>
      </c>
      <c r="AL13" s="9" cm="1">
        <f t="array" ref="AL13">PRODUCT(1 + 真實IC!$C22:AK22) - 1</f>
        <v>32.37349750086743</v>
      </c>
      <c r="AM13" s="9" cm="1">
        <f t="array" ref="AM13">PRODUCT(1 + 真實IC!$C22:AL22) - 1</f>
        <v>37.537527889820282</v>
      </c>
      <c r="AN13" s="9" cm="1">
        <f t="array" ref="AN13">PRODUCT(1 + 真實IC!$C22:AM22) - 1</f>
        <v>39.211658798029632</v>
      </c>
      <c r="AO13" s="9" cm="1">
        <f t="array" ref="AO13">PRODUCT(1 + 真實IC!$C22:AN22) - 1</f>
        <v>37.826587552987924</v>
      </c>
      <c r="AP13" s="9" cm="1">
        <f t="array" ref="AP13">PRODUCT(1 + 真實IC!$C22:AO22) - 1</f>
        <v>35.919880051593346</v>
      </c>
      <c r="AQ13" s="9" cm="1">
        <f t="array" ref="AQ13">PRODUCT(1 + 真實IC!$C22:AP22) - 1</f>
        <v>39.546554009642747</v>
      </c>
      <c r="AR13" s="9" cm="1">
        <f t="array" ref="AR13">PRODUCT(1 + 真實IC!$C22:AQ22) - 1</f>
        <v>45.405791700505873</v>
      </c>
      <c r="AS13" s="9" cm="1">
        <f t="array" ref="AS13">PRODUCT(1 + 真實IC!$C22:AR22) - 1</f>
        <v>44.02572986807143</v>
      </c>
      <c r="AT13" s="9" cm="1">
        <f t="array" ref="AT13">PRODUCT(1 + 真實IC!$C22:AS22) - 1</f>
        <v>44.791744308340405</v>
      </c>
      <c r="AU13" s="9" cm="1">
        <f t="array" ref="AU13">PRODUCT(1 + 真實IC!$C22:AT22) - 1</f>
        <v>53.641609963877201</v>
      </c>
      <c r="AV13" s="9" cm="1">
        <f t="array" ref="AV13">PRODUCT(1 + 真實IC!$C22:AU22) - 1</f>
        <v>61.459329405921231</v>
      </c>
      <c r="AW13" s="9" cm="1">
        <f t="array" ref="AW13">PRODUCT(1 + 真實IC!$C22:AV22) - 1</f>
        <v>57.660697781480927</v>
      </c>
      <c r="AX13" s="9" cm="1">
        <f t="array" ref="AX13">PRODUCT(1 + 真實IC!$C22:AW22) - 1</f>
        <v>72.549654537267728</v>
      </c>
      <c r="AY13" s="9" cm="1">
        <f t="array" ref="AY13">PRODUCT(1 + 真實IC!$C22:AX22) - 1</f>
        <v>75.421437117346528</v>
      </c>
      <c r="AZ13" s="9" cm="1">
        <f t="array" ref="AZ13">PRODUCT(1 + 真實IC!$C22:AY22) - 1</f>
        <v>102.54611621226277</v>
      </c>
      <c r="BA13" s="9" cm="1">
        <f t="array" ref="BA13">PRODUCT(1 + 真實IC!$C22:AZ22) - 1</f>
        <v>118.72768277521305</v>
      </c>
      <c r="BB13" s="9" cm="1">
        <f t="array" ref="BB13">PRODUCT(1 + 真實IC!$C22:BA22) - 1</f>
        <v>130.94919373304381</v>
      </c>
      <c r="BC13" s="9" cm="1">
        <f t="array" ref="BC13">PRODUCT(1 + 真實IC!$C22:BB22) - 1</f>
        <v>159.16451051745599</v>
      </c>
      <c r="BD13" s="9" cm="1">
        <f t="array" ref="BD13">PRODUCT(1 + 真實IC!$C22:BC22) - 1</f>
        <v>173.0694730045972</v>
      </c>
      <c r="BE13" s="9" cm="1">
        <f t="array" ref="BE13">PRODUCT(1 + 真實IC!$C22:BD22) - 1</f>
        <v>171.10104398613441</v>
      </c>
      <c r="BF13" s="9" cm="1">
        <f t="array" ref="BF13">PRODUCT(1 + 真實IC!$C22:BE22) - 1</f>
        <v>154.18723309309127</v>
      </c>
      <c r="BG13" s="9" cm="1">
        <f t="array" ref="BG13">PRODUCT(1 + 真實IC!$C22:BF22) - 1</f>
        <v>163.47508866651623</v>
      </c>
      <c r="BH13" s="9" cm="1">
        <f t="array" ref="BH13">PRODUCT(1 + 真實IC!$C22:BG22) - 1</f>
        <v>172.69216225587385</v>
      </c>
      <c r="BI13" s="9" cm="1">
        <f t="array" ref="BI13">PRODUCT(1 + 真實IC!$C22:BH22) - 1</f>
        <v>185.1111495572423</v>
      </c>
      <c r="BJ13" s="9" cm="1">
        <f t="array" ref="BJ13">PRODUCT(1 + 真實IC!$C22:BI22) - 1</f>
        <v>211.25398266613178</v>
      </c>
      <c r="BK13" s="9" cm="1">
        <f t="array" ref="BK13">PRODUCT(1 + 真實IC!$C22:BJ22) - 1</f>
        <v>221.68409748742738</v>
      </c>
      <c r="BL13" s="9" cm="1">
        <f t="array" ref="BL13">PRODUCT(1 + 真實IC!$C22:BK22) - 1</f>
        <v>198.8370911767361</v>
      </c>
      <c r="BM13" s="9" cm="1">
        <f t="array" ref="BM13">PRODUCT(1 + 真實IC!$C22:BL22) - 1</f>
        <v>202.40378000063887</v>
      </c>
      <c r="BN13" s="9" cm="1">
        <f t="array" ref="BN13">PRODUCT(1 + 真實IC!$C22:BM22) - 1</f>
        <v>204.32029173694093</v>
      </c>
      <c r="BO13" s="9" cm="1">
        <f t="array" ref="BO13">PRODUCT(1 + 真實IC!$C22:BN22) - 1</f>
        <v>252.9131484498028</v>
      </c>
      <c r="BP13" s="9" cm="1">
        <f t="array" ref="BP13">PRODUCT(1 + 真實IC!$C22:BO22) - 1</f>
        <v>269.58405845236058</v>
      </c>
      <c r="BQ13" s="9" cm="1">
        <f t="array" ref="BQ13">PRODUCT(1 + 真實IC!$C22:BP22) - 1</f>
        <v>323.49220207144964</v>
      </c>
      <c r="BR13" s="9" cm="1">
        <f t="array" ref="BR13">PRODUCT(1 + 真實IC!$C22:BQ22) - 1</f>
        <v>310.23102543000141</v>
      </c>
      <c r="BS13" s="9" cm="1">
        <f t="array" ref="BS13">PRODUCT(1 + 真實IC!$C22:BR22) - 1</f>
        <v>376.89361684213446</v>
      </c>
      <c r="BT13" s="9" cm="1">
        <f t="array" ref="BT13">PRODUCT(1 + 真實IC!$C22:BS22) - 1</f>
        <v>364.59839540559773</v>
      </c>
      <c r="BU13" s="9" cm="1">
        <f t="array" ref="BU13">PRODUCT(1 + 真實IC!$C22:BT22) - 1</f>
        <v>329.30699905389451</v>
      </c>
      <c r="BV13" s="9" cm="1">
        <f t="array" ref="BV13">PRODUCT(1 + 真實IC!$C22:BU22) - 1</f>
        <v>315.86892218344576</v>
      </c>
      <c r="BW13" s="9" cm="1">
        <f t="array" ref="BW13">PRODUCT(1 + 真實IC!$C22:BV22) - 1</f>
        <v>356.88369972698979</v>
      </c>
      <c r="BX13" s="9" cm="1">
        <f t="array" ref="BX13">PRODUCT(1 + 真實IC!$C22:BW22) - 1</f>
        <v>482.79776077159499</v>
      </c>
      <c r="BY13" s="9" cm="1">
        <f t="array" ref="BY13">PRODUCT(1 + 真實IC!$C22:BX22) - 1</f>
        <v>473.03304780181497</v>
      </c>
      <c r="BZ13" s="9" cm="1">
        <f t="array" ref="BZ13">PRODUCT(1 + 真實IC!$C22:BY22) - 1</f>
        <v>468.62701095581542</v>
      </c>
      <c r="CA13" s="9" cm="1">
        <f t="array" ref="CA13">PRODUCT(1 + 真實IC!$C22:BZ22) - 1</f>
        <v>480.95462548536375</v>
      </c>
      <c r="CB13" s="9" cm="1">
        <f t="array" ref="CB13">PRODUCT(1 + 真實IC!$C22:CA22) - 1</f>
        <v>492.64131896427261</v>
      </c>
      <c r="CC13" s="9" cm="1">
        <f t="array" ref="CC13">PRODUCT(1 + 真實IC!$C22:CB22) - 1</f>
        <v>492.58812659407585</v>
      </c>
      <c r="CD13" s="9" cm="1">
        <f t="array" ref="CD13">PRODUCT(1 + 真實IC!$C22:CC22) - 1</f>
        <v>442.52378846196768</v>
      </c>
      <c r="CE13" s="9" cm="1">
        <f t="array" ref="CE13">PRODUCT(1 + 真實IC!$C22:CD22) - 1</f>
        <v>432.23047533936409</v>
      </c>
      <c r="CF13" s="9" cm="1">
        <f t="array" ref="CF13">PRODUCT(1 + 真實IC!$C22:CE22) - 1</f>
        <v>481.5184452442283</v>
      </c>
      <c r="CG13" s="9" cm="1">
        <f t="array" ref="CG13">PRODUCT(1 + 真實IC!$C22:CF22) - 1</f>
        <v>488.31952307427213</v>
      </c>
      <c r="CH13" s="9" cm="1">
        <f t="array" ref="CH13">PRODUCT(1 + 真實IC!$C22:CG22) - 1</f>
        <v>541.65076247175955</v>
      </c>
      <c r="CI13" s="9" cm="1">
        <f t="array" ref="CI13">PRODUCT(1 + 真實IC!$C22:CH22) - 1</f>
        <v>595.42522667856463</v>
      </c>
      <c r="CJ13" s="9" cm="1">
        <f t="array" ref="CJ13">PRODUCT(1 + 真實IC!$C22:CI22) - 1</f>
        <v>704.48200577494094</v>
      </c>
      <c r="CK13" s="9" cm="1">
        <f t="array" ref="CK13">PRODUCT(1 + 真實IC!$C22:CJ22) - 1</f>
        <v>814.51572587774388</v>
      </c>
      <c r="CL13" s="9" cm="1">
        <f t="array" ref="CL13">PRODUCT(1 + 真實IC!$C22:CK22) - 1</f>
        <v>822.27451755704567</v>
      </c>
      <c r="CM13" s="9" cm="1">
        <f t="array" ref="CM13">PRODUCT(1 + 真實IC!$C22:CL22) - 1</f>
        <v>870.93182863151208</v>
      </c>
      <c r="CN13" s="9" cm="1">
        <f t="array" ref="CN13">PRODUCT(1 + 真實IC!$C22:CM22) - 1</f>
        <v>801.65272306687189</v>
      </c>
      <c r="CO13" s="9" cm="1">
        <f t="array" ref="CO13">PRODUCT(1 + 真實IC!$C22:CN22) - 1</f>
        <v>1094.6862380227485</v>
      </c>
      <c r="CP13" s="9" cm="1">
        <f t="array" ref="CP13">PRODUCT(1 + 真實IC!$C22:CO22) - 1</f>
        <v>1329.4578911705639</v>
      </c>
      <c r="CQ13" s="9" cm="1">
        <f t="array" ref="CQ13">PRODUCT(1 + 真實IC!$C22:CP22) - 1</f>
        <v>1537.8884291567349</v>
      </c>
      <c r="CR13" s="9" cm="1">
        <f t="array" ref="CR13">PRODUCT(1 + 真實IC!$C22:CQ22) - 1</f>
        <v>1652.2318860812854</v>
      </c>
      <c r="CS13" s="9" cm="1">
        <f t="array" ref="CS13">PRODUCT(1 + 真實IC!$C22:CR22) - 1</f>
        <v>1896.6336914352787</v>
      </c>
      <c r="CT13" s="9" cm="1">
        <f t="array" ref="CT13">PRODUCT(1 + 真實IC!$C22:CS22) - 1</f>
        <v>1719.3454225243272</v>
      </c>
      <c r="CU13" s="9" cm="1">
        <f t="array" ref="CU13">PRODUCT(1 + 真實IC!$C22:CT22) - 1</f>
        <v>1909.5192179800367</v>
      </c>
      <c r="CV13" s="9" cm="1">
        <f t="array" ref="CV13">PRODUCT(1 + 真實IC!$C22:CU22) - 1</f>
        <v>2271.6236516601589</v>
      </c>
      <c r="CW13" s="9" cm="1">
        <f t="array" ref="CW13">PRODUCT(1 + 真實IC!$C22:CV22) - 1</f>
        <v>2333.2959278432795</v>
      </c>
      <c r="CX13" s="9" cm="1">
        <f t="array" ref="CX13">PRODUCT(1 + 真實IC!$C22:CW22) - 1</f>
        <v>2519.3269548929243</v>
      </c>
      <c r="CY13" s="9" cm="1">
        <f t="array" ref="CY13">PRODUCT(1 + 真實IC!$C22:CX22) - 1</f>
        <v>2885.1629675245836</v>
      </c>
      <c r="CZ13" s="9" cm="1">
        <f t="array" ref="CZ13">PRODUCT(1 + 真實IC!$C22:CY22) - 1</f>
        <v>2593.7567408136861</v>
      </c>
      <c r="DA13" s="9" cm="1">
        <f t="array" ref="DA13">PRODUCT(1 + 真實IC!$C22:CZ22) - 1</f>
        <v>2627.6510980807493</v>
      </c>
      <c r="DB13" s="9" cm="1">
        <f t="array" ref="DB13">PRODUCT(1 + 真實IC!$C22:DA22) - 1</f>
        <v>2973.7492198425462</v>
      </c>
      <c r="DC13" s="9" cm="1">
        <f t="array" ref="DC13">PRODUCT(1 + 真實IC!$C22:DB22) - 1</f>
        <v>1835.9376279324599</v>
      </c>
      <c r="DD13" s="9" cm="1">
        <f t="array" ref="DD13">PRODUCT(1 + 真實IC!$C22:DC22) - 1</f>
        <v>2094.6431013650331</v>
      </c>
      <c r="DE13" s="9" cm="1">
        <f t="array" ref="DE13">PRODUCT(1 + 真實IC!$C22:DD22) - 1</f>
        <v>2219.3334669776536</v>
      </c>
      <c r="DF13" s="9" cm="1">
        <f t="array" ref="DF13">PRODUCT(1 + 真實IC!$C22:DE22) - 1</f>
        <v>2140.235310150159</v>
      </c>
      <c r="DG13" s="9" cm="1">
        <f t="array" ref="DG13">PRODUCT(1 + 真實IC!$C22:DF22) - 1</f>
        <v>2237.661427881023</v>
      </c>
      <c r="DH13" s="9" cm="1">
        <f t="array" ref="DH13">PRODUCT(1 + 真實IC!$C22:DG22) - 1</f>
        <v>1959.9032990673686</v>
      </c>
      <c r="DI13" s="9" cm="1">
        <f t="array" ref="DI13">PRODUCT(1 + 真實IC!$C22:DH22) - 1</f>
        <v>1865.6654000648762</v>
      </c>
      <c r="DJ13" s="9" cm="1">
        <f t="array" ref="DJ13">PRODUCT(1 + 真實IC!$C22:DI22) - 1</f>
        <v>1727.06860100271</v>
      </c>
      <c r="DK13" s="9" cm="1">
        <f t="array" ref="DK13">PRODUCT(1 + 真實IC!$C22:DJ22) - 1</f>
        <v>2021.4216883377596</v>
      </c>
      <c r="DL13" s="9" cm="1">
        <f t="array" ref="DL13">PRODUCT(1 + 真實IC!$C22:DK22) - 1</f>
        <v>1979.4247702390237</v>
      </c>
      <c r="DM13" s="9" cm="1">
        <f t="array" ref="DM13">PRODUCT(1 + 真實IC!$C22:DL22) - 1</f>
        <v>1999.6916830618432</v>
      </c>
      <c r="DN13" s="9" cm="1">
        <f t="array" ref="DN13">PRODUCT(1 + 真實IC!$C22:DM22) - 1</f>
        <v>1751.9574470538389</v>
      </c>
      <c r="DO13" s="9" cm="1">
        <f t="array" ref="DO13">PRODUCT(1 + 真實IC!$C22:DN22) - 1</f>
        <v>1662.8154830138785</v>
      </c>
      <c r="DP13" s="9" cm="1">
        <f t="array" ref="DP13">PRODUCT(1 + 真實IC!$C22:DO22) - 1</f>
        <v>1745.7081924022823</v>
      </c>
      <c r="DQ13" s="9" cm="1">
        <f t="array" ref="DQ13">PRODUCT(1 + 真實IC!$C22:DP22) - 1</f>
        <v>1870.5265258322306</v>
      </c>
      <c r="DR13" s="9" cm="1">
        <f t="array" ref="DR13">PRODUCT(1 + 真實IC!$C22:DQ22) - 1</f>
        <v>2122.4915623094644</v>
      </c>
      <c r="DS13" s="9" cm="1">
        <f t="array" ref="DS13">PRODUCT(1 + 真實IC!$C22:DR22) - 1</f>
        <v>2061.328391749099</v>
      </c>
      <c r="DT13" s="9" cm="1">
        <f t="array" ref="DT13">PRODUCT(1 + 真實IC!$C22:DS22) - 1</f>
        <v>1917.3928055969998</v>
      </c>
      <c r="DU13" s="9" cm="1">
        <f t="array" ref="DU13">PRODUCT(1 + 真實IC!$C22:DT22) - 1</f>
        <v>1900.3944508031384</v>
      </c>
      <c r="DV13" s="9" cm="1">
        <f t="array" ref="DV13">PRODUCT(1 + 真實IC!$C22:DU22) - 1</f>
        <v>2418.7988628047656</v>
      </c>
      <c r="DW13" s="9" cm="1">
        <f t="array" ref="DW13">PRODUCT(1 + 真實IC!$C22:DV22) - 1</f>
        <v>2518.1941273381594</v>
      </c>
      <c r="DX13" s="9" cm="1">
        <f t="array" ref="DX13">PRODUCT(1 + 真實IC!$C22:DW22) - 1</f>
        <v>2560.2830952249533</v>
      </c>
      <c r="DY13" s="9" cm="1">
        <f t="array" ref="DY13">PRODUCT(1 + 真實IC!$C22:DX22) - 1</f>
        <v>3099.8344531074358</v>
      </c>
      <c r="DZ13" s="9" cm="1">
        <f t="array" ref="DZ13">PRODUCT(1 + 真實IC!$C22:DY22) - 1</f>
        <v>3680.9365042683503</v>
      </c>
      <c r="EA13" s="9" cm="1">
        <f t="array" ref="EA13">PRODUCT(1 + 真實IC!$C22:DZ22) - 1</f>
        <v>3780.4079687969925</v>
      </c>
      <c r="EB13" s="9" cm="1">
        <f t="array" ref="EB13">PRODUCT(1 + 真實IC!$C22:EA22) - 1</f>
        <v>3847.6124456706189</v>
      </c>
      <c r="EC13" s="9" cm="1">
        <f t="array" ref="EC13">PRODUCT(1 + 真實IC!$C22:EB22) - 1</f>
        <v>4656.7812445252521</v>
      </c>
      <c r="ED13" s="9" cm="1">
        <f t="array" ref="ED13">PRODUCT(1 + 真實IC!$C22:EC22) - 1</f>
        <v>4934.4975004183443</v>
      </c>
      <c r="EE13" s="9" cm="1">
        <f t="array" ref="EE13">PRODUCT(1 + 真實IC!$C22:ED22) - 1</f>
        <v>5551.7623333643814</v>
      </c>
      <c r="EF13" s="9" cm="1">
        <f t="array" ref="EF13">PRODUCT(1 + 真實IC!$C22:EE22) - 1</f>
        <v>5440.6094286166617</v>
      </c>
      <c r="EG13" s="9" cm="1">
        <f t="array" ref="EG13">PRODUCT(1 + 真實IC!$C22:EF22) - 1</f>
        <v>4300.3651071199047</v>
      </c>
    </row>
    <row r="14" spans="3:137" ht="16">
      <c r="C14" s="6">
        <v>241</v>
      </c>
      <c r="D14" s="9" cm="1">
        <f t="array" ref="D14">PRODUCT(1 + 真實IC!$C23:C23) - 1</f>
        <v>1.0384834477426885E-2</v>
      </c>
      <c r="E14" s="9" cm="1">
        <f t="array" ref="E14">PRODUCT(1 + 真實IC!$C23:D23) - 1</f>
        <v>0.33876827332827619</v>
      </c>
      <c r="F14" s="9" cm="1">
        <f t="array" ref="F14">PRODUCT(1 + 真實IC!$C23:E23) - 1</f>
        <v>0.39729594878873442</v>
      </c>
      <c r="G14" s="9" cm="1">
        <f t="array" ref="G14">PRODUCT(1 + 真實IC!$C23:F23) - 1</f>
        <v>0.65445231328780484</v>
      </c>
      <c r="H14" s="9" cm="1">
        <f t="array" ref="H14">PRODUCT(1 + 真實IC!$C23:G23) - 1</f>
        <v>1.1106383387223153</v>
      </c>
      <c r="I14" s="9" cm="1">
        <f t="array" ref="I14">PRODUCT(1 + 真實IC!$C23:H23) - 1</f>
        <v>1.1905134985917898</v>
      </c>
      <c r="J14" s="9" cm="1">
        <f t="array" ref="J14">PRODUCT(1 + 真實IC!$C23:I23) - 1</f>
        <v>1.3118731970093789</v>
      </c>
      <c r="K14" s="9" cm="1">
        <f t="array" ref="K14">PRODUCT(1 + 真實IC!$C23:J23) - 1</f>
        <v>1.2207336233000627</v>
      </c>
      <c r="L14" s="9" cm="1">
        <f t="array" ref="L14">PRODUCT(1 + 真實IC!$C23:K23) - 1</f>
        <v>1.2335055094874736</v>
      </c>
      <c r="M14" s="9" cm="1">
        <f t="array" ref="M14">PRODUCT(1 + 真實IC!$C23:L23) - 1</f>
        <v>1.4971978991871824</v>
      </c>
      <c r="N14" s="9" cm="1">
        <f t="array" ref="N14">PRODUCT(1 + 真實IC!$C23:M23) - 1</f>
        <v>1.4939957043898313</v>
      </c>
      <c r="O14" s="9" cm="1">
        <f t="array" ref="O14">PRODUCT(1 + 真實IC!$C23:N23) - 1</f>
        <v>1.8407874926791692</v>
      </c>
      <c r="P14" s="9" cm="1">
        <f t="array" ref="P14">PRODUCT(1 + 真實IC!$C23:O23) - 1</f>
        <v>1.6107945650174642</v>
      </c>
      <c r="Q14" s="9" cm="1">
        <f t="array" ref="Q14">PRODUCT(1 + 真實IC!$C23:P23) - 1</f>
        <v>1.7149436582498034</v>
      </c>
      <c r="R14" s="9" cm="1">
        <f t="array" ref="R14">PRODUCT(1 + 真實IC!$C23:Q23) - 1</f>
        <v>2.0450136520253439</v>
      </c>
      <c r="S14" s="9" cm="1">
        <f t="array" ref="S14">PRODUCT(1 + 真實IC!$C23:R23) - 1</f>
        <v>2.0769515106572825</v>
      </c>
      <c r="T14" s="9" cm="1">
        <f t="array" ref="T14">PRODUCT(1 + 真實IC!$C23:S23) - 1</f>
        <v>2.5811904924998785</v>
      </c>
      <c r="U14" s="9" cm="1">
        <f t="array" ref="U14">PRODUCT(1 + 真實IC!$C23:T23) - 1</f>
        <v>3.5508378293854372</v>
      </c>
      <c r="V14" s="9" cm="1">
        <f t="array" ref="V14">PRODUCT(1 + 真實IC!$C23:U23) - 1</f>
        <v>3.6992478451873536</v>
      </c>
      <c r="W14" s="9" cm="1">
        <f t="array" ref="W14">PRODUCT(1 + 真實IC!$C23:V23) - 1</f>
        <v>4.8743618733580645</v>
      </c>
      <c r="X14" s="9" cm="1">
        <f t="array" ref="X14">PRODUCT(1 + 真實IC!$C23:W23) - 1</f>
        <v>6.771314032695817</v>
      </c>
      <c r="Y14" s="9" cm="1">
        <f t="array" ref="Y14">PRODUCT(1 + 真實IC!$C23:X23) - 1</f>
        <v>8.8612402657772869</v>
      </c>
      <c r="Z14" s="9" cm="1">
        <f t="array" ref="Z14">PRODUCT(1 + 真實IC!$C23:Y23) - 1</f>
        <v>10.212279214448584</v>
      </c>
      <c r="AA14" s="9" cm="1">
        <f t="array" ref="AA14">PRODUCT(1 + 真實IC!$C23:Z23) - 1</f>
        <v>11.739521281117772</v>
      </c>
      <c r="AB14" s="9" cm="1">
        <f t="array" ref="AB14">PRODUCT(1 + 真實IC!$C23:AA23) - 1</f>
        <v>13.171553873703598</v>
      </c>
      <c r="AC14" s="9" cm="1">
        <f t="array" ref="AC14">PRODUCT(1 + 真實IC!$C23:AB23) - 1</f>
        <v>14.37309268286859</v>
      </c>
      <c r="AD14" s="9" cm="1">
        <f t="array" ref="AD14">PRODUCT(1 + 真實IC!$C23:AC23) - 1</f>
        <v>17.892916216663977</v>
      </c>
      <c r="AE14" s="9" cm="1">
        <f t="array" ref="AE14">PRODUCT(1 + 真實IC!$C23:AD23) - 1</f>
        <v>19.856781484456061</v>
      </c>
      <c r="AF14" s="9" cm="1">
        <f t="array" ref="AF14">PRODUCT(1 + 真實IC!$C23:AE23) - 1</f>
        <v>22.528639034280236</v>
      </c>
      <c r="AG14" s="9" cm="1">
        <f t="array" ref="AG14">PRODUCT(1 + 真實IC!$C23:AF23) - 1</f>
        <v>29.03666801995919</v>
      </c>
      <c r="AH14" s="9" cm="1">
        <f t="array" ref="AH14">PRODUCT(1 + 真實IC!$C23:AG23) - 1</f>
        <v>28.704865800839393</v>
      </c>
      <c r="AI14" s="9" cm="1">
        <f t="array" ref="AI14">PRODUCT(1 + 真實IC!$C23:AH23) - 1</f>
        <v>44.112025035292547</v>
      </c>
      <c r="AJ14" s="9" cm="1">
        <f t="array" ref="AJ14">PRODUCT(1 + 真實IC!$C23:AI23) - 1</f>
        <v>47.167448081933372</v>
      </c>
      <c r="AK14" s="9" cm="1">
        <f t="array" ref="AK14">PRODUCT(1 + 真實IC!$C23:AJ23) - 1</f>
        <v>49.001830544472938</v>
      </c>
      <c r="AL14" s="9" cm="1">
        <f t="array" ref="AL14">PRODUCT(1 + 真實IC!$C23:AK23) - 1</f>
        <v>51.039774965494907</v>
      </c>
      <c r="AM14" s="9" cm="1">
        <f t="array" ref="AM14">PRODUCT(1 + 真實IC!$C23:AL23) - 1</f>
        <v>57.896136898673703</v>
      </c>
      <c r="AN14" s="9" cm="1">
        <f t="array" ref="AN14">PRODUCT(1 + 真實IC!$C23:AM23) - 1</f>
        <v>63.290915232143234</v>
      </c>
      <c r="AO14" s="9" cm="1">
        <f t="array" ref="AO14">PRODUCT(1 + 真實IC!$C23:AN23) - 1</f>
        <v>61.890078580622216</v>
      </c>
      <c r="AP14" s="9" cm="1">
        <f t="array" ref="AP14">PRODUCT(1 + 真實IC!$C23:AO23) - 1</f>
        <v>56.508714492318845</v>
      </c>
      <c r="AQ14" s="9" cm="1">
        <f t="array" ref="AQ14">PRODUCT(1 + 真實IC!$C23:AP23) - 1</f>
        <v>64.673282396635074</v>
      </c>
      <c r="AR14" s="9" cm="1">
        <f t="array" ref="AR14">PRODUCT(1 + 真實IC!$C23:AQ23) - 1</f>
        <v>70.279869628161379</v>
      </c>
      <c r="AS14" s="9" cm="1">
        <f t="array" ref="AS14">PRODUCT(1 + 真實IC!$C23:AR23) - 1</f>
        <v>67.842247729639411</v>
      </c>
      <c r="AT14" s="9" cm="1">
        <f t="array" ref="AT14">PRODUCT(1 + 真實IC!$C23:AS23) - 1</f>
        <v>66.273668003210673</v>
      </c>
      <c r="AU14" s="9" cm="1">
        <f t="array" ref="AU14">PRODUCT(1 + 真實IC!$C23:AT23) - 1</f>
        <v>79.091101142467991</v>
      </c>
      <c r="AV14" s="9" cm="1">
        <f t="array" ref="AV14">PRODUCT(1 + 真實IC!$C23:AU23) - 1</f>
        <v>84.173308364553847</v>
      </c>
      <c r="AW14" s="9" cm="1">
        <f t="array" ref="AW14">PRODUCT(1 + 真實IC!$C23:AV23) - 1</f>
        <v>76.472206945880984</v>
      </c>
      <c r="AX14" s="9" cm="1">
        <f t="array" ref="AX14">PRODUCT(1 + 真實IC!$C23:AW23) - 1</f>
        <v>101.15247499109115</v>
      </c>
      <c r="AY14" s="9" cm="1">
        <f t="array" ref="AY14">PRODUCT(1 + 真實IC!$C23:AX23) - 1</f>
        <v>98.322106730361497</v>
      </c>
      <c r="AZ14" s="9" cm="1">
        <f t="array" ref="AZ14">PRODUCT(1 + 真實IC!$C23:AY23) - 1</f>
        <v>129.40838226327918</v>
      </c>
      <c r="BA14" s="9" cm="1">
        <f t="array" ref="BA14">PRODUCT(1 + 真實IC!$C23:AZ23) - 1</f>
        <v>141.54410730598991</v>
      </c>
      <c r="BB14" s="9" cm="1">
        <f t="array" ref="BB14">PRODUCT(1 + 真實IC!$C23:BA23) - 1</f>
        <v>144.29424036549091</v>
      </c>
      <c r="BC14" s="9" cm="1">
        <f t="array" ref="BC14">PRODUCT(1 + 真實IC!$C23:BB23) - 1</f>
        <v>169.24375107892348</v>
      </c>
      <c r="BD14" s="9" cm="1">
        <f t="array" ref="BD14">PRODUCT(1 + 真實IC!$C23:BC23) - 1</f>
        <v>188.30650754144665</v>
      </c>
      <c r="BE14" s="9" cm="1">
        <f t="array" ref="BE14">PRODUCT(1 + 真實IC!$C23:BD23) - 1</f>
        <v>182.57279595817795</v>
      </c>
      <c r="BF14" s="9" cm="1">
        <f t="array" ref="BF14">PRODUCT(1 + 真實IC!$C23:BE23) - 1</f>
        <v>157.47006863985678</v>
      </c>
      <c r="BG14" s="9" cm="1">
        <f t="array" ref="BG14">PRODUCT(1 + 真實IC!$C23:BF23) - 1</f>
        <v>157.24178459745531</v>
      </c>
      <c r="BH14" s="9" cm="1">
        <f t="array" ref="BH14">PRODUCT(1 + 真實IC!$C23:BG23) - 1</f>
        <v>158.64042457366733</v>
      </c>
      <c r="BI14" s="9" cm="1">
        <f t="array" ref="BI14">PRODUCT(1 + 真實IC!$C23:BH23) - 1</f>
        <v>158.00078400692402</v>
      </c>
      <c r="BJ14" s="9" cm="1">
        <f t="array" ref="BJ14">PRODUCT(1 + 真實IC!$C23:BI23) - 1</f>
        <v>175.09718590554772</v>
      </c>
      <c r="BK14" s="9" cm="1">
        <f t="array" ref="BK14">PRODUCT(1 + 真實IC!$C23:BJ23) - 1</f>
        <v>180.72921669150702</v>
      </c>
      <c r="BL14" s="9" cm="1">
        <f t="array" ref="BL14">PRODUCT(1 + 真實IC!$C23:BK23) - 1</f>
        <v>165.65056897480775</v>
      </c>
      <c r="BM14" s="9" cm="1">
        <f t="array" ref="BM14">PRODUCT(1 + 真實IC!$C23:BL23) - 1</f>
        <v>174.27398306330539</v>
      </c>
      <c r="BN14" s="9" cm="1">
        <f t="array" ref="BN14">PRODUCT(1 + 真實IC!$C23:BM23) - 1</f>
        <v>174.77225671261323</v>
      </c>
      <c r="BO14" s="9" cm="1">
        <f t="array" ref="BO14">PRODUCT(1 + 真實IC!$C23:BN23) - 1</f>
        <v>217.16537591822089</v>
      </c>
      <c r="BP14" s="9" cm="1">
        <f t="array" ref="BP14">PRODUCT(1 + 真實IC!$C23:BO23) - 1</f>
        <v>233.38600948770593</v>
      </c>
      <c r="BQ14" s="9" cm="1">
        <f t="array" ref="BQ14">PRODUCT(1 + 真實IC!$C23:BP23) - 1</f>
        <v>281.37284529417991</v>
      </c>
      <c r="BR14" s="9" cm="1">
        <f t="array" ref="BR14">PRODUCT(1 + 真實IC!$C23:BQ23) - 1</f>
        <v>265.86581296231327</v>
      </c>
      <c r="BS14" s="9" cm="1">
        <f t="array" ref="BS14">PRODUCT(1 + 真實IC!$C23:BR23) - 1</f>
        <v>342.52983383883549</v>
      </c>
      <c r="BT14" s="9" cm="1">
        <f t="array" ref="BT14">PRODUCT(1 + 真實IC!$C23:BS23) - 1</f>
        <v>319.94555700806484</v>
      </c>
      <c r="BU14" s="9" cm="1">
        <f t="array" ref="BU14">PRODUCT(1 + 真實IC!$C23:BT23) - 1</f>
        <v>290.11296032933149</v>
      </c>
      <c r="BV14" s="9" cm="1">
        <f t="array" ref="BV14">PRODUCT(1 + 真實IC!$C23:BU23) - 1</f>
        <v>293.89644106790291</v>
      </c>
      <c r="BW14" s="9" cm="1">
        <f t="array" ref="BW14">PRODUCT(1 + 真實IC!$C23:BV23) - 1</f>
        <v>349.38327428075871</v>
      </c>
      <c r="BX14" s="9" cm="1">
        <f t="array" ref="BX14">PRODUCT(1 + 真實IC!$C23:BW23) - 1</f>
        <v>414.01520806380051</v>
      </c>
      <c r="BY14" s="9" cm="1">
        <f t="array" ref="BY14">PRODUCT(1 + 真實IC!$C23:BX23) - 1</f>
        <v>401.54695501369554</v>
      </c>
      <c r="BZ14" s="9" cm="1">
        <f t="array" ref="BZ14">PRODUCT(1 + 真實IC!$C23:BY23) - 1</f>
        <v>352.72475162212942</v>
      </c>
      <c r="CA14" s="9" cm="1">
        <f t="array" ref="CA14">PRODUCT(1 + 真實IC!$C23:BZ23) - 1</f>
        <v>439.0233097219043</v>
      </c>
      <c r="CB14" s="9" cm="1">
        <f t="array" ref="CB14">PRODUCT(1 + 真實IC!$C23:CA23) - 1</f>
        <v>455.77893070051107</v>
      </c>
      <c r="CC14" s="9" cm="1">
        <f t="array" ref="CC14">PRODUCT(1 + 真實IC!$C23:CB23) - 1</f>
        <v>489.33669702943206</v>
      </c>
      <c r="CD14" s="9" cm="1">
        <f t="array" ref="CD14">PRODUCT(1 + 真實IC!$C23:CC23) - 1</f>
        <v>463.19803533596115</v>
      </c>
      <c r="CE14" s="9" cm="1">
        <f t="array" ref="CE14">PRODUCT(1 + 真實IC!$C23:CD23) - 1</f>
        <v>465.16704861333346</v>
      </c>
      <c r="CF14" s="9" cm="1">
        <f t="array" ref="CF14">PRODUCT(1 + 真實IC!$C23:CE23) - 1</f>
        <v>532.93606486578744</v>
      </c>
      <c r="CG14" s="9" cm="1">
        <f t="array" ref="CG14">PRODUCT(1 + 真實IC!$C23:CF23) - 1</f>
        <v>542.34332372089079</v>
      </c>
      <c r="CH14" s="9" cm="1">
        <f t="array" ref="CH14">PRODUCT(1 + 真實IC!$C23:CG23) - 1</f>
        <v>614.20559779232599</v>
      </c>
      <c r="CI14" s="9" cm="1">
        <f t="array" ref="CI14">PRODUCT(1 + 真實IC!$C23:CH23) - 1</f>
        <v>615.57116170253744</v>
      </c>
      <c r="CJ14" s="9" cm="1">
        <f t="array" ref="CJ14">PRODUCT(1 + 真實IC!$C23:CI23) - 1</f>
        <v>709.00614059691259</v>
      </c>
      <c r="CK14" s="9" cm="1">
        <f t="array" ref="CK14">PRODUCT(1 + 真實IC!$C23:CJ23) - 1</f>
        <v>762.63149057441478</v>
      </c>
      <c r="CL14" s="9" cm="1">
        <f t="array" ref="CL14">PRODUCT(1 + 真實IC!$C23:CK23) - 1</f>
        <v>803.63382301104537</v>
      </c>
      <c r="CM14" s="9" cm="1">
        <f t="array" ref="CM14">PRODUCT(1 + 真實IC!$C23:CL23) - 1</f>
        <v>950.56041717061851</v>
      </c>
      <c r="CN14" s="9" cm="1">
        <f t="array" ref="CN14">PRODUCT(1 + 真實IC!$C23:CM23) - 1</f>
        <v>890.61750351456828</v>
      </c>
      <c r="CO14" s="9" cm="1">
        <f t="array" ref="CO14">PRODUCT(1 + 真實IC!$C23:CN23) - 1</f>
        <v>1161.4508642577507</v>
      </c>
      <c r="CP14" s="9" cm="1">
        <f t="array" ref="CP14">PRODUCT(1 + 真實IC!$C23:CO23) - 1</f>
        <v>1420.0096826684226</v>
      </c>
      <c r="CQ14" s="9" cm="1">
        <f t="array" ref="CQ14">PRODUCT(1 + 真實IC!$C23:CP23) - 1</f>
        <v>1559.7053165477466</v>
      </c>
      <c r="CR14" s="9" cm="1">
        <f t="array" ref="CR14">PRODUCT(1 + 真實IC!$C23:CQ23) - 1</f>
        <v>1748.6651844947135</v>
      </c>
      <c r="CS14" s="9" cm="1">
        <f t="array" ref="CS14">PRODUCT(1 + 真實IC!$C23:CR23) - 1</f>
        <v>1950.6116172979162</v>
      </c>
      <c r="CT14" s="9" cm="1">
        <f t="array" ref="CT14">PRODUCT(1 + 真實IC!$C23:CS23) - 1</f>
        <v>1845.648254328951</v>
      </c>
      <c r="CU14" s="9" cm="1">
        <f t="array" ref="CU14">PRODUCT(1 + 真實IC!$C23:CT23) - 1</f>
        <v>1969.8173691791355</v>
      </c>
      <c r="CV14" s="9" cm="1">
        <f t="array" ref="CV14">PRODUCT(1 + 真實IC!$C23:CU23) - 1</f>
        <v>2429.1946280565421</v>
      </c>
      <c r="CW14" s="9" cm="1">
        <f t="array" ref="CW14">PRODUCT(1 + 真實IC!$C23:CV23) - 1</f>
        <v>2567.0029757754232</v>
      </c>
      <c r="CX14" s="9" cm="1">
        <f t="array" ref="CX14">PRODUCT(1 + 真實IC!$C23:CW23) - 1</f>
        <v>2775.4582280719169</v>
      </c>
      <c r="CY14" s="9" cm="1">
        <f t="array" ref="CY14">PRODUCT(1 + 真實IC!$C23:CX23) - 1</f>
        <v>3211.2756746306218</v>
      </c>
      <c r="CZ14" s="9" cm="1">
        <f t="array" ref="CZ14">PRODUCT(1 + 真實IC!$C23:CY23) - 1</f>
        <v>2721.556839737445</v>
      </c>
      <c r="DA14" s="9" cm="1">
        <f t="array" ref="DA14">PRODUCT(1 + 真實IC!$C23:CZ23) - 1</f>
        <v>2759.2566462648765</v>
      </c>
      <c r="DB14" s="9" cm="1">
        <f t="array" ref="DB14">PRODUCT(1 + 真實IC!$C23:DA23) - 1</f>
        <v>3084.9743015183403</v>
      </c>
      <c r="DC14" s="9" cm="1">
        <f t="array" ref="DC14">PRODUCT(1 + 真實IC!$C23:DB23) - 1</f>
        <v>1627.3120705525439</v>
      </c>
      <c r="DD14" s="9" cm="1">
        <f t="array" ref="DD14">PRODUCT(1 + 真實IC!$C23:DC23) - 1</f>
        <v>1915.2078417532096</v>
      </c>
      <c r="DE14" s="9" cm="1">
        <f t="array" ref="DE14">PRODUCT(1 + 真實IC!$C23:DD23) - 1</f>
        <v>2059.6860725874717</v>
      </c>
      <c r="DF14" s="9" cm="1">
        <f t="array" ref="DF14">PRODUCT(1 + 真實IC!$C23:DE23) - 1</f>
        <v>2057.2518302475719</v>
      </c>
      <c r="DG14" s="9" cm="1">
        <f t="array" ref="DG14">PRODUCT(1 + 真實IC!$C23:DF23) - 1</f>
        <v>2363.5380261542182</v>
      </c>
      <c r="DH14" s="9" cm="1">
        <f t="array" ref="DH14">PRODUCT(1 + 真實IC!$C23:DG23) - 1</f>
        <v>2013.1491215901995</v>
      </c>
      <c r="DI14" s="9" cm="1">
        <f t="array" ref="DI14">PRODUCT(1 + 真實IC!$C23:DH23) - 1</f>
        <v>2034.0067868342303</v>
      </c>
      <c r="DJ14" s="9" cm="1">
        <f t="array" ref="DJ14">PRODUCT(1 + 真實IC!$C23:DI23) - 1</f>
        <v>1850.5525474757703</v>
      </c>
      <c r="DK14" s="9" cm="1">
        <f t="array" ref="DK14">PRODUCT(1 + 真實IC!$C23:DJ23) - 1</f>
        <v>2233.5005424096171</v>
      </c>
      <c r="DL14" s="9" cm="1">
        <f t="array" ref="DL14">PRODUCT(1 + 真實IC!$C23:DK23) - 1</f>
        <v>2186.651865158738</v>
      </c>
      <c r="DM14" s="9" cm="1">
        <f t="array" ref="DM14">PRODUCT(1 + 真實IC!$C23:DL23) - 1</f>
        <v>2084.7235397255099</v>
      </c>
      <c r="DN14" s="9" cm="1">
        <f t="array" ref="DN14">PRODUCT(1 + 真實IC!$C23:DM23) - 1</f>
        <v>2000.1907085824844</v>
      </c>
      <c r="DO14" s="9" cm="1">
        <f t="array" ref="DO14">PRODUCT(1 + 真實IC!$C23:DN23) - 1</f>
        <v>2046.387074335639</v>
      </c>
      <c r="DP14" s="9" cm="1">
        <f t="array" ref="DP14">PRODUCT(1 + 真實IC!$C23:DO23) - 1</f>
        <v>2008.3900085556618</v>
      </c>
      <c r="DQ14" s="9" cm="1">
        <f t="array" ref="DQ14">PRODUCT(1 + 真實IC!$C23:DP23) - 1</f>
        <v>2111.1242670433689</v>
      </c>
      <c r="DR14" s="9" cm="1">
        <f t="array" ref="DR14">PRODUCT(1 + 真實IC!$C23:DQ23) - 1</f>
        <v>2294.6576869446949</v>
      </c>
      <c r="DS14" s="9" cm="1">
        <f t="array" ref="DS14">PRODUCT(1 + 真實IC!$C23:DR23) - 1</f>
        <v>2188.541323073187</v>
      </c>
      <c r="DT14" s="9" cm="1">
        <f t="array" ref="DT14">PRODUCT(1 + 真實IC!$C23:DS23) - 1</f>
        <v>2003.2942300373411</v>
      </c>
      <c r="DU14" s="9" cm="1">
        <f t="array" ref="DU14">PRODUCT(1 + 真實IC!$C23:DT23) - 1</f>
        <v>2074.1252321452375</v>
      </c>
      <c r="DV14" s="9" cm="1">
        <f t="array" ref="DV14">PRODUCT(1 + 真實IC!$C23:DU23) - 1</f>
        <v>2779.2665624890415</v>
      </c>
      <c r="DW14" s="9" cm="1">
        <f t="array" ref="DW14">PRODUCT(1 + 真實IC!$C23:DV23) - 1</f>
        <v>2756.563105575322</v>
      </c>
      <c r="DX14" s="9" cm="1">
        <f t="array" ref="DX14">PRODUCT(1 + 真實IC!$C23:DW23) - 1</f>
        <v>2608.8010363852882</v>
      </c>
      <c r="DY14" s="9" cm="1">
        <f t="array" ref="DY14">PRODUCT(1 + 真實IC!$C23:DX23) - 1</f>
        <v>3263.4082201274109</v>
      </c>
      <c r="DZ14" s="9" cm="1">
        <f t="array" ref="DZ14">PRODUCT(1 + 真實IC!$C23:DY23) - 1</f>
        <v>4000.0607200468976</v>
      </c>
      <c r="EA14" s="9" cm="1">
        <f t="array" ref="EA14">PRODUCT(1 + 真實IC!$C23:DZ23) - 1</f>
        <v>4115.3613073434381</v>
      </c>
      <c r="EB14" s="9" cm="1">
        <f t="array" ref="EB14">PRODUCT(1 + 真實IC!$C23:EA23) - 1</f>
        <v>4122.7708260859818</v>
      </c>
      <c r="EC14" s="9" cm="1">
        <f t="array" ref="EC14">PRODUCT(1 + 真實IC!$C23:EB23) - 1</f>
        <v>5092.6746459616352</v>
      </c>
      <c r="ED14" s="9" cm="1">
        <f t="array" ref="ED14">PRODUCT(1 + 真實IC!$C23:EC23) - 1</f>
        <v>5765.1753392893497</v>
      </c>
      <c r="EE14" s="9" cm="1">
        <f t="array" ref="EE14">PRODUCT(1 + 真實IC!$C23:ED23) - 1</f>
        <v>6869.0345557794781</v>
      </c>
      <c r="EF14" s="9" cm="1">
        <f t="array" ref="EF14">PRODUCT(1 + 真實IC!$C23:EE23) - 1</f>
        <v>6944.3022793159389</v>
      </c>
      <c r="EG14" s="9" cm="1">
        <f t="array" ref="EG14">PRODUCT(1 + 真實IC!$C23:EF23) - 1</f>
        <v>5703.4943037713956</v>
      </c>
    </row>
    <row r="15" spans="3:137" ht="16">
      <c r="C15" s="6">
        <v>321</v>
      </c>
      <c r="D15" s="9" cm="1">
        <f t="array" ref="D15">PRODUCT(1 + 真實IC!$C24:C24) - 1</f>
        <v>2.5922326608526669E-2</v>
      </c>
      <c r="E15" s="9" cm="1">
        <f t="array" ref="E15">PRODUCT(1 + 真實IC!$C24:D24) - 1</f>
        <v>0.45416479871263427</v>
      </c>
      <c r="F15" s="9" cm="1">
        <f t="array" ref="F15">PRODUCT(1 + 真實IC!$C24:E24) - 1</f>
        <v>0.48649148168088807</v>
      </c>
      <c r="G15" s="9" cm="1">
        <f t="array" ref="G15">PRODUCT(1 + 真實IC!$C24:F24) - 1</f>
        <v>0.58732177593374457</v>
      </c>
      <c r="H15" s="9" cm="1">
        <f t="array" ref="H15">PRODUCT(1 + 真實IC!$C24:G24) - 1</f>
        <v>0.8543379951943959</v>
      </c>
      <c r="I15" s="9" cm="1">
        <f t="array" ref="I15">PRODUCT(1 + 真實IC!$C24:H24) - 1</f>
        <v>1.2804751478511363</v>
      </c>
      <c r="J15" s="9" cm="1">
        <f t="array" ref="J15">PRODUCT(1 + 真實IC!$C24:I24) - 1</f>
        <v>1.4002455741450124</v>
      </c>
      <c r="K15" s="9" cm="1">
        <f t="array" ref="K15">PRODUCT(1 + 真實IC!$C24:J24) - 1</f>
        <v>1.3810972111851534</v>
      </c>
      <c r="L15" s="9" cm="1">
        <f t="array" ref="L15">PRODUCT(1 + 真實IC!$C24:K24) - 1</f>
        <v>1.4042872058971207</v>
      </c>
      <c r="M15" s="9" cm="1">
        <f t="array" ref="M15">PRODUCT(1 + 真實IC!$C24:L24) - 1</f>
        <v>1.7197476971956571</v>
      </c>
      <c r="N15" s="9" cm="1">
        <f t="array" ref="N15">PRODUCT(1 + 真實IC!$C24:M24) - 1</f>
        <v>1.5958588493620103</v>
      </c>
      <c r="O15" s="9" cm="1">
        <f t="array" ref="O15">PRODUCT(1 + 真實IC!$C24:N24) - 1</f>
        <v>1.8503331269000793</v>
      </c>
      <c r="P15" s="9" cm="1">
        <f t="array" ref="P15">PRODUCT(1 + 真實IC!$C24:O24) - 1</f>
        <v>1.4806216189428096</v>
      </c>
      <c r="Q15" s="9" cm="1">
        <f t="array" ref="Q15">PRODUCT(1 + 真實IC!$C24:P24) - 1</f>
        <v>1.5869373121182284</v>
      </c>
      <c r="R15" s="9" cm="1">
        <f t="array" ref="R15">PRODUCT(1 + 真實IC!$C24:Q24) - 1</f>
        <v>2.0278967807234176</v>
      </c>
      <c r="S15" s="9" cm="1">
        <f t="array" ref="S15">PRODUCT(1 + 真實IC!$C24:R24) - 1</f>
        <v>2.0969589951609868</v>
      </c>
      <c r="T15" s="9" cm="1">
        <f t="array" ref="T15">PRODUCT(1 + 真實IC!$C24:S24) - 1</f>
        <v>2.7360305027922598</v>
      </c>
      <c r="U15" s="9" cm="1">
        <f t="array" ref="U15">PRODUCT(1 + 真實IC!$C24:T24) - 1</f>
        <v>3.6201970589076264</v>
      </c>
      <c r="V15" s="9" cm="1">
        <f t="array" ref="V15">PRODUCT(1 + 真實IC!$C24:U24) - 1</f>
        <v>3.7389229250708818</v>
      </c>
      <c r="W15" s="9" cm="1">
        <f t="array" ref="W15">PRODUCT(1 + 真實IC!$C24:V24) - 1</f>
        <v>4.6921340622047962</v>
      </c>
      <c r="X15" s="9" cm="1">
        <f t="array" ref="X15">PRODUCT(1 + 真實IC!$C24:W24) - 1</f>
        <v>6.6627137919900443</v>
      </c>
      <c r="Y15" s="9" cm="1">
        <f t="array" ref="Y15">PRODUCT(1 + 真實IC!$C24:X24) - 1</f>
        <v>9.5341274222005836</v>
      </c>
      <c r="Z15" s="9" cm="1">
        <f t="array" ref="Z15">PRODUCT(1 + 真實IC!$C24:Y24) - 1</f>
        <v>10.912254624008977</v>
      </c>
      <c r="AA15" s="9" cm="1">
        <f t="array" ref="AA15">PRODUCT(1 + 真實IC!$C24:Z24) - 1</f>
        <v>12.635089103214646</v>
      </c>
      <c r="AB15" s="9" cm="1">
        <f t="array" ref="AB15">PRODUCT(1 + 真實IC!$C24:AA24) - 1</f>
        <v>13.010840825218853</v>
      </c>
      <c r="AC15" s="9" cm="1">
        <f t="array" ref="AC15">PRODUCT(1 + 真實IC!$C24:AB24) - 1</f>
        <v>13.924363410773434</v>
      </c>
      <c r="AD15" s="9" cm="1">
        <f t="array" ref="AD15">PRODUCT(1 + 真實IC!$C24:AC24) - 1</f>
        <v>18.478036791547645</v>
      </c>
      <c r="AE15" s="9" cm="1">
        <f t="array" ref="AE15">PRODUCT(1 + 真實IC!$C24:AD24) - 1</f>
        <v>19.723407067447567</v>
      </c>
      <c r="AF15" s="9" cm="1">
        <f t="array" ref="AF15">PRODUCT(1 + 真實IC!$C24:AE24) - 1</f>
        <v>22.434522816258237</v>
      </c>
      <c r="AG15" s="9" cm="1">
        <f t="array" ref="AG15">PRODUCT(1 + 真實IC!$C24:AF24) - 1</f>
        <v>26.074447969226544</v>
      </c>
      <c r="AH15" s="9" cm="1">
        <f t="array" ref="AH15">PRODUCT(1 + 真實IC!$C24:AG24) - 1</f>
        <v>25.781716314991527</v>
      </c>
      <c r="AI15" s="9" cm="1">
        <f t="array" ref="AI15">PRODUCT(1 + 真實IC!$C24:AH24) - 1</f>
        <v>42.116572153573735</v>
      </c>
      <c r="AJ15" s="9" cm="1">
        <f t="array" ref="AJ15">PRODUCT(1 + 真實IC!$C24:AI24) - 1</f>
        <v>45.022323032661191</v>
      </c>
      <c r="AK15" s="9" cm="1">
        <f t="array" ref="AK15">PRODUCT(1 + 真實IC!$C24:AJ24) - 1</f>
        <v>46.126368110792733</v>
      </c>
      <c r="AL15" s="9" cm="1">
        <f t="array" ref="AL15">PRODUCT(1 + 真實IC!$C24:AK24) - 1</f>
        <v>47.959084244198081</v>
      </c>
      <c r="AM15" s="9" cm="1">
        <f t="array" ref="AM15">PRODUCT(1 + 真實IC!$C24:AL24) - 1</f>
        <v>53.648601108822369</v>
      </c>
      <c r="AN15" s="9" cm="1">
        <f t="array" ref="AN15">PRODUCT(1 + 真實IC!$C24:AM24) - 1</f>
        <v>59.823778345119486</v>
      </c>
      <c r="AO15" s="9" cm="1">
        <f t="array" ref="AO15">PRODUCT(1 + 真實IC!$C24:AN24) - 1</f>
        <v>58.129193400312793</v>
      </c>
      <c r="AP15" s="9" cm="1">
        <f t="array" ref="AP15">PRODUCT(1 + 真實IC!$C24:AO24) - 1</f>
        <v>48.777741450254467</v>
      </c>
      <c r="AQ15" s="9" cm="1">
        <f t="array" ref="AQ15">PRODUCT(1 + 真實IC!$C24:AP24) - 1</f>
        <v>57.912718155117815</v>
      </c>
      <c r="AR15" s="9" cm="1">
        <f t="array" ref="AR15">PRODUCT(1 + 真實IC!$C24:AQ24) - 1</f>
        <v>58.376066996572149</v>
      </c>
      <c r="AS15" s="9" cm="1">
        <f t="array" ref="AS15">PRODUCT(1 + 真實IC!$C24:AR24) - 1</f>
        <v>51.952544344882959</v>
      </c>
      <c r="AT15" s="9" cm="1">
        <f t="array" ref="AT15">PRODUCT(1 + 真實IC!$C24:AS24) - 1</f>
        <v>52.482637119509484</v>
      </c>
      <c r="AU15" s="9" cm="1">
        <f t="array" ref="AU15">PRODUCT(1 + 真實IC!$C24:AT24) - 1</f>
        <v>63.692699823241071</v>
      </c>
      <c r="AV15" s="9" cm="1">
        <f t="array" ref="AV15">PRODUCT(1 + 真實IC!$C24:AU24) - 1</f>
        <v>70.803371873738783</v>
      </c>
      <c r="AW15" s="9" cm="1">
        <f t="array" ref="AW15">PRODUCT(1 + 真實IC!$C24:AV24) - 1</f>
        <v>61.375315237958056</v>
      </c>
      <c r="AX15" s="9" cm="1">
        <f t="array" ref="AX15">PRODUCT(1 + 真實IC!$C24:AW24) - 1</f>
        <v>86.542742719057358</v>
      </c>
      <c r="AY15" s="9" cm="1">
        <f t="array" ref="AY15">PRODUCT(1 + 真實IC!$C24:AX24) - 1</f>
        <v>85.147184867652967</v>
      </c>
      <c r="AZ15" s="9" cm="1">
        <f t="array" ref="AZ15">PRODUCT(1 + 真實IC!$C24:AY24) - 1</f>
        <v>111.58404354995173</v>
      </c>
      <c r="BA15" s="9" cm="1">
        <f t="array" ref="BA15">PRODUCT(1 + 真實IC!$C24:AZ24) - 1</f>
        <v>137.19528056488124</v>
      </c>
      <c r="BB15" s="9" cm="1">
        <f t="array" ref="BB15">PRODUCT(1 + 真實IC!$C24:BA24) - 1</f>
        <v>143.99130155057063</v>
      </c>
      <c r="BC15" s="9" cm="1">
        <f t="array" ref="BC15">PRODUCT(1 + 真實IC!$C24:BB24) - 1</f>
        <v>177.38147310913834</v>
      </c>
      <c r="BD15" s="9" cm="1">
        <f t="array" ref="BD15">PRODUCT(1 + 真實IC!$C24:BC24) - 1</f>
        <v>206.41530220580364</v>
      </c>
      <c r="BE15" s="9" cm="1">
        <f t="array" ref="BE15">PRODUCT(1 + 真實IC!$C24:BD24) - 1</f>
        <v>194.31544957823937</v>
      </c>
      <c r="BF15" s="9" cm="1">
        <f t="array" ref="BF15">PRODUCT(1 + 真實IC!$C24:BE24) - 1</f>
        <v>169.30181324495271</v>
      </c>
      <c r="BG15" s="9" cm="1">
        <f t="array" ref="BG15">PRODUCT(1 + 真實IC!$C24:BF24) - 1</f>
        <v>151.40894528474442</v>
      </c>
      <c r="BH15" s="9" cm="1">
        <f t="array" ref="BH15">PRODUCT(1 + 真實IC!$C24:BG24) - 1</f>
        <v>161.84399831518914</v>
      </c>
      <c r="BI15" s="9" cm="1">
        <f t="array" ref="BI15">PRODUCT(1 + 真實IC!$C24:BH24) - 1</f>
        <v>172.92677777441821</v>
      </c>
      <c r="BJ15" s="9" cm="1">
        <f t="array" ref="BJ15">PRODUCT(1 + 真實IC!$C24:BI24) - 1</f>
        <v>193.49618547941134</v>
      </c>
      <c r="BK15" s="9" cm="1">
        <f t="array" ref="BK15">PRODUCT(1 + 真實IC!$C24:BJ24) - 1</f>
        <v>191.50571629227076</v>
      </c>
      <c r="BL15" s="9" cm="1">
        <f t="array" ref="BL15">PRODUCT(1 + 真實IC!$C24:BK24) - 1</f>
        <v>187.49105667941399</v>
      </c>
      <c r="BM15" s="9" cm="1">
        <f t="array" ref="BM15">PRODUCT(1 + 真實IC!$C24:BL24) - 1</f>
        <v>197.07443122334922</v>
      </c>
      <c r="BN15" s="9" cm="1">
        <f t="array" ref="BN15">PRODUCT(1 + 真實IC!$C24:BM24) - 1</f>
        <v>186.09181640577052</v>
      </c>
      <c r="BO15" s="9" cm="1">
        <f t="array" ref="BO15">PRODUCT(1 + 真實IC!$C24:BN24) - 1</f>
        <v>223.95076749563091</v>
      </c>
      <c r="BP15" s="9" cm="1">
        <f t="array" ref="BP15">PRODUCT(1 + 真實IC!$C24:BO24) - 1</f>
        <v>245.67361860754403</v>
      </c>
      <c r="BQ15" s="9" cm="1">
        <f t="array" ref="BQ15">PRODUCT(1 + 真實IC!$C24:BP24) - 1</f>
        <v>304.66613214010101</v>
      </c>
      <c r="BR15" s="9" cm="1">
        <f t="array" ref="BR15">PRODUCT(1 + 真實IC!$C24:BQ24) - 1</f>
        <v>267.79277102026805</v>
      </c>
      <c r="BS15" s="9" cm="1">
        <f t="array" ref="BS15">PRODUCT(1 + 真實IC!$C24:BR24) - 1</f>
        <v>368.17197155943165</v>
      </c>
      <c r="BT15" s="9" cm="1">
        <f t="array" ref="BT15">PRODUCT(1 + 真實IC!$C24:BS24) - 1</f>
        <v>332.34472153311395</v>
      </c>
      <c r="BU15" s="9" cm="1">
        <f t="array" ref="BU15">PRODUCT(1 + 真實IC!$C24:BT24) - 1</f>
        <v>354.72655797937352</v>
      </c>
      <c r="BV15" s="9" cm="1">
        <f t="array" ref="BV15">PRODUCT(1 + 真實IC!$C24:BU24) - 1</f>
        <v>369.0866943617491</v>
      </c>
      <c r="BW15" s="9" cm="1">
        <f t="array" ref="BW15">PRODUCT(1 + 真實IC!$C24:BV24) - 1</f>
        <v>450.18031499060629</v>
      </c>
      <c r="BX15" s="9" cm="1">
        <f t="array" ref="BX15">PRODUCT(1 + 真實IC!$C24:BW24) - 1</f>
        <v>509.81362552859292</v>
      </c>
      <c r="BY15" s="9" cm="1">
        <f t="array" ref="BY15">PRODUCT(1 + 真實IC!$C24:BX24) - 1</f>
        <v>482.18529275354285</v>
      </c>
      <c r="BZ15" s="9" cm="1">
        <f t="array" ref="BZ15">PRODUCT(1 + 真實IC!$C24:BY24) - 1</f>
        <v>367.23954447540473</v>
      </c>
      <c r="CA15" s="9" cm="1">
        <f t="array" ref="CA15">PRODUCT(1 + 真實IC!$C24:BZ24) - 1</f>
        <v>402.16569325718933</v>
      </c>
      <c r="CB15" s="9" cm="1">
        <f t="array" ref="CB15">PRODUCT(1 + 真實IC!$C24:CA24) - 1</f>
        <v>427.72912524839319</v>
      </c>
      <c r="CC15" s="9" cm="1">
        <f t="array" ref="CC15">PRODUCT(1 + 真實IC!$C24:CB24) - 1</f>
        <v>454.99812809020699</v>
      </c>
      <c r="CD15" s="9" cm="1">
        <f t="array" ref="CD15">PRODUCT(1 + 真實IC!$C24:CC24) - 1</f>
        <v>465.2268344838879</v>
      </c>
      <c r="CE15" s="9" cm="1">
        <f t="array" ref="CE15">PRODUCT(1 + 真實IC!$C24:CD24) - 1</f>
        <v>444.13168253082603</v>
      </c>
      <c r="CF15" s="9" cm="1">
        <f t="array" ref="CF15">PRODUCT(1 + 真實IC!$C24:CE24) - 1</f>
        <v>503.75370222691214</v>
      </c>
      <c r="CG15" s="9" cm="1">
        <f t="array" ref="CG15">PRODUCT(1 + 真實IC!$C24:CF24) - 1</f>
        <v>509.67155728927003</v>
      </c>
      <c r="CH15" s="9" cm="1">
        <f t="array" ref="CH15">PRODUCT(1 + 真實IC!$C24:CG24) - 1</f>
        <v>578.26665933446327</v>
      </c>
      <c r="CI15" s="9" cm="1">
        <f t="array" ref="CI15">PRODUCT(1 + 真實IC!$C24:CH24) - 1</f>
        <v>594.8348455217257</v>
      </c>
      <c r="CJ15" s="9" cm="1">
        <f t="array" ref="CJ15">PRODUCT(1 + 真實IC!$C24:CI24) - 1</f>
        <v>634.47632466859977</v>
      </c>
      <c r="CK15" s="9" cm="1">
        <f t="array" ref="CK15">PRODUCT(1 + 真實IC!$C24:CJ24) - 1</f>
        <v>670.38353815905236</v>
      </c>
      <c r="CL15" s="9" cm="1">
        <f t="array" ref="CL15">PRODUCT(1 + 真實IC!$C24:CK24) - 1</f>
        <v>701.37436511029375</v>
      </c>
      <c r="CM15" s="9" cm="1">
        <f t="array" ref="CM15">PRODUCT(1 + 真實IC!$C24:CL24) - 1</f>
        <v>986.07502631388365</v>
      </c>
      <c r="CN15" s="9" cm="1">
        <f t="array" ref="CN15">PRODUCT(1 + 真實IC!$C24:CM24) - 1</f>
        <v>940.23399964788348</v>
      </c>
      <c r="CO15" s="9" cm="1">
        <f t="array" ref="CO15">PRODUCT(1 + 真實IC!$C24:CN24) - 1</f>
        <v>1262.2909577264807</v>
      </c>
      <c r="CP15" s="9" cm="1">
        <f t="array" ref="CP15">PRODUCT(1 + 真實IC!$C24:CO24) - 1</f>
        <v>1577.7933261528949</v>
      </c>
      <c r="CQ15" s="9" cm="1">
        <f t="array" ref="CQ15">PRODUCT(1 + 真實IC!$C24:CP24) - 1</f>
        <v>1849.0990651793131</v>
      </c>
      <c r="CR15" s="9" cm="1">
        <f t="array" ref="CR15">PRODUCT(1 + 真實IC!$C24:CQ24) - 1</f>
        <v>2145.3938833497436</v>
      </c>
      <c r="CS15" s="9" cm="1">
        <f t="array" ref="CS15">PRODUCT(1 + 真實IC!$C24:CR24) - 1</f>
        <v>2322.7624393843307</v>
      </c>
      <c r="CT15" s="9" cm="1">
        <f t="array" ref="CT15">PRODUCT(1 + 真實IC!$C24:CS24) - 1</f>
        <v>2066.2042667307087</v>
      </c>
      <c r="CU15" s="9" cm="1">
        <f t="array" ref="CU15">PRODUCT(1 + 真實IC!$C24:CT24) - 1</f>
        <v>2309.5793690426076</v>
      </c>
      <c r="CV15" s="9" cm="1">
        <f t="array" ref="CV15">PRODUCT(1 + 真實IC!$C24:CU24) - 1</f>
        <v>2809.7514554217682</v>
      </c>
      <c r="CW15" s="9" cm="1">
        <f t="array" ref="CW15">PRODUCT(1 + 真實IC!$C24:CV24) - 1</f>
        <v>2940.9013461146596</v>
      </c>
      <c r="CX15" s="9" cm="1">
        <f t="array" ref="CX15">PRODUCT(1 + 真實IC!$C24:CW24) - 1</f>
        <v>2989.6164513967301</v>
      </c>
      <c r="CY15" s="9" cm="1">
        <f t="array" ref="CY15">PRODUCT(1 + 真實IC!$C24:CX24) - 1</f>
        <v>3151.9868740412307</v>
      </c>
      <c r="CZ15" s="9" cm="1">
        <f t="array" ref="CZ15">PRODUCT(1 + 真實IC!$C24:CY24) - 1</f>
        <v>2639.8161001667522</v>
      </c>
      <c r="DA15" s="9" cm="1">
        <f t="array" ref="DA15">PRODUCT(1 + 真實IC!$C24:CZ24) - 1</f>
        <v>2659.8526227244452</v>
      </c>
      <c r="DB15" s="9" cm="1">
        <f t="array" ref="DB15">PRODUCT(1 + 真實IC!$C24:DA24) - 1</f>
        <v>3264.5123480151537</v>
      </c>
      <c r="DC15" s="9" cm="1">
        <f t="array" ref="DC15">PRODUCT(1 + 真實IC!$C24:DB24) - 1</f>
        <v>1326.838397737532</v>
      </c>
      <c r="DD15" s="9" cm="1">
        <f t="array" ref="DD15">PRODUCT(1 + 真實IC!$C24:DC24) - 1</f>
        <v>1581.8862311692699</v>
      </c>
      <c r="DE15" s="9" cm="1">
        <f t="array" ref="DE15">PRODUCT(1 + 真實IC!$C24:DD24) - 1</f>
        <v>1798.7570399701751</v>
      </c>
      <c r="DF15" s="9" cm="1">
        <f t="array" ref="DF15">PRODUCT(1 + 真實IC!$C24:DE24) - 1</f>
        <v>1637.1236392180185</v>
      </c>
      <c r="DG15" s="9" cm="1">
        <f t="array" ref="DG15">PRODUCT(1 + 真實IC!$C24:DF24) - 1</f>
        <v>1796.1390949199349</v>
      </c>
      <c r="DH15" s="9" cm="1">
        <f t="array" ref="DH15">PRODUCT(1 + 真實IC!$C24:DG24) - 1</f>
        <v>1637.772663005391</v>
      </c>
      <c r="DI15" s="9" cm="1">
        <f t="array" ref="DI15">PRODUCT(1 + 真實IC!$C24:DH24) - 1</f>
        <v>1580.9256838106724</v>
      </c>
      <c r="DJ15" s="9" cm="1">
        <f t="array" ref="DJ15">PRODUCT(1 + 真實IC!$C24:DI24) - 1</f>
        <v>1452.6227409103165</v>
      </c>
      <c r="DK15" s="9" cm="1">
        <f t="array" ref="DK15">PRODUCT(1 + 真實IC!$C24:DJ24) - 1</f>
        <v>1724.0744750060037</v>
      </c>
      <c r="DL15" s="9" cm="1">
        <f t="array" ref="DL15">PRODUCT(1 + 真實IC!$C24:DK24) - 1</f>
        <v>1683.8005816075001</v>
      </c>
      <c r="DM15" s="9" cm="1">
        <f t="array" ref="DM15">PRODUCT(1 + 真實IC!$C24:DL24) - 1</f>
        <v>1738.6642733174185</v>
      </c>
      <c r="DN15" s="9" cm="1">
        <f t="array" ref="DN15">PRODUCT(1 + 真實IC!$C24:DM24) - 1</f>
        <v>1706.8054070357186</v>
      </c>
      <c r="DO15" s="9" cm="1">
        <f t="array" ref="DO15">PRODUCT(1 + 真實IC!$C24:DN24) - 1</f>
        <v>1660.7599935039284</v>
      </c>
      <c r="DP15" s="9" cm="1">
        <f t="array" ref="DP15">PRODUCT(1 + 真實IC!$C24:DO24) - 1</f>
        <v>1700.2578155628767</v>
      </c>
      <c r="DQ15" s="9" cm="1">
        <f t="array" ref="DQ15">PRODUCT(1 + 真實IC!$C24:DP24) - 1</f>
        <v>1787.6657842133648</v>
      </c>
      <c r="DR15" s="9" cm="1">
        <f t="array" ref="DR15">PRODUCT(1 + 真實IC!$C24:DQ24) - 1</f>
        <v>2060.3912086193432</v>
      </c>
      <c r="DS15" s="9" cm="1">
        <f t="array" ref="DS15">PRODUCT(1 + 真實IC!$C24:DR24) - 1</f>
        <v>1941.0793280139185</v>
      </c>
      <c r="DT15" s="9" cm="1">
        <f t="array" ref="DT15">PRODUCT(1 + 真實IC!$C24:DS24) - 1</f>
        <v>1689.5337570899899</v>
      </c>
      <c r="DU15" s="9" cm="1">
        <f t="array" ref="DU15">PRODUCT(1 + 真實IC!$C24:DT24) - 1</f>
        <v>1842.1993079088056</v>
      </c>
      <c r="DV15" s="9" cm="1">
        <f t="array" ref="DV15">PRODUCT(1 + 真實IC!$C24:DU24) - 1</f>
        <v>2533.8946336892468</v>
      </c>
      <c r="DW15" s="9" cm="1">
        <f t="array" ref="DW15">PRODUCT(1 + 真實IC!$C24:DV24) - 1</f>
        <v>2542.4581127929318</v>
      </c>
      <c r="DX15" s="9" cm="1">
        <f t="array" ref="DX15">PRODUCT(1 + 真實IC!$C24:DW24) - 1</f>
        <v>2407.3178872388876</v>
      </c>
      <c r="DY15" s="9" cm="1">
        <f t="array" ref="DY15">PRODUCT(1 + 真實IC!$C24:DX24) - 1</f>
        <v>3247.0865088850269</v>
      </c>
      <c r="DZ15" s="9" cm="1">
        <f t="array" ref="DZ15">PRODUCT(1 + 真實IC!$C24:DY24) - 1</f>
        <v>4279.180198901332</v>
      </c>
      <c r="EA15" s="9" cm="1">
        <f t="array" ref="EA15">PRODUCT(1 + 真實IC!$C24:DZ24) - 1</f>
        <v>4539.6248283900259</v>
      </c>
      <c r="EB15" s="9" cm="1">
        <f t="array" ref="EB15">PRODUCT(1 + 真實IC!$C24:EA24) - 1</f>
        <v>4609.5803555276852</v>
      </c>
      <c r="EC15" s="9" cm="1">
        <f t="array" ref="EC15">PRODUCT(1 + 真實IC!$C24:EB24) - 1</f>
        <v>5615.6876982497524</v>
      </c>
      <c r="ED15" s="9" cm="1">
        <f t="array" ref="ED15">PRODUCT(1 + 真實IC!$C24:EC24) - 1</f>
        <v>6322.806168003649</v>
      </c>
      <c r="EE15" s="9" cm="1">
        <f t="array" ref="EE15">PRODUCT(1 + 真實IC!$C24:ED24) - 1</f>
        <v>7633.2958536977267</v>
      </c>
      <c r="EF15" s="9" cm="1">
        <f t="array" ref="EF15">PRODUCT(1 + 真實IC!$C24:EE24) - 1</f>
        <v>7907.3621674900887</v>
      </c>
      <c r="EG15" s="9" cm="1">
        <f t="array" ref="EG15">PRODUCT(1 + 真實IC!$C24:EF24) - 1</f>
        <v>6632.9596479223865</v>
      </c>
    </row>
    <row r="16" spans="3:137" ht="16">
      <c r="C16" s="6">
        <v>482</v>
      </c>
      <c r="D16" s="9" cm="1">
        <f t="array" ref="D16">PRODUCT(1 + 真實IC!$C25:C25) - 1</f>
        <v>3.132568458197138E-2</v>
      </c>
      <c r="E16" s="9" cm="1">
        <f t="array" ref="E16">PRODUCT(1 + 真實IC!$C25:D25) - 1</f>
        <v>-6.0427878514485056E-2</v>
      </c>
      <c r="F16" s="9" cm="1">
        <f t="array" ref="F16">PRODUCT(1 + 真實IC!$C25:E25) - 1</f>
        <v>-4.6276430618502951E-2</v>
      </c>
      <c r="G16" s="9" cm="1">
        <f t="array" ref="G16">PRODUCT(1 + 真實IC!$C25:F25) - 1</f>
        <v>0.12767900537770172</v>
      </c>
      <c r="H16" s="9" cm="1">
        <f t="array" ref="H16">PRODUCT(1 + 真實IC!$C25:G25) - 1</f>
        <v>0.2810815466677028</v>
      </c>
      <c r="I16" s="9" cm="1">
        <f t="array" ref="I16">PRODUCT(1 + 真實IC!$C25:H25) - 1</f>
        <v>0.61776289694617192</v>
      </c>
      <c r="J16" s="9" cm="1">
        <f t="array" ref="J16">PRODUCT(1 + 真實IC!$C25:I25) - 1</f>
        <v>0.7035775308294705</v>
      </c>
      <c r="K16" s="9" cm="1">
        <f t="array" ref="K16">PRODUCT(1 + 真實IC!$C25:J25) - 1</f>
        <v>0.81961305986811328</v>
      </c>
      <c r="L16" s="9" cm="1">
        <f t="array" ref="L16">PRODUCT(1 + 真實IC!$C25:K25) - 1</f>
        <v>0.9028314100863426</v>
      </c>
      <c r="M16" s="9" cm="1">
        <f t="array" ref="M16">PRODUCT(1 + 真實IC!$C25:L25) - 1</f>
        <v>1.0636104535794857</v>
      </c>
      <c r="N16" s="9" cm="1">
        <f t="array" ref="N16">PRODUCT(1 + 真實IC!$C25:M25) - 1</f>
        <v>0.8519587232779513</v>
      </c>
      <c r="O16" s="9" cm="1">
        <f t="array" ref="O16">PRODUCT(1 + 真實IC!$C25:N25) - 1</f>
        <v>1.0867871147472226</v>
      </c>
      <c r="P16" s="9" cm="1">
        <f t="array" ref="P16">PRODUCT(1 + 真實IC!$C25:O25) - 1</f>
        <v>0.8416056170077868</v>
      </c>
      <c r="Q16" s="9" cm="1">
        <f t="array" ref="Q16">PRODUCT(1 + 真實IC!$C25:P25) - 1</f>
        <v>0.86128041938266575</v>
      </c>
      <c r="R16" s="9" cm="1">
        <f t="array" ref="R16">PRODUCT(1 + 真實IC!$C25:Q25) - 1</f>
        <v>1.2519018532704704</v>
      </c>
      <c r="S16" s="9" cm="1">
        <f t="array" ref="S16">PRODUCT(1 + 真實IC!$C25:R25) - 1</f>
        <v>1.2327494781459856</v>
      </c>
      <c r="T16" s="9" cm="1">
        <f t="array" ref="T16">PRODUCT(1 + 真實IC!$C25:S25) - 1</f>
        <v>1.7676170003594209</v>
      </c>
      <c r="U16" s="9" cm="1">
        <f t="array" ref="U16">PRODUCT(1 + 真實IC!$C25:T25) - 1</f>
        <v>2.3056241649495499</v>
      </c>
      <c r="V16" s="9" cm="1">
        <f t="array" ref="V16">PRODUCT(1 + 真實IC!$C25:U25) - 1</f>
        <v>2.569189025017399</v>
      </c>
      <c r="W16" s="9" cm="1">
        <f t="array" ref="W16">PRODUCT(1 + 真實IC!$C25:V25) - 1</f>
        <v>3.1083830879363425</v>
      </c>
      <c r="X16" s="9" cm="1">
        <f t="array" ref="X16">PRODUCT(1 + 真實IC!$C25:W25) - 1</f>
        <v>5.1786767458622656</v>
      </c>
      <c r="Y16" s="9" cm="1">
        <f t="array" ref="Y16">PRODUCT(1 + 真實IC!$C25:X25) - 1</f>
        <v>6.7771189556860758</v>
      </c>
      <c r="Z16" s="9" cm="1">
        <f t="array" ref="Z16">PRODUCT(1 + 真實IC!$C25:Y25) - 1</f>
        <v>8.2945195738327513</v>
      </c>
      <c r="AA16" s="9" cm="1">
        <f t="array" ref="AA16">PRODUCT(1 + 真實IC!$C25:Z25) - 1</f>
        <v>9.3668713373163257</v>
      </c>
      <c r="AB16" s="9" cm="1">
        <f t="array" ref="AB16">PRODUCT(1 + 真實IC!$C25:AA25) - 1</f>
        <v>9.5236238745744028</v>
      </c>
      <c r="AC16" s="9" cm="1">
        <f t="array" ref="AC16">PRODUCT(1 + 真實IC!$C25:AB25) - 1</f>
        <v>10.543460762079832</v>
      </c>
      <c r="AD16" s="9" cm="1">
        <f t="array" ref="AD16">PRODUCT(1 + 真實IC!$C25:AC25) - 1</f>
        <v>13.603945236940165</v>
      </c>
      <c r="AE16" s="9" cm="1">
        <f t="array" ref="AE16">PRODUCT(1 + 真實IC!$C25:AD25) - 1</f>
        <v>14.926233055873638</v>
      </c>
      <c r="AF16" s="9" cm="1">
        <f t="array" ref="AF16">PRODUCT(1 + 真實IC!$C25:AE25) - 1</f>
        <v>17.111503166888046</v>
      </c>
      <c r="AG16" s="9" cm="1">
        <f t="array" ref="AG16">PRODUCT(1 + 真實IC!$C25:AF25) - 1</f>
        <v>21.349229603263833</v>
      </c>
      <c r="AH16" s="9" cm="1">
        <f t="array" ref="AH16">PRODUCT(1 + 真實IC!$C25:AG25) - 1</f>
        <v>24.609845714286557</v>
      </c>
      <c r="AI16" s="9" cm="1">
        <f t="array" ref="AI16">PRODUCT(1 + 真實IC!$C25:AH25) - 1</f>
        <v>43.413663905757716</v>
      </c>
      <c r="AJ16" s="9" cm="1">
        <f t="array" ref="AJ16">PRODUCT(1 + 真實IC!$C25:AI25) - 1</f>
        <v>46.764682386198565</v>
      </c>
      <c r="AK16" s="9" cm="1">
        <f t="array" ref="AK16">PRODUCT(1 + 真實IC!$C25:AJ25) - 1</f>
        <v>49.084570795300607</v>
      </c>
      <c r="AL16" s="9" cm="1">
        <f t="array" ref="AL16">PRODUCT(1 + 真實IC!$C25:AK25) - 1</f>
        <v>52.119747142744764</v>
      </c>
      <c r="AM16" s="9" cm="1">
        <f t="array" ref="AM16">PRODUCT(1 + 真實IC!$C25:AL25) - 1</f>
        <v>55.766710795493928</v>
      </c>
      <c r="AN16" s="9" cm="1">
        <f t="array" ref="AN16">PRODUCT(1 + 真實IC!$C25:AM25) - 1</f>
        <v>53.894217440174373</v>
      </c>
      <c r="AO16" s="9" cm="1">
        <f t="array" ref="AO16">PRODUCT(1 + 真實IC!$C25:AN25) - 1</f>
        <v>45.08258992963956</v>
      </c>
      <c r="AP16" s="9" cm="1">
        <f t="array" ref="AP16">PRODUCT(1 + 真實IC!$C25:AO25) - 1</f>
        <v>40.899098152680303</v>
      </c>
      <c r="AQ16" s="9" cm="1">
        <f t="array" ref="AQ16">PRODUCT(1 + 真實IC!$C25:AP25) - 1</f>
        <v>54.202663515133459</v>
      </c>
      <c r="AR16" s="9" cm="1">
        <f t="array" ref="AR16">PRODUCT(1 + 真實IC!$C25:AQ25) - 1</f>
        <v>49.478265660884752</v>
      </c>
      <c r="AS16" s="9" cm="1">
        <f t="array" ref="AS16">PRODUCT(1 + 真實IC!$C25:AR25) - 1</f>
        <v>36.684004276865288</v>
      </c>
      <c r="AT16" s="9" cm="1">
        <f t="array" ref="AT16">PRODUCT(1 + 真實IC!$C25:AS25) - 1</f>
        <v>36.17096333315115</v>
      </c>
      <c r="AU16" s="9" cm="1">
        <f t="array" ref="AU16">PRODUCT(1 + 真實IC!$C25:AT25) - 1</f>
        <v>43.797949723131907</v>
      </c>
      <c r="AV16" s="9" cm="1">
        <f t="array" ref="AV16">PRODUCT(1 + 真實IC!$C25:AU25) - 1</f>
        <v>52.918628220120823</v>
      </c>
      <c r="AW16" s="9" cm="1">
        <f t="array" ref="AW16">PRODUCT(1 + 真實IC!$C25:AV25) - 1</f>
        <v>46.775704292812485</v>
      </c>
      <c r="AX16" s="9" cm="1">
        <f t="array" ref="AX16">PRODUCT(1 + 真實IC!$C25:AW25) - 1</f>
        <v>50.589617337739305</v>
      </c>
      <c r="AY16" s="9" cm="1">
        <f t="array" ref="AY16">PRODUCT(1 + 真實IC!$C25:AX25) - 1</f>
        <v>54.900446095857752</v>
      </c>
      <c r="AZ16" s="9" cm="1">
        <f t="array" ref="AZ16">PRODUCT(1 + 真實IC!$C25:AY25) - 1</f>
        <v>78.510250569271221</v>
      </c>
      <c r="BA16" s="9" cm="1">
        <f t="array" ref="BA16">PRODUCT(1 + 真實IC!$C25:AZ25) - 1</f>
        <v>103.63425903033118</v>
      </c>
      <c r="BB16" s="9" cm="1">
        <f t="array" ref="BB16">PRODUCT(1 + 真實IC!$C25:BA25) - 1</f>
        <v>85.628700584535821</v>
      </c>
      <c r="BC16" s="9" cm="1">
        <f t="array" ref="BC16">PRODUCT(1 + 真實IC!$C25:BB25) - 1</f>
        <v>121.37365740155548</v>
      </c>
      <c r="BD16" s="9" cm="1">
        <f t="array" ref="BD16">PRODUCT(1 + 真實IC!$C25:BC25) - 1</f>
        <v>142.72533944883745</v>
      </c>
      <c r="BE16" s="9" cm="1">
        <f t="array" ref="BE16">PRODUCT(1 + 真實IC!$C25:BD25) - 1</f>
        <v>140.51905930378882</v>
      </c>
      <c r="BF16" s="9" cm="1">
        <f t="array" ref="BF16">PRODUCT(1 + 真實IC!$C25:BE25) - 1</f>
        <v>122.92935214391156</v>
      </c>
      <c r="BG16" s="9" cm="1">
        <f t="array" ref="BG16">PRODUCT(1 + 真實IC!$C25:BF25) - 1</f>
        <v>117.90487318055986</v>
      </c>
      <c r="BH16" s="9" cm="1">
        <f t="array" ref="BH16">PRODUCT(1 + 真實IC!$C25:BG25) - 1</f>
        <v>125.14334506939106</v>
      </c>
      <c r="BI16" s="9" cm="1">
        <f t="array" ref="BI16">PRODUCT(1 + 真實IC!$C25:BH25) - 1</f>
        <v>142.44887187735984</v>
      </c>
      <c r="BJ16" s="9" cm="1">
        <f t="array" ref="BJ16">PRODUCT(1 + 真實IC!$C25:BI25) - 1</f>
        <v>146.25121856420498</v>
      </c>
      <c r="BK16" s="9" cm="1">
        <f t="array" ref="BK16">PRODUCT(1 + 真實IC!$C25:BJ25) - 1</f>
        <v>154.79476571000896</v>
      </c>
      <c r="BL16" s="9" cm="1">
        <f t="array" ref="BL16">PRODUCT(1 + 真實IC!$C25:BK25) - 1</f>
        <v>154.01425520375466</v>
      </c>
      <c r="BM16" s="9" cm="1">
        <f t="array" ref="BM16">PRODUCT(1 + 真實IC!$C25:BL25) - 1</f>
        <v>160.29205954411276</v>
      </c>
      <c r="BN16" s="9" cm="1">
        <f t="array" ref="BN16">PRODUCT(1 + 真實IC!$C25:BM25) - 1</f>
        <v>160.11097096235869</v>
      </c>
      <c r="BO16" s="9" cm="1">
        <f t="array" ref="BO16">PRODUCT(1 + 真實IC!$C25:BN25) - 1</f>
        <v>203.75173725864022</v>
      </c>
      <c r="BP16" s="9" cm="1">
        <f t="array" ref="BP16">PRODUCT(1 + 真實IC!$C25:BO25) - 1</f>
        <v>199.44350817765002</v>
      </c>
      <c r="BQ16" s="9" cm="1">
        <f t="array" ref="BQ16">PRODUCT(1 + 真實IC!$C25:BP25) - 1</f>
        <v>249.03295673516803</v>
      </c>
      <c r="BR16" s="9" cm="1">
        <f t="array" ref="BR16">PRODUCT(1 + 真實IC!$C25:BQ25) - 1</f>
        <v>231.59293733942573</v>
      </c>
      <c r="BS16" s="9" cm="1">
        <f t="array" ref="BS16">PRODUCT(1 + 真實IC!$C25:BR25) - 1</f>
        <v>316.91889548314549</v>
      </c>
      <c r="BT16" s="9" cm="1">
        <f t="array" ref="BT16">PRODUCT(1 + 真實IC!$C25:BS25) - 1</f>
        <v>246.79644845081074</v>
      </c>
      <c r="BU16" s="9" cm="1">
        <f t="array" ref="BU16">PRODUCT(1 + 真實IC!$C25:BT25) - 1</f>
        <v>264.18909883018353</v>
      </c>
      <c r="BV16" s="9" cm="1">
        <f t="array" ref="BV16">PRODUCT(1 + 真實IC!$C25:BU25) - 1</f>
        <v>307.48776673099815</v>
      </c>
      <c r="BW16" s="9" cm="1">
        <f t="array" ref="BW16">PRODUCT(1 + 真實IC!$C25:BV25) - 1</f>
        <v>403.23118245209429</v>
      </c>
      <c r="BX16" s="9" cm="1">
        <f t="array" ref="BX16">PRODUCT(1 + 真實IC!$C25:BW25) - 1</f>
        <v>409.44119007340078</v>
      </c>
      <c r="BY16" s="9" cm="1">
        <f t="array" ref="BY16">PRODUCT(1 + 真實IC!$C25:BX25) - 1</f>
        <v>380.29084590666918</v>
      </c>
      <c r="BZ16" s="9" cm="1">
        <f t="array" ref="BZ16">PRODUCT(1 + 真實IC!$C25:BY25) - 1</f>
        <v>307.52712732379109</v>
      </c>
      <c r="CA16" s="9" cm="1">
        <f t="array" ref="CA16">PRODUCT(1 + 真實IC!$C25:BZ25) - 1</f>
        <v>401.66371351926426</v>
      </c>
      <c r="CB16" s="9" cm="1">
        <f t="array" ref="CB16">PRODUCT(1 + 真實IC!$C25:CA25) - 1</f>
        <v>387.8589438394543</v>
      </c>
      <c r="CC16" s="9" cm="1">
        <f t="array" ref="CC16">PRODUCT(1 + 真實IC!$C25:CB25) - 1</f>
        <v>371.65714046347324</v>
      </c>
      <c r="CD16" s="9" cm="1">
        <f t="array" ref="CD16">PRODUCT(1 + 真實IC!$C25:CC25) - 1</f>
        <v>402.79484659446337</v>
      </c>
      <c r="CE16" s="9" cm="1">
        <f t="array" ref="CE16">PRODUCT(1 + 真實IC!$C25:CD25) - 1</f>
        <v>371.18810662924989</v>
      </c>
      <c r="CF16" s="9" cm="1">
        <f t="array" ref="CF16">PRODUCT(1 + 真實IC!$C25:CE25) - 1</f>
        <v>447.33433989915693</v>
      </c>
      <c r="CG16" s="9" cm="1">
        <f t="array" ref="CG16">PRODUCT(1 + 真實IC!$C25:CF25) - 1</f>
        <v>466.81108878219391</v>
      </c>
      <c r="CH16" s="9" cm="1">
        <f t="array" ref="CH16">PRODUCT(1 + 真實IC!$C25:CG25) - 1</f>
        <v>504.90791873292642</v>
      </c>
      <c r="CI16" s="9" cm="1">
        <f t="array" ref="CI16">PRODUCT(1 + 真實IC!$C25:CH25) - 1</f>
        <v>545.84414717363802</v>
      </c>
      <c r="CJ16" s="9" cm="1">
        <f t="array" ref="CJ16">PRODUCT(1 + 真實IC!$C25:CI25) - 1</f>
        <v>556.85222108628477</v>
      </c>
      <c r="CK16" s="9" cm="1">
        <f t="array" ref="CK16">PRODUCT(1 + 真實IC!$C25:CJ25) - 1</f>
        <v>537.15776481663454</v>
      </c>
      <c r="CL16" s="9" cm="1">
        <f t="array" ref="CL16">PRODUCT(1 + 真實IC!$C25:CK25) - 1</f>
        <v>557.23522203057587</v>
      </c>
      <c r="CM16" s="9" cm="1">
        <f t="array" ref="CM16">PRODUCT(1 + 真實IC!$C25:CL25) - 1</f>
        <v>727.41217504987594</v>
      </c>
      <c r="CN16" s="9" cm="1">
        <f t="array" ref="CN16">PRODUCT(1 + 真實IC!$C25:CM25) - 1</f>
        <v>722.33149356356307</v>
      </c>
      <c r="CO16" s="9" cm="1">
        <f t="array" ref="CO16">PRODUCT(1 + 真實IC!$C25:CN25) - 1</f>
        <v>993.77892899168103</v>
      </c>
      <c r="CP16" s="9" cm="1">
        <f t="array" ref="CP16">PRODUCT(1 + 真實IC!$C25:CO25) - 1</f>
        <v>1208.9585952951438</v>
      </c>
      <c r="CQ16" s="9" cm="1">
        <f t="array" ref="CQ16">PRODUCT(1 + 真實IC!$C25:CP25) - 1</f>
        <v>1506.7315501959156</v>
      </c>
      <c r="CR16" s="9" cm="1">
        <f t="array" ref="CR16">PRODUCT(1 + 真實IC!$C25:CQ25) - 1</f>
        <v>1686.4956385825785</v>
      </c>
      <c r="CS16" s="9" cm="1">
        <f t="array" ref="CS16">PRODUCT(1 + 真實IC!$C25:CR25) - 1</f>
        <v>1790.972691786412</v>
      </c>
      <c r="CT16" s="9" cm="1">
        <f t="array" ref="CT16">PRODUCT(1 + 真實IC!$C25:CS25) - 1</f>
        <v>2120.8951949585644</v>
      </c>
      <c r="CU16" s="9" cm="1">
        <f t="array" ref="CU16">PRODUCT(1 + 真實IC!$C25:CT25) - 1</f>
        <v>2332.9556580539302</v>
      </c>
      <c r="CV16" s="9" cm="1">
        <f t="array" ref="CV16">PRODUCT(1 + 真實IC!$C25:CU25) - 1</f>
        <v>2638.4635619989599</v>
      </c>
      <c r="CW16" s="9" cm="1">
        <f t="array" ref="CW16">PRODUCT(1 + 真實IC!$C25:CV25) - 1</f>
        <v>2847.2535046818216</v>
      </c>
      <c r="CX16" s="9" cm="1">
        <f t="array" ref="CX16">PRODUCT(1 + 真實IC!$C25:CW25) - 1</f>
        <v>3233.4311915453291</v>
      </c>
      <c r="CY16" s="9" cm="1">
        <f t="array" ref="CY16">PRODUCT(1 + 真實IC!$C25:CX25) - 1</f>
        <v>3433.513082889674</v>
      </c>
      <c r="CZ16" s="9" cm="1">
        <f t="array" ref="CZ16">PRODUCT(1 + 真實IC!$C25:CY25) - 1</f>
        <v>2465.973560338477</v>
      </c>
      <c r="DA16" s="9" cm="1">
        <f t="array" ref="DA16">PRODUCT(1 + 真實IC!$C25:CZ25) - 1</f>
        <v>2314.7947056204134</v>
      </c>
      <c r="DB16" s="9" cm="1">
        <f t="array" ref="DB16">PRODUCT(1 + 真實IC!$C25:DA25) - 1</f>
        <v>2594.2943356615533</v>
      </c>
      <c r="DC16" s="9" cm="1">
        <f t="array" ref="DC16">PRODUCT(1 + 真實IC!$C25:DB25) - 1</f>
        <v>350.46624415807855</v>
      </c>
      <c r="DD16" s="9" cm="1">
        <f t="array" ref="DD16">PRODUCT(1 + 真實IC!$C25:DC25) - 1</f>
        <v>427.5396525939463</v>
      </c>
      <c r="DE16" s="9" cm="1">
        <f t="array" ref="DE16">PRODUCT(1 + 真實IC!$C25:DD25) - 1</f>
        <v>549.609888915905</v>
      </c>
      <c r="DF16" s="9" cm="1">
        <f t="array" ref="DF16">PRODUCT(1 + 真實IC!$C25:DE25) - 1</f>
        <v>472.55525490506039</v>
      </c>
      <c r="DG16" s="9" cm="1">
        <f t="array" ref="DG16">PRODUCT(1 + 真實IC!$C25:DF25) - 1</f>
        <v>563.18135850048463</v>
      </c>
      <c r="DH16" s="9" cm="1">
        <f t="array" ref="DH16">PRODUCT(1 + 真實IC!$C25:DG25) - 1</f>
        <v>476.87478186144273</v>
      </c>
      <c r="DI16" s="9" cm="1">
        <f t="array" ref="DI16">PRODUCT(1 + 真實IC!$C25:DH25) - 1</f>
        <v>424.50821272325811</v>
      </c>
      <c r="DJ16" s="9" cm="1">
        <f t="array" ref="DJ16">PRODUCT(1 + 真實IC!$C25:DI25) - 1</f>
        <v>345.82633447159606</v>
      </c>
      <c r="DK16" s="9" cm="1">
        <f t="array" ref="DK16">PRODUCT(1 + 真實IC!$C25:DJ25) - 1</f>
        <v>407.70590357096364</v>
      </c>
      <c r="DL16" s="9" cm="1">
        <f t="array" ref="DL16">PRODUCT(1 + 真實IC!$C25:DK25) - 1</f>
        <v>388.19027962289402</v>
      </c>
      <c r="DM16" s="9" cm="1">
        <f t="array" ref="DM16">PRODUCT(1 + 真實IC!$C25:DL25) - 1</f>
        <v>409.58481263260813</v>
      </c>
      <c r="DN16" s="9" cm="1">
        <f t="array" ref="DN16">PRODUCT(1 + 真實IC!$C25:DM25) - 1</f>
        <v>327.56231456673362</v>
      </c>
      <c r="DO16" s="9" cm="1">
        <f t="array" ref="DO16">PRODUCT(1 + 真實IC!$C25:DN25) - 1</f>
        <v>342.74638181248838</v>
      </c>
      <c r="DP16" s="9" cm="1">
        <f t="array" ref="DP16">PRODUCT(1 + 真實IC!$C25:DO25) - 1</f>
        <v>313.64109110870129</v>
      </c>
      <c r="DQ16" s="9" cm="1">
        <f t="array" ref="DQ16">PRODUCT(1 + 真實IC!$C25:DP25) - 1</f>
        <v>343.93174974529103</v>
      </c>
      <c r="DR16" s="9" cm="1">
        <f t="array" ref="DR16">PRODUCT(1 + 真實IC!$C25:DQ25) - 1</f>
        <v>425.9523567867389</v>
      </c>
      <c r="DS16" s="9" cm="1">
        <f t="array" ref="DS16">PRODUCT(1 + 真實IC!$C25:DR25) - 1</f>
        <v>393.53302179194094</v>
      </c>
      <c r="DT16" s="9" cm="1">
        <f t="array" ref="DT16">PRODUCT(1 + 真實IC!$C25:DS25) - 1</f>
        <v>296.00660844084047</v>
      </c>
      <c r="DU16" s="9" cm="1">
        <f t="array" ref="DU16">PRODUCT(1 + 真實IC!$C25:DT25) - 1</f>
        <v>312.40677140251358</v>
      </c>
      <c r="DV16" s="9" cm="1">
        <f t="array" ref="DV16">PRODUCT(1 + 真實IC!$C25:DU25) - 1</f>
        <v>477.02107889060778</v>
      </c>
      <c r="DW16" s="9" cm="1">
        <f t="array" ref="DW16">PRODUCT(1 + 真實IC!$C25:DV25) - 1</f>
        <v>465.20101041588481</v>
      </c>
      <c r="DX16" s="9" cm="1">
        <f t="array" ref="DX16">PRODUCT(1 + 真實IC!$C25:DW25) - 1</f>
        <v>563.18069167020087</v>
      </c>
      <c r="DY16" s="9" cm="1">
        <f t="array" ref="DY16">PRODUCT(1 + 真實IC!$C25:DX25) - 1</f>
        <v>709.29501061471638</v>
      </c>
      <c r="DZ16" s="9" cm="1">
        <f t="array" ref="DZ16">PRODUCT(1 + 真實IC!$C25:DY25) - 1</f>
        <v>899.8117087851889</v>
      </c>
      <c r="EA16" s="9" cm="1">
        <f t="array" ref="EA16">PRODUCT(1 + 真實IC!$C25:DZ25) - 1</f>
        <v>923.19242503203691</v>
      </c>
      <c r="EB16" s="9" cm="1">
        <f t="array" ref="EB16">PRODUCT(1 + 真實IC!$C25:EA25) - 1</f>
        <v>956.26196566030387</v>
      </c>
      <c r="EC16" s="9" cm="1">
        <f t="array" ref="EC16">PRODUCT(1 + 真實IC!$C25:EB25) - 1</f>
        <v>1253.3825664535395</v>
      </c>
      <c r="ED16" s="9" cm="1">
        <f t="array" ref="ED16">PRODUCT(1 + 真實IC!$C25:EC25) - 1</f>
        <v>1669.1706841918101</v>
      </c>
      <c r="EE16" s="9" cm="1">
        <f t="array" ref="EE16">PRODUCT(1 + 真實IC!$C25:ED25) - 1</f>
        <v>1774.7128987293972</v>
      </c>
      <c r="EF16" s="9" cm="1">
        <f t="array" ref="EF16">PRODUCT(1 + 真實IC!$C25:EE25) - 1</f>
        <v>1898.2058432879996</v>
      </c>
      <c r="EG16" s="9" cm="1">
        <f t="array" ref="EG16">PRODUCT(1 + 真實IC!$C25:EF25) - 1</f>
        <v>1740.0555983044082</v>
      </c>
    </row>
    <row r="17" spans="1:138" ht="16">
      <c r="C17" s="6">
        <v>964</v>
      </c>
      <c r="D17" s="9" cm="1">
        <f t="array" ref="D17">PRODUCT(1 + 真實IC!$C26:C26) - 1</f>
        <v>2.7766967310441037E-2</v>
      </c>
      <c r="E17" s="9" cm="1">
        <f t="array" ref="E17">PRODUCT(1 + 真實IC!$C26:D26) - 1</f>
        <v>-5.6497980503421807E-2</v>
      </c>
      <c r="F17" s="9" cm="1">
        <f t="array" ref="F17">PRODUCT(1 + 真實IC!$C26:E26) - 1</f>
        <v>-0.13375224156538734</v>
      </c>
      <c r="G17" s="9" cm="1">
        <f t="array" ref="G17">PRODUCT(1 + 真實IC!$C26:F26) - 1</f>
        <v>4.0836285629268776E-2</v>
      </c>
      <c r="H17" s="9" cm="1">
        <f t="array" ref="H17">PRODUCT(1 + 真實IC!$C26:G26) - 1</f>
        <v>1.7290082745691659E-2</v>
      </c>
      <c r="I17" s="9" cm="1">
        <f t="array" ref="I17">PRODUCT(1 + 真實IC!$C26:H26) - 1</f>
        <v>0.37417801879386903</v>
      </c>
      <c r="J17" s="9" cm="1">
        <f t="array" ref="J17">PRODUCT(1 + 真實IC!$C26:I26) - 1</f>
        <v>0.44088291099873533</v>
      </c>
      <c r="K17" s="9" cm="1">
        <f t="array" ref="K17">PRODUCT(1 + 真實IC!$C26:J26) - 1</f>
        <v>0.43343279861020312</v>
      </c>
      <c r="L17" s="9" cm="1">
        <f t="array" ref="L17">PRODUCT(1 + 真實IC!$C26:K26) - 1</f>
        <v>0.40513030483362988</v>
      </c>
      <c r="M17" s="9" cm="1">
        <f t="array" ref="M17">PRODUCT(1 + 真實IC!$C26:L26) - 1</f>
        <v>0.13453926550544471</v>
      </c>
      <c r="N17" s="9" cm="1">
        <f t="array" ref="N17">PRODUCT(1 + 真實IC!$C26:M26) - 1</f>
        <v>0.28934851520357197</v>
      </c>
      <c r="O17" s="9" cm="1">
        <f t="array" ref="O17">PRODUCT(1 + 真實IC!$C26:N26) - 1</f>
        <v>0.42497729132991879</v>
      </c>
      <c r="P17" s="9" cm="1">
        <f t="array" ref="P17">PRODUCT(1 + 真實IC!$C26:O26) - 1</f>
        <v>3.9524855993480656E-2</v>
      </c>
      <c r="Q17" s="9" cm="1">
        <f t="array" ref="Q17">PRODUCT(1 + 真實IC!$C26:P26) - 1</f>
        <v>0.12033386525635881</v>
      </c>
      <c r="R17" s="9" cm="1">
        <f t="array" ref="R17">PRODUCT(1 + 真實IC!$C26:Q26) - 1</f>
        <v>0.21757160761858585</v>
      </c>
      <c r="S17" s="9" cm="1">
        <f t="array" ref="S17">PRODUCT(1 + 真實IC!$C26:R26) - 1</f>
        <v>0.24491128386955063</v>
      </c>
      <c r="T17" s="9" cm="1">
        <f t="array" ref="T17">PRODUCT(1 + 真實IC!$C26:S26) - 1</f>
        <v>0.61705753042158662</v>
      </c>
      <c r="U17" s="9" cm="1">
        <f t="array" ref="U17">PRODUCT(1 + 真實IC!$C26:T26) - 1</f>
        <v>1.3514859209403833</v>
      </c>
      <c r="V17" s="9" cm="1">
        <f t="array" ref="V17">PRODUCT(1 + 真實IC!$C26:U26) - 1</f>
        <v>1.6273668748445744</v>
      </c>
      <c r="W17" s="9" cm="1">
        <f t="array" ref="W17">PRODUCT(1 + 真實IC!$C26:V26) - 1</f>
        <v>3.1053069408862894</v>
      </c>
      <c r="X17" s="9" cm="1">
        <f t="array" ref="X17">PRODUCT(1 + 真實IC!$C26:W26) - 1</f>
        <v>5.7447464183996173</v>
      </c>
      <c r="Y17" s="9" cm="1">
        <f t="array" ref="Y17">PRODUCT(1 + 真實IC!$C26:X26) - 1</f>
        <v>8.4047413703045137</v>
      </c>
      <c r="Z17" s="9" cm="1">
        <f t="array" ref="Z17">PRODUCT(1 + 真實IC!$C26:Y26) - 1</f>
        <v>9.8181816436079323</v>
      </c>
      <c r="AA17" s="9" cm="1">
        <f t="array" ref="AA17">PRODUCT(1 + 真實IC!$C26:Z26) - 1</f>
        <v>10.788255165836572</v>
      </c>
      <c r="AB17" s="9" cm="1">
        <f t="array" ref="AB17">PRODUCT(1 + 真實IC!$C26:AA26) - 1</f>
        <v>11.709048108598669</v>
      </c>
      <c r="AC17" s="9" cm="1">
        <f t="array" ref="AC17">PRODUCT(1 + 真實IC!$C26:AB26) - 1</f>
        <v>12.547435717779779</v>
      </c>
      <c r="AD17" s="9" cm="1">
        <f t="array" ref="AD17">PRODUCT(1 + 真實IC!$C26:AC26) - 1</f>
        <v>17.990081897860808</v>
      </c>
      <c r="AE17" s="9" cm="1">
        <f t="array" ref="AE17">PRODUCT(1 + 真實IC!$C26:AD26) - 1</f>
        <v>11.079677629265577</v>
      </c>
      <c r="AF17" s="9" cm="1">
        <f t="array" ref="AF17">PRODUCT(1 + 真實IC!$C26:AE26) - 1</f>
        <v>13.412768185723015</v>
      </c>
      <c r="AG17" s="9" cm="1">
        <f t="array" ref="AG17">PRODUCT(1 + 真實IC!$C26:AF26) - 1</f>
        <v>20.461200377761632</v>
      </c>
      <c r="AH17" s="9" cm="1">
        <f t="array" ref="AH17">PRODUCT(1 + 真實IC!$C26:AG26) - 1</f>
        <v>28.617645312629879</v>
      </c>
      <c r="AI17" s="9" cm="1">
        <f t="array" ref="AI17">PRODUCT(1 + 真實IC!$C26:AH26) - 1</f>
        <v>71.946708715902446</v>
      </c>
      <c r="AJ17" s="9" cm="1">
        <f t="array" ref="AJ17">PRODUCT(1 + 真實IC!$C26:AI26) - 1</f>
        <v>83.028165406871835</v>
      </c>
      <c r="AK17" s="9" cm="1">
        <f t="array" ref="AK17">PRODUCT(1 + 真實IC!$C26:AJ26) - 1</f>
        <v>87.024562120617901</v>
      </c>
      <c r="AL17" s="9" cm="1">
        <f t="array" ref="AL17">PRODUCT(1 + 真實IC!$C26:AK26) - 1</f>
        <v>103.8730187009872</v>
      </c>
      <c r="AM17" s="9" cm="1">
        <f t="array" ref="AM17">PRODUCT(1 + 真實IC!$C26:AL26) - 1</f>
        <v>122.28002750947441</v>
      </c>
      <c r="AN17" s="9" cm="1">
        <f t="array" ref="AN17">PRODUCT(1 + 真實IC!$C26:AM26) - 1</f>
        <v>121.20313101178743</v>
      </c>
      <c r="AO17" s="9" cm="1">
        <f t="array" ref="AO17">PRODUCT(1 + 真實IC!$C26:AN26) - 1</f>
        <v>107.68003820108183</v>
      </c>
      <c r="AP17" s="9" cm="1">
        <f t="array" ref="AP17">PRODUCT(1 + 真實IC!$C26:AO26) - 1</f>
        <v>96.496242513818501</v>
      </c>
      <c r="AQ17" s="9" cm="1">
        <f t="array" ref="AQ17">PRODUCT(1 + 真實IC!$C26:AP26) - 1</f>
        <v>116.00995109003223</v>
      </c>
      <c r="AR17" s="9" cm="1">
        <f t="array" ref="AR17">PRODUCT(1 + 真實IC!$C26:AQ26) - 1</f>
        <v>77.034124010661415</v>
      </c>
      <c r="AS17" s="9" cm="1">
        <f t="array" ref="AS17">PRODUCT(1 + 真實IC!$C26:AR26) - 1</f>
        <v>75.446063687787444</v>
      </c>
      <c r="AT17" s="9" cm="1">
        <f t="array" ref="AT17">PRODUCT(1 + 真實IC!$C26:AS26) - 1</f>
        <v>52.200713925078873</v>
      </c>
      <c r="AU17" s="9" cm="1">
        <f t="array" ref="AU17">PRODUCT(1 + 真實IC!$C26:AT26) - 1</f>
        <v>40.88723896396337</v>
      </c>
      <c r="AV17" s="9" cm="1">
        <f t="array" ref="AV17">PRODUCT(1 + 真實IC!$C26:AU26) - 1</f>
        <v>50.514644511447287</v>
      </c>
      <c r="AW17" s="9" cm="1">
        <f t="array" ref="AW17">PRODUCT(1 + 真實IC!$C26:AV26) - 1</f>
        <v>38.263269196627654</v>
      </c>
      <c r="AX17" s="9" cm="1">
        <f t="array" ref="AX17">PRODUCT(1 + 真實IC!$C26:AW26) - 1</f>
        <v>47.05088636523751</v>
      </c>
      <c r="AY17" s="9" cm="1">
        <f t="array" ref="AY17">PRODUCT(1 + 真實IC!$C26:AX26) - 1</f>
        <v>43.523591145623499</v>
      </c>
      <c r="AZ17" s="9" cm="1">
        <f t="array" ref="AZ17">PRODUCT(1 + 真實IC!$C26:AY26) - 1</f>
        <v>36.790131441618456</v>
      </c>
      <c r="BA17" s="9" cm="1">
        <f t="array" ref="BA17">PRODUCT(1 + 真實IC!$C26:AZ26) - 1</f>
        <v>59.838315987186455</v>
      </c>
      <c r="BB17" s="9" cm="1">
        <f t="array" ref="BB17">PRODUCT(1 + 真實IC!$C26:BA26) - 1</f>
        <v>53.64602826873098</v>
      </c>
      <c r="BC17" s="9" cm="1">
        <f t="array" ref="BC17">PRODUCT(1 + 真實IC!$C26:BB26) - 1</f>
        <v>96.223608032705684</v>
      </c>
      <c r="BD17" s="9" cm="1">
        <f t="array" ref="BD17">PRODUCT(1 + 真實IC!$C26:BC26) - 1</f>
        <v>87.493677607286898</v>
      </c>
      <c r="BE17" s="9" cm="1">
        <f t="array" ref="BE17">PRODUCT(1 + 真實IC!$C26:BD26) - 1</f>
        <v>102.76504382723002</v>
      </c>
      <c r="BF17" s="9" cm="1">
        <f t="array" ref="BF17">PRODUCT(1 + 真實IC!$C26:BE26) - 1</f>
        <v>108.71913786608191</v>
      </c>
      <c r="BG17" s="9" cm="1">
        <f t="array" ref="BG17">PRODUCT(1 + 真實IC!$C26:BF26) - 1</f>
        <v>109.30144125052885</v>
      </c>
      <c r="BH17" s="9" cm="1">
        <f t="array" ref="BH17">PRODUCT(1 + 真實IC!$C26:BG26) - 1</f>
        <v>135.5688484299468</v>
      </c>
      <c r="BI17" s="9" cm="1">
        <f t="array" ref="BI17">PRODUCT(1 + 真實IC!$C26:BH26) - 1</f>
        <v>167.03789288516589</v>
      </c>
      <c r="BJ17" s="9" cm="1">
        <f t="array" ref="BJ17">PRODUCT(1 + 真實IC!$C26:BI26) - 1</f>
        <v>146.85244542207386</v>
      </c>
      <c r="BK17" s="9" cm="1">
        <f t="array" ref="BK17">PRODUCT(1 + 真實IC!$C26:BJ26) - 1</f>
        <v>137.89742875799757</v>
      </c>
      <c r="BL17" s="9" cm="1">
        <f t="array" ref="BL17">PRODUCT(1 + 真實IC!$C26:BK26) - 1</f>
        <v>136.50571444791453</v>
      </c>
      <c r="BM17" s="9" cm="1">
        <f t="array" ref="BM17">PRODUCT(1 + 真實IC!$C26:BL26) - 1</f>
        <v>151.09602231116853</v>
      </c>
      <c r="BN17" s="9" cm="1">
        <f t="array" ref="BN17">PRODUCT(1 + 真實IC!$C26:BM26) - 1</f>
        <v>163.99117022052576</v>
      </c>
      <c r="BO17" s="9" cm="1">
        <f t="array" ref="BO17">PRODUCT(1 + 真實IC!$C26:BN26) - 1</f>
        <v>200.66206954587076</v>
      </c>
      <c r="BP17" s="9" cm="1">
        <f t="array" ref="BP17">PRODUCT(1 + 真實IC!$C26:BO26) - 1</f>
        <v>188.73321508954524</v>
      </c>
      <c r="BQ17" s="9" cm="1">
        <f t="array" ref="BQ17">PRODUCT(1 + 真實IC!$C26:BP26) - 1</f>
        <v>296.34773444420551</v>
      </c>
      <c r="BR17" s="9" cm="1">
        <f t="array" ref="BR17">PRODUCT(1 + 真實IC!$C26:BQ26) - 1</f>
        <v>254.57488550937708</v>
      </c>
      <c r="BS17" s="9" cm="1">
        <f t="array" ref="BS17">PRODUCT(1 + 真實IC!$C26:BR26) - 1</f>
        <v>373.57541602976517</v>
      </c>
      <c r="BT17" s="9" cm="1">
        <f t="array" ref="BT17">PRODUCT(1 + 真實IC!$C26:BS26) - 1</f>
        <v>328.01916567371649</v>
      </c>
      <c r="BU17" s="9" cm="1">
        <f t="array" ref="BU17">PRODUCT(1 + 真實IC!$C26:BT26) - 1</f>
        <v>346.37819042947291</v>
      </c>
      <c r="BV17" s="9" cm="1">
        <f t="array" ref="BV17">PRODUCT(1 + 真實IC!$C26:BU26) - 1</f>
        <v>503.24359896974624</v>
      </c>
      <c r="BW17" s="9" cm="1">
        <f t="array" ref="BW17">PRODUCT(1 + 真實IC!$C26:BV26) - 1</f>
        <v>794.37710802912409</v>
      </c>
      <c r="BX17" s="9" cm="1">
        <f t="array" ref="BX17">PRODUCT(1 + 真實IC!$C26:BW26) - 1</f>
        <v>914.50088080223441</v>
      </c>
      <c r="BY17" s="9" cm="1">
        <f t="array" ref="BY17">PRODUCT(1 + 真實IC!$C26:BX26) - 1</f>
        <v>1004.640344084483</v>
      </c>
      <c r="BZ17" s="9" cm="1">
        <f t="array" ref="BZ17">PRODUCT(1 + 真實IC!$C26:BY26) - 1</f>
        <v>605.11763149893227</v>
      </c>
      <c r="CA17" s="9" cm="1">
        <f t="array" ref="CA17">PRODUCT(1 + 真實IC!$C26:BZ26) - 1</f>
        <v>519.26433672051212</v>
      </c>
      <c r="CB17" s="9" cm="1">
        <f t="array" ref="CB17">PRODUCT(1 + 真實IC!$C26:CA26) - 1</f>
        <v>474.85866284669515</v>
      </c>
      <c r="CC17" s="9" cm="1">
        <f t="array" ref="CC17">PRODUCT(1 + 真實IC!$C26:CB26) - 1</f>
        <v>505.37409088958816</v>
      </c>
      <c r="CD17" s="9" cm="1">
        <f t="array" ref="CD17">PRODUCT(1 + 真實IC!$C26:CC26) - 1</f>
        <v>616.69091149603298</v>
      </c>
      <c r="CE17" s="9" cm="1">
        <f t="array" ref="CE17">PRODUCT(1 + 真實IC!$C26:CD26) - 1</f>
        <v>588.80122458073458</v>
      </c>
      <c r="CF17" s="9" cm="1">
        <f t="array" ref="CF17">PRODUCT(1 + 真實IC!$C26:CE26) - 1</f>
        <v>694.5548158771652</v>
      </c>
      <c r="CG17" s="9" cm="1">
        <f t="array" ref="CG17">PRODUCT(1 + 真實IC!$C26:CF26) - 1</f>
        <v>541.11558368999272</v>
      </c>
      <c r="CH17" s="9" cm="1">
        <f t="array" ref="CH17">PRODUCT(1 + 真實IC!$C26:CG26) - 1</f>
        <v>584.65960239873141</v>
      </c>
      <c r="CI17" s="9" cm="1">
        <f t="array" ref="CI17">PRODUCT(1 + 真實IC!$C26:CH26) - 1</f>
        <v>679.16862304337974</v>
      </c>
      <c r="CJ17" s="9" cm="1">
        <f t="array" ref="CJ17">PRODUCT(1 + 真實IC!$C26:CI26) - 1</f>
        <v>606.93434298739032</v>
      </c>
      <c r="CK17" s="9" cm="1">
        <f t="array" ref="CK17">PRODUCT(1 + 真實IC!$C26:CJ26) - 1</f>
        <v>433.18475987522953</v>
      </c>
      <c r="CL17" s="9" cm="1">
        <f t="array" ref="CL17">PRODUCT(1 + 真實IC!$C26:CK26) - 1</f>
        <v>298.68887661861731</v>
      </c>
      <c r="CM17" s="9" cm="1">
        <f t="array" ref="CM17">PRODUCT(1 + 真實IC!$C26:CL26) - 1</f>
        <v>286.05080422898118</v>
      </c>
      <c r="CN17" s="9" cm="1">
        <f t="array" ref="CN17">PRODUCT(1 + 真實IC!$C26:CM26) - 1</f>
        <v>273.22292336327888</v>
      </c>
      <c r="CO17" s="9" cm="1">
        <f t="array" ref="CO17">PRODUCT(1 + 真實IC!$C26:CN26) - 1</f>
        <v>313.57074518191945</v>
      </c>
      <c r="CP17" s="9" cm="1">
        <f t="array" ref="CP17">PRODUCT(1 + 真實IC!$C26:CO26) - 1</f>
        <v>462.14659541081056</v>
      </c>
      <c r="CQ17" s="9" cm="1">
        <f t="array" ref="CQ17">PRODUCT(1 + 真實IC!$C26:CP26) - 1</f>
        <v>553.88081216300327</v>
      </c>
      <c r="CR17" s="9" cm="1">
        <f t="array" ref="CR17">PRODUCT(1 + 真實IC!$C26:CQ26) - 1</f>
        <v>525.3377276525855</v>
      </c>
      <c r="CS17" s="9" cm="1">
        <f t="array" ref="CS17">PRODUCT(1 + 真實IC!$C26:CR26) - 1</f>
        <v>391.08861117402716</v>
      </c>
      <c r="CT17" s="9" cm="1">
        <f t="array" ref="CT17">PRODUCT(1 + 真實IC!$C26:CS26) - 1</f>
        <v>452.86812604193153</v>
      </c>
      <c r="CU17" s="9" cm="1">
        <f t="array" ref="CU17">PRODUCT(1 + 真實IC!$C26:CT26) - 1</f>
        <v>499.20470466012898</v>
      </c>
      <c r="CV17" s="9" cm="1">
        <f t="array" ref="CV17">PRODUCT(1 + 真實IC!$C26:CU26) - 1</f>
        <v>613.60621463368636</v>
      </c>
      <c r="CW17" s="9" cm="1">
        <f t="array" ref="CW17">PRODUCT(1 + 真實IC!$C26:CV26) - 1</f>
        <v>668.75227053538936</v>
      </c>
      <c r="CX17" s="9" cm="1">
        <f t="array" ref="CX17">PRODUCT(1 + 真實IC!$C26:CW26) - 1</f>
        <v>831.93725553944728</v>
      </c>
      <c r="CY17" s="9" cm="1">
        <f t="array" ref="CY17">PRODUCT(1 + 真實IC!$C26:CX26) - 1</f>
        <v>954.12467444764309</v>
      </c>
      <c r="CZ17" s="9" cm="1">
        <f t="array" ref="CZ17">PRODUCT(1 + 真實IC!$C26:CY26) - 1</f>
        <v>610.06197855074208</v>
      </c>
      <c r="DA17" s="9" cm="1">
        <f t="array" ref="DA17">PRODUCT(1 + 真實IC!$C26:CZ26) - 1</f>
        <v>511.00460946384669</v>
      </c>
      <c r="DB17" s="9" cm="1">
        <f t="array" ref="DB17">PRODUCT(1 + 真實IC!$C26:DA26) - 1</f>
        <v>644.39922531611751</v>
      </c>
      <c r="DC17" s="9" cm="1">
        <f t="array" ref="DC17">PRODUCT(1 + 真實IC!$C26:DB26) - 1</f>
        <v>32.490030815503154</v>
      </c>
      <c r="DD17" s="9" cm="1">
        <f t="array" ref="DD17">PRODUCT(1 + 真實IC!$C26:DC26) - 1</f>
        <v>44.215478132768695</v>
      </c>
      <c r="DE17" s="9" cm="1">
        <f t="array" ref="DE17">PRODUCT(1 + 真實IC!$C26:DD26) - 1</f>
        <v>47.629504377045372</v>
      </c>
      <c r="DF17" s="9" cm="1">
        <f t="array" ref="DF17">PRODUCT(1 + 真實IC!$C26:DE26) - 1</f>
        <v>37.307649292924587</v>
      </c>
      <c r="DG17" s="9" cm="1">
        <f t="array" ref="DG17">PRODUCT(1 + 真實IC!$C26:DF26) - 1</f>
        <v>44.763775978340675</v>
      </c>
      <c r="DH17" s="9" cm="1">
        <f t="array" ref="DH17">PRODUCT(1 + 真實IC!$C26:DG26) - 1</f>
        <v>33.38740546185354</v>
      </c>
      <c r="DI17" s="9" cm="1">
        <f t="array" ref="DI17">PRODUCT(1 + 真實IC!$C26:DH26) - 1</f>
        <v>29.851250761065675</v>
      </c>
      <c r="DJ17" s="9" cm="1">
        <f t="array" ref="DJ17">PRODUCT(1 + 真實IC!$C26:DI26) - 1</f>
        <v>16.79812359394078</v>
      </c>
      <c r="DK17" s="9" cm="1">
        <f t="array" ref="DK17">PRODUCT(1 + 真實IC!$C26:DJ26) - 1</f>
        <v>20.205520241473756</v>
      </c>
      <c r="DL17" s="9" cm="1">
        <f t="array" ref="DL17">PRODUCT(1 + 真實IC!$C26:DK26) - 1</f>
        <v>16.684943120333251</v>
      </c>
      <c r="DM17" s="9" cm="1">
        <f t="array" ref="DM17">PRODUCT(1 + 真實IC!$C26:DL26) - 1</f>
        <v>18.068383801555509</v>
      </c>
      <c r="DN17" s="9" cm="1">
        <f t="array" ref="DN17">PRODUCT(1 + 真實IC!$C26:DM26) - 1</f>
        <v>11.05067763032446</v>
      </c>
      <c r="DO17" s="9" cm="1">
        <f t="array" ref="DO17">PRODUCT(1 + 真實IC!$C26:DN26) - 1</f>
        <v>11.443260661576154</v>
      </c>
      <c r="DP17" s="9" cm="1">
        <f t="array" ref="DP17">PRODUCT(1 + 真實IC!$C26:DO26) - 1</f>
        <v>10.409047891505987</v>
      </c>
      <c r="DQ17" s="9" cm="1">
        <f t="array" ref="DQ17">PRODUCT(1 + 真實IC!$C26:DP26) - 1</f>
        <v>9.7805216088630988</v>
      </c>
      <c r="DR17" s="9" cm="1">
        <f t="array" ref="DR17">PRODUCT(1 + 真實IC!$C26:DQ26) - 1</f>
        <v>10.601030765868318</v>
      </c>
      <c r="DS17" s="9" cm="1">
        <f t="array" ref="DS17">PRODUCT(1 + 真實IC!$C26:DR26) - 1</f>
        <v>9.643284159876174</v>
      </c>
      <c r="DT17" s="9" cm="1">
        <f t="array" ref="DT17">PRODUCT(1 + 真實IC!$C26:DS26) - 1</f>
        <v>8.1105770056625346</v>
      </c>
      <c r="DU17" s="9" cm="1">
        <f t="array" ref="DU17">PRODUCT(1 + 真實IC!$C26:DT26) - 1</f>
        <v>7.5478068903756039</v>
      </c>
      <c r="DV17" s="9" cm="1">
        <f t="array" ref="DV17">PRODUCT(1 + 真實IC!$C26:DU26) - 1</f>
        <v>14.134262285744796</v>
      </c>
      <c r="DW17" s="9" cm="1">
        <f t="array" ref="DW17">PRODUCT(1 + 真實IC!$C26:DV26) - 1</f>
        <v>12.596247534882618</v>
      </c>
      <c r="DX17" s="9" cm="1">
        <f t="array" ref="DX17">PRODUCT(1 + 真實IC!$C26:DW26) - 1</f>
        <v>15.752375355241682</v>
      </c>
      <c r="DY17" s="9" cm="1">
        <f t="array" ref="DY17">PRODUCT(1 + 真實IC!$C26:DX26) - 1</f>
        <v>25.253919779711456</v>
      </c>
      <c r="DZ17" s="9" cm="1">
        <f t="array" ref="DZ17">PRODUCT(1 + 真實IC!$C26:DY26) - 1</f>
        <v>26.095792036378853</v>
      </c>
      <c r="EA17" s="9" cm="1">
        <f t="array" ref="EA17">PRODUCT(1 + 真實IC!$C26:DZ26) - 1</f>
        <v>29.634546071108002</v>
      </c>
      <c r="EB17" s="9" cm="1">
        <f t="array" ref="EB17">PRODUCT(1 + 真實IC!$C26:EA26) - 1</f>
        <v>37.995235578211464</v>
      </c>
      <c r="EC17" s="9" cm="1">
        <f t="array" ref="EC17">PRODUCT(1 + 真實IC!$C26:EB26) - 1</f>
        <v>63.958559594118753</v>
      </c>
      <c r="ED17" s="9" cm="1">
        <f t="array" ref="ED17">PRODUCT(1 + 真實IC!$C26:EC26) - 1</f>
        <v>73.27598918667303</v>
      </c>
      <c r="EE17" s="9" cm="1">
        <f t="array" ref="EE17">PRODUCT(1 + 真實IC!$C26:ED26) - 1</f>
        <v>95.026287040714593</v>
      </c>
      <c r="EF17" s="9" cm="1">
        <f t="array" ref="EF17">PRODUCT(1 + 真實IC!$C26:EE26) - 1</f>
        <v>91.601607184532199</v>
      </c>
      <c r="EG17" s="9" cm="1">
        <f t="array" ref="EG17">PRODUCT(1 + 真實IC!$C26:EF26) - 1</f>
        <v>79.659910138530606</v>
      </c>
    </row>
    <row r="18" spans="1:138" ht="16">
      <c r="C18" s="43" t="s">
        <v>141</v>
      </c>
      <c r="D18" s="33" cm="1">
        <f t="array" ref="D18">PRODUCT(1 + 真實IC!$C27:C27) - 1</f>
        <v>-1.7446770539390366E-2</v>
      </c>
      <c r="E18" s="33" cm="1">
        <f t="array" ref="E18">PRODUCT(1 + 真實IC!$C27:D27) - 1</f>
        <v>2.893123339404724E-3</v>
      </c>
      <c r="F18" s="33" cm="1">
        <f t="array" ref="F18">PRODUCT(1 + 真實IC!$C27:E27) - 1</f>
        <v>2.6944635852046872E-2</v>
      </c>
      <c r="G18" s="33" cm="1">
        <f t="array" ref="G18">PRODUCT(1 + 真實IC!$C27:F27) - 1</f>
        <v>2.0210365301730038E-2</v>
      </c>
      <c r="H18" s="33" cm="1">
        <f t="array" ref="H18">PRODUCT(1 + 真實IC!$C27:G27) - 1</f>
        <v>5.269909680859941E-2</v>
      </c>
      <c r="I18" s="33" cm="1">
        <f t="array" ref="I18">PRODUCT(1 + 真實IC!$C27:H27) - 1</f>
        <v>8.8857766197530053E-2</v>
      </c>
      <c r="J18" s="33" cm="1">
        <f t="array" ref="J18">PRODUCT(1 + 真實IC!$C27:I27) - 1</f>
        <v>7.9869318529145472E-2</v>
      </c>
      <c r="K18" s="33" cm="1">
        <f t="array" ref="K18">PRODUCT(1 + 真實IC!$C27:J27) - 1</f>
        <v>9.3738646464063713E-2</v>
      </c>
      <c r="L18" s="33" cm="1">
        <f t="array" ref="L18">PRODUCT(1 + 真實IC!$C27:K27) - 1</f>
        <v>3.7937714394164157E-2</v>
      </c>
      <c r="M18" s="33" cm="1">
        <f t="array" ref="M18">PRODUCT(1 + 真實IC!$C27:L27) - 1</f>
        <v>3.8844812525307137E-2</v>
      </c>
      <c r="N18" s="33" cm="1">
        <f t="array" ref="N18">PRODUCT(1 + 真實IC!$C27:M27) - 1</f>
        <v>6.3142951706360639E-2</v>
      </c>
      <c r="O18" s="33" cm="1">
        <f t="array" ref="O18">PRODUCT(1 + 真實IC!$C27:N27) - 1</f>
        <v>7.6952085951054405E-2</v>
      </c>
      <c r="P18" s="33" cm="1">
        <f t="array" ref="P18">PRODUCT(1 + 真實IC!$C27:O27) - 1</f>
        <v>8.3257197491512391E-2</v>
      </c>
      <c r="Q18" s="33" cm="1">
        <f t="array" ref="Q18">PRODUCT(1 + 真實IC!$C27:P27) - 1</f>
        <v>0.11295275081672607</v>
      </c>
      <c r="R18" s="33" cm="1">
        <f t="array" ref="R18">PRODUCT(1 + 真實IC!$C27:Q27) - 1</f>
        <v>0.10882042835093308</v>
      </c>
      <c r="S18" s="33" cm="1">
        <f t="array" ref="S18">PRODUCT(1 + 真實IC!$C27:R27) - 1</f>
        <v>0.13551706985268064</v>
      </c>
      <c r="T18" s="33" cm="1">
        <f t="array" ref="T18">PRODUCT(1 + 真實IC!$C27:S27) - 1</f>
        <v>0.12167508804368476</v>
      </c>
      <c r="U18" s="33" cm="1">
        <f t="array" ref="U18">PRODUCT(1 + 真實IC!$C27:T27) - 1</f>
        <v>7.7088976461827885E-2</v>
      </c>
      <c r="V18" s="33" cm="1">
        <f t="array" ref="V18">PRODUCT(1 + 真實IC!$C27:U27) - 1</f>
        <v>-1.7059521199481731E-3</v>
      </c>
      <c r="W18" s="33" cm="1">
        <f t="array" ref="W18">PRODUCT(1 + 真實IC!$C27:V27) - 1</f>
        <v>-5.9866792867339091E-2</v>
      </c>
      <c r="X18" s="33" cm="1">
        <f t="array" ref="X18">PRODUCT(1 + 真實IC!$C27:W27) - 1</f>
        <v>-5.9140260213613516E-2</v>
      </c>
      <c r="Y18" s="33" cm="1">
        <f t="array" ref="Y18">PRODUCT(1 + 真實IC!$C27:X27) - 1</f>
        <v>-1.7185893241652206E-2</v>
      </c>
      <c r="Z18" s="33" cm="1">
        <f t="array" ref="Z18">PRODUCT(1 + 真實IC!$C27:Y27) - 1</f>
        <v>-4.4409529547694393E-2</v>
      </c>
      <c r="AA18" s="33" cm="1">
        <f t="array" ref="AA18">PRODUCT(1 + 真實IC!$C27:Z27) - 1</f>
        <v>-4.2407561826578566E-2</v>
      </c>
      <c r="AB18" s="33" cm="1">
        <f t="array" ref="AB18">PRODUCT(1 + 真實IC!$C27:AA27) - 1</f>
        <v>-6.481575250614946E-2</v>
      </c>
      <c r="AC18" s="33" cm="1">
        <f t="array" ref="AC18">PRODUCT(1 + 真實IC!$C27:AB27) - 1</f>
        <v>-3.4768870774049443E-2</v>
      </c>
      <c r="AD18" s="33" cm="1">
        <f t="array" ref="AD18">PRODUCT(1 + 真實IC!$C27:AC27) - 1</f>
        <v>2.7817794451217015E-3</v>
      </c>
      <c r="AE18" s="33" cm="1">
        <f t="array" ref="AE18">PRODUCT(1 + 真實IC!$C27:AD27) - 1</f>
        <v>-4.0202844765013457E-2</v>
      </c>
      <c r="AF18" s="33" cm="1">
        <f t="array" ref="AF18">PRODUCT(1 + 真實IC!$C27:AE27) - 1</f>
        <v>-2.2305320482664204E-2</v>
      </c>
      <c r="AG18" s="33" cm="1">
        <f t="array" ref="AG18">PRODUCT(1 + 真實IC!$C27:AF27) - 1</f>
        <v>-7.4152570234460313E-3</v>
      </c>
      <c r="AH18" s="33" cm="1">
        <f t="array" ref="AH18">PRODUCT(1 + 真實IC!$C27:AG27) - 1</f>
        <v>2.8334274381314417E-2</v>
      </c>
      <c r="AI18" s="33" cm="1">
        <f t="array" ref="AI18">PRODUCT(1 + 真實IC!$C27:AH27) - 1</f>
        <v>3.7953941892352683E-2</v>
      </c>
      <c r="AJ18" s="33" cm="1">
        <f t="array" ref="AJ18">PRODUCT(1 + 真實IC!$C27:AI27) - 1</f>
        <v>4.9110131735873752E-2</v>
      </c>
      <c r="AK18" s="33" cm="1">
        <f t="array" ref="AK18">PRODUCT(1 + 真實IC!$C27:AJ27) - 1</f>
        <v>6.3123886850196875E-2</v>
      </c>
      <c r="AL18" s="33" cm="1">
        <f t="array" ref="AL18">PRODUCT(1 + 真實IC!$C27:AK27) - 1</f>
        <v>5.7454515782098925E-2</v>
      </c>
      <c r="AM18" s="33" cm="1">
        <f t="array" ref="AM18">PRODUCT(1 + 真實IC!$C27:AL27) - 1</f>
        <v>5.8917118987427575E-2</v>
      </c>
      <c r="AN18" s="33" cm="1">
        <f t="array" ref="AN18">PRODUCT(1 + 真實IC!$C27:AM27) - 1</f>
        <v>8.0938283596681648E-2</v>
      </c>
      <c r="AO18" s="33" cm="1">
        <f t="array" ref="AO18">PRODUCT(1 + 真實IC!$C27:AN27) - 1</f>
        <v>0.11500697453770203</v>
      </c>
      <c r="AP18" s="33" cm="1">
        <f t="array" ref="AP18">PRODUCT(1 + 真實IC!$C27:AO27) - 1</f>
        <v>0.12196653200545171</v>
      </c>
      <c r="AQ18" s="33" cm="1">
        <f t="array" ref="AQ18">PRODUCT(1 + 真實IC!$C27:AP27) - 1</f>
        <v>0.12886130991117528</v>
      </c>
      <c r="AR18" s="33" cm="1">
        <f t="array" ref="AR18">PRODUCT(1 + 真實IC!$C27:AQ27) - 1</f>
        <v>0.14799139743631429</v>
      </c>
      <c r="AS18" s="33" cm="1">
        <f t="array" ref="AS18">PRODUCT(1 + 真實IC!$C27:AR27) - 1</f>
        <v>0.18780698843660248</v>
      </c>
      <c r="AT18" s="33" cm="1">
        <f t="array" ref="AT18">PRODUCT(1 + 真實IC!$C27:AS27) - 1</f>
        <v>0.19148751365039929</v>
      </c>
      <c r="AU18" s="33" cm="1">
        <f t="array" ref="AU18">PRODUCT(1 + 真實IC!$C27:AT27) - 1</f>
        <v>0.20945675046088996</v>
      </c>
      <c r="AV18" s="33" cm="1">
        <f t="array" ref="AV18">PRODUCT(1 + 真實IC!$C27:AU27) - 1</f>
        <v>0.18617324550329584</v>
      </c>
      <c r="AW18" s="33" cm="1">
        <f t="array" ref="AW18">PRODUCT(1 + 真實IC!$C27:AV27) - 1</f>
        <v>0.23209180697664689</v>
      </c>
      <c r="AX18" s="33" cm="1">
        <f t="array" ref="AX18">PRODUCT(1 + 真實IC!$C27:AW27) - 1</f>
        <v>0.20516203655681697</v>
      </c>
      <c r="AY18" s="33" cm="1">
        <f t="array" ref="AY18">PRODUCT(1 + 真實IC!$C27:AX27) - 1</f>
        <v>0.21453132863303215</v>
      </c>
      <c r="AZ18" s="33" cm="1">
        <f t="array" ref="AZ18">PRODUCT(1 + 真實IC!$C27:AY27) - 1</f>
        <v>0.2660241129922889</v>
      </c>
      <c r="BA18" s="33" cm="1">
        <f t="array" ref="BA18">PRODUCT(1 + 真實IC!$C27:AZ27) - 1</f>
        <v>0.23271631642995261</v>
      </c>
      <c r="BB18" s="33" cm="1">
        <f t="array" ref="BB18">PRODUCT(1 + 真實IC!$C27:BA27) - 1</f>
        <v>0.24451556797958407</v>
      </c>
      <c r="BC18" s="33" cm="1">
        <f t="array" ref="BC18">PRODUCT(1 + 真實IC!$C27:BB27) - 1</f>
        <v>0.21433638745422812</v>
      </c>
      <c r="BD18" s="33" cm="1">
        <f t="array" ref="BD18">PRODUCT(1 + 真實IC!$C27:BC27) - 1</f>
        <v>0.23882150637103883</v>
      </c>
      <c r="BE18" s="33" cm="1">
        <f t="array" ref="BE18">PRODUCT(1 + 真實IC!$C27:BD27) - 1</f>
        <v>0.23447943849994912</v>
      </c>
      <c r="BF18" s="33" cm="1">
        <f t="array" ref="BF18">PRODUCT(1 + 真實IC!$C27:BE27) - 1</f>
        <v>0.25935658802508499</v>
      </c>
      <c r="BG18" s="33" cm="1">
        <f t="array" ref="BG18">PRODUCT(1 + 真實IC!$C27:BF27) - 1</f>
        <v>0.26008869763716325</v>
      </c>
      <c r="BH18" s="33" cm="1">
        <f t="array" ref="BH18">PRODUCT(1 + 真實IC!$C27:BG27) - 1</f>
        <v>0.2535114114609236</v>
      </c>
      <c r="BI18" s="33" cm="1">
        <f t="array" ref="BI18">PRODUCT(1 + 真實IC!$C27:BH27) - 1</f>
        <v>0.10826483627727623</v>
      </c>
      <c r="BJ18" s="33" cm="1">
        <f t="array" ref="BJ18">PRODUCT(1 + 真實IC!$C27:BI27) - 1</f>
        <v>0.11793469710078752</v>
      </c>
      <c r="BK18" s="33" cm="1">
        <f t="array" ref="BK18">PRODUCT(1 + 真實IC!$C27:BJ27) - 1</f>
        <v>9.9625988810205346E-2</v>
      </c>
      <c r="BL18" s="33" cm="1">
        <f t="array" ref="BL18">PRODUCT(1 + 真實IC!$C27:BK27) - 1</f>
        <v>0.12254260303831388</v>
      </c>
      <c r="BM18" s="33" cm="1">
        <f t="array" ref="BM18">PRODUCT(1 + 真實IC!$C27:BL27) - 1</f>
        <v>0.17302993558173996</v>
      </c>
      <c r="BN18" s="33" cm="1">
        <f t="array" ref="BN18">PRODUCT(1 + 真實IC!$C27:BM27) - 1</f>
        <v>0.20112905370185397</v>
      </c>
      <c r="BO18" s="33" cm="1">
        <f t="array" ref="BO18">PRODUCT(1 + 真實IC!$C27:BN27) - 1</f>
        <v>0.23745011694095197</v>
      </c>
      <c r="BP18" s="33" cm="1">
        <f t="array" ref="BP18">PRODUCT(1 + 真實IC!$C27:BO27) - 1</f>
        <v>0.18334151222801376</v>
      </c>
      <c r="BQ18" s="33" cm="1">
        <f t="array" ref="BQ18">PRODUCT(1 + 真實IC!$C27:BP27) - 1</f>
        <v>0.20924423024871497</v>
      </c>
      <c r="BR18" s="33" cm="1">
        <f t="array" ref="BR18">PRODUCT(1 + 真實IC!$C27:BQ27) - 1</f>
        <v>0.21967690051673561</v>
      </c>
      <c r="BS18" s="33" cm="1">
        <f t="array" ref="BS18">PRODUCT(1 + 真實IC!$C27:BR27) - 1</f>
        <v>0.1962676978767699</v>
      </c>
      <c r="BT18" s="33" cm="1">
        <f t="array" ref="BT18">PRODUCT(1 + 真實IC!$C27:BS27) - 1</f>
        <v>0.21987619627534571</v>
      </c>
      <c r="BU18" s="33" cm="1">
        <f t="array" ref="BU18">PRODUCT(1 + 真實IC!$C27:BT27) - 1</f>
        <v>0.27805738326883356</v>
      </c>
      <c r="BV18" s="33" cm="1">
        <f t="array" ref="BV18">PRODUCT(1 + 真實IC!$C27:BU27) - 1</f>
        <v>0.29269729646247922</v>
      </c>
      <c r="BW18" s="33" cm="1">
        <f t="array" ref="BW18">PRODUCT(1 + 真實IC!$C27:BV27) - 1</f>
        <v>0.34857881761669129</v>
      </c>
      <c r="BX18" s="33" cm="1">
        <f t="array" ref="BX18">PRODUCT(1 + 真實IC!$C27:BW27) - 1</f>
        <v>0.2909305384219143</v>
      </c>
      <c r="BY18" s="33" cm="1">
        <f t="array" ref="BY18">PRODUCT(1 + 真實IC!$C27:BX27) - 1</f>
        <v>0.26793739709811137</v>
      </c>
      <c r="BZ18" s="33" cm="1">
        <f t="array" ref="BZ18">PRODUCT(1 + 真實IC!$C27:BY27) - 1</f>
        <v>7.628473289061688E-2</v>
      </c>
      <c r="CA18" s="33" cm="1">
        <f t="array" ref="CA18">PRODUCT(1 + 真實IC!$C27:BZ27) - 1</f>
        <v>0.20998513144491437</v>
      </c>
      <c r="CB18" s="33" cm="1">
        <f t="array" ref="CB18">PRODUCT(1 + 真實IC!$C27:CA27) - 1</f>
        <v>0.20447092205281336</v>
      </c>
      <c r="CC18" s="33" cm="1">
        <f t="array" ref="CC18">PRODUCT(1 + 真實IC!$C27:CB27) - 1</f>
        <v>0.27699361006036605</v>
      </c>
      <c r="CD18" s="33" cm="1">
        <f t="array" ref="CD18">PRODUCT(1 + 真實IC!$C27:CC27) - 1</f>
        <v>0.38680488733361829</v>
      </c>
      <c r="CE18" s="33" cm="1">
        <f t="array" ref="CE18">PRODUCT(1 + 真實IC!$C27:CD27) - 1</f>
        <v>0.37874965946081551</v>
      </c>
      <c r="CF18" s="33" cm="1">
        <f t="array" ref="CF18">PRODUCT(1 + 真實IC!$C27:CE27) - 1</f>
        <v>0.37042015435709108</v>
      </c>
      <c r="CG18" s="33" cm="1">
        <f t="array" ref="CG18">PRODUCT(1 + 真實IC!$C27:CF27) - 1</f>
        <v>0.37378086910184649</v>
      </c>
      <c r="CH18" s="33" cm="1">
        <f t="array" ref="CH18">PRODUCT(1 + 真實IC!$C27:CG27) - 1</f>
        <v>0.49692143719092186</v>
      </c>
      <c r="CI18" s="33" cm="1">
        <f t="array" ref="CI18">PRODUCT(1 + 真實IC!$C27:CH27) - 1</f>
        <v>0.603191980394987</v>
      </c>
      <c r="CJ18" s="33" cm="1">
        <f t="array" ref="CJ18">PRODUCT(1 + 真實IC!$C27:CI27) - 1</f>
        <v>0.64675173719730239</v>
      </c>
      <c r="CK18" s="33" cm="1">
        <f t="array" ref="CK18">PRODUCT(1 + 真實IC!$C27:CJ27) - 1</f>
        <v>0.73315421285472704</v>
      </c>
      <c r="CL18" s="33" cm="1">
        <f t="array" ref="CL18">PRODUCT(1 + 真實IC!$C27:CK27) - 1</f>
        <v>0.7842487445659152</v>
      </c>
      <c r="CM18" s="33" cm="1">
        <f t="array" ref="CM18">PRODUCT(1 + 真實IC!$C27:CL27) - 1</f>
        <v>0.90348131155309508</v>
      </c>
      <c r="CN18" s="33" cm="1">
        <f t="array" ref="CN18">PRODUCT(1 + 真實IC!$C27:CM27) - 1</f>
        <v>0.8487139113221478</v>
      </c>
      <c r="CO18" s="33" cm="1">
        <f t="array" ref="CO18">PRODUCT(1 + 真實IC!$C27:CN27) - 1</f>
        <v>0.92166881344527685</v>
      </c>
      <c r="CP18" s="33" cm="1">
        <f t="array" ref="CP18">PRODUCT(1 + 真實IC!$C27:CO27) - 1</f>
        <v>0.86588067898046694</v>
      </c>
      <c r="CQ18" s="33" cm="1">
        <f t="array" ref="CQ18">PRODUCT(1 + 真實IC!$C27:CP27) - 1</f>
        <v>0.89197293519067467</v>
      </c>
      <c r="CR18" s="33" cm="1">
        <f t="array" ref="CR18">PRODUCT(1 + 真實IC!$C27:CQ27) - 1</f>
        <v>0.83090579105751727</v>
      </c>
      <c r="CS18" s="33" cm="1">
        <f t="array" ref="CS18">PRODUCT(1 + 真實IC!$C27:CR27) - 1</f>
        <v>0.83658814745105547</v>
      </c>
      <c r="CT18" s="33" cm="1">
        <f t="array" ref="CT18">PRODUCT(1 + 真實IC!$C27:CS27) - 1</f>
        <v>0.88358984642415717</v>
      </c>
      <c r="CU18" s="33" cm="1">
        <f t="array" ref="CU18">PRODUCT(1 + 真實IC!$C27:CT27) - 1</f>
        <v>0.9672059526983301</v>
      </c>
      <c r="CV18" s="33" cm="1">
        <f t="array" ref="CV18">PRODUCT(1 + 真實IC!$C27:CU27) - 1</f>
        <v>0.90752297284093331</v>
      </c>
      <c r="CW18" s="33" cm="1">
        <f t="array" ref="CW18">PRODUCT(1 + 真實IC!$C27:CV27) - 1</f>
        <v>0.90512335385454468</v>
      </c>
      <c r="CX18" s="33" cm="1">
        <f t="array" ref="CX18">PRODUCT(1 + 真實IC!$C27:CW27) - 1</f>
        <v>0.90957440110152876</v>
      </c>
      <c r="CY18" s="33" cm="1">
        <f t="array" ref="CY18">PRODUCT(1 + 真實IC!$C27:CX27) - 1</f>
        <v>0.78685723504233995</v>
      </c>
      <c r="CZ18" s="33" cm="1">
        <f t="array" ref="CZ18">PRODUCT(1 + 真實IC!$C27:CY27) - 1</f>
        <v>0.80992516787144164</v>
      </c>
      <c r="DA18" s="33" cm="1">
        <f t="array" ref="DA18">PRODUCT(1 + 真實IC!$C27:CZ27) - 1</f>
        <v>0.58282101623526672</v>
      </c>
      <c r="DB18" s="33" cm="1">
        <f t="array" ref="DB18">PRODUCT(1 + 真實IC!$C27:DA27) - 1</f>
        <v>0.60132527488651344</v>
      </c>
      <c r="DC18" s="33" cm="1">
        <f t="array" ref="DC18">PRODUCT(1 + 真實IC!$C27:DB27) - 1</f>
        <v>0.61147422419279152</v>
      </c>
      <c r="DD18" s="33" cm="1">
        <f t="array" ref="DD18">PRODUCT(1 + 真實IC!$C27:DC27) - 1</f>
        <v>0.42243966588262949</v>
      </c>
      <c r="DE18" s="33" cm="1">
        <f t="array" ref="DE18">PRODUCT(1 + 真實IC!$C27:DD27) - 1</f>
        <v>0.37121637307647259</v>
      </c>
      <c r="DF18" s="33" cm="1">
        <f t="array" ref="DF18">PRODUCT(1 + 真實IC!$C27:DE27) - 1</f>
        <v>0.5616938276257708</v>
      </c>
      <c r="DG18" s="33" cm="1">
        <f t="array" ref="DG18">PRODUCT(1 + 真實IC!$C27:DF27) - 1</f>
        <v>0.48182332962932128</v>
      </c>
      <c r="DH18" s="33" cm="1">
        <f t="array" ref="DH18">PRODUCT(1 + 真實IC!$C27:DG27) - 1</f>
        <v>0.59552577817978314</v>
      </c>
      <c r="DI18" s="33" cm="1">
        <f t="array" ref="DI18">PRODUCT(1 + 真實IC!$C27:DH27) - 1</f>
        <v>0.62027043996328524</v>
      </c>
      <c r="DJ18" s="33" cm="1">
        <f t="array" ref="DJ18">PRODUCT(1 + 真實IC!$C27:DI27) - 1</f>
        <v>0.65789923395288952</v>
      </c>
      <c r="DK18" s="33" cm="1">
        <f t="array" ref="DK18">PRODUCT(1 + 真實IC!$C27:DJ27) - 1</f>
        <v>0.62743885630809859</v>
      </c>
      <c r="DL18" s="33" cm="1">
        <f t="array" ref="DL18">PRODUCT(1 + 真實IC!$C27:DK27) - 1</f>
        <v>0.72866394865424411</v>
      </c>
      <c r="DM18" s="33" cm="1">
        <f t="array" ref="DM18">PRODUCT(1 + 真實IC!$C27:DL27) - 1</f>
        <v>0.76340716304992284</v>
      </c>
      <c r="DN18" s="33" cm="1">
        <f t="array" ref="DN18">PRODUCT(1 + 真實IC!$C27:DM27) - 1</f>
        <v>0.78721129009524526</v>
      </c>
      <c r="DO18" s="33" cm="1">
        <f t="array" ref="DO18">PRODUCT(1 + 真實IC!$C27:DN27) - 1</f>
        <v>0.73314419395664854</v>
      </c>
      <c r="DP18" s="33" cm="1">
        <f t="array" ref="DP18">PRODUCT(1 + 真實IC!$C27:DO27) - 1</f>
        <v>0.7036411650845571</v>
      </c>
      <c r="DQ18" s="33" cm="1">
        <f t="array" ref="DQ18">PRODUCT(1 + 真實IC!$C27:DP27) - 1</f>
        <v>0.666521339911188</v>
      </c>
      <c r="DR18" s="33" cm="1">
        <f t="array" ref="DR18">PRODUCT(1 + 真實IC!$C27:DQ27) - 1</f>
        <v>0.80941825308633253</v>
      </c>
      <c r="DS18" s="33" cm="1">
        <f t="array" ref="DS18">PRODUCT(1 + 真實IC!$C27:DR27) - 1</f>
        <v>0.86027510799998974</v>
      </c>
      <c r="DT18" s="33" cm="1">
        <f t="array" ref="DT18">PRODUCT(1 + 真實IC!$C27:DS27) - 1</f>
        <v>0.85599059714061299</v>
      </c>
      <c r="DU18" s="33" cm="1">
        <f t="array" ref="DU18">PRODUCT(1 + 真實IC!$C27:DT27) - 1</f>
        <v>0.9645125910761998</v>
      </c>
      <c r="DV18" s="33" cm="1">
        <f t="array" ref="DV18">PRODUCT(1 + 真實IC!$C27:DU27) - 1</f>
        <v>1.0974294483812512</v>
      </c>
      <c r="DW18" s="33" cm="1">
        <f t="array" ref="DW18">PRODUCT(1 + 真實IC!$C27:DV27) - 1</f>
        <v>1.1079601605760616</v>
      </c>
      <c r="DX18" s="33" cm="1">
        <f t="array" ref="DX18">PRODUCT(1 + 真實IC!$C27:DW27) - 1</f>
        <v>1.1868319851241949</v>
      </c>
      <c r="DY18" s="33" cm="1">
        <f t="array" ref="DY18">PRODUCT(1 + 真實IC!$C27:DX27) - 1</f>
        <v>1.3707686184169408</v>
      </c>
      <c r="DZ18" s="33" cm="1">
        <f t="array" ref="DZ18">PRODUCT(1 + 真實IC!$C27:DY27) - 1</f>
        <v>1.2834475238077694</v>
      </c>
      <c r="EA18" s="33" cm="1">
        <f t="array" ref="EA18">PRODUCT(1 + 真實IC!$C27:DZ27) - 1</f>
        <v>1.2905072649494538</v>
      </c>
      <c r="EB18" s="33" cm="1">
        <f t="array" ref="EB18">PRODUCT(1 + 真實IC!$C27:EA27) - 1</f>
        <v>1.2860233033025419</v>
      </c>
      <c r="EC18" s="33" cm="1">
        <f t="array" ref="EC18">PRODUCT(1 + 真實IC!$C27:EB27) - 1</f>
        <v>1.3465094307246845</v>
      </c>
      <c r="ED18" s="33" cm="1">
        <f t="array" ref="ED18">PRODUCT(1 + 真實IC!$C27:EC27) - 1</f>
        <v>1.2884273650883467</v>
      </c>
      <c r="EE18" s="33" cm="1">
        <f t="array" ref="EE18">PRODUCT(1 + 真實IC!$C27:ED27) - 1</f>
        <v>1.3664981882262612</v>
      </c>
      <c r="EF18" s="33" cm="1">
        <f t="array" ref="EF18">PRODUCT(1 + 真實IC!$C27:EE27) - 1</f>
        <v>1.4163413115117764</v>
      </c>
      <c r="EG18" s="33" cm="1">
        <f t="array" ref="EG18">PRODUCT(1 + 真實IC!$C27:EF27) - 1</f>
        <v>1.367344209826507</v>
      </c>
    </row>
    <row r="22" spans="1:138" s="1" customFormat="1" ht="16">
      <c r="C22" s="6" t="s">
        <v>164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  <c r="S22" s="1" t="s">
        <v>18</v>
      </c>
      <c r="T22" s="1" t="s">
        <v>19</v>
      </c>
      <c r="U22" s="1" t="s">
        <v>20</v>
      </c>
      <c r="V22" s="1" t="s">
        <v>21</v>
      </c>
      <c r="W22" s="1" t="s">
        <v>22</v>
      </c>
      <c r="X22" s="1" t="s">
        <v>23</v>
      </c>
      <c r="Y22" s="1" t="s">
        <v>24</v>
      </c>
      <c r="Z22" s="1" t="s">
        <v>25</v>
      </c>
      <c r="AA22" s="1" t="s">
        <v>26</v>
      </c>
      <c r="AB22" s="1" t="s">
        <v>27</v>
      </c>
      <c r="AC22" s="1" t="s">
        <v>28</v>
      </c>
      <c r="AD22" s="1" t="s">
        <v>29</v>
      </c>
      <c r="AE22" s="1" t="s">
        <v>30</v>
      </c>
      <c r="AF22" s="1" t="s">
        <v>31</v>
      </c>
      <c r="AG22" s="1" t="s">
        <v>32</v>
      </c>
      <c r="AH22" s="1" t="s">
        <v>33</v>
      </c>
      <c r="AI22" s="1" t="s">
        <v>34</v>
      </c>
      <c r="AJ22" s="1" t="s">
        <v>35</v>
      </c>
      <c r="AK22" s="1" t="s">
        <v>36</v>
      </c>
      <c r="AL22" s="1" t="s">
        <v>37</v>
      </c>
      <c r="AM22" s="1" t="s">
        <v>38</v>
      </c>
      <c r="AN22" s="1" t="s">
        <v>39</v>
      </c>
      <c r="AO22" s="1" t="s">
        <v>40</v>
      </c>
      <c r="AP22" s="1" t="s">
        <v>41</v>
      </c>
      <c r="AQ22" s="1" t="s">
        <v>42</v>
      </c>
      <c r="AR22" s="1" t="s">
        <v>43</v>
      </c>
      <c r="AS22" s="1" t="s">
        <v>44</v>
      </c>
      <c r="AT22" s="1" t="s">
        <v>45</v>
      </c>
      <c r="AU22" s="1" t="s">
        <v>46</v>
      </c>
      <c r="AV22" s="1" t="s">
        <v>47</v>
      </c>
      <c r="AW22" s="1" t="s">
        <v>48</v>
      </c>
      <c r="AX22" s="1" t="s">
        <v>49</v>
      </c>
      <c r="AY22" s="1" t="s">
        <v>50</v>
      </c>
      <c r="AZ22" s="1" t="s">
        <v>51</v>
      </c>
      <c r="BA22" s="1" t="s">
        <v>52</v>
      </c>
      <c r="BB22" s="1" t="s">
        <v>53</v>
      </c>
      <c r="BC22" s="1" t="s">
        <v>54</v>
      </c>
      <c r="BD22" s="1" t="s">
        <v>55</v>
      </c>
      <c r="BE22" s="1" t="s">
        <v>56</v>
      </c>
      <c r="BF22" s="1" t="s">
        <v>57</v>
      </c>
      <c r="BG22" s="1" t="s">
        <v>58</v>
      </c>
      <c r="BH22" s="1" t="s">
        <v>59</v>
      </c>
      <c r="BI22" s="1" t="s">
        <v>60</v>
      </c>
      <c r="BJ22" s="1" t="s">
        <v>61</v>
      </c>
      <c r="BK22" s="1" t="s">
        <v>62</v>
      </c>
      <c r="BL22" s="1" t="s">
        <v>63</v>
      </c>
      <c r="BM22" s="1" t="s">
        <v>64</v>
      </c>
      <c r="BN22" s="1" t="s">
        <v>65</v>
      </c>
      <c r="BO22" s="1" t="s">
        <v>66</v>
      </c>
      <c r="BP22" s="1" t="s">
        <v>67</v>
      </c>
      <c r="BQ22" s="1" t="s">
        <v>68</v>
      </c>
      <c r="BR22" s="1" t="s">
        <v>69</v>
      </c>
      <c r="BS22" s="1" t="s">
        <v>70</v>
      </c>
      <c r="BT22" s="1" t="s">
        <v>71</v>
      </c>
      <c r="BU22" s="1" t="s">
        <v>72</v>
      </c>
      <c r="BV22" s="1" t="s">
        <v>73</v>
      </c>
      <c r="BW22" s="1" t="s">
        <v>74</v>
      </c>
      <c r="BX22" s="1" t="s">
        <v>75</v>
      </c>
      <c r="BY22" s="1" t="s">
        <v>76</v>
      </c>
      <c r="BZ22" s="1" t="s">
        <v>77</v>
      </c>
      <c r="CA22" s="1" t="s">
        <v>78</v>
      </c>
      <c r="CB22" s="1" t="s">
        <v>79</v>
      </c>
      <c r="CC22" s="1" t="s">
        <v>80</v>
      </c>
      <c r="CD22" s="1" t="s">
        <v>81</v>
      </c>
      <c r="CE22" s="1" t="s">
        <v>82</v>
      </c>
      <c r="CF22" s="1" t="s">
        <v>83</v>
      </c>
      <c r="CG22" s="1" t="s">
        <v>84</v>
      </c>
      <c r="CH22" s="1" t="s">
        <v>85</v>
      </c>
      <c r="CI22" s="1" t="s">
        <v>86</v>
      </c>
      <c r="CJ22" s="1" t="s">
        <v>87</v>
      </c>
      <c r="CK22" s="1" t="s">
        <v>88</v>
      </c>
      <c r="CL22" s="1" t="s">
        <v>89</v>
      </c>
      <c r="CM22" s="1" t="s">
        <v>90</v>
      </c>
      <c r="CN22" s="1" t="s">
        <v>91</v>
      </c>
      <c r="CO22" s="1" t="s">
        <v>92</v>
      </c>
      <c r="CP22" s="1" t="s">
        <v>93</v>
      </c>
      <c r="CQ22" s="1" t="s">
        <v>94</v>
      </c>
      <c r="CR22" s="1" t="s">
        <v>95</v>
      </c>
      <c r="CS22" s="1" t="s">
        <v>96</v>
      </c>
      <c r="CT22" s="1" t="s">
        <v>97</v>
      </c>
      <c r="CU22" s="1" t="s">
        <v>98</v>
      </c>
      <c r="CV22" s="1" t="s">
        <v>99</v>
      </c>
      <c r="CW22" s="1" t="s">
        <v>100</v>
      </c>
      <c r="CX22" s="1" t="s">
        <v>101</v>
      </c>
      <c r="CY22" s="1" t="s">
        <v>102</v>
      </c>
      <c r="CZ22" s="1" t="s">
        <v>103</v>
      </c>
      <c r="DA22" s="1" t="s">
        <v>104</v>
      </c>
      <c r="DB22" s="1" t="s">
        <v>105</v>
      </c>
      <c r="DC22" s="1" t="s">
        <v>106</v>
      </c>
      <c r="DD22" s="1" t="s">
        <v>107</v>
      </c>
      <c r="DE22" s="1" t="s">
        <v>108</v>
      </c>
      <c r="DF22" s="1" t="s">
        <v>109</v>
      </c>
      <c r="DG22" s="1" t="s">
        <v>110</v>
      </c>
      <c r="DH22" s="1" t="s">
        <v>111</v>
      </c>
      <c r="DI22" s="1" t="s">
        <v>112</v>
      </c>
      <c r="DJ22" s="1" t="s">
        <v>113</v>
      </c>
      <c r="DK22" s="1" t="s">
        <v>114</v>
      </c>
      <c r="DL22" s="1" t="s">
        <v>115</v>
      </c>
      <c r="DM22" s="1" t="s">
        <v>116</v>
      </c>
      <c r="DN22" s="1" t="s">
        <v>117</v>
      </c>
      <c r="DO22" s="1" t="s">
        <v>118</v>
      </c>
      <c r="DP22" s="1" t="s">
        <v>119</v>
      </c>
      <c r="DQ22" s="1" t="s">
        <v>120</v>
      </c>
      <c r="DR22" s="1" t="s">
        <v>121</v>
      </c>
      <c r="DS22" s="1" t="s">
        <v>122</v>
      </c>
      <c r="DT22" s="1" t="s">
        <v>123</v>
      </c>
      <c r="DU22" s="1" t="s">
        <v>124</v>
      </c>
      <c r="DV22" s="1" t="s">
        <v>125</v>
      </c>
      <c r="DW22" s="1" t="s">
        <v>126</v>
      </c>
      <c r="DX22" s="1" t="s">
        <v>127</v>
      </c>
      <c r="DY22" s="1" t="s">
        <v>128</v>
      </c>
      <c r="DZ22" s="1" t="s">
        <v>129</v>
      </c>
      <c r="EA22" s="1" t="s">
        <v>130</v>
      </c>
      <c r="EB22" s="1" t="s">
        <v>131</v>
      </c>
      <c r="EC22" s="1" t="s">
        <v>132</v>
      </c>
      <c r="ED22" s="1" t="s">
        <v>133</v>
      </c>
      <c r="EE22" s="1" t="s">
        <v>134</v>
      </c>
      <c r="EF22" s="1" t="s">
        <v>140</v>
      </c>
      <c r="EG22" s="1" t="s">
        <v>144</v>
      </c>
      <c r="EH22" s="44"/>
    </row>
    <row r="23" spans="1:138" s="1" customFormat="1" ht="16">
      <c r="C23" s="6">
        <v>10</v>
      </c>
      <c r="D23" s="1">
        <v>1.4499246984096104E-2</v>
      </c>
      <c r="E23" s="1">
        <v>-3.9213245731639645E-4</v>
      </c>
      <c r="F23" s="1">
        <v>1.0010455589208878E-3</v>
      </c>
      <c r="G23" s="1">
        <v>-5.5014357119156254E-2</v>
      </c>
      <c r="H23" s="1">
        <v>-1.536138516245622E-2</v>
      </c>
      <c r="I23" s="1">
        <v>-2.4813185614166122E-2</v>
      </c>
      <c r="J23" s="1">
        <v>9.0323693452580844E-3</v>
      </c>
      <c r="K23" s="1">
        <v>3.2546476297351079E-2</v>
      </c>
      <c r="L23" s="1">
        <v>4.2835704774678351E-2</v>
      </c>
      <c r="M23" s="1">
        <v>7.5489742594432307E-2</v>
      </c>
      <c r="N23" s="1">
        <v>5.6109786849479981E-2</v>
      </c>
      <c r="O23" s="1">
        <v>9.2760338902505568E-2</v>
      </c>
      <c r="P23" s="1">
        <v>0.12202967709692758</v>
      </c>
      <c r="Q23" s="1">
        <v>0.12174431341185543</v>
      </c>
      <c r="R23" s="1">
        <v>0.1478582699885751</v>
      </c>
      <c r="S23" s="1">
        <v>0.17813861189379732</v>
      </c>
      <c r="T23" s="1">
        <v>0.26134171506414328</v>
      </c>
      <c r="U23" s="1">
        <v>0.36397823295921805</v>
      </c>
      <c r="V23" s="1">
        <v>0.37666431631300812</v>
      </c>
      <c r="W23" s="1">
        <v>0.39334010433867883</v>
      </c>
      <c r="X23" s="1">
        <v>0.43293557367053337</v>
      </c>
      <c r="Y23" s="1">
        <v>0.58535612511784896</v>
      </c>
      <c r="Z23" s="1">
        <v>0.66308010963605168</v>
      </c>
      <c r="AA23" s="1">
        <v>0.77178361299203746</v>
      </c>
      <c r="AB23" s="1">
        <v>0.78401206415056124</v>
      </c>
      <c r="AC23" s="1">
        <v>0.80872643092733809</v>
      </c>
      <c r="AD23" s="1">
        <v>0.85659289637632297</v>
      </c>
      <c r="AE23" s="1">
        <v>0.91065120334982819</v>
      </c>
      <c r="AF23" s="1">
        <v>0.99937748258041958</v>
      </c>
      <c r="AG23" s="1">
        <v>1.0438325611711594</v>
      </c>
      <c r="AH23" s="1">
        <v>1.0516296401838132</v>
      </c>
      <c r="AI23" s="1">
        <v>1.0902058780226143</v>
      </c>
      <c r="AJ23" s="1">
        <v>1.071825041265178</v>
      </c>
      <c r="AK23" s="1">
        <v>1.1133694647888608</v>
      </c>
      <c r="AL23" s="1">
        <v>1.1433070669142906</v>
      </c>
      <c r="AM23" s="1">
        <v>1.2440707331435772</v>
      </c>
      <c r="AN23" s="1">
        <v>1.3081185932833592</v>
      </c>
      <c r="AO23" s="1">
        <v>1.2466173220147101</v>
      </c>
      <c r="AP23" s="1">
        <v>1.2129282374667736</v>
      </c>
      <c r="AQ23" s="1">
        <v>1.3008348875706091</v>
      </c>
      <c r="AR23" s="1">
        <v>1.3231380718723176</v>
      </c>
      <c r="AS23" s="1">
        <v>1.3747652296163011</v>
      </c>
      <c r="AT23" s="1">
        <v>1.4300078758104657</v>
      </c>
      <c r="AU23" s="1">
        <v>1.6168360195928444</v>
      </c>
      <c r="AV23" s="1">
        <v>1.6071183036764651</v>
      </c>
      <c r="AW23" s="1">
        <v>1.7294190235482185</v>
      </c>
      <c r="AX23" s="1">
        <v>1.7773569659231527</v>
      </c>
      <c r="AY23" s="1">
        <v>1.8897890644963988</v>
      </c>
      <c r="AZ23" s="1">
        <v>2.0289512413082291</v>
      </c>
      <c r="BA23" s="1">
        <v>2.1004785714312058</v>
      </c>
      <c r="BB23" s="1">
        <v>2.1824376447651788</v>
      </c>
      <c r="BC23" s="1">
        <v>2.1863646843518585</v>
      </c>
      <c r="BD23" s="1">
        <v>2.3051399630145442</v>
      </c>
      <c r="BE23" s="1">
        <v>2.3323134360992155</v>
      </c>
      <c r="BF23" s="1">
        <v>2.2144543579055185</v>
      </c>
      <c r="BG23" s="1">
        <v>2.4423750331895482</v>
      </c>
      <c r="BH23" s="1">
        <v>2.5413087600612281</v>
      </c>
      <c r="BI23" s="1">
        <v>2.8385090912484356</v>
      </c>
      <c r="BJ23" s="1">
        <v>3.1401166854202867</v>
      </c>
      <c r="BK23" s="1">
        <v>3.2422249056125239</v>
      </c>
      <c r="BL23" s="1">
        <v>3.239436136977349</v>
      </c>
      <c r="BM23" s="1">
        <v>3.4540209877411634</v>
      </c>
      <c r="BN23" s="1">
        <v>3.5459253392314407</v>
      </c>
      <c r="BO23" s="1">
        <v>3.6109559807832845</v>
      </c>
      <c r="BP23" s="1">
        <v>3.8947201110329281</v>
      </c>
      <c r="BQ23" s="1">
        <v>4.0562212853016639</v>
      </c>
      <c r="BR23" s="1">
        <v>4.2193663464204674</v>
      </c>
      <c r="BS23" s="1">
        <v>4.5168006799058817</v>
      </c>
      <c r="BT23" s="1">
        <v>4.6968848039482358</v>
      </c>
      <c r="BU23" s="1">
        <v>4.7901130893320918</v>
      </c>
      <c r="BV23" s="1">
        <v>4.8880529519686435</v>
      </c>
      <c r="BW23" s="1">
        <v>5.1116172702687441</v>
      </c>
      <c r="BX23" s="1">
        <v>5.3834436953827636</v>
      </c>
      <c r="BY23" s="1">
        <v>5.4789934259146182</v>
      </c>
      <c r="BZ23" s="1">
        <v>6.0492181557677176</v>
      </c>
      <c r="CA23" s="1">
        <v>6.2588336491036305</v>
      </c>
      <c r="CB23" s="1">
        <v>6.2544515751817125</v>
      </c>
      <c r="CC23" s="1">
        <v>6.4515830469243918</v>
      </c>
      <c r="CD23" s="1">
        <v>6.3314547300711306</v>
      </c>
      <c r="CE23" s="1">
        <v>6.6909585315712974</v>
      </c>
      <c r="CF23" s="1">
        <v>7.0817864259614467</v>
      </c>
      <c r="CG23" s="1">
        <v>7.1760044195668584</v>
      </c>
      <c r="CH23" s="1">
        <v>7.3448875329194365</v>
      </c>
      <c r="CI23" s="1">
        <v>7.6165817436609551</v>
      </c>
      <c r="CJ23" s="1">
        <v>8.1257683177126889</v>
      </c>
      <c r="CK23" s="1">
        <v>8.7103594894635386</v>
      </c>
      <c r="CL23" s="1">
        <v>9.3803020870502287</v>
      </c>
      <c r="CM23" s="1">
        <v>10.496338587180771</v>
      </c>
      <c r="CN23" s="1">
        <v>10.193364645235262</v>
      </c>
      <c r="CO23" s="1">
        <v>11.941459353386172</v>
      </c>
      <c r="CP23" s="1">
        <v>12.668534117791028</v>
      </c>
      <c r="CQ23" s="1">
        <v>12.654796939807042</v>
      </c>
      <c r="CR23" s="1">
        <v>13.574810517402572</v>
      </c>
      <c r="CS23" s="1">
        <v>14.388206339682224</v>
      </c>
      <c r="CT23" s="1">
        <v>14.730688774042138</v>
      </c>
      <c r="CU23" s="1">
        <v>15.763944775268026</v>
      </c>
      <c r="CV23" s="1">
        <v>16.624230589120774</v>
      </c>
      <c r="CW23" s="1">
        <v>17.249594591419193</v>
      </c>
      <c r="CX23" s="1">
        <v>17.558842711100464</v>
      </c>
      <c r="CY23" s="1">
        <v>18.129576087657679</v>
      </c>
      <c r="CZ23" s="1">
        <v>17.815457042330575</v>
      </c>
      <c r="DA23" s="1">
        <v>18.047343665697362</v>
      </c>
      <c r="DB23" s="1">
        <v>19.256768585630034</v>
      </c>
      <c r="DC23" s="1">
        <v>18.535925750058247</v>
      </c>
      <c r="DD23" s="1">
        <v>19.010972059338325</v>
      </c>
      <c r="DE23" s="1">
        <v>20.287549360431242</v>
      </c>
      <c r="DF23" s="1">
        <v>21.929502729352535</v>
      </c>
      <c r="DG23" s="1">
        <v>21.662962859342677</v>
      </c>
      <c r="DH23" s="1">
        <v>20.58886484220594</v>
      </c>
      <c r="DI23" s="1">
        <v>19.9238596881634</v>
      </c>
      <c r="DJ23" s="1">
        <v>19.296577972246542</v>
      </c>
      <c r="DK23" s="1">
        <v>20.244418926966993</v>
      </c>
      <c r="DL23" s="1">
        <v>20.267175919386556</v>
      </c>
      <c r="DM23" s="1">
        <v>20.528985137514709</v>
      </c>
      <c r="DN23" s="1">
        <v>21.730617629587464</v>
      </c>
      <c r="DO23" s="1">
        <v>22.1297259669029</v>
      </c>
      <c r="DP23" s="1">
        <v>22.569901496689969</v>
      </c>
      <c r="DQ23" s="1">
        <v>24.067084418443251</v>
      </c>
      <c r="DR23" s="1">
        <v>24.736058670657624</v>
      </c>
      <c r="DS23" s="1">
        <v>25.23475573648324</v>
      </c>
      <c r="DT23" s="1">
        <v>24.02732001883604</v>
      </c>
      <c r="DU23" s="1">
        <v>24.27949357157285</v>
      </c>
      <c r="DV23" s="1">
        <v>25.436969332777085</v>
      </c>
      <c r="DW23" s="1">
        <v>25.408493470471537</v>
      </c>
      <c r="DX23" s="1">
        <v>26.926491396586147</v>
      </c>
      <c r="DY23" s="1">
        <v>27.980199367898365</v>
      </c>
      <c r="DZ23" s="1">
        <v>26.162322985598127</v>
      </c>
      <c r="EA23" s="1">
        <v>26.935180323001525</v>
      </c>
      <c r="EB23" s="1">
        <v>29.637494464462939</v>
      </c>
      <c r="EC23" s="1">
        <v>30.61444496601823</v>
      </c>
      <c r="ED23" s="1">
        <v>31.299927436983481</v>
      </c>
      <c r="EE23" s="1">
        <v>32.216632992124012</v>
      </c>
      <c r="EF23" s="1">
        <v>31.279383166065472</v>
      </c>
      <c r="EG23" s="1">
        <v>30.252548282990183</v>
      </c>
      <c r="EH23" s="44"/>
    </row>
    <row r="24" spans="1:138" s="1" customFormat="1" ht="16">
      <c r="C24" s="6">
        <v>20</v>
      </c>
      <c r="D24" s="1">
        <v>-7.4773642018864939E-3</v>
      </c>
      <c r="E24" s="1">
        <v>-2.0613071426295315E-3</v>
      </c>
      <c r="F24" s="1">
        <v>3.4509336694801274E-3</v>
      </c>
      <c r="G24" s="1">
        <v>-5.6742602548122578E-2</v>
      </c>
      <c r="H24" s="1">
        <v>-2.7811881860548726E-2</v>
      </c>
      <c r="I24" s="1">
        <v>-4.4716665122293442E-2</v>
      </c>
      <c r="J24" s="1">
        <v>1.0770031231770449E-2</v>
      </c>
      <c r="K24" s="1">
        <v>5.1055973038990787E-2</v>
      </c>
      <c r="L24" s="1">
        <v>6.7727495995814513E-2</v>
      </c>
      <c r="M24" s="1">
        <v>0.13030417350407486</v>
      </c>
      <c r="N24" s="1">
        <v>0.12818909094345354</v>
      </c>
      <c r="O24" s="1">
        <v>0.17714394295791691</v>
      </c>
      <c r="P24" s="1">
        <v>0.20683181625194602</v>
      </c>
      <c r="Q24" s="1">
        <v>0.19925575132375384</v>
      </c>
      <c r="R24" s="1">
        <v>0.2077219192231714</v>
      </c>
      <c r="S24" s="1">
        <v>0.21699003486270141</v>
      </c>
      <c r="T24" s="1">
        <v>0.32941677392414337</v>
      </c>
      <c r="U24" s="1">
        <v>0.460682274826691</v>
      </c>
      <c r="V24" s="1">
        <v>0.50075501209876228</v>
      </c>
      <c r="W24" s="1">
        <v>0.53501837874449687</v>
      </c>
      <c r="X24" s="1">
        <v>0.58255621566379845</v>
      </c>
      <c r="Y24" s="1">
        <v>0.82055016294012328</v>
      </c>
      <c r="Z24" s="1">
        <v>0.92904450628665547</v>
      </c>
      <c r="AA24" s="1">
        <v>1.101880309641269</v>
      </c>
      <c r="AB24" s="1">
        <v>1.1897324935356348</v>
      </c>
      <c r="AC24" s="1">
        <v>1.2106743689598298</v>
      </c>
      <c r="AD24" s="1">
        <v>1.3496976261533722</v>
      </c>
      <c r="AE24" s="1">
        <v>1.4498187898693997</v>
      </c>
      <c r="AF24" s="1">
        <v>1.6386297947285708</v>
      </c>
      <c r="AG24" s="1">
        <v>1.8123322354275091</v>
      </c>
      <c r="AH24" s="1">
        <v>1.7844755004380533</v>
      </c>
      <c r="AI24" s="1">
        <v>1.934604740786614</v>
      </c>
      <c r="AJ24" s="1">
        <v>1.8798859646830386</v>
      </c>
      <c r="AK24" s="1">
        <v>1.9174275515929291</v>
      </c>
      <c r="AL24" s="1">
        <v>1.9533690896965581</v>
      </c>
      <c r="AM24" s="1">
        <v>2.191408942020959</v>
      </c>
      <c r="AN24" s="1">
        <v>2.3249292838193245</v>
      </c>
      <c r="AO24" s="1">
        <v>2.2252556824962402</v>
      </c>
      <c r="AP24" s="1">
        <v>2.2307671499892767</v>
      </c>
      <c r="AQ24" s="1">
        <v>2.382319821547922</v>
      </c>
      <c r="AR24" s="1">
        <v>2.4915462505469588</v>
      </c>
      <c r="AS24" s="1">
        <v>2.5643381596896657</v>
      </c>
      <c r="AT24" s="1">
        <v>2.6193791356543019</v>
      </c>
      <c r="AU24" s="1">
        <v>2.9392003094205545</v>
      </c>
      <c r="AV24" s="1">
        <v>3.0010277065426001</v>
      </c>
      <c r="AW24" s="1">
        <v>3.3337602016138765</v>
      </c>
      <c r="AX24" s="1">
        <v>3.5587370014139559</v>
      </c>
      <c r="AY24" s="1">
        <v>3.7795358907972885</v>
      </c>
      <c r="AZ24" s="1">
        <v>4.1059167399851351</v>
      </c>
      <c r="BA24" s="1">
        <v>4.2653261978576253</v>
      </c>
      <c r="BB24" s="1">
        <v>4.4032160032931493</v>
      </c>
      <c r="BC24" s="1">
        <v>4.6974882890449194</v>
      </c>
      <c r="BD24" s="1">
        <v>4.9669285265340246</v>
      </c>
      <c r="BE24" s="1">
        <v>5.0323398657427258</v>
      </c>
      <c r="BF24" s="1">
        <v>4.7682814909562401</v>
      </c>
      <c r="BG24" s="1">
        <v>5.1834913645489005</v>
      </c>
      <c r="BH24" s="1">
        <v>5.5410569714755775</v>
      </c>
      <c r="BI24" s="1">
        <v>5.9488029642231197</v>
      </c>
      <c r="BJ24" s="1">
        <v>6.4375783555607882</v>
      </c>
      <c r="BK24" s="1">
        <v>6.6180592835661889</v>
      </c>
      <c r="BL24" s="1">
        <v>6.550423137134433</v>
      </c>
      <c r="BM24" s="1">
        <v>6.847234131887145</v>
      </c>
      <c r="BN24" s="1">
        <v>7.0419401268041177</v>
      </c>
      <c r="BO24" s="1">
        <v>7.1080952638835999</v>
      </c>
      <c r="BP24" s="1">
        <v>7.7776442272618613</v>
      </c>
      <c r="BQ24" s="1">
        <v>8.2832192014383192</v>
      </c>
      <c r="BR24" s="1">
        <v>8.5076549999217939</v>
      </c>
      <c r="BS24" s="1">
        <v>9.2818462484857953</v>
      </c>
      <c r="BT24" s="1">
        <v>9.6949761193349584</v>
      </c>
      <c r="BU24" s="1">
        <v>9.7005489684641333</v>
      </c>
      <c r="BV24" s="1">
        <v>9.8666981730947558</v>
      </c>
      <c r="BW24" s="1">
        <v>10.625351047625315</v>
      </c>
      <c r="BX24" s="1">
        <v>11.505552942373598</v>
      </c>
      <c r="BY24" s="1">
        <v>11.983645578739278</v>
      </c>
      <c r="BZ24" s="1">
        <v>13.13780658526658</v>
      </c>
      <c r="CA24" s="1">
        <v>13.839320914808035</v>
      </c>
      <c r="CB24" s="1">
        <v>13.675776975795776</v>
      </c>
      <c r="CC24" s="1">
        <v>14.057602235165483</v>
      </c>
      <c r="CD24" s="1">
        <v>14.181448143148071</v>
      </c>
      <c r="CE24" s="1">
        <v>15.745692830951391</v>
      </c>
      <c r="CF24" s="1">
        <v>17.075934997553002</v>
      </c>
      <c r="CG24" s="1">
        <v>17.274140772551839</v>
      </c>
      <c r="CH24" s="1">
        <v>17.402220989937188</v>
      </c>
      <c r="CI24" s="1">
        <v>18.690026653005042</v>
      </c>
      <c r="CJ24" s="1">
        <v>19.721125553818691</v>
      </c>
      <c r="CK24" s="1">
        <v>21.398752627218219</v>
      </c>
      <c r="CL24" s="1">
        <v>22.176267717530244</v>
      </c>
      <c r="CM24" s="1">
        <v>24.398980765900362</v>
      </c>
      <c r="CN24" s="1">
        <v>24.043122382887887</v>
      </c>
      <c r="CO24" s="1">
        <v>28.844731706967639</v>
      </c>
      <c r="CP24" s="1">
        <v>30.65476202426483</v>
      </c>
      <c r="CQ24" s="1">
        <v>31.30612192759294</v>
      </c>
      <c r="CR24" s="1">
        <v>33.674783391540011</v>
      </c>
      <c r="CS24" s="1">
        <v>35.883362873124192</v>
      </c>
      <c r="CT24" s="1">
        <v>36.637175744360853</v>
      </c>
      <c r="CU24" s="1">
        <v>40.207754587052669</v>
      </c>
      <c r="CV24" s="1">
        <v>44.017988696623682</v>
      </c>
      <c r="CW24" s="1">
        <v>46.474930497180878</v>
      </c>
      <c r="CX24" s="1">
        <v>47.517866486171798</v>
      </c>
      <c r="CY24" s="1">
        <v>49.001680705851143</v>
      </c>
      <c r="CZ24" s="1">
        <v>46.941523863620837</v>
      </c>
      <c r="DA24" s="1">
        <v>47.176351810547779</v>
      </c>
      <c r="DB24" s="1">
        <v>51.597184174541766</v>
      </c>
      <c r="DC24" s="1">
        <v>48.3700215993697</v>
      </c>
      <c r="DD24" s="1">
        <v>49.727663089310177</v>
      </c>
      <c r="DE24" s="1">
        <v>53.978948097282711</v>
      </c>
      <c r="DF24" s="1">
        <v>57.205466458029463</v>
      </c>
      <c r="DG24" s="1">
        <v>56.200163059337669</v>
      </c>
      <c r="DH24" s="1">
        <v>52.119745943082457</v>
      </c>
      <c r="DI24" s="1">
        <v>50.058353622278418</v>
      </c>
      <c r="DJ24" s="1">
        <v>48.548536679824615</v>
      </c>
      <c r="DK24" s="1">
        <v>51.623293137964282</v>
      </c>
      <c r="DL24" s="1">
        <v>50.391861144052818</v>
      </c>
      <c r="DM24" s="1">
        <v>51.174667612519286</v>
      </c>
      <c r="DN24" s="1">
        <v>53.811784552114105</v>
      </c>
      <c r="DO24" s="1">
        <v>55.700641789466012</v>
      </c>
      <c r="DP24" s="1">
        <v>58.213905642112472</v>
      </c>
      <c r="DQ24" s="1">
        <v>62.440920915454612</v>
      </c>
      <c r="DR24" s="1">
        <v>63.669085581483785</v>
      </c>
      <c r="DS24" s="1">
        <v>65.249216797953864</v>
      </c>
      <c r="DT24" s="1">
        <v>63.267358632294503</v>
      </c>
      <c r="DU24" s="1">
        <v>62.009399557944519</v>
      </c>
      <c r="DV24" s="1">
        <v>63.502650104909549</v>
      </c>
      <c r="DW24" s="1">
        <v>63.382115447367369</v>
      </c>
      <c r="DX24" s="1">
        <v>67.773746673784785</v>
      </c>
      <c r="DY24" s="1">
        <v>71.115789578060472</v>
      </c>
      <c r="DZ24" s="1">
        <v>70.430356055685635</v>
      </c>
      <c r="EA24" s="1">
        <v>73.47463331228667</v>
      </c>
      <c r="EB24" s="1">
        <v>83.629737246444037</v>
      </c>
      <c r="EC24" s="1">
        <v>88.543305627075853</v>
      </c>
      <c r="ED24" s="1">
        <v>88.675466540592808</v>
      </c>
      <c r="EE24" s="1">
        <v>89.777135454942211</v>
      </c>
      <c r="EF24" s="1">
        <v>86.521188373558047</v>
      </c>
      <c r="EG24" s="1">
        <v>82.330738159218143</v>
      </c>
      <c r="EH24" s="44"/>
    </row>
    <row r="25" spans="1:138" s="1" customFormat="1" ht="16">
      <c r="C25" s="6">
        <v>50</v>
      </c>
      <c r="D25" s="1">
        <v>-3.3228977675766158E-2</v>
      </c>
      <c r="E25" s="1">
        <v>0.10370799743454429</v>
      </c>
      <c r="F25" s="1">
        <v>0.15659850805241926</v>
      </c>
      <c r="G25" s="1">
        <v>8.6807150865061189E-2</v>
      </c>
      <c r="H25" s="1">
        <v>8.9154553677129655E-2</v>
      </c>
      <c r="I25" s="1">
        <v>0.1016888284000157</v>
      </c>
      <c r="J25" s="1">
        <v>0.13379852760311284</v>
      </c>
      <c r="K25" s="1">
        <v>0.2155164075169993</v>
      </c>
      <c r="L25" s="1">
        <v>0.25566700143670396</v>
      </c>
      <c r="M25" s="1">
        <v>0.3942391855583729</v>
      </c>
      <c r="N25" s="1">
        <v>0.34889209500359097</v>
      </c>
      <c r="O25" s="1">
        <v>0.42627726111613651</v>
      </c>
      <c r="P25" s="1">
        <v>0.44085478637698849</v>
      </c>
      <c r="Q25" s="1">
        <v>0.45028002407424639</v>
      </c>
      <c r="R25" s="1">
        <v>0.51864444592729675</v>
      </c>
      <c r="S25" s="1">
        <v>0.55488146531145977</v>
      </c>
      <c r="T25" s="1">
        <v>0.71316020022671101</v>
      </c>
      <c r="U25" s="1">
        <v>0.95949010073308472</v>
      </c>
      <c r="V25" s="1">
        <v>1.0284308846043189</v>
      </c>
      <c r="W25" s="1">
        <v>1.1484688772960485</v>
      </c>
      <c r="X25" s="1">
        <v>1.251154953159296</v>
      </c>
      <c r="Y25" s="1">
        <v>1.7421555646238822</v>
      </c>
      <c r="Z25" s="1">
        <v>1.8243007620764442</v>
      </c>
      <c r="AA25" s="1">
        <v>2.2359252511865408</v>
      </c>
      <c r="AB25" s="1">
        <v>2.5824393215559058</v>
      </c>
      <c r="AC25" s="1">
        <v>2.7051896937413766</v>
      </c>
      <c r="AD25" s="1">
        <v>2.9583331970477316</v>
      </c>
      <c r="AE25" s="1">
        <v>3.1096201228981428</v>
      </c>
      <c r="AF25" s="1">
        <v>3.5897754797682602</v>
      </c>
      <c r="AG25" s="1">
        <v>4.3082289775508844</v>
      </c>
      <c r="AH25" s="1">
        <v>4.1737752797928085</v>
      </c>
      <c r="AI25" s="1">
        <v>4.5838062280628611</v>
      </c>
      <c r="AJ25" s="1">
        <v>4.7818227599275058</v>
      </c>
      <c r="AK25" s="1">
        <v>4.932494455460156</v>
      </c>
      <c r="AL25" s="1">
        <v>4.910210957926175</v>
      </c>
      <c r="AM25" s="1">
        <v>5.5127235165299044</v>
      </c>
      <c r="AN25" s="1">
        <v>5.6951724422315388</v>
      </c>
      <c r="AO25" s="1">
        <v>5.5670768999832445</v>
      </c>
      <c r="AP25" s="1">
        <v>5.8169170887370338</v>
      </c>
      <c r="AQ25" s="1">
        <v>6.3432689273220975</v>
      </c>
      <c r="AR25" s="1">
        <v>6.7069042157176906</v>
      </c>
      <c r="AS25" s="1">
        <v>6.7653432940959624</v>
      </c>
      <c r="AT25" s="1">
        <v>6.9764305721745838</v>
      </c>
      <c r="AU25" s="1">
        <v>7.9905273327275452</v>
      </c>
      <c r="AV25" s="1">
        <v>8.5067779149194713</v>
      </c>
      <c r="AW25" s="1">
        <v>8.7223488055102241</v>
      </c>
      <c r="AX25" s="1">
        <v>9.9348280530705235</v>
      </c>
      <c r="AY25" s="1">
        <v>10.52205803313956</v>
      </c>
      <c r="AZ25" s="1">
        <v>12.172575735508786</v>
      </c>
      <c r="BA25" s="1">
        <v>12.977032582109395</v>
      </c>
      <c r="BB25" s="1">
        <v>13.911953937275138</v>
      </c>
      <c r="BC25" s="1">
        <v>15.999357453310562</v>
      </c>
      <c r="BD25" s="1">
        <v>16.580774611239832</v>
      </c>
      <c r="BE25" s="1">
        <v>17.531712603917445</v>
      </c>
      <c r="BF25" s="1">
        <v>16.23297738073628</v>
      </c>
      <c r="BG25" s="1">
        <v>18.131578116746518</v>
      </c>
      <c r="BH25" s="1">
        <v>20.053819133845586</v>
      </c>
      <c r="BI25" s="1">
        <v>21.571529251341985</v>
      </c>
      <c r="BJ25" s="1">
        <v>22.538269356335714</v>
      </c>
      <c r="BK25" s="1">
        <v>24.153093391397459</v>
      </c>
      <c r="BL25" s="1">
        <v>23.305649960899231</v>
      </c>
      <c r="BM25" s="1">
        <v>24.338557886678792</v>
      </c>
      <c r="BN25" s="1">
        <v>24.772614489240208</v>
      </c>
      <c r="BO25" s="1">
        <v>26.906398396420059</v>
      </c>
      <c r="BP25" s="1">
        <v>27.468459242165054</v>
      </c>
      <c r="BQ25" s="1">
        <v>29.470342631351578</v>
      </c>
      <c r="BR25" s="1">
        <v>29.898606204558391</v>
      </c>
      <c r="BS25" s="1">
        <v>32.58147608784347</v>
      </c>
      <c r="BT25" s="1">
        <v>33.600093733084364</v>
      </c>
      <c r="BU25" s="1">
        <v>32.536954779045537</v>
      </c>
      <c r="BV25" s="1">
        <v>33.140704267997577</v>
      </c>
      <c r="BW25" s="1">
        <v>36.615178497675466</v>
      </c>
      <c r="BX25" s="1">
        <v>41.538911646954993</v>
      </c>
      <c r="BY25" s="1">
        <v>44.456716650910138</v>
      </c>
      <c r="BZ25" s="1">
        <v>47.484587295348497</v>
      </c>
      <c r="CA25" s="1">
        <v>48.772260607338175</v>
      </c>
      <c r="CB25" s="1">
        <v>43.96842494741113</v>
      </c>
      <c r="CC25" s="1">
        <v>46.643014669313828</v>
      </c>
      <c r="CD25" s="1">
        <v>48.023503487422253</v>
      </c>
      <c r="CE25" s="1">
        <v>52.75857283205</v>
      </c>
      <c r="CF25" s="1">
        <v>58.906032750751002</v>
      </c>
      <c r="CG25" s="1">
        <v>60.148202210998306</v>
      </c>
      <c r="CH25" s="1">
        <v>59.912485310352089</v>
      </c>
      <c r="CI25" s="1">
        <v>61.446164303693038</v>
      </c>
      <c r="CJ25" s="1">
        <v>65.481994995305385</v>
      </c>
      <c r="CK25" s="1">
        <v>73.813325982792662</v>
      </c>
      <c r="CL25" s="1">
        <v>77.573650133906895</v>
      </c>
      <c r="CM25" s="1">
        <v>79.15038296392035</v>
      </c>
      <c r="CN25" s="1">
        <v>79.558918032179818</v>
      </c>
      <c r="CO25" s="1">
        <v>97.110645254181719</v>
      </c>
      <c r="CP25" s="1">
        <v>108.7524529895247</v>
      </c>
      <c r="CQ25" s="1">
        <v>119.03179724702747</v>
      </c>
      <c r="CR25" s="1">
        <v>130.12907049010076</v>
      </c>
      <c r="CS25" s="1">
        <v>146.59752277491074</v>
      </c>
      <c r="CT25" s="1">
        <v>143.37819698584519</v>
      </c>
      <c r="CU25" s="1">
        <v>157.76939463328367</v>
      </c>
      <c r="CV25" s="1">
        <v>177.13035173299511</v>
      </c>
      <c r="CW25" s="1">
        <v>187.58216384681467</v>
      </c>
      <c r="CX25" s="1">
        <v>185.94652487594772</v>
      </c>
      <c r="CY25" s="1">
        <v>202.8912134464569</v>
      </c>
      <c r="CZ25" s="1">
        <v>183.24402569573306</v>
      </c>
      <c r="DA25" s="1">
        <v>185.14199703910162</v>
      </c>
      <c r="DB25" s="1">
        <v>201.9422776382454</v>
      </c>
      <c r="DC25" s="1">
        <v>183.62896669519967</v>
      </c>
      <c r="DD25" s="1">
        <v>187.24530880574176</v>
      </c>
      <c r="DE25" s="1">
        <v>205.13357838006092</v>
      </c>
      <c r="DF25" s="1">
        <v>211.19417851762819</v>
      </c>
      <c r="DG25" s="1">
        <v>197.57546959250342</v>
      </c>
      <c r="DH25" s="1">
        <v>180.23490528192858</v>
      </c>
      <c r="DI25" s="1">
        <v>178.71013246077973</v>
      </c>
      <c r="DJ25" s="1">
        <v>171.40327398968049</v>
      </c>
      <c r="DK25" s="1">
        <v>184.49209173637058</v>
      </c>
      <c r="DL25" s="1">
        <v>170.13253970521089</v>
      </c>
      <c r="DM25" s="1">
        <v>178.498992716842</v>
      </c>
      <c r="DN25" s="1">
        <v>176.69657468995109</v>
      </c>
      <c r="DO25" s="1">
        <v>180.12680092820682</v>
      </c>
      <c r="DP25" s="1">
        <v>192.85794094041549</v>
      </c>
      <c r="DQ25" s="1">
        <v>205.67759152324962</v>
      </c>
      <c r="DR25" s="1">
        <v>215.23127902209762</v>
      </c>
      <c r="DS25" s="1">
        <v>212.16807472424429</v>
      </c>
      <c r="DT25" s="1">
        <v>193.10280081348833</v>
      </c>
      <c r="DU25" s="1">
        <v>199.34286475090002</v>
      </c>
      <c r="DV25" s="1">
        <v>223.16715471311076</v>
      </c>
      <c r="DW25" s="1">
        <v>222.93059060159993</v>
      </c>
      <c r="DX25" s="1">
        <v>240.54647276619048</v>
      </c>
      <c r="DY25" s="1">
        <v>256.31730185991916</v>
      </c>
      <c r="DZ25" s="1">
        <v>244.05330538342295</v>
      </c>
      <c r="EA25" s="1">
        <v>248.39809111721237</v>
      </c>
      <c r="EB25" s="1">
        <v>296.36985366708598</v>
      </c>
      <c r="EC25" s="1">
        <v>322.58561767523929</v>
      </c>
      <c r="ED25" s="1">
        <v>320.38080438064043</v>
      </c>
      <c r="EE25" s="1">
        <v>330.86485699907155</v>
      </c>
      <c r="EF25" s="1">
        <v>316.75869590418648</v>
      </c>
      <c r="EG25" s="1">
        <v>289.7646547576893</v>
      </c>
      <c r="EH25" s="44"/>
    </row>
    <row r="26" spans="1:138" s="1" customFormat="1" ht="16">
      <c r="C26" s="6">
        <v>100</v>
      </c>
      <c r="D26" s="1">
        <v>-3.6350225217569587E-2</v>
      </c>
      <c r="E26" s="1">
        <v>0.22675976836332001</v>
      </c>
      <c r="F26" s="1">
        <v>0.34372469448557963</v>
      </c>
      <c r="G26" s="1">
        <v>0.39064949115372549</v>
      </c>
      <c r="H26" s="1">
        <v>0.52427699783670656</v>
      </c>
      <c r="I26" s="1">
        <v>0.52617278085868624</v>
      </c>
      <c r="J26" s="1">
        <v>0.56122860450817025</v>
      </c>
      <c r="K26" s="1">
        <v>0.59121604682361628</v>
      </c>
      <c r="L26" s="1">
        <v>0.59825673659641843</v>
      </c>
      <c r="M26" s="1">
        <v>0.6377078454256413</v>
      </c>
      <c r="N26" s="1">
        <v>0.74854042463016812</v>
      </c>
      <c r="O26" s="1">
        <v>0.94052350905306814</v>
      </c>
      <c r="P26" s="1">
        <v>0.83708535887676017</v>
      </c>
      <c r="Q26" s="1">
        <v>0.87731122674904372</v>
      </c>
      <c r="R26" s="1">
        <v>0.9927130574775116</v>
      </c>
      <c r="S26" s="1">
        <v>1.0172699988325351</v>
      </c>
      <c r="T26" s="1">
        <v>1.3063867881782332</v>
      </c>
      <c r="U26" s="1">
        <v>1.7641867749931914</v>
      </c>
      <c r="V26" s="1">
        <v>1.8615224638459407</v>
      </c>
      <c r="W26" s="1">
        <v>2.3985334892296057</v>
      </c>
      <c r="X26" s="1">
        <v>2.5707420214731673</v>
      </c>
      <c r="Y26" s="1">
        <v>3.4700807165140777</v>
      </c>
      <c r="Z26" s="1">
        <v>3.5116819647100179</v>
      </c>
      <c r="AA26" s="1">
        <v>3.8961774485877134</v>
      </c>
      <c r="AB26" s="1">
        <v>4.4511357083854879</v>
      </c>
      <c r="AC26" s="1">
        <v>4.6322279740989831</v>
      </c>
      <c r="AD26" s="1">
        <v>5.5284526120987687</v>
      </c>
      <c r="AE26" s="1">
        <v>5.4779993454142817</v>
      </c>
      <c r="AF26" s="1">
        <v>6.8499919484380705</v>
      </c>
      <c r="AG26" s="1">
        <v>8.4468850516462304</v>
      </c>
      <c r="AH26" s="1">
        <v>8.0281561774797989</v>
      </c>
      <c r="AI26" s="1">
        <v>9.5181612826390527</v>
      </c>
      <c r="AJ26" s="1">
        <v>9.7795297769127814</v>
      </c>
      <c r="AK26" s="1">
        <v>10.318151713598009</v>
      </c>
      <c r="AL26" s="1">
        <v>10.340342617332849</v>
      </c>
      <c r="AM26" s="1">
        <v>11.358522241934264</v>
      </c>
      <c r="AN26" s="1">
        <v>11.098391847251591</v>
      </c>
      <c r="AO26" s="1">
        <v>10.668893368205394</v>
      </c>
      <c r="AP26" s="1">
        <v>11.268493855661966</v>
      </c>
      <c r="AQ26" s="1">
        <v>12.189540720012907</v>
      </c>
      <c r="AR26" s="1">
        <v>13.853827126466976</v>
      </c>
      <c r="AS26" s="1">
        <v>14.117242308585606</v>
      </c>
      <c r="AT26" s="1">
        <v>14.12933050614844</v>
      </c>
      <c r="AU26" s="1">
        <v>15.924610247320818</v>
      </c>
      <c r="AV26" s="1">
        <v>17.23075142597305</v>
      </c>
      <c r="AW26" s="1">
        <v>17.149382996092733</v>
      </c>
      <c r="AX26" s="1">
        <v>20.586164147398268</v>
      </c>
      <c r="AY26" s="1">
        <v>23.029207823787676</v>
      </c>
      <c r="AZ26" s="1">
        <v>27.835200046995148</v>
      </c>
      <c r="BA26" s="1">
        <v>29.791562519585703</v>
      </c>
      <c r="BB26" s="1">
        <v>29.325016816473532</v>
      </c>
      <c r="BC26" s="1">
        <v>31.892478047581015</v>
      </c>
      <c r="BD26" s="1">
        <v>33.835529120041514</v>
      </c>
      <c r="BE26" s="1">
        <v>34.171604230236753</v>
      </c>
      <c r="BF26" s="1">
        <v>32.715571188950165</v>
      </c>
      <c r="BG26" s="1">
        <v>37.005955577163299</v>
      </c>
      <c r="BH26" s="1">
        <v>41.915180704218166</v>
      </c>
      <c r="BI26" s="1">
        <v>44.85213549518464</v>
      </c>
      <c r="BJ26" s="1">
        <v>51.058404625969054</v>
      </c>
      <c r="BK26" s="1">
        <v>57.831736928629994</v>
      </c>
      <c r="BL26" s="1">
        <v>60.514754308375899</v>
      </c>
      <c r="BM26" s="1">
        <v>61.813494813225255</v>
      </c>
      <c r="BN26" s="1">
        <v>62.512391260998456</v>
      </c>
      <c r="BO26" s="1">
        <v>68.946512020517474</v>
      </c>
      <c r="BP26" s="1">
        <v>70.970630536114143</v>
      </c>
      <c r="BQ26" s="1">
        <v>80.922414979275089</v>
      </c>
      <c r="BR26" s="1">
        <v>80.446634772196148</v>
      </c>
      <c r="BS26" s="1">
        <v>91.181327930304008</v>
      </c>
      <c r="BT26" s="1">
        <v>92.275143354962509</v>
      </c>
      <c r="BU26" s="1">
        <v>86.692538711066433</v>
      </c>
      <c r="BV26" s="1">
        <v>85.36486644921537</v>
      </c>
      <c r="BW26" s="1">
        <v>99.579992086567302</v>
      </c>
      <c r="BX26" s="1">
        <v>129.64123849295535</v>
      </c>
      <c r="BY26" s="1">
        <v>138.24594926307606</v>
      </c>
      <c r="BZ26" s="1">
        <v>140.66311446308279</v>
      </c>
      <c r="CA26" s="1">
        <v>142.47254149960406</v>
      </c>
      <c r="CB26" s="1">
        <v>129.14099635655651</v>
      </c>
      <c r="CC26" s="1">
        <v>141.20299819576687</v>
      </c>
      <c r="CD26" s="1">
        <v>136.17490734480052</v>
      </c>
      <c r="CE26" s="1">
        <v>134.81800546395075</v>
      </c>
      <c r="CF26" s="1">
        <v>148.05900402079806</v>
      </c>
      <c r="CG26" s="1">
        <v>154.79806156051626</v>
      </c>
      <c r="CH26" s="1">
        <v>158.61697555678884</v>
      </c>
      <c r="CI26" s="1">
        <v>164.2502155713496</v>
      </c>
      <c r="CJ26" s="1">
        <v>180.04611977909195</v>
      </c>
      <c r="CK26" s="1">
        <v>190.35987527792301</v>
      </c>
      <c r="CL26" s="1">
        <v>194.46592639554626</v>
      </c>
      <c r="CM26" s="1">
        <v>207.17639858095276</v>
      </c>
      <c r="CN26" s="1">
        <v>216.88294288056181</v>
      </c>
      <c r="CO26" s="1">
        <v>283.93827642645596</v>
      </c>
      <c r="CP26" s="1">
        <v>340.77098906376204</v>
      </c>
      <c r="CQ26" s="1">
        <v>385.23496673217284</v>
      </c>
      <c r="CR26" s="1">
        <v>411.1470904961364</v>
      </c>
      <c r="CS26" s="1">
        <v>467.39614828058239</v>
      </c>
      <c r="CT26" s="1">
        <v>439.33334990104902</v>
      </c>
      <c r="CU26" s="1">
        <v>513.63346721215669</v>
      </c>
      <c r="CV26" s="1">
        <v>608.46503748170562</v>
      </c>
      <c r="CW26" s="1">
        <v>660.05128155376747</v>
      </c>
      <c r="CX26" s="1">
        <v>687.80403927042278</v>
      </c>
      <c r="CY26" s="1">
        <v>792.76935690638288</v>
      </c>
      <c r="CZ26" s="1">
        <v>718.99015865630986</v>
      </c>
      <c r="DA26" s="1">
        <v>736.09952609430854</v>
      </c>
      <c r="DB26" s="1">
        <v>856.00427829477837</v>
      </c>
      <c r="DC26" s="1">
        <v>676.32184571105222</v>
      </c>
      <c r="DD26" s="1">
        <v>733.72279570613819</v>
      </c>
      <c r="DE26" s="1">
        <v>807.34110176193008</v>
      </c>
      <c r="DF26" s="1">
        <v>789.30415104689644</v>
      </c>
      <c r="DG26" s="1">
        <v>794.08906829275804</v>
      </c>
      <c r="DH26" s="1">
        <v>704.17120296224459</v>
      </c>
      <c r="DI26" s="1">
        <v>704.83294603242859</v>
      </c>
      <c r="DJ26" s="1">
        <v>666.64151206980489</v>
      </c>
      <c r="DK26" s="1">
        <v>700.10237511741684</v>
      </c>
      <c r="DL26" s="1">
        <v>649.4907777393762</v>
      </c>
      <c r="DM26" s="1">
        <v>698.49069423075605</v>
      </c>
      <c r="DN26" s="1">
        <v>661.89487072633415</v>
      </c>
      <c r="DO26" s="1">
        <v>630.7622185121545</v>
      </c>
      <c r="DP26" s="1">
        <v>652.30809986686495</v>
      </c>
      <c r="DQ26" s="1">
        <v>747.32649154846922</v>
      </c>
      <c r="DR26" s="1">
        <v>778.69373339028721</v>
      </c>
      <c r="DS26" s="1">
        <v>750.48837685973592</v>
      </c>
      <c r="DT26" s="1">
        <v>743.29547395335487</v>
      </c>
      <c r="DU26" s="1">
        <v>779.88471555936633</v>
      </c>
      <c r="DV26" s="1">
        <v>927.1913118969029</v>
      </c>
      <c r="DW26" s="1">
        <v>942.21886421532474</v>
      </c>
      <c r="DX26" s="1">
        <v>997.87223622487318</v>
      </c>
      <c r="DY26" s="1">
        <v>1110.1492241756769</v>
      </c>
      <c r="DZ26" s="1">
        <v>1203.1231184482504</v>
      </c>
      <c r="EA26" s="1">
        <v>1184.2610768322072</v>
      </c>
      <c r="EB26" s="1">
        <v>1356.4235563125631</v>
      </c>
      <c r="EC26" s="1">
        <v>1458.6299350502122</v>
      </c>
      <c r="ED26" s="1">
        <v>1479.2811713814963</v>
      </c>
      <c r="EE26" s="1">
        <v>1566.9994919954297</v>
      </c>
      <c r="EF26" s="1">
        <v>1489.6278429163283</v>
      </c>
      <c r="EG26" s="1">
        <v>1251.599262507</v>
      </c>
      <c r="EH26" s="44"/>
    </row>
    <row r="27" spans="1:138" ht="16">
      <c r="A27" s="1"/>
      <c r="B27" s="1"/>
      <c r="C27" s="6">
        <v>192</v>
      </c>
      <c r="D27" s="1">
        <v>1.1241331728202963E-2</v>
      </c>
      <c r="E27" s="1">
        <v>0.23632989290661865</v>
      </c>
      <c r="F27" s="1">
        <v>0.41698848138295364</v>
      </c>
      <c r="G27" s="1">
        <v>0.70822391550713659</v>
      </c>
      <c r="H27" s="1">
        <v>1.2323568185130069</v>
      </c>
      <c r="I27" s="1">
        <v>1.2064993712674799</v>
      </c>
      <c r="J27" s="1">
        <v>1.2638799262918874</v>
      </c>
      <c r="K27" s="1">
        <v>1.1668710082147919</v>
      </c>
      <c r="L27" s="1">
        <v>1.1902979796060276</v>
      </c>
      <c r="M27" s="1">
        <v>1.2641183189256071</v>
      </c>
      <c r="N27" s="1">
        <v>1.3474284194302708</v>
      </c>
      <c r="O27" s="1">
        <v>1.742133456891386</v>
      </c>
      <c r="P27" s="1">
        <v>1.4195177613521364</v>
      </c>
      <c r="Q27" s="1">
        <v>1.5238925611241951</v>
      </c>
      <c r="R27" s="1">
        <v>1.7394641584428125</v>
      </c>
      <c r="S27" s="1">
        <v>1.6586757980107527</v>
      </c>
      <c r="T27" s="1">
        <v>1.9823800926231834</v>
      </c>
      <c r="U27" s="1">
        <v>2.7411614564649027</v>
      </c>
      <c r="V27" s="1">
        <v>2.8570323823028105</v>
      </c>
      <c r="W27" s="1">
        <v>3.8040731456202108</v>
      </c>
      <c r="X27" s="1">
        <v>4.8919250616295358</v>
      </c>
      <c r="Y27" s="1">
        <v>6.208081590630063</v>
      </c>
      <c r="Z27" s="1">
        <v>6.7927371946839061</v>
      </c>
      <c r="AA27" s="1">
        <v>7.7197866994885107</v>
      </c>
      <c r="AB27" s="1">
        <v>8.7965964132561076</v>
      </c>
      <c r="AC27" s="1">
        <v>9.5258497397373816</v>
      </c>
      <c r="AD27" s="1">
        <v>11.135142702989755</v>
      </c>
      <c r="AE27" s="1">
        <v>12.577390389061087</v>
      </c>
      <c r="AF27" s="1">
        <v>14.766353657601719</v>
      </c>
      <c r="AG27" s="1">
        <v>19.592561060334226</v>
      </c>
      <c r="AH27" s="1">
        <v>18.93023739383958</v>
      </c>
      <c r="AI27" s="1">
        <v>27.076873391931922</v>
      </c>
      <c r="AJ27" s="1">
        <v>29.415097263352898</v>
      </c>
      <c r="AK27" s="1">
        <v>31.347345463217806</v>
      </c>
      <c r="AL27" s="1">
        <v>32.37349750086743</v>
      </c>
      <c r="AM27" s="1">
        <v>37.537527889820282</v>
      </c>
      <c r="AN27" s="1">
        <v>39.211658798029632</v>
      </c>
      <c r="AO27" s="1">
        <v>37.826587552987924</v>
      </c>
      <c r="AP27" s="1">
        <v>35.919880051593346</v>
      </c>
      <c r="AQ27" s="1">
        <v>39.546554009642747</v>
      </c>
      <c r="AR27" s="1">
        <v>45.405791700505873</v>
      </c>
      <c r="AS27" s="1">
        <v>44.02572986807143</v>
      </c>
      <c r="AT27" s="1">
        <v>44.791744308340405</v>
      </c>
      <c r="AU27" s="1">
        <v>53.641609963877201</v>
      </c>
      <c r="AV27" s="1">
        <v>61.459329405921231</v>
      </c>
      <c r="AW27" s="1">
        <v>57.660697781480927</v>
      </c>
      <c r="AX27" s="1">
        <v>72.549654537267728</v>
      </c>
      <c r="AY27" s="1">
        <v>75.421437117346528</v>
      </c>
      <c r="AZ27" s="1">
        <v>102.54611621226277</v>
      </c>
      <c r="BA27" s="1">
        <v>118.72768277521305</v>
      </c>
      <c r="BB27" s="1">
        <v>130.94919373304381</v>
      </c>
      <c r="BC27" s="1">
        <v>159.16451051745599</v>
      </c>
      <c r="BD27" s="1">
        <v>173.0694730045972</v>
      </c>
      <c r="BE27" s="1">
        <v>171.10104398613441</v>
      </c>
      <c r="BF27" s="1">
        <v>154.18723309309127</v>
      </c>
      <c r="BG27" s="1">
        <v>163.47508866651623</v>
      </c>
      <c r="BH27" s="1">
        <v>172.69216225587385</v>
      </c>
      <c r="BI27" s="1">
        <v>185.1111495572423</v>
      </c>
      <c r="BJ27" s="1">
        <v>211.25398266613178</v>
      </c>
      <c r="BK27" s="1">
        <v>221.68409748742738</v>
      </c>
      <c r="BL27" s="1">
        <v>198.8370911767361</v>
      </c>
      <c r="BM27" s="1">
        <v>202.40378000063887</v>
      </c>
      <c r="BN27" s="1">
        <v>204.32029173694093</v>
      </c>
      <c r="BO27" s="1">
        <v>252.9131484498028</v>
      </c>
      <c r="BP27" s="1">
        <v>269.58405845236058</v>
      </c>
      <c r="BQ27" s="1">
        <v>323.49220207144964</v>
      </c>
      <c r="BR27" s="1">
        <v>310.23102543000141</v>
      </c>
      <c r="BS27" s="1">
        <v>376.89361684213446</v>
      </c>
      <c r="BT27" s="1">
        <v>364.59839540559773</v>
      </c>
      <c r="BU27" s="1">
        <v>329.30699905389451</v>
      </c>
      <c r="BV27" s="1">
        <v>315.86892218344576</v>
      </c>
      <c r="BW27" s="1">
        <v>356.88369972698979</v>
      </c>
      <c r="BX27" s="1">
        <v>482.79776077159499</v>
      </c>
      <c r="BY27" s="1">
        <v>473.03304780181497</v>
      </c>
      <c r="BZ27" s="1">
        <v>468.62701095581542</v>
      </c>
      <c r="CA27" s="1">
        <v>480.95462548536375</v>
      </c>
      <c r="CB27" s="1">
        <v>492.64131896427261</v>
      </c>
      <c r="CC27" s="1">
        <v>492.58812659407585</v>
      </c>
      <c r="CD27" s="1">
        <v>442.52378846196768</v>
      </c>
      <c r="CE27" s="1">
        <v>432.23047533936409</v>
      </c>
      <c r="CF27" s="1">
        <v>481.5184452442283</v>
      </c>
      <c r="CG27" s="1">
        <v>488.31952307427213</v>
      </c>
      <c r="CH27" s="1">
        <v>541.65076247175955</v>
      </c>
      <c r="CI27" s="1">
        <v>595.42522667856463</v>
      </c>
      <c r="CJ27" s="1">
        <v>704.48200577494094</v>
      </c>
      <c r="CK27" s="1">
        <v>814.51572587774388</v>
      </c>
      <c r="CL27" s="1">
        <v>822.27451755704567</v>
      </c>
      <c r="CM27" s="1">
        <v>870.93182863151208</v>
      </c>
      <c r="CN27" s="1">
        <v>801.65272306687189</v>
      </c>
      <c r="CO27" s="1">
        <v>1094.6862380227485</v>
      </c>
      <c r="CP27" s="1">
        <v>1329.4578911705639</v>
      </c>
      <c r="CQ27" s="1">
        <v>1537.8884291567349</v>
      </c>
      <c r="CR27" s="1">
        <v>1652.2318860812854</v>
      </c>
      <c r="CS27" s="1">
        <v>1896.6336914352787</v>
      </c>
      <c r="CT27" s="1">
        <v>1719.3454225243272</v>
      </c>
      <c r="CU27" s="1">
        <v>1909.5192179800367</v>
      </c>
      <c r="CV27" s="1">
        <v>2271.6236516601589</v>
      </c>
      <c r="CW27" s="1">
        <v>2333.2959278432795</v>
      </c>
      <c r="CX27" s="1">
        <v>2519.3269548929243</v>
      </c>
      <c r="CY27" s="1">
        <v>2885.1629675245836</v>
      </c>
      <c r="CZ27" s="1">
        <v>2593.7567408136861</v>
      </c>
      <c r="DA27" s="1">
        <v>2627.6510980807493</v>
      </c>
      <c r="DB27" s="1">
        <v>2973.7492198425462</v>
      </c>
      <c r="DC27" s="1">
        <v>1835.9376279324599</v>
      </c>
      <c r="DD27" s="1">
        <v>2094.6431013650331</v>
      </c>
      <c r="DE27" s="1">
        <v>2219.3334669776536</v>
      </c>
      <c r="DF27" s="1">
        <v>2140.235310150159</v>
      </c>
      <c r="DG27" s="1">
        <v>2237.661427881023</v>
      </c>
      <c r="DH27" s="1">
        <v>1959.9032990673686</v>
      </c>
      <c r="DI27" s="1">
        <v>1865.6654000648762</v>
      </c>
      <c r="DJ27" s="1">
        <v>1727.06860100271</v>
      </c>
      <c r="DK27" s="1">
        <v>2021.4216883377596</v>
      </c>
      <c r="DL27" s="1">
        <v>1979.4247702390237</v>
      </c>
      <c r="DM27" s="1">
        <v>1999.6916830618432</v>
      </c>
      <c r="DN27" s="1">
        <v>1751.9574470538389</v>
      </c>
      <c r="DO27" s="1">
        <v>1662.8154830138785</v>
      </c>
      <c r="DP27" s="1">
        <v>1745.7081924022823</v>
      </c>
      <c r="DQ27" s="1">
        <v>1870.5265258322306</v>
      </c>
      <c r="DR27" s="1">
        <v>2122.4915623094644</v>
      </c>
      <c r="DS27" s="1">
        <v>2061.328391749099</v>
      </c>
      <c r="DT27" s="1">
        <v>1917.3928055969998</v>
      </c>
      <c r="DU27" s="1">
        <v>1900.3944508031384</v>
      </c>
      <c r="DV27" s="1">
        <v>2418.7988628047656</v>
      </c>
      <c r="DW27" s="1">
        <v>2518.1941273381594</v>
      </c>
      <c r="DX27" s="1">
        <v>2560.2830952249533</v>
      </c>
      <c r="DY27" s="1">
        <v>3099.8344531074358</v>
      </c>
      <c r="DZ27" s="1">
        <v>3680.9365042683503</v>
      </c>
      <c r="EA27" s="1">
        <v>3780.4079687969925</v>
      </c>
      <c r="EB27" s="1">
        <v>3847.6124456706189</v>
      </c>
      <c r="EC27" s="1">
        <v>4656.7812445252521</v>
      </c>
      <c r="ED27" s="1">
        <v>4934.4975004183443</v>
      </c>
      <c r="EE27" s="1">
        <v>5551.7623333643814</v>
      </c>
      <c r="EF27" s="1">
        <v>5440.6094286166617</v>
      </c>
      <c r="EG27" s="1">
        <v>4300.3651071199047</v>
      </c>
    </row>
    <row r="28" spans="1:138" ht="16">
      <c r="A28" s="46"/>
      <c r="B28" s="46"/>
      <c r="C28" s="19">
        <v>964</v>
      </c>
      <c r="D28" s="46">
        <v>2.7766967310441037E-2</v>
      </c>
      <c r="E28" s="46">
        <v>-5.6497980503421807E-2</v>
      </c>
      <c r="F28" s="46">
        <v>-0.13375224156538734</v>
      </c>
      <c r="G28" s="46">
        <v>4.0836285629268776E-2</v>
      </c>
      <c r="H28" s="46">
        <v>1.7290082745691659E-2</v>
      </c>
      <c r="I28" s="46">
        <v>0.37417801879386903</v>
      </c>
      <c r="J28" s="46">
        <v>0.44088291099873533</v>
      </c>
      <c r="K28" s="46">
        <v>0.43343279861020312</v>
      </c>
      <c r="L28" s="46">
        <v>0.40513030483362988</v>
      </c>
      <c r="M28" s="46">
        <v>0.13453926550544471</v>
      </c>
      <c r="N28" s="46">
        <v>0.28934851520357197</v>
      </c>
      <c r="O28" s="46">
        <v>0.42497729132991879</v>
      </c>
      <c r="P28" s="46">
        <v>3.9524855993480656E-2</v>
      </c>
      <c r="Q28" s="46">
        <v>0.12033386525635881</v>
      </c>
      <c r="R28" s="46">
        <v>0.21757160761858585</v>
      </c>
      <c r="S28" s="46">
        <v>0.24491128386955063</v>
      </c>
      <c r="T28" s="46">
        <v>0.61705753042158662</v>
      </c>
      <c r="U28" s="46">
        <v>1.3514859209403833</v>
      </c>
      <c r="V28" s="46">
        <v>1.6273668748445744</v>
      </c>
      <c r="W28" s="46">
        <v>3.1053069408862894</v>
      </c>
      <c r="X28" s="46">
        <v>5.7447464183996173</v>
      </c>
      <c r="Y28" s="46">
        <v>8.4047413703045137</v>
      </c>
      <c r="Z28" s="46">
        <v>9.8181816436079323</v>
      </c>
      <c r="AA28" s="46">
        <v>10.788255165836572</v>
      </c>
      <c r="AB28" s="46">
        <v>11.709048108598669</v>
      </c>
      <c r="AC28" s="46">
        <v>12.547435717779779</v>
      </c>
      <c r="AD28" s="46">
        <v>17.990081897860808</v>
      </c>
      <c r="AE28" s="46">
        <v>11.079677629265577</v>
      </c>
      <c r="AF28" s="46">
        <v>13.412768185723015</v>
      </c>
      <c r="AG28" s="46">
        <v>20.461200377761632</v>
      </c>
      <c r="AH28" s="46">
        <v>28.617645312629879</v>
      </c>
      <c r="AI28" s="46">
        <v>71.946708715902446</v>
      </c>
      <c r="AJ28" s="46">
        <v>83.028165406871835</v>
      </c>
      <c r="AK28" s="46">
        <v>87.024562120617901</v>
      </c>
      <c r="AL28" s="46">
        <v>103.8730187009872</v>
      </c>
      <c r="AM28" s="46">
        <v>122.28002750947441</v>
      </c>
      <c r="AN28" s="46">
        <v>121.20313101178743</v>
      </c>
      <c r="AO28" s="46">
        <v>107.68003820108183</v>
      </c>
      <c r="AP28" s="46">
        <v>96.496242513818501</v>
      </c>
      <c r="AQ28" s="46">
        <v>116.00995109003223</v>
      </c>
      <c r="AR28" s="46">
        <v>77.034124010661415</v>
      </c>
      <c r="AS28" s="46">
        <v>75.446063687787444</v>
      </c>
      <c r="AT28" s="46">
        <v>52.200713925078873</v>
      </c>
      <c r="AU28" s="46">
        <v>40.88723896396337</v>
      </c>
      <c r="AV28" s="46">
        <v>50.514644511447287</v>
      </c>
      <c r="AW28" s="46">
        <v>38.263269196627654</v>
      </c>
      <c r="AX28" s="46">
        <v>47.05088636523751</v>
      </c>
      <c r="AY28" s="46">
        <v>43.523591145623499</v>
      </c>
      <c r="AZ28" s="46">
        <v>36.790131441618456</v>
      </c>
      <c r="BA28" s="46">
        <v>59.838315987186455</v>
      </c>
      <c r="BB28" s="46">
        <v>53.64602826873098</v>
      </c>
      <c r="BC28" s="46">
        <v>96.223608032705684</v>
      </c>
      <c r="BD28" s="46">
        <v>87.493677607286898</v>
      </c>
      <c r="BE28" s="46">
        <v>102.76504382723002</v>
      </c>
      <c r="BF28" s="46">
        <v>108.71913786608191</v>
      </c>
      <c r="BG28" s="46">
        <v>109.30144125052885</v>
      </c>
      <c r="BH28" s="46">
        <v>135.5688484299468</v>
      </c>
      <c r="BI28" s="46">
        <v>167.03789288516589</v>
      </c>
      <c r="BJ28" s="46">
        <v>146.85244542207386</v>
      </c>
      <c r="BK28" s="46">
        <v>137.89742875799757</v>
      </c>
      <c r="BL28" s="46">
        <v>136.50571444791453</v>
      </c>
      <c r="BM28" s="46">
        <v>151.09602231116853</v>
      </c>
      <c r="BN28" s="46">
        <v>163.99117022052576</v>
      </c>
      <c r="BO28" s="46">
        <v>200.66206954587076</v>
      </c>
      <c r="BP28" s="46">
        <v>188.73321508954524</v>
      </c>
      <c r="BQ28" s="46">
        <v>296.34773444420551</v>
      </c>
      <c r="BR28" s="46">
        <v>254.57488550937708</v>
      </c>
      <c r="BS28" s="46">
        <v>373.57541602976517</v>
      </c>
      <c r="BT28" s="46">
        <v>328.01916567371649</v>
      </c>
      <c r="BU28" s="46">
        <v>346.37819042947291</v>
      </c>
      <c r="BV28" s="46">
        <v>503.24359896974624</v>
      </c>
      <c r="BW28" s="46">
        <v>794.37710802912409</v>
      </c>
      <c r="BX28" s="46">
        <v>914.50088080223441</v>
      </c>
      <c r="BY28" s="46">
        <v>1004.640344084483</v>
      </c>
      <c r="BZ28" s="46">
        <v>605.11763149893227</v>
      </c>
      <c r="CA28" s="46">
        <v>519.26433672051212</v>
      </c>
      <c r="CB28" s="46">
        <v>474.85866284669515</v>
      </c>
      <c r="CC28" s="46">
        <v>505.37409088958816</v>
      </c>
      <c r="CD28" s="46">
        <v>616.69091149603298</v>
      </c>
      <c r="CE28" s="46">
        <v>588.80122458073458</v>
      </c>
      <c r="CF28" s="46">
        <v>694.5548158771652</v>
      </c>
      <c r="CG28" s="46">
        <v>541.11558368999272</v>
      </c>
      <c r="CH28" s="46">
        <v>584.65960239873141</v>
      </c>
      <c r="CI28" s="46">
        <v>679.16862304337974</v>
      </c>
      <c r="CJ28" s="46">
        <v>606.93434298739032</v>
      </c>
      <c r="CK28" s="46">
        <v>433.18475987522953</v>
      </c>
      <c r="CL28" s="46">
        <v>298.68887661861731</v>
      </c>
      <c r="CM28" s="46">
        <v>286.05080422898118</v>
      </c>
      <c r="CN28" s="46">
        <v>273.22292336327888</v>
      </c>
      <c r="CO28" s="46">
        <v>313.57074518191945</v>
      </c>
      <c r="CP28" s="46">
        <v>462.14659541081056</v>
      </c>
      <c r="CQ28" s="46">
        <v>553.88081216300327</v>
      </c>
      <c r="CR28" s="46">
        <v>525.3377276525855</v>
      </c>
      <c r="CS28" s="46">
        <v>391.08861117402716</v>
      </c>
      <c r="CT28" s="46">
        <v>452.86812604193153</v>
      </c>
      <c r="CU28" s="46">
        <v>499.20470466012898</v>
      </c>
      <c r="CV28" s="46">
        <v>613.60621463368636</v>
      </c>
      <c r="CW28" s="46">
        <v>668.75227053538936</v>
      </c>
      <c r="CX28" s="46">
        <v>831.93725553944728</v>
      </c>
      <c r="CY28" s="46">
        <v>954.12467444764309</v>
      </c>
      <c r="CZ28" s="46">
        <v>610.06197855074208</v>
      </c>
      <c r="DA28" s="46">
        <v>511.00460946384669</v>
      </c>
      <c r="DB28" s="46">
        <v>644.39922531611751</v>
      </c>
      <c r="DC28" s="46">
        <v>32.490030815503154</v>
      </c>
      <c r="DD28" s="46">
        <v>44.215478132768695</v>
      </c>
      <c r="DE28" s="46">
        <v>47.629504377045372</v>
      </c>
      <c r="DF28" s="46">
        <v>37.307649292924587</v>
      </c>
      <c r="DG28" s="46">
        <v>44.763775978340675</v>
      </c>
      <c r="DH28" s="46">
        <v>33.38740546185354</v>
      </c>
      <c r="DI28" s="46">
        <v>29.851250761065675</v>
      </c>
      <c r="DJ28" s="46">
        <v>16.79812359394078</v>
      </c>
      <c r="DK28" s="46">
        <v>20.205520241473756</v>
      </c>
      <c r="DL28" s="46">
        <v>16.684943120333251</v>
      </c>
      <c r="DM28" s="46">
        <v>18.068383801555509</v>
      </c>
      <c r="DN28" s="46">
        <v>11.05067763032446</v>
      </c>
      <c r="DO28" s="46">
        <v>11.443260661576154</v>
      </c>
      <c r="DP28" s="46">
        <v>10.409047891505987</v>
      </c>
      <c r="DQ28" s="46">
        <v>9.7805216088630988</v>
      </c>
      <c r="DR28" s="46">
        <v>10.601030765868318</v>
      </c>
      <c r="DS28" s="46">
        <v>9.643284159876174</v>
      </c>
      <c r="DT28" s="46">
        <v>8.1105770056625346</v>
      </c>
      <c r="DU28" s="46">
        <v>7.5478068903756039</v>
      </c>
      <c r="DV28" s="46">
        <v>14.134262285744796</v>
      </c>
      <c r="DW28" s="46">
        <v>12.596247534882618</v>
      </c>
      <c r="DX28" s="46">
        <v>15.752375355241682</v>
      </c>
      <c r="DY28" s="46">
        <v>25.253919779711456</v>
      </c>
      <c r="DZ28" s="46">
        <v>26.095792036378853</v>
      </c>
      <c r="EA28" s="46">
        <v>29.634546071108002</v>
      </c>
      <c r="EB28" s="46">
        <v>37.995235578211464</v>
      </c>
      <c r="EC28" s="46">
        <v>63.958559594118753</v>
      </c>
      <c r="ED28" s="46">
        <v>73.27598918667303</v>
      </c>
      <c r="EE28" s="46">
        <v>95.026287040714593</v>
      </c>
      <c r="EF28" s="46">
        <v>91.601607184532199</v>
      </c>
      <c r="EG28" s="46">
        <v>79.659910138530606</v>
      </c>
    </row>
    <row r="29" spans="1:138" s="1" customFormat="1" ht="16">
      <c r="C29" s="6" t="s">
        <v>165</v>
      </c>
      <c r="D29" s="45">
        <v>-1.7446770539390366E-2</v>
      </c>
      <c r="E29" s="45">
        <v>2.893123339404724E-3</v>
      </c>
      <c r="F29" s="45">
        <v>2.6944635852046872E-2</v>
      </c>
      <c r="G29" s="45">
        <v>2.0210365301730038E-2</v>
      </c>
      <c r="H29" s="45">
        <v>5.269909680859941E-2</v>
      </c>
      <c r="I29" s="45">
        <v>8.8857766197530053E-2</v>
      </c>
      <c r="J29" s="45">
        <v>7.9869318529145472E-2</v>
      </c>
      <c r="K29" s="45">
        <v>9.3738646464063713E-2</v>
      </c>
      <c r="L29" s="45">
        <v>3.7937714394164157E-2</v>
      </c>
      <c r="M29" s="45">
        <v>3.8844812525307137E-2</v>
      </c>
      <c r="N29" s="45">
        <v>6.3142951706360639E-2</v>
      </c>
      <c r="O29" s="45">
        <v>7.6952085951054405E-2</v>
      </c>
      <c r="P29" s="45">
        <v>8.3257197491512391E-2</v>
      </c>
      <c r="Q29" s="45">
        <v>0.11295275081672607</v>
      </c>
      <c r="R29" s="45">
        <v>0.10882042835093308</v>
      </c>
      <c r="S29" s="45">
        <v>0.13551706985268064</v>
      </c>
      <c r="T29" s="45">
        <v>0.12167508804368476</v>
      </c>
      <c r="U29" s="45">
        <v>7.7088976461827885E-2</v>
      </c>
      <c r="V29" s="45">
        <v>-1.7059521199481731E-3</v>
      </c>
      <c r="W29" s="45">
        <v>-5.9866792867339091E-2</v>
      </c>
      <c r="X29" s="45">
        <v>-5.9140260213613516E-2</v>
      </c>
      <c r="Y29" s="45">
        <v>-1.7185893241652206E-2</v>
      </c>
      <c r="Z29" s="45">
        <v>-4.4409529547694393E-2</v>
      </c>
      <c r="AA29" s="45">
        <v>-4.2407561826578566E-2</v>
      </c>
      <c r="AB29" s="45">
        <v>-6.481575250614946E-2</v>
      </c>
      <c r="AC29" s="45">
        <v>-3.4768870774049443E-2</v>
      </c>
      <c r="AD29" s="45">
        <v>2.7817794451217015E-3</v>
      </c>
      <c r="AE29" s="45">
        <v>-4.0202844765013457E-2</v>
      </c>
      <c r="AF29" s="45">
        <v>-2.2305320482664204E-2</v>
      </c>
      <c r="AG29" s="45">
        <v>-7.4152570234460313E-3</v>
      </c>
      <c r="AH29" s="45">
        <v>2.8334274381314417E-2</v>
      </c>
      <c r="AI29" s="45">
        <v>3.7953941892352683E-2</v>
      </c>
      <c r="AJ29" s="45">
        <v>4.9110131735873752E-2</v>
      </c>
      <c r="AK29" s="45">
        <v>6.3123886850196875E-2</v>
      </c>
      <c r="AL29" s="45">
        <v>5.7454515782098925E-2</v>
      </c>
      <c r="AM29" s="45">
        <v>5.8917118987427575E-2</v>
      </c>
      <c r="AN29" s="45">
        <v>8.0938283596681648E-2</v>
      </c>
      <c r="AO29" s="45">
        <v>0.11500697453770203</v>
      </c>
      <c r="AP29" s="45">
        <v>0.12196653200545171</v>
      </c>
      <c r="AQ29" s="45">
        <v>0.12886130991117528</v>
      </c>
      <c r="AR29" s="45">
        <v>0.14799139743631429</v>
      </c>
      <c r="AS29" s="45">
        <v>0.18780698843660248</v>
      </c>
      <c r="AT29" s="45">
        <v>0.19148751365039929</v>
      </c>
      <c r="AU29" s="45">
        <v>0.20945675046088996</v>
      </c>
      <c r="AV29" s="45">
        <v>0.18617324550329584</v>
      </c>
      <c r="AW29" s="45">
        <v>0.23209180697664689</v>
      </c>
      <c r="AX29" s="45">
        <v>0.20516203655681697</v>
      </c>
      <c r="AY29" s="45">
        <v>0.21453132863303215</v>
      </c>
      <c r="AZ29" s="45">
        <v>0.2660241129922889</v>
      </c>
      <c r="BA29" s="45">
        <v>0.23271631642995261</v>
      </c>
      <c r="BB29" s="45">
        <v>0.24451556797958407</v>
      </c>
      <c r="BC29" s="45">
        <v>0.21433638745422812</v>
      </c>
      <c r="BD29" s="45">
        <v>0.23882150637103883</v>
      </c>
      <c r="BE29" s="45">
        <v>0.23447943849994912</v>
      </c>
      <c r="BF29" s="45">
        <v>0.25935658802508499</v>
      </c>
      <c r="BG29" s="45">
        <v>0.26008869763716325</v>
      </c>
      <c r="BH29" s="45">
        <v>0.2535114114609236</v>
      </c>
      <c r="BI29" s="45">
        <v>0.10826483627727623</v>
      </c>
      <c r="BJ29" s="45">
        <v>0.11793469710078752</v>
      </c>
      <c r="BK29" s="45">
        <v>9.9625988810205346E-2</v>
      </c>
      <c r="BL29" s="45">
        <v>0.12254260303831388</v>
      </c>
      <c r="BM29" s="45">
        <v>0.17302993558173996</v>
      </c>
      <c r="BN29" s="45">
        <v>0.20112905370185397</v>
      </c>
      <c r="BO29" s="45">
        <v>0.23745011694095197</v>
      </c>
      <c r="BP29" s="45">
        <v>0.18334151222801376</v>
      </c>
      <c r="BQ29" s="45">
        <v>0.20924423024871497</v>
      </c>
      <c r="BR29" s="45">
        <v>0.21967690051673561</v>
      </c>
      <c r="BS29" s="45">
        <v>0.1962676978767699</v>
      </c>
      <c r="BT29" s="45">
        <v>0.21987619627534571</v>
      </c>
      <c r="BU29" s="45">
        <v>0.27805738326883356</v>
      </c>
      <c r="BV29" s="45">
        <v>0.29269729646247922</v>
      </c>
      <c r="BW29" s="45">
        <v>0.34857881761669129</v>
      </c>
      <c r="BX29" s="45">
        <v>0.2909305384219143</v>
      </c>
      <c r="BY29" s="45">
        <v>0.26793739709811137</v>
      </c>
      <c r="BZ29" s="45">
        <v>7.628473289061688E-2</v>
      </c>
      <c r="CA29" s="45">
        <v>0.20998513144491437</v>
      </c>
      <c r="CB29" s="45">
        <v>0.20447092205281336</v>
      </c>
      <c r="CC29" s="45">
        <v>0.27699361006036605</v>
      </c>
      <c r="CD29" s="45">
        <v>0.38680488733361829</v>
      </c>
      <c r="CE29" s="45">
        <v>0.37874965946081551</v>
      </c>
      <c r="CF29" s="45">
        <v>0.37042015435709108</v>
      </c>
      <c r="CG29" s="45">
        <v>0.37378086910184649</v>
      </c>
      <c r="CH29" s="45">
        <v>0.49692143719092186</v>
      </c>
      <c r="CI29" s="45">
        <v>0.603191980394987</v>
      </c>
      <c r="CJ29" s="45">
        <v>0.64675173719730239</v>
      </c>
      <c r="CK29" s="45">
        <v>0.73315421285472704</v>
      </c>
      <c r="CL29" s="45">
        <v>0.7842487445659152</v>
      </c>
      <c r="CM29" s="45">
        <v>0.90348131155309508</v>
      </c>
      <c r="CN29" s="45">
        <v>0.8487139113221478</v>
      </c>
      <c r="CO29" s="45">
        <v>0.92166881344527685</v>
      </c>
      <c r="CP29" s="45">
        <v>0.86588067898046694</v>
      </c>
      <c r="CQ29" s="45">
        <v>0.89197293519067467</v>
      </c>
      <c r="CR29" s="45">
        <v>0.83090579105751727</v>
      </c>
      <c r="CS29" s="45">
        <v>0.83658814745105547</v>
      </c>
      <c r="CT29" s="45">
        <v>0.88358984642415717</v>
      </c>
      <c r="CU29" s="45">
        <v>0.9672059526983301</v>
      </c>
      <c r="CV29" s="45">
        <v>0.90752297284093331</v>
      </c>
      <c r="CW29" s="45">
        <v>0.90512335385454468</v>
      </c>
      <c r="CX29" s="45">
        <v>0.90957440110152876</v>
      </c>
      <c r="CY29" s="45">
        <v>0.78685723504233995</v>
      </c>
      <c r="CZ29" s="45">
        <v>0.80992516787144164</v>
      </c>
      <c r="DA29" s="45">
        <v>0.58282101623526672</v>
      </c>
      <c r="DB29" s="45">
        <v>0.60132527488651344</v>
      </c>
      <c r="DC29" s="45">
        <v>0.61147422419279152</v>
      </c>
      <c r="DD29" s="45">
        <v>0.42243966588262949</v>
      </c>
      <c r="DE29" s="45">
        <v>0.37121637307647259</v>
      </c>
      <c r="DF29" s="45">
        <v>0.5616938276257708</v>
      </c>
      <c r="DG29" s="45">
        <v>0.48182332962932128</v>
      </c>
      <c r="DH29" s="45">
        <v>0.59552577817978314</v>
      </c>
      <c r="DI29" s="45">
        <v>0.62027043996328524</v>
      </c>
      <c r="DJ29" s="45">
        <v>0.65789923395288952</v>
      </c>
      <c r="DK29" s="45">
        <v>0.62743885630809859</v>
      </c>
      <c r="DL29" s="45">
        <v>0.72866394865424411</v>
      </c>
      <c r="DM29" s="45">
        <v>0.76340716304992284</v>
      </c>
      <c r="DN29" s="45">
        <v>0.78721129009524526</v>
      </c>
      <c r="DO29" s="45">
        <v>0.73314419395664854</v>
      </c>
      <c r="DP29" s="45">
        <v>0.7036411650845571</v>
      </c>
      <c r="DQ29" s="45">
        <v>0.666521339911188</v>
      </c>
      <c r="DR29" s="45">
        <v>0.80941825308633253</v>
      </c>
      <c r="DS29" s="45">
        <v>0.86027510799998974</v>
      </c>
      <c r="DT29" s="45">
        <v>0.85599059714061299</v>
      </c>
      <c r="DU29" s="45">
        <v>0.9645125910761998</v>
      </c>
      <c r="DV29" s="45">
        <v>1.0974294483812512</v>
      </c>
      <c r="DW29" s="45">
        <v>1.1079601605760616</v>
      </c>
      <c r="DX29" s="45">
        <v>1.1868319851241949</v>
      </c>
      <c r="DY29" s="45">
        <v>1.3707686184169408</v>
      </c>
      <c r="DZ29" s="45">
        <v>1.2834475238077694</v>
      </c>
      <c r="EA29" s="45">
        <v>1.2905072649494538</v>
      </c>
      <c r="EB29" s="45">
        <v>1.2860233033025419</v>
      </c>
      <c r="EC29" s="45">
        <v>1.3465094307246845</v>
      </c>
      <c r="ED29" s="45">
        <v>1.2884273650883467</v>
      </c>
      <c r="EE29" s="45">
        <v>1.3664981882262612</v>
      </c>
      <c r="EF29" s="45">
        <v>1.4163413115117764</v>
      </c>
      <c r="EG29" s="45">
        <v>1.367344209826507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E0EE-662E-4309-9B52-B2D1902510BC}">
  <dimension ref="A12:EL32"/>
  <sheetViews>
    <sheetView topLeftCell="EB1" zoomScaleNormal="77" workbookViewId="0">
      <selection activeCell="EH14" sqref="EH14"/>
    </sheetView>
  </sheetViews>
  <sheetFormatPr baseColWidth="10" defaultColWidth="8.83203125" defaultRowHeight="15"/>
  <cols>
    <col min="1" max="1" width="8.83203125" style="23" customWidth="1"/>
    <col min="2" max="2" width="8.33203125" style="23" customWidth="1"/>
    <col min="3" max="10" width="8.83203125" bestFit="1" customWidth="1"/>
    <col min="11" max="11" width="8.1640625" style="23" customWidth="1"/>
    <col min="12" max="55" width="8.83203125" bestFit="1" customWidth="1"/>
    <col min="56" max="56" width="13.83203125" bestFit="1" customWidth="1"/>
    <col min="57" max="136" width="8.83203125" bestFit="1" customWidth="1"/>
    <col min="139" max="139" width="10.1640625" customWidth="1"/>
    <col min="141" max="141" width="15.1640625" customWidth="1"/>
    <col min="142" max="142" width="38.33203125" customWidth="1"/>
  </cols>
  <sheetData>
    <row r="12" spans="1:139" ht="16">
      <c r="A12" s="63" t="s">
        <v>136</v>
      </c>
      <c r="B12" s="65"/>
      <c r="C12" s="10" t="s">
        <v>137</v>
      </c>
      <c r="D12" s="10">
        <v>964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</row>
    <row r="13" spans="1:139" ht="18">
      <c r="A13" s="7" t="s">
        <v>138</v>
      </c>
      <c r="B13" s="8" t="s">
        <v>139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9</v>
      </c>
      <c r="J13" s="14" t="s">
        <v>10</v>
      </c>
      <c r="K13" s="14" t="s">
        <v>11</v>
      </c>
      <c r="L13" s="14" t="s">
        <v>12</v>
      </c>
      <c r="M13" s="14" t="s">
        <v>13</v>
      </c>
      <c r="N13" s="14" t="s">
        <v>14</v>
      </c>
      <c r="O13" s="14" t="s">
        <v>15</v>
      </c>
      <c r="P13" s="14" t="s">
        <v>16</v>
      </c>
      <c r="Q13" s="14" t="s">
        <v>17</v>
      </c>
      <c r="R13" s="14" t="s">
        <v>18</v>
      </c>
      <c r="S13" s="14" t="s">
        <v>19</v>
      </c>
      <c r="T13" s="14" t="s">
        <v>20</v>
      </c>
      <c r="U13" s="14" t="s">
        <v>21</v>
      </c>
      <c r="V13" s="14" t="s">
        <v>22</v>
      </c>
      <c r="W13" s="14" t="s">
        <v>23</v>
      </c>
      <c r="X13" s="14" t="s">
        <v>24</v>
      </c>
      <c r="Y13" s="14" t="s">
        <v>25</v>
      </c>
      <c r="Z13" s="14" t="s">
        <v>26</v>
      </c>
      <c r="AA13" s="14" t="s">
        <v>27</v>
      </c>
      <c r="AB13" s="14" t="s">
        <v>28</v>
      </c>
      <c r="AC13" s="14" t="s">
        <v>29</v>
      </c>
      <c r="AD13" s="14" t="s">
        <v>30</v>
      </c>
      <c r="AE13" s="14" t="s">
        <v>31</v>
      </c>
      <c r="AF13" s="14" t="s">
        <v>32</v>
      </c>
      <c r="AG13" s="14" t="s">
        <v>33</v>
      </c>
      <c r="AH13" s="14" t="s">
        <v>34</v>
      </c>
      <c r="AI13" s="14" t="s">
        <v>35</v>
      </c>
      <c r="AJ13" s="14" t="s">
        <v>36</v>
      </c>
      <c r="AK13" s="14" t="s">
        <v>37</v>
      </c>
      <c r="AL13" s="14" t="s">
        <v>38</v>
      </c>
      <c r="AM13" s="14" t="s">
        <v>39</v>
      </c>
      <c r="AN13" s="14" t="s">
        <v>40</v>
      </c>
      <c r="AO13" s="14" t="s">
        <v>41</v>
      </c>
      <c r="AP13" s="14" t="s">
        <v>42</v>
      </c>
      <c r="AQ13" s="14" t="s">
        <v>43</v>
      </c>
      <c r="AR13" s="14" t="s">
        <v>44</v>
      </c>
      <c r="AS13" s="14" t="s">
        <v>45</v>
      </c>
      <c r="AT13" s="14" t="s">
        <v>46</v>
      </c>
      <c r="AU13" s="14" t="s">
        <v>47</v>
      </c>
      <c r="AV13" s="14" t="s">
        <v>48</v>
      </c>
      <c r="AW13" s="14" t="s">
        <v>49</v>
      </c>
      <c r="AX13" s="14" t="s">
        <v>50</v>
      </c>
      <c r="AY13" s="14" t="s">
        <v>51</v>
      </c>
      <c r="AZ13" s="14" t="s">
        <v>52</v>
      </c>
      <c r="BA13" s="14" t="s">
        <v>53</v>
      </c>
      <c r="BB13" s="14" t="s">
        <v>54</v>
      </c>
      <c r="BC13" s="14" t="s">
        <v>55</v>
      </c>
      <c r="BD13" s="14" t="s">
        <v>56</v>
      </c>
      <c r="BE13" s="14" t="s">
        <v>57</v>
      </c>
      <c r="BF13" s="14" t="s">
        <v>58</v>
      </c>
      <c r="BG13" s="14" t="s">
        <v>59</v>
      </c>
      <c r="BH13" s="14" t="s">
        <v>60</v>
      </c>
      <c r="BI13" s="14" t="s">
        <v>61</v>
      </c>
      <c r="BJ13" s="14" t="s">
        <v>62</v>
      </c>
      <c r="BK13" s="14" t="s">
        <v>63</v>
      </c>
      <c r="BL13" s="14" t="s">
        <v>64</v>
      </c>
      <c r="BM13" s="14" t="s">
        <v>65</v>
      </c>
      <c r="BN13" s="14" t="s">
        <v>66</v>
      </c>
      <c r="BO13" s="14" t="s">
        <v>67</v>
      </c>
      <c r="BP13" s="14" t="s">
        <v>68</v>
      </c>
      <c r="BQ13" s="14" t="s">
        <v>69</v>
      </c>
      <c r="BR13" s="14" t="s">
        <v>70</v>
      </c>
      <c r="BS13" s="14" t="s">
        <v>71</v>
      </c>
      <c r="BT13" s="14" t="s">
        <v>72</v>
      </c>
      <c r="BU13" s="14" t="s">
        <v>73</v>
      </c>
      <c r="BV13" s="14" t="s">
        <v>74</v>
      </c>
      <c r="BW13" s="14" t="s">
        <v>75</v>
      </c>
      <c r="BX13" s="14" t="s">
        <v>76</v>
      </c>
      <c r="BY13" s="14" t="s">
        <v>77</v>
      </c>
      <c r="BZ13" s="14" t="s">
        <v>78</v>
      </c>
      <c r="CA13" s="14" t="s">
        <v>79</v>
      </c>
      <c r="CB13" s="14" t="s">
        <v>80</v>
      </c>
      <c r="CC13" s="14" t="s">
        <v>81</v>
      </c>
      <c r="CD13" s="14" t="s">
        <v>82</v>
      </c>
      <c r="CE13" s="14" t="s">
        <v>83</v>
      </c>
      <c r="CF13" s="14" t="s">
        <v>84</v>
      </c>
      <c r="CG13" s="14" t="s">
        <v>85</v>
      </c>
      <c r="CH13" s="14" t="s">
        <v>86</v>
      </c>
      <c r="CI13" s="14" t="s">
        <v>87</v>
      </c>
      <c r="CJ13" s="14" t="s">
        <v>88</v>
      </c>
      <c r="CK13" s="14" t="s">
        <v>89</v>
      </c>
      <c r="CL13" s="14" t="s">
        <v>90</v>
      </c>
      <c r="CM13" s="14" t="s">
        <v>91</v>
      </c>
      <c r="CN13" s="14" t="s">
        <v>92</v>
      </c>
      <c r="CO13" s="14" t="s">
        <v>93</v>
      </c>
      <c r="CP13" s="14" t="s">
        <v>94</v>
      </c>
      <c r="CQ13" s="14" t="s">
        <v>95</v>
      </c>
      <c r="CR13" s="14" t="s">
        <v>96</v>
      </c>
      <c r="CS13" s="14" t="s">
        <v>97</v>
      </c>
      <c r="CT13" s="14" t="s">
        <v>98</v>
      </c>
      <c r="CU13" s="14" t="s">
        <v>99</v>
      </c>
      <c r="CV13" s="14" t="s">
        <v>100</v>
      </c>
      <c r="CW13" s="14" t="s">
        <v>101</v>
      </c>
      <c r="CX13" s="14" t="s">
        <v>102</v>
      </c>
      <c r="CY13" s="14" t="s">
        <v>103</v>
      </c>
      <c r="CZ13" s="14" t="s">
        <v>104</v>
      </c>
      <c r="DA13" s="14" t="s">
        <v>105</v>
      </c>
      <c r="DB13" s="14" t="s">
        <v>106</v>
      </c>
      <c r="DC13" s="14" t="s">
        <v>107</v>
      </c>
      <c r="DD13" s="14" t="s">
        <v>108</v>
      </c>
      <c r="DE13" s="14" t="s">
        <v>109</v>
      </c>
      <c r="DF13" s="14" t="s">
        <v>110</v>
      </c>
      <c r="DG13" s="14" t="s">
        <v>111</v>
      </c>
      <c r="DH13" s="14" t="s">
        <v>112</v>
      </c>
      <c r="DI13" s="14" t="s">
        <v>113</v>
      </c>
      <c r="DJ13" s="14" t="s">
        <v>114</v>
      </c>
      <c r="DK13" s="14" t="s">
        <v>115</v>
      </c>
      <c r="DL13" s="14" t="s">
        <v>116</v>
      </c>
      <c r="DM13" s="14" t="s">
        <v>117</v>
      </c>
      <c r="DN13" s="14" t="s">
        <v>118</v>
      </c>
      <c r="DO13" s="14" t="s">
        <v>119</v>
      </c>
      <c r="DP13" s="14" t="s">
        <v>120</v>
      </c>
      <c r="DQ13" s="14" t="s">
        <v>121</v>
      </c>
      <c r="DR13" s="14" t="s">
        <v>122</v>
      </c>
      <c r="DS13" s="14" t="s">
        <v>123</v>
      </c>
      <c r="DT13" s="14" t="s">
        <v>124</v>
      </c>
      <c r="DU13" s="14" t="s">
        <v>125</v>
      </c>
      <c r="DV13" s="14" t="s">
        <v>126</v>
      </c>
      <c r="DW13" s="14" t="s">
        <v>127</v>
      </c>
      <c r="DX13" s="14" t="s">
        <v>128</v>
      </c>
      <c r="DY13" s="14" t="s">
        <v>129</v>
      </c>
      <c r="DZ13" s="14" t="s">
        <v>130</v>
      </c>
      <c r="EA13" s="14" t="s">
        <v>131</v>
      </c>
      <c r="EB13" s="14" t="s">
        <v>132</v>
      </c>
      <c r="EC13" s="14" t="s">
        <v>133</v>
      </c>
      <c r="ED13" s="14" t="s">
        <v>134</v>
      </c>
      <c r="EE13" s="14" t="s">
        <v>140</v>
      </c>
      <c r="EF13" s="14" t="s">
        <v>144</v>
      </c>
      <c r="EG13" s="29" t="s">
        <v>161</v>
      </c>
      <c r="EH13" s="29" t="s">
        <v>162</v>
      </c>
      <c r="EI13" s="29" t="s">
        <v>163</v>
      </c>
    </row>
    <row r="14" spans="1:139" ht="16">
      <c r="A14" s="6">
        <v>10</v>
      </c>
      <c r="B14" s="6">
        <v>96</v>
      </c>
      <c r="C14" s="9">
        <v>1.4499246984096079E-2</v>
      </c>
      <c r="D14" s="9">
        <v>-1.467855149787599E-2</v>
      </c>
      <c r="E14" s="9">
        <v>-1.393724540866443E-3</v>
      </c>
      <c r="F14" s="9">
        <v>-7.6284164055630266E-3</v>
      </c>
      <c r="G14" s="9">
        <v>-5.5955578828314886E-3</v>
      </c>
      <c r="H14" s="9">
        <v>9.5992583565995878E-3</v>
      </c>
      <c r="I14" s="9">
        <v>-8.6581522633445047E-3</v>
      </c>
      <c r="J14" s="9">
        <v>7.389793655928803E-3</v>
      </c>
      <c r="K14" s="9">
        <v>2.9187998133699201E-2</v>
      </c>
      <c r="L14" s="2">
        <v>8.7585559641661856E-3</v>
      </c>
      <c r="M14" s="2">
        <v>2.688917383320695E-2</v>
      </c>
      <c r="N14" s="2">
        <v>-6.4808653600972432E-2</v>
      </c>
      <c r="O14" s="1">
        <v>2.7914759067240381E-2</v>
      </c>
      <c r="P14" s="1">
        <v>1.6005016734210169E-3</v>
      </c>
      <c r="Q14" s="1">
        <v>2.175560938135012E-2</v>
      </c>
      <c r="R14" s="1">
        <v>-3.4229864372777627E-2</v>
      </c>
      <c r="S14" s="1">
        <v>1.163920040315862E-2</v>
      </c>
      <c r="T14" s="1">
        <v>-2.231357628245079E-2</v>
      </c>
      <c r="U14" s="1">
        <v>-1.6909794819388691E-2</v>
      </c>
      <c r="V14" s="1">
        <v>7.1207344521834331E-3</v>
      </c>
      <c r="W14" s="1">
        <v>-2.2328287507107709E-2</v>
      </c>
      <c r="X14" s="1">
        <v>-0.10636943785049791</v>
      </c>
      <c r="Y14" s="1">
        <v>3.6416289570129767E-2</v>
      </c>
      <c r="Z14" s="1">
        <v>5.3152086976860857E-2</v>
      </c>
      <c r="AA14" s="1">
        <v>-2.6918479420811641E-2</v>
      </c>
      <c r="AB14" s="1">
        <v>-1.073332960413878E-2</v>
      </c>
      <c r="AC14" s="1">
        <v>4.6772945626311221E-2</v>
      </c>
      <c r="AD14" s="1">
        <v>2.5304298312235252E-3</v>
      </c>
      <c r="AE14" s="1">
        <v>-3.7855000842755247E-2</v>
      </c>
      <c r="AF14" s="1">
        <v>5.2012102776767682E-2</v>
      </c>
      <c r="AG14" s="1">
        <v>3.814930420809846E-3</v>
      </c>
      <c r="AH14" s="1">
        <v>1.5713033769280849E-2</v>
      </c>
      <c r="AI14" s="1">
        <v>7.5237894768026446E-3</v>
      </c>
      <c r="AJ14" s="1">
        <v>-9.1496765863918576E-3</v>
      </c>
      <c r="AK14" s="1">
        <v>-2.2643045332892079E-2</v>
      </c>
      <c r="AL14" s="1">
        <v>4.780048995207728E-2</v>
      </c>
      <c r="AM14" s="1">
        <v>-2.8540927517940219E-2</v>
      </c>
      <c r="AN14" s="1">
        <v>-2.6645628802444581E-2</v>
      </c>
      <c r="AO14" s="1">
        <v>-1.499547084312733E-2</v>
      </c>
      <c r="AP14" s="1">
        <v>-6.3803694968983769E-3</v>
      </c>
      <c r="AQ14" s="1">
        <v>1.6969305775294389E-3</v>
      </c>
      <c r="AR14" s="1">
        <v>-2.2223025987592172E-2</v>
      </c>
      <c r="AS14" s="1">
        <v>-1.9976272910371209E-2</v>
      </c>
      <c r="AT14" s="1">
        <v>-7.2195382352435111E-2</v>
      </c>
      <c r="AU14" s="1">
        <v>-3.713536440044597E-3</v>
      </c>
      <c r="AV14" s="1">
        <v>2.297122293717091E-3</v>
      </c>
      <c r="AW14" s="1">
        <v>-1.36377761828339E-2</v>
      </c>
      <c r="AX14" s="1">
        <v>-5.8446616829614557E-3</v>
      </c>
      <c r="AY14" s="1">
        <v>4.8156517207972087E-2</v>
      </c>
      <c r="AZ14" s="1">
        <v>-2.6495419691680629E-2</v>
      </c>
      <c r="BA14" s="1">
        <v>5.5924597476021097E-3</v>
      </c>
      <c r="BB14" s="1">
        <v>1.214348051679935E-2</v>
      </c>
      <c r="BC14" s="1">
        <v>2.6690966292337529E-2</v>
      </c>
      <c r="BD14" s="1">
        <v>-2.0333813472579319E-2</v>
      </c>
      <c r="BE14" s="1">
        <v>2.9972825892566161E-2</v>
      </c>
      <c r="BF14" s="1">
        <v>7.0904934370428871E-2</v>
      </c>
      <c r="BG14" s="1">
        <v>2.8739961775754559E-2</v>
      </c>
      <c r="BH14" s="1">
        <v>-3.2311812529403901E-3</v>
      </c>
      <c r="BI14" s="1">
        <v>4.8193838129789168E-2</v>
      </c>
      <c r="BJ14" s="1">
        <v>-2.4663126175119381E-2</v>
      </c>
      <c r="BK14" s="1">
        <v>8.2059498621307458E-3</v>
      </c>
      <c r="BL14" s="1">
        <v>-2.0533626057241541E-2</v>
      </c>
      <c r="BM14" s="1">
        <v>-2.063401850669919E-2</v>
      </c>
      <c r="BN14" s="1">
        <v>-1.4908356942459179E-2</v>
      </c>
      <c r="BO14" s="1">
        <v>-6.1541279385937467E-2</v>
      </c>
      <c r="BP14" s="1">
        <v>-3.2994976342917738E-2</v>
      </c>
      <c r="BQ14" s="1">
        <v>-1.011771750707282E-2</v>
      </c>
      <c r="BR14" s="1">
        <v>-5.6986674960917361E-2</v>
      </c>
      <c r="BS14" s="1">
        <v>1.5936659873020641E-3</v>
      </c>
      <c r="BT14" s="1">
        <v>-4.6247972697377043E-3</v>
      </c>
      <c r="BU14" s="1">
        <v>-2.3168960577083651E-2</v>
      </c>
      <c r="BV14" s="1">
        <v>3.7969141942813707E-2</v>
      </c>
      <c r="BW14" s="1">
        <v>4.3745729452053461E-2</v>
      </c>
      <c r="BX14" s="1">
        <v>-9.0180569287486093E-3</v>
      </c>
      <c r="BY14" s="1">
        <v>-1.7771556253644849E-2</v>
      </c>
      <c r="BZ14" s="1">
        <v>-1.165274668056307E-2</v>
      </c>
      <c r="CA14" s="1">
        <v>-1.849615570742404E-2</v>
      </c>
      <c r="CB14" s="1">
        <v>1.95102087230794E-2</v>
      </c>
      <c r="CC14" s="1">
        <v>-4.3661782652908793E-2</v>
      </c>
      <c r="CD14" s="1">
        <v>-4.4355263356684577E-2</v>
      </c>
      <c r="CE14" s="1">
        <v>9.3696372252921965E-3</v>
      </c>
      <c r="CF14" s="1">
        <v>1.165806526422826E-2</v>
      </c>
      <c r="CG14" s="1">
        <v>-4.6434550182106807E-3</v>
      </c>
      <c r="CH14" s="1">
        <v>1.180487623142378E-2</v>
      </c>
      <c r="CI14" s="1">
        <v>1.5237996485427949E-3</v>
      </c>
      <c r="CJ14" s="1">
        <v>-6.4059392195633946E-2</v>
      </c>
      <c r="CK14" s="1">
        <v>1.4501196928619949E-2</v>
      </c>
      <c r="CL14" s="1">
        <v>7.612102386984701E-2</v>
      </c>
      <c r="CM14" s="1">
        <v>2.6353950838169271E-2</v>
      </c>
      <c r="CN14" s="1">
        <v>0.13972789912649569</v>
      </c>
      <c r="CO14" s="1">
        <v>-5.6181821891254792E-2</v>
      </c>
      <c r="CP14" s="1">
        <v>4.2518660054214341E-3</v>
      </c>
      <c r="CQ14" s="1">
        <v>-6.7376584335243211E-2</v>
      </c>
      <c r="CR14" s="1">
        <v>-5.7159986521513537E-2</v>
      </c>
      <c r="CS14" s="1">
        <v>-2.4098816744790068E-2</v>
      </c>
      <c r="CT14" s="1">
        <v>-6.5684091527569044E-2</v>
      </c>
      <c r="CU14" s="1">
        <v>-7.4779529281356755E-2</v>
      </c>
      <c r="CV14" s="1">
        <v>3.5483194522230442E-2</v>
      </c>
      <c r="CW14" s="1">
        <v>1.303666937857764E-2</v>
      </c>
      <c r="CX14" s="1">
        <v>-3.0752638267462998E-2</v>
      </c>
      <c r="CY14" s="1">
        <v>1.6420596247805591E-2</v>
      </c>
      <c r="CZ14" s="1">
        <v>-1.232426205991659E-2</v>
      </c>
      <c r="DA14" s="1">
        <v>1.6824332825243801E-2</v>
      </c>
      <c r="DB14" s="1">
        <v>3.5585282643903413E-2</v>
      </c>
      <c r="DC14" s="1">
        <v>-4.5013637925414018E-3</v>
      </c>
      <c r="DD14" s="1">
        <v>5.1114670977526547E-3</v>
      </c>
      <c r="DE14" s="1">
        <v>-8.7968308988577021E-3</v>
      </c>
      <c r="DF14" s="1">
        <v>1.9394735884875759E-2</v>
      </c>
      <c r="DG14" s="1">
        <v>-1.431426848367518E-2</v>
      </c>
      <c r="DH14" s="1">
        <v>1.428761690405386E-3</v>
      </c>
      <c r="DI14" s="1">
        <v>-3.9089938704830567E-2</v>
      </c>
      <c r="DJ14" s="1">
        <v>4.1378042935671537E-2</v>
      </c>
      <c r="DK14" s="1">
        <v>-2.6213060067923691E-2</v>
      </c>
      <c r="DL14" s="1">
        <v>-1.597940676728276E-2</v>
      </c>
      <c r="DM14" s="1">
        <v>-2.794183674606094E-2</v>
      </c>
      <c r="DN14" s="1">
        <v>1.2574616176988891E-2</v>
      </c>
      <c r="DO14" s="1">
        <v>9.5209619009014868E-3</v>
      </c>
      <c r="DP14" s="1">
        <v>1.106437414258276E-2</v>
      </c>
      <c r="DQ14" s="1">
        <v>1.140395657160184E-2</v>
      </c>
      <c r="DR14" s="1">
        <v>-1.085204642770435E-2</v>
      </c>
      <c r="DS14" s="1">
        <v>4.6024279005124763E-2</v>
      </c>
      <c r="DT14" s="1">
        <v>2.481384156258673E-2</v>
      </c>
      <c r="DU14" s="1">
        <v>4.5787141974467017E-2</v>
      </c>
      <c r="DV14" s="1">
        <v>-9.7841607085983641E-3</v>
      </c>
      <c r="DW14" s="1">
        <v>4.442170679450054E-3</v>
      </c>
      <c r="DX14" s="1">
        <v>-8.5283820249978954E-3</v>
      </c>
      <c r="DY14" s="1">
        <v>1.535213037610899E-2</v>
      </c>
      <c r="DZ14" s="1">
        <v>7.0565352357012529E-3</v>
      </c>
      <c r="EA14" s="1">
        <v>-0.113127041749137</v>
      </c>
      <c r="EB14" s="1">
        <v>3.1887415032860217E-2</v>
      </c>
      <c r="EC14" s="1">
        <v>1.488391812951918E-2</v>
      </c>
      <c r="ED14" s="1">
        <v>2.3444575242941159E-2</v>
      </c>
      <c r="EE14" s="1">
        <v>-2.821628026780338E-2</v>
      </c>
      <c r="EF14" s="1">
        <v>-3.1810858274230483E-2</v>
      </c>
      <c r="EG14" s="32">
        <f>AVERAGE(C14:EF14)</f>
        <v>-2.4778819853264185E-3</v>
      </c>
      <c r="EH14" s="62">
        <f>STDEV(C14:EF14)</f>
        <v>3.4747216601874673E-2</v>
      </c>
      <c r="EI14" s="32">
        <f>EG14/EH14</f>
        <v>-7.1311668319146246E-2</v>
      </c>
    </row>
    <row r="15" spans="1:139" ht="16">
      <c r="A15" s="6">
        <v>20</v>
      </c>
      <c r="B15" s="6">
        <v>48</v>
      </c>
      <c r="C15" s="9">
        <v>-7.4773642018864817E-3</v>
      </c>
      <c r="D15" s="9">
        <v>5.4568599887918484E-3</v>
      </c>
      <c r="E15" s="9">
        <v>-5.5236267032863426E-3</v>
      </c>
      <c r="F15" s="9">
        <v>-1.03933441668788E-2</v>
      </c>
      <c r="G15" s="9">
        <v>1.8994019774590191E-2</v>
      </c>
      <c r="H15" s="9">
        <v>1.7388387027499001E-2</v>
      </c>
      <c r="I15" s="9">
        <v>3.2285991683865867E-2</v>
      </c>
      <c r="J15" s="9">
        <v>2.300040865257166E-2</v>
      </c>
      <c r="K15" s="9">
        <v>6.0326139227570137E-2</v>
      </c>
      <c r="L15" s="2">
        <v>2.198047037872277E-2</v>
      </c>
      <c r="M15" s="2">
        <v>3.279758226004716E-3</v>
      </c>
      <c r="N15" s="2">
        <v>-7.5519168454302954E-2</v>
      </c>
      <c r="O15" s="1">
        <v>1.7422698810949929E-2</v>
      </c>
      <c r="P15" s="1">
        <v>-5.9731166919697034E-3</v>
      </c>
      <c r="Q15" s="1">
        <v>2.4058964774520498E-2</v>
      </c>
      <c r="R15" s="1">
        <v>-4.7242509721014403E-2</v>
      </c>
      <c r="S15" s="1">
        <v>2.6179031889656749E-2</v>
      </c>
      <c r="T15" s="1">
        <v>-2.6298132758153441E-2</v>
      </c>
      <c r="U15" s="1">
        <v>-2.2778289813471519E-3</v>
      </c>
      <c r="V15" s="1">
        <v>-1.1085659637122989E-2</v>
      </c>
      <c r="W15" s="1">
        <v>-3.4590636479715289E-2</v>
      </c>
      <c r="X15" s="1">
        <v>-0.15038577771880221</v>
      </c>
      <c r="Y15" s="1">
        <v>2.162316520733203E-2</v>
      </c>
      <c r="Z15" s="1">
        <v>8.125140212123555E-2</v>
      </c>
      <c r="AA15" s="1">
        <v>-4.7712648450258202E-2</v>
      </c>
      <c r="AB15" s="1">
        <v>-1.50015733289785E-2</v>
      </c>
      <c r="AC15" s="1">
        <v>6.6771700381929838E-2</v>
      </c>
      <c r="AD15" s="1">
        <v>2.0440228373792418E-2</v>
      </c>
      <c r="AE15" s="1">
        <v>-4.0845746888511281E-2</v>
      </c>
      <c r="AF15" s="1">
        <v>7.3281160828311195E-2</v>
      </c>
      <c r="AG15" s="1">
        <v>-9.9052077270740911E-3</v>
      </c>
      <c r="AH15" s="1">
        <v>2.4955206549866861E-2</v>
      </c>
      <c r="AI15" s="1">
        <v>-3.035242108746475E-3</v>
      </c>
      <c r="AJ15" s="1">
        <v>-1.0699039624373909E-3</v>
      </c>
      <c r="AK15" s="1">
        <v>-2.3618699571947319E-2</v>
      </c>
      <c r="AL15" s="1">
        <v>4.9258884794550067E-2</v>
      </c>
      <c r="AM15" s="1">
        <v>-4.1837427989975327E-2</v>
      </c>
      <c r="AN15" s="1">
        <v>-2.9977660519922341E-2</v>
      </c>
      <c r="AO15" s="1">
        <v>1.708846688635377E-3</v>
      </c>
      <c r="AP15" s="1">
        <v>2.1107071267262652E-3</v>
      </c>
      <c r="AQ15" s="1">
        <v>2.3400741595164731E-3</v>
      </c>
      <c r="AR15" s="1">
        <v>-2.0848043794723822E-2</v>
      </c>
      <c r="AS15" s="1">
        <v>-2.340496354159733E-2</v>
      </c>
      <c r="AT15" s="1">
        <v>-8.6422914727599456E-2</v>
      </c>
      <c r="AU15" s="1">
        <v>1.569541842647252E-2</v>
      </c>
      <c r="AV15" s="1">
        <v>-4.9079394477885008E-3</v>
      </c>
      <c r="AW15" s="1">
        <v>-1.1292435731320929E-2</v>
      </c>
      <c r="AX15" s="1">
        <v>2.0015025308446879E-4</v>
      </c>
      <c r="AY15" s="1">
        <v>6.8287142652547719E-2</v>
      </c>
      <c r="AZ15" s="1">
        <v>-1.685700729404345E-2</v>
      </c>
      <c r="BA15" s="1">
        <v>1.7704769733902261E-2</v>
      </c>
      <c r="BB15" s="1">
        <v>2.1019544819399771E-3</v>
      </c>
      <c r="BC15" s="1">
        <v>1.9110867274842121E-2</v>
      </c>
      <c r="BD15" s="1">
        <v>1.552987424470754E-2</v>
      </c>
      <c r="BE15" s="1">
        <v>4.896391123153207E-2</v>
      </c>
      <c r="BF15" s="1">
        <v>7.1981555380687207E-2</v>
      </c>
      <c r="BG15" s="1">
        <v>5.7825843984624377E-2</v>
      </c>
      <c r="BH15" s="1">
        <v>1.063073706659007E-3</v>
      </c>
      <c r="BI15" s="1">
        <v>3.7499401391764962E-2</v>
      </c>
      <c r="BJ15" s="1">
        <v>-2.4266087613108878E-2</v>
      </c>
      <c r="BK15" s="1">
        <v>-1.583453274687716E-3</v>
      </c>
      <c r="BL15" s="1">
        <v>-1.6413795604717601E-2</v>
      </c>
      <c r="BM15" s="1">
        <v>-2.4812053730599009E-2</v>
      </c>
      <c r="BN15" s="1">
        <v>-2.1773575163349389E-2</v>
      </c>
      <c r="BO15" s="1">
        <v>-8.2577836296605422E-2</v>
      </c>
      <c r="BP15" s="1">
        <v>-5.7598025288633573E-2</v>
      </c>
      <c r="BQ15" s="1">
        <v>-1.6153311726295781E-2</v>
      </c>
      <c r="BR15" s="1">
        <v>-8.1428201651234683E-2</v>
      </c>
      <c r="BS15" s="1">
        <v>2.734092686109912E-3</v>
      </c>
      <c r="BT15" s="1">
        <v>2.265118109946947E-2</v>
      </c>
      <c r="BU15" s="1">
        <v>-2.5178690791022709E-2</v>
      </c>
      <c r="BV15" s="1">
        <v>6.9814479287640147E-2</v>
      </c>
      <c r="BW15" s="1">
        <v>8.027141957100338E-2</v>
      </c>
      <c r="BX15" s="1">
        <v>-1.523950964890692E-2</v>
      </c>
      <c r="BY15" s="1">
        <v>7.846560147997228E-3</v>
      </c>
      <c r="BZ15" s="1">
        <v>-6.2915716379284087E-2</v>
      </c>
      <c r="CA15" s="1">
        <v>-4.2622978262858359E-2</v>
      </c>
      <c r="CB15" s="1">
        <v>2.2749760291355729E-2</v>
      </c>
      <c r="CC15" s="1">
        <v>-2.5665769124313489E-3</v>
      </c>
      <c r="CD15" s="1">
        <v>-2.1204143880606541E-2</v>
      </c>
      <c r="CE15" s="1">
        <v>2.2670431202129169E-2</v>
      </c>
      <c r="CF15" s="1">
        <v>1.0965174140406349E-2</v>
      </c>
      <c r="CG15" s="1">
        <v>-2.2196703624105939E-2</v>
      </c>
      <c r="CH15" s="1">
        <v>2.9497084976061631E-2</v>
      </c>
      <c r="CI15" s="1">
        <v>6.6072390812367274E-3</v>
      </c>
      <c r="CJ15" s="1">
        <v>-8.0962159562338792E-2</v>
      </c>
      <c r="CK15" s="1">
        <v>1.0734913160314909E-2</v>
      </c>
      <c r="CL15" s="1">
        <v>7.0690452619681876E-2</v>
      </c>
      <c r="CM15" s="1">
        <v>1.401073477287859E-2</v>
      </c>
      <c r="CN15" s="1">
        <v>0.14134676754253669</v>
      </c>
      <c r="CO15" s="1">
        <v>-6.0648235510008419E-2</v>
      </c>
      <c r="CP15" s="1">
        <v>2.7089074477325378E-2</v>
      </c>
      <c r="CQ15" s="1">
        <v>-7.3319275809578907E-2</v>
      </c>
      <c r="CR15" s="1">
        <v>-0.11164488638047471</v>
      </c>
      <c r="CS15" s="1">
        <v>-1.841937762292116E-2</v>
      </c>
      <c r="CT15" s="1">
        <v>-9.4868405295442326E-2</v>
      </c>
      <c r="CU15" s="1">
        <v>-0.1070909617136374</v>
      </c>
      <c r="CV15" s="1">
        <v>5.457688963215418E-2</v>
      </c>
      <c r="CW15" s="1">
        <v>3.6309119756433333E-2</v>
      </c>
      <c r="CX15" s="1">
        <v>-3.0582841479689839E-2</v>
      </c>
      <c r="CY15" s="1">
        <v>4.1201751884096742E-2</v>
      </c>
      <c r="CZ15" s="1">
        <v>-4.8982161600652913E-3</v>
      </c>
      <c r="DA15" s="1">
        <v>1.69366264750716E-2</v>
      </c>
      <c r="DB15" s="1">
        <v>6.1356185237271411E-2</v>
      </c>
      <c r="DC15" s="1">
        <v>-1.414986682729436E-2</v>
      </c>
      <c r="DD15" s="1">
        <v>-5.9036844771361008E-4</v>
      </c>
      <c r="DE15" s="1">
        <v>-1.217608142121133E-2</v>
      </c>
      <c r="DF15" s="1">
        <v>1.9893650148552371E-2</v>
      </c>
      <c r="DG15" s="1">
        <v>-1.169606910435785E-2</v>
      </c>
      <c r="DH15" s="1">
        <v>-3.4498128587795822E-2</v>
      </c>
      <c r="DI15" s="1">
        <v>-4.4175588336147598E-2</v>
      </c>
      <c r="DJ15" s="1">
        <v>7.0211236155579976E-3</v>
      </c>
      <c r="DK15" s="1">
        <v>-3.9577188490352438E-3</v>
      </c>
      <c r="DL15" s="1">
        <v>-2.364136436570885E-2</v>
      </c>
      <c r="DM15" s="1">
        <v>-3.4463082837018398E-2</v>
      </c>
      <c r="DN15" s="1">
        <v>1.0715066690362981E-2</v>
      </c>
      <c r="DO15" s="1">
        <v>1.2299319450475341E-2</v>
      </c>
      <c r="DP15" s="1">
        <v>1.314461373671766E-2</v>
      </c>
      <c r="DQ15" s="1">
        <v>1.355348108824077E-2</v>
      </c>
      <c r="DR15" s="1">
        <v>-1.4466961470859749E-2</v>
      </c>
      <c r="DS15" s="1">
        <v>2.991519389132713E-2</v>
      </c>
      <c r="DT15" s="1">
        <v>2.984580916100325E-2</v>
      </c>
      <c r="DU15" s="1">
        <v>2.369885378120147E-2</v>
      </c>
      <c r="DV15" s="1">
        <v>-3.068747167732274E-2</v>
      </c>
      <c r="DW15" s="1">
        <v>1.7478142918529071E-2</v>
      </c>
      <c r="DX15" s="1">
        <v>1.573276538124866E-2</v>
      </c>
      <c r="DY15" s="1">
        <v>9.7591275661417197E-3</v>
      </c>
      <c r="DZ15" s="1">
        <v>-6.9097961117845176E-3</v>
      </c>
      <c r="EA15" s="1">
        <v>-0.1244689581490709</v>
      </c>
      <c r="EB15" s="1">
        <v>5.8059596313331067E-2</v>
      </c>
      <c r="EC15" s="1">
        <v>2.198485253152439E-2</v>
      </c>
      <c r="ED15" s="1">
        <v>5.3978019629255351E-2</v>
      </c>
      <c r="EE15" s="1">
        <v>-3.58674799008201E-2</v>
      </c>
      <c r="EF15" s="1">
        <v>-4.7879265492308178E-2</v>
      </c>
      <c r="EG15" s="32">
        <f t="shared" ref="EG15:EG27" si="0">AVERAGE(C15:EF15)</f>
        <v>-1.9170162551224691E-3</v>
      </c>
      <c r="EH15" s="32">
        <f t="shared" ref="EH15:EH27" si="1">STDEV(C15:EF15)</f>
        <v>4.4053661776925442E-2</v>
      </c>
      <c r="EI15" s="32">
        <f t="shared" ref="EI15:EI27" si="2">EG15/EH15</f>
        <v>-4.3515480389114201E-2</v>
      </c>
    </row>
    <row r="16" spans="1:139" ht="16">
      <c r="A16" s="6">
        <v>50</v>
      </c>
      <c r="B16" s="6">
        <v>19</v>
      </c>
      <c r="C16" s="9">
        <v>-3.3228977675766193E-2</v>
      </c>
      <c r="D16" s="9">
        <v>0.14164364875262569</v>
      </c>
      <c r="E16" s="9">
        <v>-4.7920746013269233E-2</v>
      </c>
      <c r="F16" s="9">
        <v>1.7957806566485459E-2</v>
      </c>
      <c r="G16" s="9">
        <v>1.8155702629178639E-2</v>
      </c>
      <c r="H16" s="9">
        <v>-1.150826086212358E-2</v>
      </c>
      <c r="I16" s="9">
        <v>3.010013528693542E-2</v>
      </c>
      <c r="J16" s="9">
        <v>4.5231574032403389E-2</v>
      </c>
      <c r="K16" s="9">
        <v>5.082746626084797E-2</v>
      </c>
      <c r="L16" s="2">
        <v>5.6271084976235543E-2</v>
      </c>
      <c r="M16" s="2">
        <v>-1.902171446498398E-2</v>
      </c>
      <c r="N16" s="2">
        <v>-0.1240515691928627</v>
      </c>
      <c r="O16" s="1">
        <v>1.494407938548527E-3</v>
      </c>
      <c r="P16" s="1">
        <v>1.196951957924923E-2</v>
      </c>
      <c r="Q16" s="1">
        <v>4.950099234015462E-2</v>
      </c>
      <c r="R16" s="1">
        <v>1.145317290513128E-2</v>
      </c>
      <c r="S16" s="1">
        <v>4.1715657795007022E-2</v>
      </c>
      <c r="T16" s="1">
        <v>2.2210254844474142E-3</v>
      </c>
      <c r="U16" s="1">
        <v>-1.4789417403013341E-2</v>
      </c>
      <c r="V16" s="1">
        <v>-1.344096964190716E-2</v>
      </c>
      <c r="W16" s="1">
        <v>-2.1702238885079651E-2</v>
      </c>
      <c r="X16" s="1">
        <v>-0.21811053511687881</v>
      </c>
      <c r="Y16" s="1">
        <v>-3.1992262325710688E-2</v>
      </c>
      <c r="Z16" s="1">
        <v>0.1167040316714288</v>
      </c>
      <c r="AA16" s="1">
        <v>-9.9905879497324768E-2</v>
      </c>
      <c r="AB16" s="1">
        <v>-2.7335978605554138E-2</v>
      </c>
      <c r="AC16" s="1">
        <v>-3.0865623387892789E-3</v>
      </c>
      <c r="AD16" s="1">
        <v>6.9874591735142128E-2</v>
      </c>
      <c r="AE16" s="1">
        <v>-5.682503133925064E-3</v>
      </c>
      <c r="AF16" s="1">
        <v>9.6080095456633638E-2</v>
      </c>
      <c r="AG16" s="1">
        <v>-2.532929501095306E-2</v>
      </c>
      <c r="AH16" s="1">
        <v>8.0952184423801643E-2</v>
      </c>
      <c r="AI16" s="1">
        <v>6.3253265690709756E-2</v>
      </c>
      <c r="AJ16" s="1">
        <v>-1.6189757376705981E-2</v>
      </c>
      <c r="AK16" s="1">
        <v>-8.6778642070208158E-3</v>
      </c>
      <c r="AL16" s="1">
        <v>5.1230182968129492E-2</v>
      </c>
      <c r="AM16" s="1">
        <v>-2.8014228646212651E-2</v>
      </c>
      <c r="AN16" s="1">
        <v>-1.9132523225286639E-2</v>
      </c>
      <c r="AO16" s="1">
        <v>3.8044352542061337E-2</v>
      </c>
      <c r="AP16" s="1">
        <v>-8.3517816301222174E-3</v>
      </c>
      <c r="AQ16" s="1">
        <v>-2.9733380497277639E-2</v>
      </c>
      <c r="AR16" s="1">
        <v>-7.5826916674388654E-3</v>
      </c>
      <c r="AS16" s="1">
        <v>6.6693383896894304E-3</v>
      </c>
      <c r="AT16" s="1">
        <v>-7.9403479710638034E-2</v>
      </c>
      <c r="AU16" s="1">
        <v>5.7421613114133872E-2</v>
      </c>
      <c r="AV16" s="1">
        <v>-1.2313350232945511E-2</v>
      </c>
      <c r="AW16" s="1">
        <v>3.827640746076574E-3</v>
      </c>
      <c r="AX16" s="1">
        <v>-1.061514213437365E-2</v>
      </c>
      <c r="AY16" s="1">
        <v>0.1432485149460308</v>
      </c>
      <c r="AZ16" s="1">
        <v>-3.13019729234899E-2</v>
      </c>
      <c r="BA16" s="1">
        <v>6.4770817793613308E-2</v>
      </c>
      <c r="BB16" s="1">
        <v>3.2127794445561443E-2</v>
      </c>
      <c r="BC16" s="1">
        <v>-2.8505683499306132E-2</v>
      </c>
      <c r="BD16" s="1">
        <v>5.2229071952837852E-2</v>
      </c>
      <c r="BE16" s="1">
        <v>7.6027043355869031E-2</v>
      </c>
      <c r="BF16" s="1">
        <v>0.1101725310759458</v>
      </c>
      <c r="BG16" s="1">
        <v>0.1004747755448602</v>
      </c>
      <c r="BH16" s="1">
        <v>9.1153633890117436E-2</v>
      </c>
      <c r="BI16" s="1">
        <v>7.0811286001980556E-2</v>
      </c>
      <c r="BJ16" s="1">
        <v>-6.8604195602302701E-2</v>
      </c>
      <c r="BK16" s="1">
        <v>-5.9792701964583809E-3</v>
      </c>
      <c r="BL16" s="1">
        <v>-1.162705224588483E-2</v>
      </c>
      <c r="BM16" s="1">
        <v>-1.7130280440688161E-2</v>
      </c>
      <c r="BN16" s="1">
        <v>-4.7838156402567056E-3</v>
      </c>
      <c r="BO16" s="1">
        <v>-2.0140931042434401E-2</v>
      </c>
      <c r="BP16" s="1">
        <v>-7.0319344371876077E-2</v>
      </c>
      <c r="BQ16" s="1">
        <v>1.767178312192132E-2</v>
      </c>
      <c r="BR16" s="1">
        <v>-8.6828184595889091E-2</v>
      </c>
      <c r="BS16" s="1">
        <v>5.0663050228660972E-3</v>
      </c>
      <c r="BT16" s="1">
        <v>2.6437794517138909E-2</v>
      </c>
      <c r="BU16" s="1">
        <v>-7.6735090768895786E-2</v>
      </c>
      <c r="BV16" s="1">
        <v>0.10176926059884341</v>
      </c>
      <c r="BW16" s="1">
        <v>1.5980247662539509E-2</v>
      </c>
      <c r="BX16" s="1">
        <v>-9.2177724655424231E-2</v>
      </c>
      <c r="BY16" s="1">
        <v>4.2570991737188091E-2</v>
      </c>
      <c r="BZ16" s="1">
        <v>-0.1681265577694962</v>
      </c>
      <c r="CA16" s="1">
        <v>-5.1170226510906032E-2</v>
      </c>
      <c r="CB16" s="1">
        <v>0.1163670576032399</v>
      </c>
      <c r="CC16" s="1">
        <v>-3.5993752605821903E-2</v>
      </c>
      <c r="CD16" s="1">
        <v>3.292638735278363E-2</v>
      </c>
      <c r="CE16" s="1">
        <v>4.3060425677338837E-2</v>
      </c>
      <c r="CF16" s="1">
        <v>2.073529831987958E-2</v>
      </c>
      <c r="CG16" s="1">
        <v>-4.0400431445910191E-2</v>
      </c>
      <c r="CH16" s="1">
        <v>2.1026353382294009E-3</v>
      </c>
      <c r="CI16" s="1">
        <v>-4.7976499166614818E-2</v>
      </c>
      <c r="CJ16" s="1">
        <v>-0.12531710259410231</v>
      </c>
      <c r="CK16" s="1">
        <v>7.4599978572734149E-2</v>
      </c>
      <c r="CL16" s="1">
        <v>9.1851718531239343E-2</v>
      </c>
      <c r="CM16" s="1">
        <v>-5.0971068777472964E-3</v>
      </c>
      <c r="CN16" s="1">
        <v>0.20849654423305669</v>
      </c>
      <c r="CO16" s="1">
        <v>-0.1186599854193373</v>
      </c>
      <c r="CP16" s="1">
        <v>2.5792774688275649E-2</v>
      </c>
      <c r="CQ16" s="1">
        <v>-9.2452779160133169E-2</v>
      </c>
      <c r="CR16" s="1">
        <v>-0.207719712590648</v>
      </c>
      <c r="CS16" s="1">
        <v>1.044310335184577E-2</v>
      </c>
      <c r="CT16" s="1">
        <v>-9.9677083852552695E-2</v>
      </c>
      <c r="CU16" s="1">
        <v>-0.1015449999567145</v>
      </c>
      <c r="CV16" s="1">
        <v>5.8675077055290813E-2</v>
      </c>
      <c r="CW16" s="1">
        <v>4.476388444326003E-2</v>
      </c>
      <c r="CX16" s="1">
        <v>-9.0639227349923676E-2</v>
      </c>
      <c r="CY16" s="1">
        <v>9.6361130127283895E-2</v>
      </c>
      <c r="CZ16" s="1">
        <v>-1.030139965842336E-2</v>
      </c>
      <c r="DA16" s="1">
        <v>-5.6351880605135567E-2</v>
      </c>
      <c r="DB16" s="1">
        <v>9.0239013556801195E-2</v>
      </c>
      <c r="DC16" s="1">
        <v>-4.2998541980200061E-2</v>
      </c>
      <c r="DD16" s="1">
        <v>-5.650459402872017E-3</v>
      </c>
      <c r="DE16" s="1">
        <v>1.4117832690351689E-2</v>
      </c>
      <c r="DF16" s="1">
        <v>2.2607973579946879E-2</v>
      </c>
      <c r="DG16" s="1">
        <v>-2.696175413665863E-2</v>
      </c>
      <c r="DH16" s="1">
        <v>1.26623637895646E-3</v>
      </c>
      <c r="DI16" s="1">
        <v>-0.12514038264418861</v>
      </c>
      <c r="DJ16" s="1">
        <v>8.794029387320771E-3</v>
      </c>
      <c r="DK16" s="1">
        <v>6.8591515890339655E-2</v>
      </c>
      <c r="DL16" s="1">
        <v>-6.3558097727640664E-2</v>
      </c>
      <c r="DM16" s="1">
        <v>-2.084304329386847E-2</v>
      </c>
      <c r="DN16" s="1">
        <v>1.6686040213792011E-3</v>
      </c>
      <c r="DO16" s="1">
        <v>1.2384092480829821E-3</v>
      </c>
      <c r="DP16" s="1">
        <v>-1.7980561215043381E-2</v>
      </c>
      <c r="DQ16" s="1">
        <v>3.238474528423578E-2</v>
      </c>
      <c r="DR16" s="1">
        <v>-5.4840962455492406E-3</v>
      </c>
      <c r="DS16" s="1">
        <v>8.9437754388967172E-2</v>
      </c>
      <c r="DT16" s="1">
        <v>7.7542903390828534E-3</v>
      </c>
      <c r="DU16" s="1">
        <v>0.11891758656757311</v>
      </c>
      <c r="DV16" s="1">
        <v>-4.9656627088564283E-2</v>
      </c>
      <c r="DW16" s="1">
        <v>5.4188708332781402E-2</v>
      </c>
      <c r="DX16" s="1">
        <v>3.2842421816717628E-2</v>
      </c>
      <c r="DY16" s="1">
        <v>3.6869823393200898E-2</v>
      </c>
      <c r="DZ16" s="1">
        <v>-2.2551537789961149E-2</v>
      </c>
      <c r="EA16" s="1">
        <v>-6.2912684572741615E-2</v>
      </c>
      <c r="EB16" s="1">
        <v>8.8158781681692097E-2</v>
      </c>
      <c r="EC16" s="1">
        <v>4.3260017529307651E-2</v>
      </c>
      <c r="ED16" s="1">
        <v>7.8399264145063471E-2</v>
      </c>
      <c r="EE16" s="1">
        <v>-4.2505739301358238E-2</v>
      </c>
      <c r="EF16" s="1">
        <v>-8.4951384476466579E-2</v>
      </c>
      <c r="EG16" s="32">
        <f t="shared" si="0"/>
        <v>2.8070601161267073E-3</v>
      </c>
      <c r="EH16" s="32">
        <f t="shared" si="1"/>
        <v>6.8368604900834559E-2</v>
      </c>
      <c r="EI16" s="32">
        <f t="shared" si="2"/>
        <v>4.1057735786743287E-2</v>
      </c>
    </row>
    <row r="17" spans="1:142" ht="16">
      <c r="A17" s="6">
        <v>100</v>
      </c>
      <c r="B17" s="6">
        <v>10</v>
      </c>
      <c r="C17" s="9">
        <v>-3.6350225217569643E-2</v>
      </c>
      <c r="D17" s="9">
        <v>0.27303487269562599</v>
      </c>
      <c r="E17" s="9">
        <v>-9.5344605470970442E-2</v>
      </c>
      <c r="F17" s="9">
        <v>1.334416215949184E-2</v>
      </c>
      <c r="G17" s="9">
        <v>-5.0918187212751001E-5</v>
      </c>
      <c r="H17" s="9">
        <v>-1.2437260581050979E-3</v>
      </c>
      <c r="I17" s="9">
        <v>7.929309065310064E-2</v>
      </c>
      <c r="J17" s="9">
        <v>6.2121209749972053E-2</v>
      </c>
      <c r="K17" s="9">
        <v>9.4514797591930863E-2</v>
      </c>
      <c r="L17" s="2">
        <v>8.1171060568646272E-2</v>
      </c>
      <c r="M17" s="2">
        <v>-2.1330164362876949E-3</v>
      </c>
      <c r="N17" s="2">
        <v>-0.13481826461602039</v>
      </c>
      <c r="O17" s="1">
        <v>-1.227079575915271E-2</v>
      </c>
      <c r="P17" s="1">
        <v>4.5502268535783201E-3</v>
      </c>
      <c r="Q17" s="1">
        <v>5.2757303623434858E-2</v>
      </c>
      <c r="R17" s="1">
        <v>-3.371116763271817E-2</v>
      </c>
      <c r="S17" s="1">
        <v>8.8560885448235455E-2</v>
      </c>
      <c r="T17" s="1">
        <v>-6.5780206988192494E-3</v>
      </c>
      <c r="U17" s="1">
        <v>8.0881446152575032E-3</v>
      </c>
      <c r="V17" s="1">
        <v>-5.5125570568391458E-4</v>
      </c>
      <c r="W17" s="1">
        <v>-6.0794047136491502E-3</v>
      </c>
      <c r="X17" s="1">
        <v>-0.25186325128855802</v>
      </c>
      <c r="Y17" s="1">
        <v>-4.6039335274668337E-2</v>
      </c>
      <c r="Z17" s="1">
        <v>6.2704119328443955E-2</v>
      </c>
      <c r="AA17" s="1">
        <v>-0.16085038421306441</v>
      </c>
      <c r="AB17" s="1">
        <v>-2.2166400740933071E-2</v>
      </c>
      <c r="AC17" s="1">
        <v>4.3176688480551229E-3</v>
      </c>
      <c r="AD17" s="1">
        <v>8.171337488818238E-2</v>
      </c>
      <c r="AE17" s="1">
        <v>1.572749031861501E-2</v>
      </c>
      <c r="AF17" s="1">
        <v>0.13772628717765439</v>
      </c>
      <c r="AG17" s="1">
        <v>-4.4324544215075819E-2</v>
      </c>
      <c r="AH17" s="1">
        <v>0.13296736500972281</v>
      </c>
      <c r="AI17" s="1">
        <v>7.8876381721363187E-2</v>
      </c>
      <c r="AJ17" s="1">
        <v>2.2201118450781741E-2</v>
      </c>
      <c r="AK17" s="1">
        <v>6.0211988583962997E-2</v>
      </c>
      <c r="AL17" s="1">
        <v>3.2360173796661409E-2</v>
      </c>
      <c r="AM17" s="1">
        <v>2.1048665009479162E-2</v>
      </c>
      <c r="AN17" s="1">
        <v>-3.550046026520183E-2</v>
      </c>
      <c r="AO17" s="1">
        <v>5.1384520239967417E-2</v>
      </c>
      <c r="AP17" s="1">
        <v>-9.0555375037428221E-2</v>
      </c>
      <c r="AQ17" s="1">
        <v>-3.6453319420235192E-2</v>
      </c>
      <c r="AR17" s="1">
        <v>-1.773382575923934E-2</v>
      </c>
      <c r="AS17" s="1">
        <v>4.8733221354101797E-2</v>
      </c>
      <c r="AT17" s="1">
        <v>-7.098981260370496E-2</v>
      </c>
      <c r="AU17" s="1">
        <v>7.7174077249961781E-2</v>
      </c>
      <c r="AV17" s="1">
        <v>-9.4716061070451968E-2</v>
      </c>
      <c r="AW17" s="1">
        <v>-2.282804723125768E-2</v>
      </c>
      <c r="AX17" s="1">
        <v>-5.4416044915560013E-2</v>
      </c>
      <c r="AY17" s="1">
        <v>0.20000626980510719</v>
      </c>
      <c r="AZ17" s="1">
        <v>-5.6675795162776307E-3</v>
      </c>
      <c r="BA17" s="1">
        <v>0.1433528242328177</v>
      </c>
      <c r="BB17" s="1">
        <v>3.0366027580357509E-2</v>
      </c>
      <c r="BC17" s="1">
        <v>-3.0936691622350049E-2</v>
      </c>
      <c r="BD17" s="1">
        <v>5.9932732968507832E-2</v>
      </c>
      <c r="BE17" s="1">
        <v>7.4808226337840983E-2</v>
      </c>
      <c r="BF17" s="1">
        <v>0.1272523121191925</v>
      </c>
      <c r="BG17" s="1">
        <v>0.12916989067904619</v>
      </c>
      <c r="BH17" s="1">
        <v>5.10442654504209E-2</v>
      </c>
      <c r="BI17" s="1">
        <v>0.1059371936883633</v>
      </c>
      <c r="BJ17" s="1">
        <v>-0.13011025503616941</v>
      </c>
      <c r="BK17" s="1">
        <v>3.792372621079184E-2</v>
      </c>
      <c r="BL17" s="1">
        <v>-4.7008904414970049E-3</v>
      </c>
      <c r="BM17" s="1">
        <v>-1.1126533396229011E-2</v>
      </c>
      <c r="BN17" s="1">
        <v>-5.9531747694532178E-2</v>
      </c>
      <c r="BO17" s="1">
        <v>-2.8938090794333439E-2</v>
      </c>
      <c r="BP17" s="1">
        <v>-0.1382756322826329</v>
      </c>
      <c r="BQ17" s="1">
        <v>2.821416873297386E-2</v>
      </c>
      <c r="BR17" s="1">
        <v>-0.13180032776225159</v>
      </c>
      <c r="BS17" s="1">
        <v>5.5831707129415115E-4</v>
      </c>
      <c r="BT17" s="1">
        <v>9.5399787018968507E-2</v>
      </c>
      <c r="BU17" s="1">
        <v>-4.0466167265627073E-2</v>
      </c>
      <c r="BV17" s="1">
        <v>0.16459384726439391</v>
      </c>
      <c r="BW17" s="1">
        <v>-1.4167148792181851E-2</v>
      </c>
      <c r="BX17" s="1">
        <v>-5.6261887219897586E-3</v>
      </c>
      <c r="BY17" s="1">
        <v>2.4922433376834419E-3</v>
      </c>
      <c r="BZ17" s="1">
        <v>-0.14914636066314349</v>
      </c>
      <c r="CA17" s="1">
        <v>-0.1299334375041431</v>
      </c>
      <c r="CB17" s="1">
        <v>0.16188291180450601</v>
      </c>
      <c r="CC17" s="1">
        <v>-6.121717654996698E-2</v>
      </c>
      <c r="CD17" s="1">
        <v>-4.7114468128673648E-2</v>
      </c>
      <c r="CE17" s="1">
        <v>0.10253543837065331</v>
      </c>
      <c r="CF17" s="1">
        <v>4.5210670660176318E-2</v>
      </c>
      <c r="CG17" s="1">
        <v>-0.12524703262158129</v>
      </c>
      <c r="CH17" s="1">
        <v>1.183485479237587E-2</v>
      </c>
      <c r="CI17" s="1">
        <v>-3.110078078430965E-2</v>
      </c>
      <c r="CJ17" s="1">
        <v>-5.6967558937002713E-2</v>
      </c>
      <c r="CK17" s="1">
        <v>8.5724330800911852E-2</v>
      </c>
      <c r="CL17" s="1">
        <v>0.13737052112206491</v>
      </c>
      <c r="CM17" s="1">
        <v>-4.662653579259865E-2</v>
      </c>
      <c r="CN17" s="1">
        <v>0.27697219902042403</v>
      </c>
      <c r="CO17" s="1">
        <v>-0.19945622381826589</v>
      </c>
      <c r="CP17" s="1">
        <v>9.2551971619557721E-2</v>
      </c>
      <c r="CQ17" s="1">
        <v>-6.7089015743962532E-2</v>
      </c>
      <c r="CR17" s="1">
        <v>-0.1814889322357352</v>
      </c>
      <c r="CS17" s="1">
        <v>6.543591723518967E-2</v>
      </c>
      <c r="CT17" s="1">
        <v>-0.16873606627298221</v>
      </c>
      <c r="CU17" s="1">
        <v>-0.12404993141386809</v>
      </c>
      <c r="CV17" s="1">
        <v>8.464184309113934E-2</v>
      </c>
      <c r="CW17" s="1">
        <v>2.6072090903126711E-2</v>
      </c>
      <c r="CX17" s="1">
        <v>-0.15238777889156799</v>
      </c>
      <c r="CY17" s="1">
        <v>9.2947904335357948E-2</v>
      </c>
      <c r="CZ17" s="1">
        <v>-2.3763335140482119E-2</v>
      </c>
      <c r="DA17" s="1">
        <v>5.7882147308606448E-2</v>
      </c>
      <c r="DB17" s="1">
        <v>0.20966340207921569</v>
      </c>
      <c r="DC17" s="1">
        <v>-6.7692431945125919E-2</v>
      </c>
      <c r="DD17" s="1">
        <v>-1.369137129403235E-2</v>
      </c>
      <c r="DE17" s="1">
        <v>-1.601975703560132E-4</v>
      </c>
      <c r="DF17" s="1">
        <v>4.4700312619795859E-2</v>
      </c>
      <c r="DG17" s="1">
        <v>-3.745732971770268E-2</v>
      </c>
      <c r="DH17" s="1">
        <v>-3.2902476125433532E-2</v>
      </c>
      <c r="DI17" s="1">
        <v>-0.11060973831262549</v>
      </c>
      <c r="DJ17" s="1">
        <v>6.0023776691057303E-2</v>
      </c>
      <c r="DK17" s="1">
        <v>0.15651373608371771</v>
      </c>
      <c r="DL17" s="1">
        <v>-6.2537168438709295E-2</v>
      </c>
      <c r="DM17" s="1">
        <v>4.4523917305828546E-3</v>
      </c>
      <c r="DN17" s="1">
        <v>1.7128288265009371E-2</v>
      </c>
      <c r="DO17" s="1">
        <v>-1.477900372771585E-2</v>
      </c>
      <c r="DP17" s="1">
        <v>-4.5072435350233843E-2</v>
      </c>
      <c r="DQ17" s="1">
        <v>4.3002664724010348E-2</v>
      </c>
      <c r="DR17" s="1">
        <v>3.047264049508135E-2</v>
      </c>
      <c r="DS17" s="1">
        <v>9.5715424587646189E-3</v>
      </c>
      <c r="DT17" s="1">
        <v>5.2718789989069627E-2</v>
      </c>
      <c r="DU17" s="1">
        <v>0.18864064490238791</v>
      </c>
      <c r="DV17" s="1">
        <v>-9.6902150508570872E-2</v>
      </c>
      <c r="DW17" s="1">
        <v>9.6290500838946448E-3</v>
      </c>
      <c r="DX17" s="1">
        <v>5.0285287654266292E-2</v>
      </c>
      <c r="DY17" s="1">
        <v>1.039275863743022E-2</v>
      </c>
      <c r="DZ17" s="1">
        <v>-2.7874507264138579E-2</v>
      </c>
      <c r="EA17" s="1">
        <v>-4.3451220280325283E-2</v>
      </c>
      <c r="EB17" s="1">
        <v>7.5294390068854106E-2</v>
      </c>
      <c r="EC17" s="1">
        <v>7.6157076796619858E-2</v>
      </c>
      <c r="ED17" s="1">
        <v>0.1106600344882203</v>
      </c>
      <c r="EE17" s="1">
        <v>-4.9344179940159598E-2</v>
      </c>
      <c r="EF17" s="1">
        <v>-0.15968343912296651</v>
      </c>
      <c r="EG17" s="62">
        <f t="shared" si="0"/>
        <v>7.6164613978510149E-3</v>
      </c>
      <c r="EH17" s="32">
        <f t="shared" si="1"/>
        <v>9.2458113834073555E-2</v>
      </c>
      <c r="EI17" s="32">
        <f t="shared" si="2"/>
        <v>8.237742564724615E-2</v>
      </c>
    </row>
    <row r="18" spans="1:142" ht="16">
      <c r="A18" s="6">
        <v>107</v>
      </c>
      <c r="B18" s="6">
        <v>9</v>
      </c>
      <c r="C18" s="9">
        <v>-3.9435389831589437E-2</v>
      </c>
      <c r="D18" s="9">
        <v>0.23433797695998909</v>
      </c>
      <c r="E18" s="9">
        <v>-8.6704171428553314E-2</v>
      </c>
      <c r="F18" s="9">
        <v>2.4642133327602761E-2</v>
      </c>
      <c r="G18" s="9">
        <v>-1.817877089844338E-3</v>
      </c>
      <c r="H18" s="9">
        <v>-6.4934945682304252E-4</v>
      </c>
      <c r="I18" s="9">
        <v>0.10921796333624501</v>
      </c>
      <c r="J18" s="9">
        <v>7.3104639142384409E-2</v>
      </c>
      <c r="K18" s="9">
        <v>8.642089158239058E-2</v>
      </c>
      <c r="L18" s="2">
        <v>8.5161604114211434E-2</v>
      </c>
      <c r="M18" s="2">
        <v>-1.398743586191707E-2</v>
      </c>
      <c r="N18" s="2">
        <v>-0.1646478374281036</v>
      </c>
      <c r="O18" s="1">
        <v>-2.8587076878979191E-2</v>
      </c>
      <c r="P18" s="1">
        <v>2.23884739740344E-3</v>
      </c>
      <c r="Q18" s="1">
        <v>5.2802703604648851E-2</v>
      </c>
      <c r="R18" s="1">
        <v>-3.4488337062433989E-2</v>
      </c>
      <c r="S18" s="1">
        <v>9.6643246440584057E-2</v>
      </c>
      <c r="T18" s="1">
        <v>-3.0934915875890041E-2</v>
      </c>
      <c r="U18" s="1">
        <v>5.2915685038079377E-2</v>
      </c>
      <c r="V18" s="1">
        <v>-3.6407149067371268E-2</v>
      </c>
      <c r="W18" s="1">
        <v>2.6788890022637471E-2</v>
      </c>
      <c r="X18" s="1">
        <v>-0.27113095815733512</v>
      </c>
      <c r="Y18" s="1">
        <v>-4.7902108896718941E-2</v>
      </c>
      <c r="Z18" s="1">
        <v>4.3010058183760941E-2</v>
      </c>
      <c r="AA18" s="1">
        <v>-0.16615889129731709</v>
      </c>
      <c r="AB18" s="1">
        <v>-3.2295414434067762E-2</v>
      </c>
      <c r="AC18" s="1">
        <v>-1.27654480354167E-2</v>
      </c>
      <c r="AD18" s="1">
        <v>5.3136055547856782E-2</v>
      </c>
      <c r="AE18" s="1">
        <v>4.8227124041216547E-2</v>
      </c>
      <c r="AF18" s="1">
        <v>0.14791561026442651</v>
      </c>
      <c r="AG18" s="1">
        <v>-4.377615973577241E-2</v>
      </c>
      <c r="AH18" s="1">
        <v>0.1484016251671525</v>
      </c>
      <c r="AI18" s="1">
        <v>0.1002027062388208</v>
      </c>
      <c r="AJ18" s="1">
        <v>3.5776243723856467E-2</v>
      </c>
      <c r="AK18" s="1">
        <v>5.3699966504327963E-2</v>
      </c>
      <c r="AL18" s="1">
        <v>5.4397026306529711E-3</v>
      </c>
      <c r="AM18" s="1">
        <v>2.8978861064543681E-2</v>
      </c>
      <c r="AN18" s="1">
        <v>-2.2032517942514099E-2</v>
      </c>
      <c r="AO18" s="1">
        <v>4.1090153361741238E-2</v>
      </c>
      <c r="AP18" s="1">
        <v>-9.4724682567194685E-2</v>
      </c>
      <c r="AQ18" s="1">
        <v>-5.4497752943883322E-2</v>
      </c>
      <c r="AR18" s="1">
        <v>-3.4371979060270917E-2</v>
      </c>
      <c r="AS18" s="1">
        <v>5.2642718238233757E-2</v>
      </c>
      <c r="AT18" s="1">
        <v>-0.1225640433502848</v>
      </c>
      <c r="AU18" s="1">
        <v>8.2090271843001911E-2</v>
      </c>
      <c r="AV18" s="1">
        <v>-9.5921542145909811E-2</v>
      </c>
      <c r="AW18" s="1">
        <v>-1.394761652563674E-2</v>
      </c>
      <c r="AX18" s="1">
        <v>-5.0559496187120502E-2</v>
      </c>
      <c r="AY18" s="1">
        <v>0.22593248855830589</v>
      </c>
      <c r="AZ18" s="1">
        <v>-3.9824120288815996E-3</v>
      </c>
      <c r="BA18" s="1">
        <v>0.15260111735316551</v>
      </c>
      <c r="BB18" s="1">
        <v>7.3011428527231012E-2</v>
      </c>
      <c r="BC18" s="1">
        <v>-3.8999391922231702E-2</v>
      </c>
      <c r="BD18" s="1">
        <v>3.5639773912938301E-2</v>
      </c>
      <c r="BE18" s="1">
        <v>7.5589960921854174E-2</v>
      </c>
      <c r="BF18" s="1">
        <v>0.1586923508972026</v>
      </c>
      <c r="BG18" s="1">
        <v>0.1207788909262187</v>
      </c>
      <c r="BH18" s="1">
        <v>4.3805073555939961E-2</v>
      </c>
      <c r="BI18" s="1">
        <v>0.13815009366654851</v>
      </c>
      <c r="BJ18" s="1">
        <v>-9.6566803525538036E-2</v>
      </c>
      <c r="BK18" s="1">
        <v>2.069126238755966E-2</v>
      </c>
      <c r="BL18" s="1">
        <v>-7.3027176928686099E-4</v>
      </c>
      <c r="BM18" s="1">
        <v>1.4382606788316331E-3</v>
      </c>
      <c r="BN18" s="1">
        <v>-5.7828559337442201E-2</v>
      </c>
      <c r="BO18" s="1">
        <v>-2.9487266931902061E-2</v>
      </c>
      <c r="BP18" s="1">
        <v>-0.12596295439639271</v>
      </c>
      <c r="BQ18" s="1">
        <v>2.854154006694307E-2</v>
      </c>
      <c r="BR18" s="1">
        <v>-0.14752202810068329</v>
      </c>
      <c r="BS18" s="1">
        <v>1.437932668623318E-3</v>
      </c>
      <c r="BT18" s="1">
        <v>0.10248039771168679</v>
      </c>
      <c r="BU18" s="1">
        <v>-4.2432186843451583E-2</v>
      </c>
      <c r="BV18" s="1">
        <v>0.17428475975596619</v>
      </c>
      <c r="BW18" s="1">
        <v>-3.5276083630540661E-2</v>
      </c>
      <c r="BX18" s="1">
        <v>-1.6073282255603651E-2</v>
      </c>
      <c r="BY18" s="1">
        <v>1.9693375019631702E-2</v>
      </c>
      <c r="BZ18" s="1">
        <v>-0.140025720860977</v>
      </c>
      <c r="CA18" s="1">
        <v>-0.1381477435993077</v>
      </c>
      <c r="CB18" s="1">
        <v>0.16089687103333561</v>
      </c>
      <c r="CC18" s="1">
        <v>-5.5432229378442187E-2</v>
      </c>
      <c r="CD18" s="1">
        <v>-6.0988525873729958E-2</v>
      </c>
      <c r="CE18" s="1">
        <v>0.12192791296133269</v>
      </c>
      <c r="CF18" s="1">
        <v>-1.19936404476988E-2</v>
      </c>
      <c r="CG18" s="1">
        <v>-9.1116257288383434E-2</v>
      </c>
      <c r="CH18" s="1">
        <v>1.6724789253562512E-2</v>
      </c>
      <c r="CI18" s="1">
        <v>-3.7593168058340218E-2</v>
      </c>
      <c r="CJ18" s="1">
        <v>-5.4788462478742223E-2</v>
      </c>
      <c r="CK18" s="1">
        <v>0.111745109877581</v>
      </c>
      <c r="CL18" s="1">
        <v>8.9066417021936697E-2</v>
      </c>
      <c r="CM18" s="1">
        <v>-6.9997267456522183E-3</v>
      </c>
      <c r="CN18" s="1">
        <v>0.32067947817766163</v>
      </c>
      <c r="CO18" s="1">
        <v>-0.2041018267437201</v>
      </c>
      <c r="CP18" s="1">
        <v>8.2195843492129522E-2</v>
      </c>
      <c r="CQ18" s="1">
        <v>-9.1639389935504953E-2</v>
      </c>
      <c r="CR18" s="1">
        <v>-0.1892865334673984</v>
      </c>
      <c r="CS18" s="1">
        <v>7.5198615063321844E-2</v>
      </c>
      <c r="CT18" s="1">
        <v>-0.1569789966764131</v>
      </c>
      <c r="CU18" s="1">
        <v>-0.1354717008642061</v>
      </c>
      <c r="CV18" s="1">
        <v>9.0097054832442486E-2</v>
      </c>
      <c r="CW18" s="1">
        <v>4.7341659174279828E-2</v>
      </c>
      <c r="CX18" s="1">
        <v>-0.16226597530261619</v>
      </c>
      <c r="CY18" s="1">
        <v>8.1280637874214245E-2</v>
      </c>
      <c r="CZ18" s="1">
        <v>-3.2724822242144208E-2</v>
      </c>
      <c r="DA18" s="1">
        <v>7.8106298474462613E-2</v>
      </c>
      <c r="DB18" s="1">
        <v>0.23166534590164389</v>
      </c>
      <c r="DC18" s="1">
        <v>-8.3264051622984697E-2</v>
      </c>
      <c r="DD18" s="1">
        <v>7.7053804555327074E-3</v>
      </c>
      <c r="DE18" s="1">
        <v>9.4053142045391613E-4</v>
      </c>
      <c r="DF18" s="1">
        <v>4.6156787307074433E-2</v>
      </c>
      <c r="DG18" s="1">
        <v>-3.6227531554071893E-2</v>
      </c>
      <c r="DH18" s="1">
        <v>-3.5919638851526117E-2</v>
      </c>
      <c r="DI18" s="1">
        <v>-0.12794228701505159</v>
      </c>
      <c r="DJ18" s="1">
        <v>7.0955052436885532E-2</v>
      </c>
      <c r="DK18" s="1">
        <v>0.15889821907095589</v>
      </c>
      <c r="DL18" s="1">
        <v>-7.6014086491775684E-2</v>
      </c>
      <c r="DM18" s="1">
        <v>-1.871909395160526E-3</v>
      </c>
      <c r="DN18" s="1">
        <v>1.15035404431609E-2</v>
      </c>
      <c r="DO18" s="1">
        <v>-6.2760955729495088E-3</v>
      </c>
      <c r="DP18" s="1">
        <v>-4.7675807481721712E-2</v>
      </c>
      <c r="DQ18" s="1">
        <v>4.4220142115861887E-2</v>
      </c>
      <c r="DR18" s="1">
        <v>6.8305381562055262E-2</v>
      </c>
      <c r="DS18" s="1">
        <v>-1.042302437651494E-2</v>
      </c>
      <c r="DT18" s="1">
        <v>5.9112975078185963E-2</v>
      </c>
      <c r="DU18" s="1">
        <v>0.1901082424459184</v>
      </c>
      <c r="DV18" s="1">
        <v>-5.8480746443613799E-2</v>
      </c>
      <c r="DW18" s="1">
        <v>4.0523459649493623E-2</v>
      </c>
      <c r="DX18" s="1">
        <v>5.1507216826844088E-2</v>
      </c>
      <c r="DY18" s="1">
        <v>1.1151604852243129E-2</v>
      </c>
      <c r="DZ18" s="1">
        <v>-4.9161819444935292E-2</v>
      </c>
      <c r="EA18" s="1">
        <v>-4.205152402439738E-4</v>
      </c>
      <c r="EB18" s="1">
        <v>8.8908953959292436E-2</v>
      </c>
      <c r="EC18" s="1">
        <v>6.8501480567839043E-2</v>
      </c>
      <c r="ED18" s="1">
        <v>0.11469922764091681</v>
      </c>
      <c r="EE18" s="1">
        <v>-5.9240996655185868E-2</v>
      </c>
      <c r="EF18" s="1">
        <v>-0.15799174927001061</v>
      </c>
      <c r="EG18" s="62">
        <f t="shared" si="0"/>
        <v>8.8219719550231973E-3</v>
      </c>
      <c r="EH18" s="32">
        <f t="shared" si="1"/>
        <v>9.6915048126424236E-2</v>
      </c>
      <c r="EI18" s="32">
        <f t="shared" si="2"/>
        <v>9.1027886025656882E-2</v>
      </c>
    </row>
    <row r="19" spans="1:142" ht="16">
      <c r="A19" s="6">
        <v>120</v>
      </c>
      <c r="B19" s="6">
        <v>8</v>
      </c>
      <c r="C19" s="9">
        <v>-3.8913468982799758E-2</v>
      </c>
      <c r="D19" s="9">
        <v>0.16854736185977429</v>
      </c>
      <c r="E19" s="9">
        <v>-9.6671109192610821E-2</v>
      </c>
      <c r="F19" s="9">
        <v>2.753138397277868E-2</v>
      </c>
      <c r="G19" s="9">
        <v>-2.381442224739019E-2</v>
      </c>
      <c r="H19" s="9">
        <v>7.9428568480016844E-3</v>
      </c>
      <c r="I19" s="9">
        <v>0.11307752437344649</v>
      </c>
      <c r="J19" s="9">
        <v>4.82869479607657E-2</v>
      </c>
      <c r="K19" s="9">
        <v>0.1015600797223099</v>
      </c>
      <c r="L19" s="2">
        <v>4.2234791145342121E-2</v>
      </c>
      <c r="M19" s="2">
        <v>1.46591420902884E-2</v>
      </c>
      <c r="N19" s="2">
        <v>-0.22574703536472129</v>
      </c>
      <c r="O19" s="1">
        <v>-1.1306676064132231E-2</v>
      </c>
      <c r="P19" s="1">
        <v>6.945997563978807E-4</v>
      </c>
      <c r="Q19" s="1">
        <v>5.8333134880771208E-2</v>
      </c>
      <c r="R19" s="1">
        <v>-3.02037894591747E-2</v>
      </c>
      <c r="S19" s="1">
        <v>0.12484658448229741</v>
      </c>
      <c r="T19" s="1">
        <v>-3.7524880382418739E-2</v>
      </c>
      <c r="U19" s="1">
        <v>3.1355564383199419E-2</v>
      </c>
      <c r="V19" s="1">
        <v>-0.11295911981115</v>
      </c>
      <c r="W19" s="1">
        <v>5.8245238650390448E-2</v>
      </c>
      <c r="X19" s="1">
        <v>-0.27133594829567148</v>
      </c>
      <c r="Y19" s="1">
        <v>-9.5475864625055487E-2</v>
      </c>
      <c r="Z19" s="1">
        <v>4.832567357165625E-2</v>
      </c>
      <c r="AA19" s="1">
        <v>-0.19128343691540931</v>
      </c>
      <c r="AB19" s="1">
        <v>-4.4538303269439639E-2</v>
      </c>
      <c r="AC19" s="1">
        <v>-2.008625473802152E-2</v>
      </c>
      <c r="AD19" s="1">
        <v>4.9777375460754107E-2</v>
      </c>
      <c r="AE19" s="1">
        <v>7.7879020081683015E-2</v>
      </c>
      <c r="AF19" s="1">
        <v>0.1202863246558465</v>
      </c>
      <c r="AG19" s="1">
        <v>-6.2640141571138716E-2</v>
      </c>
      <c r="AH19" s="1">
        <v>0.14702488925580459</v>
      </c>
      <c r="AI19" s="1">
        <v>9.195659058058217E-2</v>
      </c>
      <c r="AJ19" s="1">
        <v>2.353689640383198E-2</v>
      </c>
      <c r="AK19" s="1">
        <v>3.8664330169826733E-2</v>
      </c>
      <c r="AL19" s="1">
        <v>2.701818216868861E-2</v>
      </c>
      <c r="AM19" s="1">
        <v>2.952114289090722E-2</v>
      </c>
      <c r="AN19" s="1">
        <v>6.4561353732883464E-3</v>
      </c>
      <c r="AO19" s="1">
        <v>7.6694527622622966E-2</v>
      </c>
      <c r="AP19" s="1">
        <v>-9.3417580080561433E-2</v>
      </c>
      <c r="AQ19" s="1">
        <v>-6.1277252118221957E-2</v>
      </c>
      <c r="AR19" s="1">
        <v>-4.5802625557302828E-2</v>
      </c>
      <c r="AS19" s="1">
        <v>5.8802956944234347E-2</v>
      </c>
      <c r="AT19" s="1">
        <v>-0.1270717931072517</v>
      </c>
      <c r="AU19" s="1">
        <v>0.11569960953410489</v>
      </c>
      <c r="AV19" s="1">
        <v>-0.1011585772801168</v>
      </c>
      <c r="AW19" s="1">
        <v>-8.7282505149655389E-3</v>
      </c>
      <c r="AX19" s="1">
        <v>-3.4695778473591787E-2</v>
      </c>
      <c r="AY19" s="1">
        <v>0.23807944308841519</v>
      </c>
      <c r="AZ19" s="1">
        <v>-7.2219643651604201E-3</v>
      </c>
      <c r="BA19" s="1">
        <v>0.1515430970862689</v>
      </c>
      <c r="BB19" s="1">
        <v>8.5202878711963401E-2</v>
      </c>
      <c r="BC19" s="1">
        <v>-2.729282438048997E-2</v>
      </c>
      <c r="BD19" s="1">
        <v>4.0997019006596983E-2</v>
      </c>
      <c r="BE19" s="1">
        <v>6.8529222314715255E-2</v>
      </c>
      <c r="BF19" s="1">
        <v>5.5060756886814111E-2</v>
      </c>
      <c r="BG19" s="1">
        <v>0.11262104663195339</v>
      </c>
      <c r="BH19" s="1">
        <v>2.9758527561469211E-2</v>
      </c>
      <c r="BI19" s="1">
        <v>0.13096212813903629</v>
      </c>
      <c r="BJ19" s="1">
        <v>-9.7868244368423979E-2</v>
      </c>
      <c r="BK19" s="1">
        <v>1.653744310547613E-2</v>
      </c>
      <c r="BL19" s="1">
        <v>-1.291773646832298E-2</v>
      </c>
      <c r="BM19" s="1">
        <v>8.5086093268850575E-3</v>
      </c>
      <c r="BN19" s="1">
        <v>-3.3552831210023309E-2</v>
      </c>
      <c r="BO19" s="1">
        <v>-3.219728570126746E-2</v>
      </c>
      <c r="BP19" s="1">
        <v>-0.14972725019603911</v>
      </c>
      <c r="BQ19" s="1">
        <v>5.3490465959581159E-2</v>
      </c>
      <c r="BR19" s="1">
        <v>-0.17828809709458751</v>
      </c>
      <c r="BS19" s="1">
        <v>3.3757817336046179E-2</v>
      </c>
      <c r="BT19" s="1">
        <v>9.3199875056749634E-2</v>
      </c>
      <c r="BU19" s="1">
        <v>-6.7306502246977568E-2</v>
      </c>
      <c r="BV19" s="1">
        <v>0.18846883730086739</v>
      </c>
      <c r="BW19" s="1">
        <v>-6.8357545375623524E-2</v>
      </c>
      <c r="BX19" s="1">
        <v>-1.8025829011831861E-3</v>
      </c>
      <c r="BY19" s="1">
        <v>-3.0092827840811739E-2</v>
      </c>
      <c r="BZ19" s="1">
        <v>-0.13820223783107649</v>
      </c>
      <c r="CA19" s="1">
        <v>-0.1222592719028146</v>
      </c>
      <c r="CB19" s="1">
        <v>0.18304529552951429</v>
      </c>
      <c r="CC19" s="1">
        <v>-3.7574481838654097E-2</v>
      </c>
      <c r="CD19" s="1">
        <v>-7.63851152794741E-2</v>
      </c>
      <c r="CE19" s="1">
        <v>0.1659036094737959</v>
      </c>
      <c r="CF19" s="1">
        <v>5.5948196573457707E-4</v>
      </c>
      <c r="CG19" s="1">
        <v>-8.9267427946258207E-2</v>
      </c>
      <c r="CH19" s="1">
        <v>2.0669135595014241E-2</v>
      </c>
      <c r="CI19" s="1">
        <v>-5.5096419955476317E-2</v>
      </c>
      <c r="CJ19" s="1">
        <v>-8.1164386899999691E-2</v>
      </c>
      <c r="CK19" s="1">
        <v>0.11686600270137849</v>
      </c>
      <c r="CL19" s="1">
        <v>9.3869894170291818E-2</v>
      </c>
      <c r="CM19" s="1">
        <v>1.6699728933534249E-3</v>
      </c>
      <c r="CN19" s="1">
        <v>0.32643740266759402</v>
      </c>
      <c r="CO19" s="1">
        <v>-0.18269784574884071</v>
      </c>
      <c r="CP19" s="1">
        <v>8.5732278581438254E-2</v>
      </c>
      <c r="CQ19" s="1">
        <v>-9.1887761713894067E-2</v>
      </c>
      <c r="CR19" s="1">
        <v>-0.19640263176228939</v>
      </c>
      <c r="CS19" s="1">
        <v>5.4006151435645931E-2</v>
      </c>
      <c r="CT19" s="1">
        <v>-0.1145065715734727</v>
      </c>
      <c r="CU19" s="1">
        <v>-0.15535189279975939</v>
      </c>
      <c r="CV19" s="1">
        <v>6.6457647905950434E-2</v>
      </c>
      <c r="CW19" s="1">
        <v>6.3393218804487964E-2</v>
      </c>
      <c r="CX19" s="1">
        <v>-0.1250098553997174</v>
      </c>
      <c r="CY19" s="1">
        <v>7.5608913409805661E-2</v>
      </c>
      <c r="CZ19" s="1">
        <v>-3.1592684380340658E-2</v>
      </c>
      <c r="DA19" s="1">
        <v>4.8109804762033657E-2</v>
      </c>
      <c r="DB19" s="1">
        <v>0.22431697129508241</v>
      </c>
      <c r="DC19" s="1">
        <v>-9.8849392549809512E-2</v>
      </c>
      <c r="DD19" s="1">
        <v>-6.9842221098422169E-3</v>
      </c>
      <c r="DE19" s="1">
        <v>7.7277578532947144E-4</v>
      </c>
      <c r="DF19" s="1">
        <v>4.0777928668930569E-2</v>
      </c>
      <c r="DG19" s="1">
        <v>-3.8939055937077492E-2</v>
      </c>
      <c r="DH19" s="1">
        <v>-2.874568186807791E-2</v>
      </c>
      <c r="DI19" s="1">
        <v>-0.1497968797398572</v>
      </c>
      <c r="DJ19" s="1">
        <v>0.12892505978600949</v>
      </c>
      <c r="DK19" s="1">
        <v>0.1716470516075044</v>
      </c>
      <c r="DL19" s="1">
        <v>-8.7764625127108323E-2</v>
      </c>
      <c r="DM19" s="1">
        <v>-2.5817581405548941E-3</v>
      </c>
      <c r="DN19" s="1">
        <v>1.08585024703224E-2</v>
      </c>
      <c r="DO19" s="1">
        <v>-1.8782093647144609E-3</v>
      </c>
      <c r="DP19" s="1">
        <v>-5.6639793619053663E-2</v>
      </c>
      <c r="DQ19" s="1">
        <v>3.6728692462907213E-2</v>
      </c>
      <c r="DR19" s="1">
        <v>4.5431263690616688E-2</v>
      </c>
      <c r="DS19" s="1">
        <v>-6.5055362314722356E-3</v>
      </c>
      <c r="DT19" s="1">
        <v>5.9811935234976257E-2</v>
      </c>
      <c r="DU19" s="1">
        <v>0.15955509947844379</v>
      </c>
      <c r="DV19" s="1">
        <v>-5.5500328017659403E-2</v>
      </c>
      <c r="DW19" s="1">
        <v>4.5629334774241463E-2</v>
      </c>
      <c r="DX19" s="1">
        <v>3.6950345915460467E-2</v>
      </c>
      <c r="DY19" s="1">
        <v>-2.0024210284233679E-2</v>
      </c>
      <c r="DZ19" s="1">
        <v>-4.7637765285313188E-2</v>
      </c>
      <c r="EA19" s="1">
        <v>4.6325242167246112E-3</v>
      </c>
      <c r="EB19" s="1">
        <v>8.6858713774628823E-2</v>
      </c>
      <c r="EC19" s="1">
        <v>0.1215120172680231</v>
      </c>
      <c r="ED19" s="1">
        <v>0.10329067393702911</v>
      </c>
      <c r="EE19" s="1">
        <v>-6.4278699968889033E-2</v>
      </c>
      <c r="EF19" s="1">
        <v>-0.13981484782620349</v>
      </c>
      <c r="EG19" s="32">
        <f t="shared" si="0"/>
        <v>6.3513891142739668E-3</v>
      </c>
      <c r="EH19" s="32">
        <f t="shared" si="1"/>
        <v>9.9131400817648568E-2</v>
      </c>
      <c r="EI19" s="32">
        <f t="shared" si="2"/>
        <v>6.4070406166834029E-2</v>
      </c>
    </row>
    <row r="20" spans="1:142" ht="16">
      <c r="A20" s="6">
        <v>137</v>
      </c>
      <c r="B20" s="6">
        <v>7</v>
      </c>
      <c r="C20" s="9">
        <v>-5.9146797802220617E-2</v>
      </c>
      <c r="D20" s="9">
        <v>0.18401888940316621</v>
      </c>
      <c r="E20" s="9">
        <v>-0.10047562300309219</v>
      </c>
      <c r="F20" s="9">
        <v>2.1575273237626091E-2</v>
      </c>
      <c r="G20" s="9">
        <v>-9.0534051046413863E-3</v>
      </c>
      <c r="H20" s="9">
        <v>8.6222277544443261E-3</v>
      </c>
      <c r="I20" s="9">
        <v>0.1286265558355405</v>
      </c>
      <c r="J20" s="9">
        <v>9.1173231687568024E-2</v>
      </c>
      <c r="K20" s="9">
        <v>0.13564788877763229</v>
      </c>
      <c r="L20" s="2">
        <v>5.0758207106719029E-2</v>
      </c>
      <c r="M20" s="2">
        <v>2.9051464376457319E-2</v>
      </c>
      <c r="N20" s="2">
        <v>-0.2390374467298351</v>
      </c>
      <c r="O20" s="1">
        <v>3.1737941097498189E-2</v>
      </c>
      <c r="P20" s="1">
        <v>-1.5852985242018551E-3</v>
      </c>
      <c r="Q20" s="1">
        <v>5.9093354649148347E-2</v>
      </c>
      <c r="R20" s="1">
        <v>-3.5055205105650952E-2</v>
      </c>
      <c r="S20" s="1">
        <v>0.12739823248539331</v>
      </c>
      <c r="T20" s="1">
        <v>-4.7527598628529212E-2</v>
      </c>
      <c r="U20" s="1">
        <v>3.1634303267824328E-2</v>
      </c>
      <c r="V20" s="1">
        <v>-0.13883427346614699</v>
      </c>
      <c r="W20" s="1">
        <v>6.5962439873975515E-2</v>
      </c>
      <c r="X20" s="1">
        <v>-0.28203658893631423</v>
      </c>
      <c r="Y20" s="1">
        <v>-0.1165697234874906</v>
      </c>
      <c r="Z20" s="1">
        <v>5.1469725750839503E-2</v>
      </c>
      <c r="AA20" s="1">
        <v>-0.17257065753452869</v>
      </c>
      <c r="AB20" s="1">
        <v>-6.2644805262660919E-2</v>
      </c>
      <c r="AC20" s="1">
        <v>1.3654204768322529E-3</v>
      </c>
      <c r="AD20" s="1">
        <v>7.2443789088531399E-2</v>
      </c>
      <c r="AE20" s="1">
        <v>8.4086671401095422E-2</v>
      </c>
      <c r="AF20" s="1">
        <v>0.1505436398240734</v>
      </c>
      <c r="AG20" s="1">
        <v>-8.1719979892753619E-2</v>
      </c>
      <c r="AH20" s="1">
        <v>0.16306850482484961</v>
      </c>
      <c r="AI20" s="1">
        <v>5.2553497495183572E-2</v>
      </c>
      <c r="AJ20" s="1">
        <v>4.6670516841130043E-2</v>
      </c>
      <c r="AK20" s="1">
        <v>1.438061269682849E-2</v>
      </c>
      <c r="AL20" s="1">
        <v>3.2812811779609451E-2</v>
      </c>
      <c r="AM20" s="1">
        <v>3.980331590333433E-2</v>
      </c>
      <c r="AN20" s="1">
        <v>-2.7944177599378839E-3</v>
      </c>
      <c r="AO20" s="1">
        <v>-2.4584280444806969E-2</v>
      </c>
      <c r="AP20" s="1">
        <v>-9.5545792915504746E-2</v>
      </c>
      <c r="AQ20" s="1">
        <v>-6.4154973663518397E-2</v>
      </c>
      <c r="AR20" s="1">
        <v>-3.9002474062764268E-2</v>
      </c>
      <c r="AS20" s="1">
        <v>8.3253127889185943E-2</v>
      </c>
      <c r="AT20" s="1">
        <v>-0.16638580942405889</v>
      </c>
      <c r="AU20" s="1">
        <v>0.13889821464621971</v>
      </c>
      <c r="AV20" s="1">
        <v>-0.11622238304470441</v>
      </c>
      <c r="AW20" s="1">
        <v>-2.0326563586109049E-2</v>
      </c>
      <c r="AX20" s="1">
        <v>-3.3770889596891819E-2</v>
      </c>
      <c r="AY20" s="1">
        <v>0.25333878430622631</v>
      </c>
      <c r="AZ20" s="1">
        <v>-2.6067637517123859E-2</v>
      </c>
      <c r="BA20" s="1">
        <v>0.1287594702219558</v>
      </c>
      <c r="BB20" s="1">
        <v>9.8925815299518646E-2</v>
      </c>
      <c r="BC20" s="1">
        <v>2.7942050701969749E-2</v>
      </c>
      <c r="BD20" s="1">
        <v>1.140497770931452E-2</v>
      </c>
      <c r="BE20" s="1">
        <v>6.7547172633632399E-2</v>
      </c>
      <c r="BF20" s="1">
        <v>3.9489137561973087E-2</v>
      </c>
      <c r="BG20" s="1">
        <v>3.968538179457877E-2</v>
      </c>
      <c r="BH20" s="1">
        <v>7.7457082406089978E-2</v>
      </c>
      <c r="BI20" s="1">
        <v>0.12468720668655051</v>
      </c>
      <c r="BJ20" s="1">
        <v>-9.8533856685421792E-2</v>
      </c>
      <c r="BK20" s="1">
        <v>1.9536270741884201E-2</v>
      </c>
      <c r="BL20" s="1">
        <v>-1.947413292727216E-2</v>
      </c>
      <c r="BM20" s="1">
        <v>1.573621607511148E-2</v>
      </c>
      <c r="BN20" s="1">
        <v>-4.829849108082114E-2</v>
      </c>
      <c r="BO20" s="1">
        <v>-2.997158814435465E-2</v>
      </c>
      <c r="BP20" s="1">
        <v>-0.1648733667619405</v>
      </c>
      <c r="BQ20" s="1">
        <v>8.8664658057230769E-2</v>
      </c>
      <c r="BR20" s="1">
        <v>-0.1741873736507232</v>
      </c>
      <c r="BS20" s="1">
        <v>3.2879368454688619E-2</v>
      </c>
      <c r="BT20" s="1">
        <v>0.1128072126493659</v>
      </c>
      <c r="BU20" s="1">
        <v>-8.1337969431380511E-2</v>
      </c>
      <c r="BV20" s="1">
        <v>0.18988256705005441</v>
      </c>
      <c r="BW20" s="1">
        <v>-6.848966675346628E-2</v>
      </c>
      <c r="BX20" s="1">
        <v>-7.7412972909288742E-3</v>
      </c>
      <c r="BY20" s="1">
        <v>-2.8376457851913339E-2</v>
      </c>
      <c r="BZ20" s="1">
        <v>-2.7370166608127511E-2</v>
      </c>
      <c r="CA20" s="1">
        <v>-0.1400084515072488</v>
      </c>
      <c r="CB20" s="1">
        <v>0.1436551139405946</v>
      </c>
      <c r="CC20" s="1">
        <v>-3.6515325552399058E-2</v>
      </c>
      <c r="CD20" s="1">
        <v>-0.1215952231687642</v>
      </c>
      <c r="CE20" s="1">
        <v>0.18645851964949289</v>
      </c>
      <c r="CF20" s="1">
        <v>1.25635822602341E-2</v>
      </c>
      <c r="CG20" s="1">
        <v>-7.043785445834376E-2</v>
      </c>
      <c r="CH20" s="1">
        <v>1.112864667467162E-2</v>
      </c>
      <c r="CI20" s="1">
        <v>-4.2128275239934329E-2</v>
      </c>
      <c r="CJ20" s="1">
        <v>-7.4164048463141258E-2</v>
      </c>
      <c r="CK20" s="1">
        <v>5.0004767618032221E-2</v>
      </c>
      <c r="CL20" s="1">
        <v>0.12756844920487781</v>
      </c>
      <c r="CM20" s="1">
        <v>1.554875034200344E-2</v>
      </c>
      <c r="CN20" s="1">
        <v>0.2945550185633804</v>
      </c>
      <c r="CO20" s="1">
        <v>-0.21677740286378891</v>
      </c>
      <c r="CP20" s="1">
        <v>0.1013804593737898</v>
      </c>
      <c r="CQ20" s="1">
        <v>-9.1780217008749748E-2</v>
      </c>
      <c r="CR20" s="1">
        <v>-0.19372240765220919</v>
      </c>
      <c r="CS20" s="1">
        <v>2.3923938595208812E-2</v>
      </c>
      <c r="CT20" s="1">
        <v>-0.1008978510430367</v>
      </c>
      <c r="CU20" s="1">
        <v>-0.14456482117613489</v>
      </c>
      <c r="CV20" s="1">
        <v>4.9648573949631937E-2</v>
      </c>
      <c r="CW20" s="1">
        <v>6.6558574498316259E-2</v>
      </c>
      <c r="CX20" s="1">
        <v>-0.1530756896091533</v>
      </c>
      <c r="CY20" s="1">
        <v>9.3178383907907517E-2</v>
      </c>
      <c r="CZ20" s="1">
        <v>-9.1459213412702536E-2</v>
      </c>
      <c r="DA20" s="1">
        <v>7.689054633229396E-2</v>
      </c>
      <c r="DB20" s="1">
        <v>0.2223821125233825</v>
      </c>
      <c r="DC20" s="1">
        <v>-8.2819707211162524E-2</v>
      </c>
      <c r="DD20" s="1">
        <v>-1.269465829439094E-2</v>
      </c>
      <c r="DE20" s="1">
        <v>-5.960513935495737E-3</v>
      </c>
      <c r="DF20" s="1">
        <v>3.2824493705857057E-2</v>
      </c>
      <c r="DG20" s="1">
        <v>-3.3314283628676521E-2</v>
      </c>
      <c r="DH20" s="1">
        <v>-4.5324297182730761E-2</v>
      </c>
      <c r="DI20" s="1">
        <v>-0.11909331916922861</v>
      </c>
      <c r="DJ20" s="1">
        <v>0.14619607609941229</v>
      </c>
      <c r="DK20" s="1">
        <v>0.1745112998172958</v>
      </c>
      <c r="DL20" s="1">
        <v>-9.1548177346948575E-2</v>
      </c>
      <c r="DM20" s="1">
        <v>-4.0596524253966558E-3</v>
      </c>
      <c r="DN20" s="1">
        <v>1.8961984630680679E-2</v>
      </c>
      <c r="DO20" s="1">
        <v>9.3113999258040599E-5</v>
      </c>
      <c r="DP20" s="1">
        <v>-4.0347675196703521E-2</v>
      </c>
      <c r="DQ20" s="1">
        <v>4.688926497946596E-2</v>
      </c>
      <c r="DR20" s="1">
        <v>5.2461064031548613E-2</v>
      </c>
      <c r="DS20" s="1">
        <v>-2.5385651257138282E-2</v>
      </c>
      <c r="DT20" s="1">
        <v>2.2601034841107401E-2</v>
      </c>
      <c r="DU20" s="1">
        <v>0.16258878442425009</v>
      </c>
      <c r="DV20" s="1">
        <v>-5.264724435907471E-2</v>
      </c>
      <c r="DW20" s="1">
        <v>3.3724892456461722E-2</v>
      </c>
      <c r="DX20" s="1">
        <v>4.7265610796745898E-2</v>
      </c>
      <c r="DY20" s="1">
        <v>-4.2035875202249703E-2</v>
      </c>
      <c r="DZ20" s="1">
        <v>-7.0710334719582657E-2</v>
      </c>
      <c r="EA20" s="1">
        <v>4.7382972382447363E-3</v>
      </c>
      <c r="EB20" s="1">
        <v>0.1019784775173027</v>
      </c>
      <c r="EC20" s="1">
        <v>0.14304023059278551</v>
      </c>
      <c r="ED20" s="1">
        <v>8.2759101388566583E-2</v>
      </c>
      <c r="EE20" s="1">
        <v>-5.3015040315364213E-2</v>
      </c>
      <c r="EF20" s="1">
        <v>-0.15493610268974681</v>
      </c>
      <c r="EG20" s="32">
        <f t="shared" si="0"/>
        <v>5.7961648336143238E-3</v>
      </c>
      <c r="EH20" s="32">
        <f t="shared" si="1"/>
        <v>0.10239099724763513</v>
      </c>
      <c r="EI20" s="32">
        <f t="shared" si="2"/>
        <v>5.6608149050410721E-2</v>
      </c>
    </row>
    <row r="21" spans="1:142" ht="16">
      <c r="A21" s="6">
        <v>160</v>
      </c>
      <c r="B21" s="6">
        <v>6</v>
      </c>
      <c r="C21" s="9">
        <v>-7.386192988077088E-2</v>
      </c>
      <c r="D21" s="9">
        <v>0.21954286838228931</v>
      </c>
      <c r="E21" s="9">
        <v>-0.1405836765913312</v>
      </c>
      <c r="F21" s="9">
        <v>2.725338201983642E-2</v>
      </c>
      <c r="G21" s="9">
        <v>-1.387162553615558E-2</v>
      </c>
      <c r="H21" s="9">
        <v>-1.2068788462484921E-2</v>
      </c>
      <c r="I21" s="9">
        <v>0.13411217848757939</v>
      </c>
      <c r="J21" s="9">
        <v>0.11143724417215239</v>
      </c>
      <c r="K21" s="9">
        <v>0.23878941472391671</v>
      </c>
      <c r="L21" s="2">
        <v>2.032664964034506E-2</v>
      </c>
      <c r="M21" s="2">
        <v>-4.3690236156307287E-2</v>
      </c>
      <c r="N21" s="2">
        <v>-0.31670198877243932</v>
      </c>
      <c r="O21" s="1">
        <v>3.1561874488915911E-2</v>
      </c>
      <c r="P21" s="1">
        <v>4.3138922857752999E-3</v>
      </c>
      <c r="Q21" s="1">
        <v>6.8942247090673064E-2</v>
      </c>
      <c r="R21" s="1">
        <v>-5.1540139995526257E-2</v>
      </c>
      <c r="S21" s="1">
        <v>0.1365757993190162</v>
      </c>
      <c r="T21" s="1">
        <v>-4.3836093033725418E-2</v>
      </c>
      <c r="U21" s="1">
        <v>0.1047942220593843</v>
      </c>
      <c r="V21" s="1">
        <v>-0.16816101375529929</v>
      </c>
      <c r="W21" s="1">
        <v>3.1863713109821112E-2</v>
      </c>
      <c r="X21" s="1">
        <v>-0.27968945142967339</v>
      </c>
      <c r="Y21" s="1">
        <v>-9.115534145940124E-2</v>
      </c>
      <c r="Z21" s="1">
        <v>5.7888725378699338E-2</v>
      </c>
      <c r="AA21" s="1">
        <v>-0.131832899481091</v>
      </c>
      <c r="AB21" s="1">
        <v>-5.1718752810757287E-2</v>
      </c>
      <c r="AC21" s="1">
        <v>1.4141542708609799E-2</v>
      </c>
      <c r="AD21" s="1">
        <v>2.399745726106059E-2</v>
      </c>
      <c r="AE21" s="1">
        <v>9.7714155887256585E-2</v>
      </c>
      <c r="AF21" s="1">
        <v>0.1688305807080431</v>
      </c>
      <c r="AG21" s="1">
        <v>-4.1487103444311647E-2</v>
      </c>
      <c r="AH21" s="1">
        <v>0.20415628716520959</v>
      </c>
      <c r="AI21" s="1">
        <v>7.5071918184422409E-2</v>
      </c>
      <c r="AJ21" s="1">
        <v>2.7981424813256221E-2</v>
      </c>
      <c r="AK21" s="1">
        <v>1.760024604462887E-2</v>
      </c>
      <c r="AL21" s="1">
        <v>1.491460752979841E-2</v>
      </c>
      <c r="AM21" s="1">
        <v>4.437098544030698E-2</v>
      </c>
      <c r="AN21" s="1">
        <v>1.023954826971317E-2</v>
      </c>
      <c r="AO21" s="1">
        <v>-5.5890126129114689E-2</v>
      </c>
      <c r="AP21" s="1">
        <v>-0.1248282508070169</v>
      </c>
      <c r="AQ21" s="1">
        <v>-4.2375665159203019E-2</v>
      </c>
      <c r="AR21" s="1">
        <v>4.1144514895575801E-2</v>
      </c>
      <c r="AS21" s="1">
        <v>0.1091988760530663</v>
      </c>
      <c r="AT21" s="1">
        <v>-0.18459366381005801</v>
      </c>
      <c r="AU21" s="1">
        <v>0.1530146264742607</v>
      </c>
      <c r="AV21" s="1">
        <v>-0.15016235502789341</v>
      </c>
      <c r="AW21" s="1">
        <v>-6.5603456352671119E-2</v>
      </c>
      <c r="AX21" s="1">
        <v>-4.3882228313485538E-2</v>
      </c>
      <c r="AY21" s="1">
        <v>0.28470839191036551</v>
      </c>
      <c r="AZ21" s="1">
        <v>-2.398544579938915E-2</v>
      </c>
      <c r="BA21" s="1">
        <v>5.7635881691590007E-2</v>
      </c>
      <c r="BB21" s="1">
        <v>0.106655874813386</v>
      </c>
      <c r="BC21" s="1">
        <v>0.18457178940642721</v>
      </c>
      <c r="BD21" s="1">
        <v>1.666297169670863E-2</v>
      </c>
      <c r="BE21" s="1">
        <v>2.3058343393611309E-2</v>
      </c>
      <c r="BF21" s="1">
        <v>4.7638579302290401E-2</v>
      </c>
      <c r="BG21" s="1">
        <v>6.9151689409027037E-2</v>
      </c>
      <c r="BH21" s="1">
        <v>8.7994481588965112E-2</v>
      </c>
      <c r="BI21" s="1">
        <v>4.9004762268632512E-2</v>
      </c>
      <c r="BJ21" s="1">
        <v>-5.8912217172455733E-2</v>
      </c>
      <c r="BK21" s="1">
        <v>1.8708692452627629E-2</v>
      </c>
      <c r="BL21" s="1">
        <v>-2.909614108750699E-2</v>
      </c>
      <c r="BM21" s="1">
        <v>2.8667915331404541E-3</v>
      </c>
      <c r="BN21" s="1">
        <v>-8.3155327113763083E-2</v>
      </c>
      <c r="BO21" s="1">
        <v>-3.8154863469178228E-2</v>
      </c>
      <c r="BP21" s="1">
        <v>-0.15328773448595909</v>
      </c>
      <c r="BQ21" s="1">
        <v>0.10349589815773221</v>
      </c>
      <c r="BR21" s="1">
        <v>-0.19272348691259331</v>
      </c>
      <c r="BS21" s="1">
        <v>2.518453398284418E-2</v>
      </c>
      <c r="BT21" s="1">
        <v>0.1473495200331047</v>
      </c>
      <c r="BU21" s="1">
        <v>-5.051019739004161E-2</v>
      </c>
      <c r="BV21" s="1">
        <v>0.17061194404922689</v>
      </c>
      <c r="BW21" s="1">
        <v>-5.7164410538890979E-2</v>
      </c>
      <c r="BX21" s="1">
        <v>-1.531894850290828E-2</v>
      </c>
      <c r="BY21" s="1">
        <v>-2.833916562109071E-2</v>
      </c>
      <c r="BZ21" s="1">
        <v>4.2433815357207333E-2</v>
      </c>
      <c r="CA21" s="1">
        <v>-0.1183543537572212</v>
      </c>
      <c r="CB21" s="1">
        <v>0.18311773677773771</v>
      </c>
      <c r="CC21" s="1">
        <v>-5.6829694295325868E-2</v>
      </c>
      <c r="CD21" s="1">
        <v>-0.14873191328840721</v>
      </c>
      <c r="CE21" s="1">
        <v>0.25475115010855931</v>
      </c>
      <c r="CF21" s="1">
        <v>1.126340638261419E-2</v>
      </c>
      <c r="CG21" s="1">
        <v>-0.1135231014063498</v>
      </c>
      <c r="CH21" s="1">
        <v>-1.6324922866539669E-2</v>
      </c>
      <c r="CI21" s="1">
        <v>-5.4197537255778763E-2</v>
      </c>
      <c r="CJ21" s="1">
        <v>-0.1217761899427115</v>
      </c>
      <c r="CK21" s="1">
        <v>6.9580908737017638E-2</v>
      </c>
      <c r="CL21" s="1">
        <v>0.13637707879462199</v>
      </c>
      <c r="CM21" s="1">
        <v>7.558187099799421E-2</v>
      </c>
      <c r="CN21" s="1">
        <v>0.2278477720187094</v>
      </c>
      <c r="CO21" s="1">
        <v>-0.233706699240423</v>
      </c>
      <c r="CP21" s="1">
        <v>0.1130007901272474</v>
      </c>
      <c r="CQ21" s="1">
        <v>-8.5571876552919535E-2</v>
      </c>
      <c r="CR21" s="1">
        <v>-0.17630672424619201</v>
      </c>
      <c r="CS21" s="1">
        <v>2.1899638013277881E-2</v>
      </c>
      <c r="CT21" s="1">
        <v>-0.13687456606784951</v>
      </c>
      <c r="CU21" s="1">
        <v>-0.146607543260939</v>
      </c>
      <c r="CV21" s="1">
        <v>1.6310169514581481E-2</v>
      </c>
      <c r="CW21" s="1">
        <v>6.0515878573037342E-2</v>
      </c>
      <c r="CX21" s="1">
        <v>-0.1481502908045049</v>
      </c>
      <c r="CY21" s="1">
        <v>0.107892119457191</v>
      </c>
      <c r="CZ21" s="1">
        <v>-5.7499263088511957E-2</v>
      </c>
      <c r="DA21" s="1">
        <v>0.1196963982118486</v>
      </c>
      <c r="DB21" s="1">
        <v>0.28613845390130638</v>
      </c>
      <c r="DC21" s="1">
        <v>-6.5587584737896831E-2</v>
      </c>
      <c r="DD21" s="1">
        <v>-2.21992136125541E-2</v>
      </c>
      <c r="DE21" s="1">
        <v>-2.8601638492426019E-2</v>
      </c>
      <c r="DF21" s="1">
        <v>2.7823184029326101E-2</v>
      </c>
      <c r="DG21" s="1">
        <v>-4.067195255455882E-2</v>
      </c>
      <c r="DH21" s="1">
        <v>-5.946318721395695E-2</v>
      </c>
      <c r="DI21" s="1">
        <v>-0.135613895819264</v>
      </c>
      <c r="DJ21" s="1">
        <v>0.16525046895907189</v>
      </c>
      <c r="DK21" s="1">
        <v>0.1724732653794388</v>
      </c>
      <c r="DL21" s="1">
        <v>-5.4935239038759152E-2</v>
      </c>
      <c r="DM21" s="1">
        <v>-1.1867091905873799E-2</v>
      </c>
      <c r="DN21" s="1">
        <v>2.730407991413264E-2</v>
      </c>
      <c r="DO21" s="1">
        <v>-1.637975232159703E-3</v>
      </c>
      <c r="DP21" s="1">
        <v>-1.736995897751243E-2</v>
      </c>
      <c r="DQ21" s="1">
        <v>7.3200504723060389E-2</v>
      </c>
      <c r="DR21" s="1">
        <v>3.3181055245206169E-2</v>
      </c>
      <c r="DS21" s="1">
        <v>-4.4918963151879987E-2</v>
      </c>
      <c r="DT21" s="1">
        <v>5.0332465201051654E-3</v>
      </c>
      <c r="DU21" s="1">
        <v>0.1945194394629792</v>
      </c>
      <c r="DV21" s="1">
        <v>-6.7700156288299312E-2</v>
      </c>
      <c r="DW21" s="1">
        <v>6.8228373147474472E-2</v>
      </c>
      <c r="DX21" s="1">
        <v>6.2255643674313722E-2</v>
      </c>
      <c r="DY21" s="1">
        <v>-3.7938573179058667E-2</v>
      </c>
      <c r="DZ21" s="1">
        <v>-6.7585946439446737E-2</v>
      </c>
      <c r="EA21" s="1">
        <v>-3.2919727195015271E-2</v>
      </c>
      <c r="EB21" s="1">
        <v>0.12567599815114269</v>
      </c>
      <c r="EC21" s="1">
        <v>0.14377420282500911</v>
      </c>
      <c r="ED21" s="1">
        <v>8.0285258276375129E-2</v>
      </c>
      <c r="EE21" s="1">
        <v>-2.2815885843912861E-2</v>
      </c>
      <c r="EF21" s="1">
        <v>-0.16823693539735851</v>
      </c>
      <c r="EG21" s="62">
        <f t="shared" si="0"/>
        <v>8.4909679843864043E-3</v>
      </c>
      <c r="EH21" s="32">
        <f t="shared" si="1"/>
        <v>0.11311036703007994</v>
      </c>
      <c r="EI21" s="32">
        <f t="shared" si="2"/>
        <v>7.5067990736236961E-2</v>
      </c>
    </row>
    <row r="22" spans="1:142" ht="16">
      <c r="A22" s="6">
        <v>192</v>
      </c>
      <c r="B22" s="6">
        <v>5</v>
      </c>
      <c r="C22" s="9">
        <v>1.1241331728202891E-2</v>
      </c>
      <c r="D22" s="9">
        <v>0.22258639368877581</v>
      </c>
      <c r="E22" s="9">
        <v>-0.1461249052642459</v>
      </c>
      <c r="F22" s="9">
        <v>2.3820703324492151E-2</v>
      </c>
      <c r="G22" s="9">
        <v>-2.0083253571397341E-2</v>
      </c>
      <c r="H22" s="9">
        <v>1.158302607857771E-2</v>
      </c>
      <c r="I22" s="9">
        <v>0.1858631754766964</v>
      </c>
      <c r="J22" s="9">
        <v>0.1472881321566023</v>
      </c>
      <c r="K22" s="9">
        <v>0.21472450376108179</v>
      </c>
      <c r="L22" s="2">
        <v>8.9997713411883729E-3</v>
      </c>
      <c r="M22" s="2">
        <v>-7.7718228291273506E-2</v>
      </c>
      <c r="N22" s="2">
        <v>-0.35652158348229429</v>
      </c>
      <c r="O22" s="1">
        <v>4.9864886069274132E-2</v>
      </c>
      <c r="P22" s="1">
        <v>-2.3378558019796769E-3</v>
      </c>
      <c r="Q22" s="1">
        <v>8.8288773514349467E-2</v>
      </c>
      <c r="R22" s="1">
        <v>-6.85888786547241E-2</v>
      </c>
      <c r="S22" s="1">
        <v>0.16333491701854949</v>
      </c>
      <c r="T22" s="1">
        <v>-5.9783536552560329E-2</v>
      </c>
      <c r="U22" s="1">
        <v>0.16139447297499779</v>
      </c>
      <c r="V22" s="1">
        <v>-0.1578163123216729</v>
      </c>
      <c r="W22" s="1">
        <v>3.768744844372135E-2</v>
      </c>
      <c r="X22" s="1">
        <v>-0.22338310742813761</v>
      </c>
      <c r="Y22" s="1">
        <v>-8.553142096053476E-2</v>
      </c>
      <c r="Z22" s="1">
        <v>7.4027168257954579E-2</v>
      </c>
      <c r="AA22" s="1">
        <v>-0.13048336848064571</v>
      </c>
      <c r="AB22" s="1">
        <v>-3.2898545320226208E-2</v>
      </c>
      <c r="AC22" s="1">
        <v>4.7248262727967477E-2</v>
      </c>
      <c r="AD22" s="1">
        <v>2.698730357067794E-2</v>
      </c>
      <c r="AE22" s="1">
        <v>0.1875977733080503</v>
      </c>
      <c r="AF22" s="1">
        <v>0.22349781963637269</v>
      </c>
      <c r="AG22" s="1">
        <v>-3.216324888167648E-2</v>
      </c>
      <c r="AH22" s="1">
        <v>0.21664245264836079</v>
      </c>
      <c r="AI22" s="1">
        <v>0.1103737245476725</v>
      </c>
      <c r="AJ22" s="1">
        <v>4.1672454955525622E-2</v>
      </c>
      <c r="AK22" s="1">
        <v>2.5137514461770011E-2</v>
      </c>
      <c r="AL22" s="1">
        <v>2.0780265108594719E-2</v>
      </c>
      <c r="AM22" s="1">
        <v>-4.3441575001793763E-2</v>
      </c>
      <c r="AN22" s="1">
        <v>-3.4444518988845471E-2</v>
      </c>
      <c r="AO22" s="1">
        <v>-4.9108294639399641E-2</v>
      </c>
      <c r="AP22" s="1">
        <v>-0.13972025823966011</v>
      </c>
      <c r="AQ22" s="1">
        <v>-3.3308231095544441E-2</v>
      </c>
      <c r="AR22" s="1">
        <v>2.9738999850300981E-2</v>
      </c>
      <c r="AS22" s="1">
        <v>4.2291716448975919E-2</v>
      </c>
      <c r="AT22" s="1">
        <v>-0.23912374744507051</v>
      </c>
      <c r="AU22" s="1">
        <v>0.14307264092716551</v>
      </c>
      <c r="AV22" s="1">
        <v>-0.23551036637698139</v>
      </c>
      <c r="AW22" s="1">
        <v>-2.396829936060715E-2</v>
      </c>
      <c r="AX22" s="1">
        <v>-2.7057054958935178E-2</v>
      </c>
      <c r="AY22" s="1">
        <v>0.35493547515032742</v>
      </c>
      <c r="AZ22" s="1">
        <v>-2.8192862402722889E-2</v>
      </c>
      <c r="BA22" s="1">
        <v>1.012362712190825E-2</v>
      </c>
      <c r="BB22" s="1">
        <v>6.2082765030506651E-2</v>
      </c>
      <c r="BC22" s="1">
        <v>0.24014067499041369</v>
      </c>
      <c r="BD22" s="1">
        <v>2.9538660643983691E-2</v>
      </c>
      <c r="BE22" s="1">
        <v>-2.0269758653551819E-2</v>
      </c>
      <c r="BF22" s="1">
        <v>5.9849353508696912E-2</v>
      </c>
      <c r="BG22" s="1">
        <v>5.6039328898285813E-2</v>
      </c>
      <c r="BH22" s="1">
        <v>3.7117061868222938E-2</v>
      </c>
      <c r="BI22" s="1">
        <v>8.1599622779079492E-2</v>
      </c>
      <c r="BJ22" s="1">
        <v>-4.9139783811273992E-2</v>
      </c>
      <c r="BK22" s="1">
        <v>1.796361637069855E-2</v>
      </c>
      <c r="BL22" s="1">
        <v>8.4992523132183806E-4</v>
      </c>
      <c r="BM22" s="1">
        <v>-9.4222031483192966E-3</v>
      </c>
      <c r="BN22" s="1">
        <v>-5.8380233607606857E-2</v>
      </c>
      <c r="BO22" s="1">
        <v>-6.5655954031279828E-2</v>
      </c>
      <c r="BP22" s="1">
        <v>-0.1992288234843673</v>
      </c>
      <c r="BQ22" s="1">
        <v>4.5535403919621582E-2</v>
      </c>
      <c r="BR22" s="1">
        <v>-0.21419005807673269</v>
      </c>
      <c r="BS22" s="1">
        <v>-3.1186945848714338E-3</v>
      </c>
      <c r="BT22" s="1">
        <v>4.9007781851760759E-2</v>
      </c>
      <c r="BU22" s="1">
        <v>-7.135140798445111E-2</v>
      </c>
      <c r="BV22" s="1">
        <v>0.1294376780812832</v>
      </c>
      <c r="BW22" s="1">
        <v>-6.9784214290077667E-2</v>
      </c>
      <c r="BX22" s="1">
        <v>1.1684770681760621E-2</v>
      </c>
      <c r="BY22" s="1">
        <v>-8.4256850415366652E-2</v>
      </c>
      <c r="BZ22" s="1">
        <v>3.7624223593384673E-2</v>
      </c>
      <c r="CA22" s="1">
        <v>-0.12777299864132979</v>
      </c>
      <c r="CB22" s="1">
        <v>0.17266283513343941</v>
      </c>
      <c r="CC22" s="1">
        <v>-3.9277115942587183E-2</v>
      </c>
      <c r="CD22" s="1">
        <v>-0.1888595125433957</v>
      </c>
      <c r="CE22" s="1">
        <v>0.30509172943537533</v>
      </c>
      <c r="CF22" s="1">
        <v>1.4094959264409941E-2</v>
      </c>
      <c r="CG22" s="1">
        <v>-8.4185319677732656E-2</v>
      </c>
      <c r="CH22" s="1">
        <v>-2.257866918286833E-4</v>
      </c>
      <c r="CI22" s="1">
        <v>-9.1926463094222491E-2</v>
      </c>
      <c r="CJ22" s="1">
        <v>-0.15596956294007211</v>
      </c>
      <c r="CK22" s="1">
        <v>7.1530757072940016E-2</v>
      </c>
      <c r="CL22" s="1">
        <v>0.18841701025305879</v>
      </c>
      <c r="CM22" s="1">
        <v>7.9454727181336005E-2</v>
      </c>
      <c r="CN22" s="1">
        <v>0.12992727139971361</v>
      </c>
      <c r="CO22" s="1">
        <v>-0.2142690534942551</v>
      </c>
      <c r="CP22" s="1">
        <v>0.1314516649084535</v>
      </c>
      <c r="CQ22" s="1">
        <v>-7.4302629585178678E-2</v>
      </c>
      <c r="CR22" s="1">
        <v>-0.1954861104849421</v>
      </c>
      <c r="CS22" s="1">
        <v>2.3038502234723202E-2</v>
      </c>
      <c r="CT22" s="1">
        <v>-0.1105439599314075</v>
      </c>
      <c r="CU22" s="1">
        <v>-0.14672800907162681</v>
      </c>
      <c r="CV22" s="1">
        <v>2.7137038786896849E-2</v>
      </c>
      <c r="CW22" s="1">
        <v>6.7903708174845409E-2</v>
      </c>
      <c r="CX22" s="1">
        <v>-0.14515418799986671</v>
      </c>
      <c r="CY22" s="1">
        <v>0.1009666571118235</v>
      </c>
      <c r="CZ22" s="1">
        <v>-1.306263386233056E-2</v>
      </c>
      <c r="DA22" s="1">
        <v>0.22461946091303281</v>
      </c>
      <c r="DB22" s="1">
        <v>0.38248992026639161</v>
      </c>
      <c r="DC22" s="1">
        <v>-3.7332311138400742E-2</v>
      </c>
      <c r="DD22" s="1">
        <v>-2.692890459066941E-3</v>
      </c>
      <c r="DE22" s="1">
        <v>-3.7422803498104278E-2</v>
      </c>
      <c r="DF22" s="1">
        <v>9.2325886151141859E-2</v>
      </c>
      <c r="DG22" s="1">
        <v>-4.6312236745836829E-2</v>
      </c>
      <c r="DH22" s="1">
        <v>-3.4819126753021519E-2</v>
      </c>
      <c r="DI22" s="1">
        <v>-0.12984971556387639</v>
      </c>
      <c r="DJ22" s="1">
        <v>0.1365580924326974</v>
      </c>
      <c r="DK22" s="1">
        <v>0.11290373071858791</v>
      </c>
      <c r="DL22" s="1">
        <v>-6.4166848817225036E-2</v>
      </c>
      <c r="DM22" s="1">
        <v>-5.3147808270238234E-3</v>
      </c>
      <c r="DN22" s="1">
        <v>5.3230521579120442E-2</v>
      </c>
      <c r="DO22" s="1">
        <v>-4.888763262084421E-3</v>
      </c>
      <c r="DP22" s="1">
        <v>-2.9220506841892781E-2</v>
      </c>
      <c r="DQ22" s="1">
        <v>6.9989438145803287E-2</v>
      </c>
      <c r="DR22" s="1">
        <v>8.8208883828872625E-2</v>
      </c>
      <c r="DS22" s="1">
        <v>6.9792757898282515E-2</v>
      </c>
      <c r="DT22" s="1">
        <v>-2.968533879884255E-2</v>
      </c>
      <c r="DU22" s="1">
        <v>0.27264432784194559</v>
      </c>
      <c r="DV22" s="1">
        <v>-0.14143996382517651</v>
      </c>
      <c r="DW22" s="1">
        <v>6.329914444681134E-2</v>
      </c>
      <c r="DX22" s="1">
        <v>4.2217604505395141E-2</v>
      </c>
      <c r="DY22" s="1">
        <v>8.5083890699159531E-3</v>
      </c>
      <c r="DZ22" s="1">
        <v>-6.1285558837770752E-2</v>
      </c>
      <c r="EA22" s="1">
        <v>5.9255992733342772E-3</v>
      </c>
      <c r="EB22" s="1">
        <v>0.21024948868647039</v>
      </c>
      <c r="EC22" s="1">
        <v>0.13100614576206751</v>
      </c>
      <c r="ED22" s="1">
        <v>5.7827564200198737E-2</v>
      </c>
      <c r="EE22" s="1">
        <v>-2.0017587297018819E-2</v>
      </c>
      <c r="EF22" s="1">
        <v>-0.2095417424669202</v>
      </c>
      <c r="EG22" s="62">
        <f t="shared" si="0"/>
        <v>1.1484242266584881E-2</v>
      </c>
      <c r="EH22" s="32">
        <f t="shared" si="1"/>
        <v>0.12506874006064758</v>
      </c>
      <c r="EI22" s="32">
        <f t="shared" si="2"/>
        <v>9.1823442540606162E-2</v>
      </c>
    </row>
    <row r="23" spans="1:142" ht="16">
      <c r="A23" s="6">
        <v>241</v>
      </c>
      <c r="B23" s="6">
        <v>4</v>
      </c>
      <c r="C23" s="9">
        <v>1.038483447742689E-2</v>
      </c>
      <c r="D23" s="9">
        <v>0.32500828164220219</v>
      </c>
      <c r="E23" s="9">
        <v>-4.3717554879721017E-2</v>
      </c>
      <c r="F23" s="9">
        <v>-2.7590447229935348E-3</v>
      </c>
      <c r="G23" s="9">
        <v>-2.510406696424667E-2</v>
      </c>
      <c r="H23" s="9">
        <v>-3.7844077028292407E-2</v>
      </c>
      <c r="I23" s="9">
        <v>0.23932306217775401</v>
      </c>
      <c r="J23" s="9">
        <v>9.0566639244446828E-2</v>
      </c>
      <c r="K23" s="9">
        <v>0.2068800260033955</v>
      </c>
      <c r="L23" s="2">
        <v>5.7226166864944403E-2</v>
      </c>
      <c r="M23" s="2">
        <v>-9.9684593408211258E-2</v>
      </c>
      <c r="N23" s="2">
        <v>-0.25375270647537918</v>
      </c>
      <c r="O23" s="1">
        <v>3.4351989460690638E-2</v>
      </c>
      <c r="P23" s="1">
        <v>-2.2004018381754161E-3</v>
      </c>
      <c r="Q23" s="1">
        <v>0.1042948113930291</v>
      </c>
      <c r="R23" s="1">
        <v>-0.1111209614134854</v>
      </c>
      <c r="S23" s="1">
        <v>0.21207201423705371</v>
      </c>
      <c r="T23" s="1">
        <v>-5.1427685754087557E-2</v>
      </c>
      <c r="U23" s="1">
        <v>0.1719677769844222</v>
      </c>
      <c r="V23" s="1">
        <v>-0.1831423378362555</v>
      </c>
      <c r="W23" s="1">
        <v>-0.1104633758466881</v>
      </c>
      <c r="X23" s="1">
        <v>-0.26892829504619692</v>
      </c>
      <c r="Y23" s="1">
        <v>-0.1092693004436965</v>
      </c>
      <c r="Z23" s="1">
        <v>0.1093802011477636</v>
      </c>
      <c r="AA23" s="1">
        <v>-0.1106359070024788</v>
      </c>
      <c r="AB23" s="1">
        <v>-2.1955943889134161E-2</v>
      </c>
      <c r="AC23" s="1">
        <v>1.882773670680014E-2</v>
      </c>
      <c r="AD23" s="1">
        <v>-2.593327599743489E-2</v>
      </c>
      <c r="AE23" s="1">
        <v>0.12370200161576921</v>
      </c>
      <c r="AF23" s="1">
        <v>0.29514425808336342</v>
      </c>
      <c r="AG23" s="1">
        <v>-1.10465721064439E-2</v>
      </c>
      <c r="AH23" s="1">
        <v>0.2403512556587668</v>
      </c>
      <c r="AI23" s="1">
        <v>0.1406994233176381</v>
      </c>
      <c r="AJ23" s="1">
        <v>2.856474311927162E-2</v>
      </c>
      <c r="AK23" s="1">
        <v>3.8160669490167859E-2</v>
      </c>
      <c r="AL23" s="1">
        <v>3.7391486134754182E-2</v>
      </c>
      <c r="AM23" s="1">
        <v>-9.1598169549742189E-2</v>
      </c>
      <c r="AN23" s="1">
        <v>-2.1789029545820651E-2</v>
      </c>
      <c r="AO23" s="1">
        <v>-8.5567774913887312E-2</v>
      </c>
      <c r="AP23" s="1">
        <v>-0.188101205770319</v>
      </c>
      <c r="AQ23" s="1">
        <v>-3.7036188450574832E-2</v>
      </c>
      <c r="AR23" s="1">
        <v>3.4197900630824132E-2</v>
      </c>
      <c r="AS23" s="1">
        <v>4.5406682060008141E-2</v>
      </c>
      <c r="AT23" s="1">
        <v>-0.26483825754799722</v>
      </c>
      <c r="AU23" s="1">
        <v>6.3455329613280029E-2</v>
      </c>
      <c r="AV23" s="1">
        <v>-0.27117384055118737</v>
      </c>
      <c r="AW23" s="1">
        <v>-6.890130850589378E-3</v>
      </c>
      <c r="AX23" s="1">
        <v>-2.5460073643685951E-2</v>
      </c>
      <c r="AY23" s="1">
        <v>0.31298445589067447</v>
      </c>
      <c r="AZ23" s="1">
        <v>-2.083898176233865E-2</v>
      </c>
      <c r="BA23" s="1">
        <v>4.2907776662099967E-2</v>
      </c>
      <c r="BB23" s="1">
        <v>6.8628373851909369E-2</v>
      </c>
      <c r="BC23" s="1">
        <v>0.1644605319288267</v>
      </c>
      <c r="BD23" s="1">
        <v>5.4069377757845732E-2</v>
      </c>
      <c r="BE23" s="1">
        <v>-1.2449889734846009E-2</v>
      </c>
      <c r="BF23" s="1">
        <v>-1.4405499054857549E-3</v>
      </c>
      <c r="BG23" s="1">
        <v>8.8386261553480838E-3</v>
      </c>
      <c r="BH23" s="1">
        <v>4.3132469482256193E-2</v>
      </c>
      <c r="BI23" s="1">
        <v>5.6209634505314333E-2</v>
      </c>
      <c r="BJ23" s="1">
        <v>-3.1982514410992063E-2</v>
      </c>
      <c r="BK23" s="1">
        <v>2.260576251741922E-2</v>
      </c>
      <c r="BL23" s="1">
        <v>-1.478122896862181E-2</v>
      </c>
      <c r="BM23" s="1">
        <v>-2.8428272159928252E-3</v>
      </c>
      <c r="BN23" s="1">
        <v>-1.392918480183852E-2</v>
      </c>
      <c r="BO23" s="1">
        <v>-7.4350173583755619E-2</v>
      </c>
      <c r="BP23" s="1">
        <v>-0.20473421562728139</v>
      </c>
      <c r="BQ23" s="1">
        <v>4.876556001960692E-2</v>
      </c>
      <c r="BR23" s="1">
        <v>-0.28727554131239991</v>
      </c>
      <c r="BS23" s="1">
        <v>-2.3146913656549511E-2</v>
      </c>
      <c r="BT23" s="1">
        <v>7.8416551342702645E-3</v>
      </c>
      <c r="BU23" s="1">
        <v>-8.7704925665228597E-2</v>
      </c>
      <c r="BV23" s="1">
        <v>0.18815701204098079</v>
      </c>
      <c r="BW23" s="1">
        <v>-1.1068493623803259E-2</v>
      </c>
      <c r="BX23" s="1">
        <v>-3.210606984186011E-2</v>
      </c>
      <c r="BY23" s="1">
        <v>-3.9989540788559867E-2</v>
      </c>
      <c r="BZ23" s="1">
        <v>8.2791085442369031E-2</v>
      </c>
      <c r="CA23" s="1">
        <v>3.1340141332817303E-2</v>
      </c>
      <c r="CB23" s="1">
        <v>9.2096680900539976E-2</v>
      </c>
      <c r="CC23" s="1">
        <v>-9.8470653868922481E-2</v>
      </c>
      <c r="CD23" s="1">
        <v>-0.15078839020228069</v>
      </c>
      <c r="CE23" s="1">
        <v>0.36420753519694499</v>
      </c>
      <c r="CF23" s="1">
        <v>1.7618699080512421E-2</v>
      </c>
      <c r="CG23" s="1">
        <v>-8.694577829384971E-2</v>
      </c>
      <c r="CH23" s="1">
        <v>-7.3515592357006054E-3</v>
      </c>
      <c r="CI23" s="1">
        <v>-0.11491526298226611</v>
      </c>
      <c r="CJ23" s="1">
        <v>-7.5528008718936751E-2</v>
      </c>
      <c r="CK23" s="1">
        <v>6.9914657199242003E-2</v>
      </c>
      <c r="CL23" s="1">
        <v>0.25947077088817672</v>
      </c>
      <c r="CM23" s="1">
        <v>6.2994332860424385E-2</v>
      </c>
      <c r="CN23" s="1">
        <v>0.12031661684137281</v>
      </c>
      <c r="CO23" s="1">
        <v>-0.22242558921040251</v>
      </c>
      <c r="CP23" s="1">
        <v>0.1598908914680989</v>
      </c>
      <c r="CQ23" s="1">
        <v>-0.1210733800567444</v>
      </c>
      <c r="CR23" s="1">
        <v>-0.23905996636126789</v>
      </c>
      <c r="CS23" s="1">
        <v>-1.242212558157435E-2</v>
      </c>
      <c r="CT23" s="1">
        <v>-6.7240263303585054E-2</v>
      </c>
      <c r="CU23" s="1">
        <v>-0.1589166223174501</v>
      </c>
      <c r="CV23" s="1">
        <v>5.6706712346363708E-2</v>
      </c>
      <c r="CW23" s="1">
        <v>3.8345516871682743E-2</v>
      </c>
      <c r="CX23" s="1">
        <v>-0.15696884691161159</v>
      </c>
      <c r="CY23" s="1">
        <v>0.15245230624531919</v>
      </c>
      <c r="CZ23" s="1">
        <v>-1.3847206411700621E-2</v>
      </c>
      <c r="DA23" s="1">
        <v>0.27617086600272128</v>
      </c>
      <c r="DB23" s="1">
        <v>0.47235073547067691</v>
      </c>
      <c r="DC23" s="1">
        <v>-0.1539047953697186</v>
      </c>
      <c r="DD23" s="1">
        <v>4.0045209104258121E-3</v>
      </c>
      <c r="DE23" s="1">
        <v>-3.7537974436596282E-2</v>
      </c>
      <c r="DF23" s="1">
        <v>5.674367536183296E-2</v>
      </c>
      <c r="DG23" s="1">
        <v>-4.0285672533672552E-2</v>
      </c>
      <c r="DH23" s="1">
        <v>-3.163490176587707E-2</v>
      </c>
      <c r="DI23" s="1">
        <v>-0.1168755642819416</v>
      </c>
      <c r="DJ23" s="1">
        <v>0.1566057184636416</v>
      </c>
      <c r="DK23" s="1">
        <v>2.478078177445402E-2</v>
      </c>
      <c r="DL23" s="1">
        <v>-8.2190176122610467E-2</v>
      </c>
      <c r="DM23" s="1">
        <v>2.3869820180617691E-2</v>
      </c>
      <c r="DN23" s="1">
        <v>7.2086999056216142E-2</v>
      </c>
      <c r="DO23" s="1">
        <v>-1.1234840968156339E-2</v>
      </c>
      <c r="DP23" s="1">
        <v>-2.287669354320809E-2</v>
      </c>
      <c r="DQ23" s="1">
        <v>1.9049720175629E-2</v>
      </c>
      <c r="DR23" s="1">
        <v>0.1163975142928509</v>
      </c>
      <c r="DS23" s="1">
        <v>8.4605433605535907E-2</v>
      </c>
      <c r="DT23" s="1">
        <v>-5.2151903466792276E-3</v>
      </c>
      <c r="DU23" s="1">
        <v>0.3398066388575679</v>
      </c>
      <c r="DV23" s="1">
        <v>-0.1600807515125994</v>
      </c>
      <c r="DW23" s="1">
        <v>8.2401531350132964E-2</v>
      </c>
      <c r="DX23" s="1">
        <v>3.470854875814737E-2</v>
      </c>
      <c r="DY23" s="1">
        <v>-4.9335771873285916E-3</v>
      </c>
      <c r="DZ23" s="1">
        <v>-6.0338949361284741E-2</v>
      </c>
      <c r="EA23" s="1">
        <v>3.5066457185236648E-2</v>
      </c>
      <c r="EB23" s="1">
        <v>0.23519828350796679</v>
      </c>
      <c r="EC23" s="1">
        <v>0.14009401795222581</v>
      </c>
      <c r="ED23" s="1">
        <v>-0.12915520333718639</v>
      </c>
      <c r="EE23" s="1">
        <v>1.095594540687448E-2</v>
      </c>
      <c r="EF23" s="1">
        <v>-0.17865427963298861</v>
      </c>
      <c r="EG23" s="62">
        <f t="shared" si="0"/>
        <v>1.088095249824271E-2</v>
      </c>
      <c r="EH23" s="32">
        <f t="shared" si="1"/>
        <v>0.13588456340458241</v>
      </c>
      <c r="EI23" s="32">
        <f t="shared" si="2"/>
        <v>8.0074971178630397E-2</v>
      </c>
    </row>
    <row r="24" spans="1:142" ht="16">
      <c r="A24" s="6">
        <v>321</v>
      </c>
      <c r="B24" s="6">
        <v>3</v>
      </c>
      <c r="C24" s="9">
        <v>2.5922326608526759E-2</v>
      </c>
      <c r="D24" s="9">
        <v>0.41742192464002892</v>
      </c>
      <c r="E24" s="9">
        <v>-2.2230412259238129E-2</v>
      </c>
      <c r="F24" s="9">
        <v>-4.2698865321121049E-5</v>
      </c>
      <c r="G24" s="9">
        <v>-2.4265746379684511E-2</v>
      </c>
      <c r="H24" s="9">
        <v>-0.22980554449140059</v>
      </c>
      <c r="I24" s="9">
        <v>0.25443290291045001</v>
      </c>
      <c r="J24" s="9">
        <v>0.1183782811822881</v>
      </c>
      <c r="K24" s="9">
        <v>0.2453659126827557</v>
      </c>
      <c r="L24" s="2">
        <v>0.1074871686512418</v>
      </c>
      <c r="M24" s="2">
        <v>-7.4100058770572547E-2</v>
      </c>
      <c r="N24" s="2">
        <v>-0.26414338509225871</v>
      </c>
      <c r="O24" s="1">
        <v>-6.7158783113674958E-3</v>
      </c>
      <c r="P24" s="1">
        <v>-1.0249158444517931E-2</v>
      </c>
      <c r="Q24" s="1">
        <v>0.1246563577629662</v>
      </c>
      <c r="R24" s="1">
        <v>-0.15188792716284299</v>
      </c>
      <c r="S24" s="1">
        <v>0.11046182605798301</v>
      </c>
      <c r="T24" s="1">
        <v>-4.8773717962929522E-2</v>
      </c>
      <c r="U24" s="1">
        <v>0.1740456296041355</v>
      </c>
      <c r="V24" s="1">
        <v>-0.18487563565347559</v>
      </c>
      <c r="W24" s="1">
        <v>-8.4051091960748808E-2</v>
      </c>
      <c r="X24" s="1">
        <v>-0.37472541819480099</v>
      </c>
      <c r="Y24" s="1">
        <v>-0.13590678722459831</v>
      </c>
      <c r="Z24" s="1">
        <v>0.1501501099195742</v>
      </c>
      <c r="AA24" s="1">
        <v>-8.2524425578113014E-2</v>
      </c>
      <c r="AB24" s="1">
        <v>3.8652301253394171E-3</v>
      </c>
      <c r="AC24" s="1">
        <v>8.5776460715432462E-2</v>
      </c>
      <c r="AD24" s="1">
        <v>-1.859374921466125E-2</v>
      </c>
      <c r="AE24" s="1">
        <v>0.16374739712240971</v>
      </c>
      <c r="AF24" s="1">
        <v>0.42991676804861201</v>
      </c>
      <c r="AG24" s="1">
        <v>-1.0812100566842311E-2</v>
      </c>
      <c r="AH24" s="1">
        <v>0.24762224616340131</v>
      </c>
      <c r="AI24" s="1">
        <v>0.1968169658174666</v>
      </c>
      <c r="AJ24" s="1">
        <v>1.067461991862822E-2</v>
      </c>
      <c r="AK24" s="1">
        <v>4.5065254785650218E-2</v>
      </c>
      <c r="AL24" s="1">
        <v>1.1447262237467839E-3</v>
      </c>
      <c r="AM24" s="1">
        <v>-0.1129979013369514</v>
      </c>
      <c r="AN24" s="1">
        <v>-2.7860566885395861E-2</v>
      </c>
      <c r="AO24" s="1">
        <v>-0.1581528752937269</v>
      </c>
      <c r="AP24" s="1">
        <v>-0.25139505764836689</v>
      </c>
      <c r="AQ24" s="1">
        <v>5.5126720724342937E-2</v>
      </c>
      <c r="AR24" s="1">
        <v>0.10818370054823639</v>
      </c>
      <c r="AS24" s="1">
        <v>-7.3843702685833568E-2</v>
      </c>
      <c r="AT24" s="1">
        <v>-1.7728370994436651E-2</v>
      </c>
      <c r="AU24" s="1">
        <v>0.1099145973181844</v>
      </c>
      <c r="AV24" s="1">
        <v>-0.3290946485271618</v>
      </c>
      <c r="AW24" s="1">
        <v>-4.5525394111219893E-3</v>
      </c>
      <c r="AX24" s="1">
        <v>-1.165170033829426E-2</v>
      </c>
      <c r="AY24" s="1">
        <v>0.30688012293046418</v>
      </c>
      <c r="AZ24" s="1">
        <v>-6.3401942491512681E-2</v>
      </c>
      <c r="BA24" s="1">
        <v>9.5016085900050534E-2</v>
      </c>
      <c r="BB24" s="1">
        <v>7.607385747133083E-2</v>
      </c>
      <c r="BC24" s="1">
        <v>0.19562603535051759</v>
      </c>
      <c r="BD24" s="1">
        <v>-4.7258791257232813E-3</v>
      </c>
      <c r="BE24" s="1">
        <v>-1.5007659551530659E-2</v>
      </c>
      <c r="BF24" s="1">
        <v>-0.10506563388419229</v>
      </c>
      <c r="BG24" s="1">
        <v>6.8467457805373472E-2</v>
      </c>
      <c r="BH24" s="1">
        <v>7.8524242682668166E-2</v>
      </c>
      <c r="BI24" s="1">
        <v>0.1162166684486597</v>
      </c>
      <c r="BJ24" s="1">
        <v>1.023397544910358E-2</v>
      </c>
      <c r="BK24" s="1">
        <v>4.5489373042376893E-2</v>
      </c>
      <c r="BL24" s="1">
        <v>-3.4329494185271273E-2</v>
      </c>
      <c r="BM24" s="1">
        <v>5.5446908264472988E-2</v>
      </c>
      <c r="BN24" s="1">
        <v>-8.5932690699908595E-2</v>
      </c>
      <c r="BO24" s="1">
        <v>-9.6567134905796839E-2</v>
      </c>
      <c r="BP24" s="1">
        <v>-0.23915209849178731</v>
      </c>
      <c r="BQ24" s="1">
        <v>3.2072135147265042E-2</v>
      </c>
      <c r="BR24" s="1">
        <v>-0.37344456905648932</v>
      </c>
      <c r="BS24" s="1">
        <v>-8.0346929787524349E-2</v>
      </c>
      <c r="BT24" s="1">
        <v>-3.9909923584527003E-2</v>
      </c>
      <c r="BU24" s="1">
        <v>-0.14432676150750451</v>
      </c>
      <c r="BV24" s="1">
        <v>0.2191206056967574</v>
      </c>
      <c r="BW24" s="1">
        <v>-2.909693200371222E-2</v>
      </c>
      <c r="BX24" s="1">
        <v>-1.437578237130922E-2</v>
      </c>
      <c r="BY24" s="1">
        <v>-3.7237851752288782E-2</v>
      </c>
      <c r="BZ24" s="1">
        <v>0.2005384767621253</v>
      </c>
      <c r="CA24" s="1">
        <v>-2.637568654943051E-3</v>
      </c>
      <c r="CB24" s="1">
        <v>0.15401169444382501</v>
      </c>
      <c r="CC24" s="1">
        <v>-0.2628571356580911</v>
      </c>
      <c r="CD24" s="1">
        <v>-0.31577166020284902</v>
      </c>
      <c r="CE24" s="1">
        <v>0.34443800034468253</v>
      </c>
      <c r="CF24" s="1">
        <v>1.1724243004556561E-2</v>
      </c>
      <c r="CG24" s="1">
        <v>-0.20956592305980451</v>
      </c>
      <c r="CH24" s="1">
        <v>4.5441138933697743E-2</v>
      </c>
      <c r="CI24" s="1">
        <v>-4.0508170785460568E-2</v>
      </c>
      <c r="CJ24" s="1">
        <v>-5.6504407948129547E-2</v>
      </c>
      <c r="CK24" s="1">
        <v>0.1225980491060527</v>
      </c>
      <c r="CL24" s="1">
        <v>0.14235436261868531</v>
      </c>
      <c r="CM24" s="1">
        <v>4.64412789746977E-2</v>
      </c>
      <c r="CN24" s="1">
        <v>0.12155883532659929</v>
      </c>
      <c r="CO24" s="1">
        <v>-0.24974639966885989</v>
      </c>
      <c r="CP24" s="1">
        <v>8.1770051105905239E-2</v>
      </c>
      <c r="CQ24" s="1">
        <v>-0.16015078529955001</v>
      </c>
      <c r="CR24" s="1">
        <v>-0.24677276999188669</v>
      </c>
      <c r="CS24" s="1">
        <v>-1.5126838580183989E-2</v>
      </c>
      <c r="CT24" s="1">
        <v>-0.1177315208897074</v>
      </c>
      <c r="CU24" s="1">
        <v>-0.16735391118636819</v>
      </c>
      <c r="CV24" s="1">
        <v>4.6660081039862578E-2</v>
      </c>
      <c r="CW24" s="1">
        <v>2.2884042331984721E-2</v>
      </c>
      <c r="CX24" s="1">
        <v>-5.4293295473803682E-2</v>
      </c>
      <c r="CY24" s="1">
        <v>0.16243986871344671</v>
      </c>
      <c r="CZ24" s="1">
        <v>-7.58724644113902E-3</v>
      </c>
      <c r="DA24" s="1">
        <v>0.3054516634548512</v>
      </c>
      <c r="DB24" s="1">
        <v>0.59337517172623166</v>
      </c>
      <c r="DC24" s="1">
        <v>-0.14116723571930959</v>
      </c>
      <c r="DD24" s="1">
        <v>4.387307984061381E-4</v>
      </c>
      <c r="DE24" s="1">
        <v>-4.6276179262086707E-2</v>
      </c>
      <c r="DF24" s="1">
        <v>7.5739459886794189E-2</v>
      </c>
      <c r="DG24" s="1">
        <v>-5.4384439471695363E-2</v>
      </c>
      <c r="DH24" s="1">
        <v>-3.5224492462052531E-2</v>
      </c>
      <c r="DI24" s="1">
        <v>-0.1842467190309782</v>
      </c>
      <c r="DJ24" s="1">
        <v>0.15369976283032971</v>
      </c>
      <c r="DK24" s="1">
        <v>4.1065356042565573E-2</v>
      </c>
      <c r="DL24" s="1">
        <v>-0.10181692282848349</v>
      </c>
      <c r="DM24" s="1">
        <v>4.401662223094404E-2</v>
      </c>
      <c r="DN24" s="1">
        <v>7.8357181519452104E-2</v>
      </c>
      <c r="DO24" s="1">
        <v>-1.160511697852837E-2</v>
      </c>
      <c r="DP24" s="1">
        <v>8.7286276951900124E-3</v>
      </c>
      <c r="DQ24" s="1">
        <v>-2.1456635445679429E-2</v>
      </c>
      <c r="DR24" s="1">
        <v>0.129630713103349</v>
      </c>
      <c r="DS24" s="1">
        <v>0.12952383936920511</v>
      </c>
      <c r="DT24" s="1">
        <v>2.712875397817005E-2</v>
      </c>
      <c r="DU24" s="1">
        <v>0.37526887234197209</v>
      </c>
      <c r="DV24" s="1">
        <v>-0.24032453079278709</v>
      </c>
      <c r="DW24" s="1">
        <v>-0.1429135777819541</v>
      </c>
      <c r="DX24" s="1">
        <v>2.911549765686779E-2</v>
      </c>
      <c r="DY24" s="1">
        <v>-9.2631561597579549E-3</v>
      </c>
      <c r="DZ24" s="1">
        <v>-5.1518807857998741E-2</v>
      </c>
      <c r="EA24" s="1">
        <v>3.4191242409873077E-2</v>
      </c>
      <c r="EB24" s="1">
        <v>0.21821707141831539</v>
      </c>
      <c r="EC24" s="1">
        <v>-2.8428811778050931E-2</v>
      </c>
      <c r="ED24" s="1">
        <v>-0.18368198650415579</v>
      </c>
      <c r="EE24" s="1">
        <v>3.5899357196068807E-2</v>
      </c>
      <c r="EF24" s="1">
        <v>-0.1611462010182779</v>
      </c>
      <c r="EG24" s="62">
        <f t="shared" si="0"/>
        <v>6.5230433768569745E-3</v>
      </c>
      <c r="EH24" s="32">
        <f t="shared" si="1"/>
        <v>0.16038475822107223</v>
      </c>
      <c r="EI24" s="32">
        <f t="shared" si="2"/>
        <v>4.0671217447394208E-2</v>
      </c>
    </row>
    <row r="25" spans="1:142" ht="16">
      <c r="A25" s="6">
        <v>482</v>
      </c>
      <c r="B25" s="6">
        <v>2</v>
      </c>
      <c r="C25" s="9">
        <v>3.1325684581971477E-2</v>
      </c>
      <c r="D25" s="9">
        <v>-8.8966622734356765E-2</v>
      </c>
      <c r="E25" s="9">
        <v>-1.5061587686965401E-2</v>
      </c>
      <c r="F25" s="9">
        <v>-4.4985281759763317E-2</v>
      </c>
      <c r="G25" s="9">
        <v>-4.5824355037360098E-2</v>
      </c>
      <c r="H25" s="9">
        <v>-0.2628102412014528</v>
      </c>
      <c r="I25" s="9">
        <v>0.25570287206557712</v>
      </c>
      <c r="J25" s="9">
        <v>0.15529381690298319</v>
      </c>
      <c r="K25" s="9">
        <v>0.14260757512465491</v>
      </c>
      <c r="L25" s="2">
        <v>0.23244436104246219</v>
      </c>
      <c r="M25" s="2">
        <v>-0.2584499163586424</v>
      </c>
      <c r="N25" s="2">
        <v>-0.16380596554193741</v>
      </c>
      <c r="O25" s="1">
        <v>-1.9407711266769139E-2</v>
      </c>
      <c r="P25" s="1">
        <v>-5.8479234829259687E-2</v>
      </c>
      <c r="Q25" s="1">
        <v>0.1372071039279503</v>
      </c>
      <c r="R25" s="1">
        <v>-8.3127638943400986E-2</v>
      </c>
      <c r="S25" s="1">
        <v>0.12530130288998939</v>
      </c>
      <c r="T25" s="1">
        <v>-1.50696997996894E-2</v>
      </c>
      <c r="U25" s="1">
        <v>0.1539952507483984</v>
      </c>
      <c r="V25" s="1">
        <v>-5.5931004166118133E-2</v>
      </c>
      <c r="W25" s="1">
        <v>-0.21896378180457299</v>
      </c>
      <c r="X25" s="1">
        <v>-0.25870299994157397</v>
      </c>
      <c r="Y25" s="1">
        <v>-7.906503587551425E-2</v>
      </c>
      <c r="Z25" s="1">
        <v>0.14764040944327361</v>
      </c>
      <c r="AA25" s="1">
        <v>5.6748445960110291E-2</v>
      </c>
      <c r="AB25" s="1">
        <v>3.09913850559921E-2</v>
      </c>
      <c r="AC25" s="1">
        <v>0.1687547996369127</v>
      </c>
      <c r="AD25" s="1">
        <v>-2.9952915704841848E-3</v>
      </c>
      <c r="AE25" s="1">
        <v>0.28317169123336372</v>
      </c>
      <c r="AF25" s="1">
        <v>0.32465932564021122</v>
      </c>
      <c r="AG25" s="1">
        <v>0.145893892939672</v>
      </c>
      <c r="AH25" s="1">
        <v>-0.1356489203506672</v>
      </c>
      <c r="AI25" s="1">
        <v>0.23406805728812929</v>
      </c>
      <c r="AJ25" s="1">
        <v>4.74107342145174E-2</v>
      </c>
      <c r="AK25" s="1">
        <v>9.3103066646734858E-2</v>
      </c>
      <c r="AL25" s="1">
        <v>5.1310311182486829E-2</v>
      </c>
      <c r="AM25" s="1">
        <v>3.298576452782942E-2</v>
      </c>
      <c r="AN25" s="1">
        <v>-0.16052014076233129</v>
      </c>
      <c r="AO25" s="1">
        <v>-9.078247952961746E-2</v>
      </c>
      <c r="AP25" s="1">
        <v>1.044782144754966E-2</v>
      </c>
      <c r="AQ25" s="1">
        <v>-0.17571220858300701</v>
      </c>
      <c r="AR25" s="1">
        <v>0.25346079578034408</v>
      </c>
      <c r="AS25" s="1">
        <v>-8.1663620780570226E-2</v>
      </c>
      <c r="AT25" s="1">
        <v>-0.1095059029649002</v>
      </c>
      <c r="AU25" s="1">
        <v>0.20359589118158589</v>
      </c>
      <c r="AV25" s="1">
        <v>-0.49926904484158879</v>
      </c>
      <c r="AW25" s="1">
        <v>3.191399359119533E-2</v>
      </c>
      <c r="AX25" s="1">
        <v>-9.1618244002732024E-3</v>
      </c>
      <c r="AY25" s="1">
        <v>0.42235449128487301</v>
      </c>
      <c r="AZ25" s="1">
        <v>-6.5450516719006924E-2</v>
      </c>
      <c r="BA25" s="1">
        <v>0.20896699268372201</v>
      </c>
      <c r="BB25" s="1">
        <v>7.6715561420422032E-2</v>
      </c>
      <c r="BC25" s="1">
        <v>0.25286918189993951</v>
      </c>
      <c r="BD25" s="1">
        <v>-8.8533634158475677E-3</v>
      </c>
      <c r="BE25" s="1">
        <v>4.3416826115985588E-2</v>
      </c>
      <c r="BF25" s="1">
        <v>-4.0543090691840922E-2</v>
      </c>
      <c r="BG25" s="1">
        <v>6.0876158354245168E-2</v>
      </c>
      <c r="BH25" s="1">
        <v>-2.1231064933227239E-2</v>
      </c>
      <c r="BI25" s="1">
        <v>-1.308138521171336E-2</v>
      </c>
      <c r="BJ25" s="1">
        <v>-5.8020213544642429E-2</v>
      </c>
      <c r="BK25" s="1">
        <v>9.6518566858117813E-2</v>
      </c>
      <c r="BL25" s="1">
        <v>-5.4331554697514821E-2</v>
      </c>
      <c r="BM25" s="1">
        <v>1.1227371159245061E-3</v>
      </c>
      <c r="BN25" s="1">
        <v>-0.22146322289413981</v>
      </c>
      <c r="BO25" s="1">
        <v>2.1041233342738899E-2</v>
      </c>
      <c r="BP25" s="1">
        <v>-0.24739862621825409</v>
      </c>
      <c r="BQ25" s="1">
        <v>6.0880571625996083E-3</v>
      </c>
      <c r="BR25" s="1">
        <v>-0.36684672853674211</v>
      </c>
      <c r="BS25" s="1">
        <v>-0.128464286420096</v>
      </c>
      <c r="BT25" s="1">
        <v>2.7321574798212751E-2</v>
      </c>
      <c r="BU25" s="1">
        <v>-0.1748804386255598</v>
      </c>
      <c r="BV25" s="1">
        <v>0.31036373576714488</v>
      </c>
      <c r="BW25" s="1">
        <v>-5.0701832525359238E-2</v>
      </c>
      <c r="BX25" s="1">
        <v>-0.12417427077902</v>
      </c>
      <c r="BY25" s="1">
        <v>2.0834549032632928E-2</v>
      </c>
      <c r="BZ25" s="1">
        <v>0.33659832781626758</v>
      </c>
      <c r="CA25" s="1">
        <v>-3.4283619845346558E-2</v>
      </c>
      <c r="CB25" s="1">
        <v>0.1535244418557776</v>
      </c>
      <c r="CC25" s="1">
        <v>-0.14108249115972851</v>
      </c>
      <c r="CD25" s="1">
        <v>-0.64074657751655262</v>
      </c>
      <c r="CE25" s="1">
        <v>0.20376719054292131</v>
      </c>
      <c r="CF25" s="1">
        <v>4.3442465030490179E-2</v>
      </c>
      <c r="CG25" s="1">
        <v>-7.510946970240015E-2</v>
      </c>
      <c r="CH25" s="1">
        <v>5.3255922215097631E-2</v>
      </c>
      <c r="CI25" s="1">
        <v>-1.79920391256909E-2</v>
      </c>
      <c r="CJ25" s="1">
        <v>3.5304074314340628E-2</v>
      </c>
      <c r="CK25" s="1">
        <v>9.3711931405561166E-2</v>
      </c>
      <c r="CL25" s="1">
        <v>0.1237706371954594</v>
      </c>
      <c r="CM25" s="1">
        <v>6.9750090132210951E-3</v>
      </c>
      <c r="CN25" s="1">
        <v>0.30821328460275771</v>
      </c>
      <c r="CO25" s="1">
        <v>-0.21630903111465311</v>
      </c>
      <c r="CP25" s="1">
        <v>7.5994055161552457E-2</v>
      </c>
      <c r="CQ25" s="1">
        <v>-0.1192281798197458</v>
      </c>
      <c r="CR25" s="1">
        <v>-0.15099817047394759</v>
      </c>
      <c r="CS25" s="1">
        <v>-1.8055426482391002E-2</v>
      </c>
      <c r="CT25" s="1">
        <v>-9.9939178711183657E-2</v>
      </c>
      <c r="CU25" s="1">
        <v>-0.20210388498715681</v>
      </c>
      <c r="CV25" s="1">
        <v>7.9103172966228555E-2</v>
      </c>
      <c r="CW25" s="1">
        <v>-2.418628778900123E-2</v>
      </c>
      <c r="CX25" s="1">
        <v>-6.1859993147280662E-2</v>
      </c>
      <c r="CY25" s="1">
        <v>0.28171082747401988</v>
      </c>
      <c r="CZ25" s="1">
        <v>6.1281100514640897E-2</v>
      </c>
      <c r="DA25" s="1">
        <v>0.51777096161996239</v>
      </c>
      <c r="DB25" s="1">
        <v>0.86457557459721113</v>
      </c>
      <c r="DC25" s="1">
        <v>-0.15794889931825309</v>
      </c>
      <c r="DD25" s="1">
        <v>3.5921302613636713E-2</v>
      </c>
      <c r="DE25" s="1">
        <v>-4.5120356403429457E-2</v>
      </c>
      <c r="DF25" s="1">
        <v>0.1073938856632862</v>
      </c>
      <c r="DG25" s="1">
        <v>-8.4700304875491628E-2</v>
      </c>
      <c r="DH25" s="1">
        <v>-5.5816077076261357E-2</v>
      </c>
      <c r="DI25" s="1">
        <v>-0.21772998887123121</v>
      </c>
      <c r="DJ25" s="1">
        <v>0.1200325818239187</v>
      </c>
      <c r="DK25" s="1">
        <v>5.7377790325144257E-2</v>
      </c>
      <c r="DL25" s="1">
        <v>-6.5805387949933805E-2</v>
      </c>
      <c r="DM25" s="1">
        <v>2.481073449346138E-2</v>
      </c>
      <c r="DN25" s="1">
        <v>6.7384283255782482E-2</v>
      </c>
      <c r="DO25" s="1">
        <v>4.6262406771275771E-2</v>
      </c>
      <c r="DP25" s="1">
        <v>2.039401542309871E-2</v>
      </c>
      <c r="DQ25" s="1">
        <v>4.8382875283180672E-2</v>
      </c>
      <c r="DR25" s="1">
        <v>0.1239173545292539</v>
      </c>
      <c r="DS25" s="1">
        <v>0.24719455144246849</v>
      </c>
      <c r="DT25" s="1">
        <v>-2.2296457069757209E-2</v>
      </c>
      <c r="DU25" s="1">
        <v>0.52524170665309988</v>
      </c>
      <c r="DV25" s="1">
        <v>-0.30144335842533099</v>
      </c>
      <c r="DW25" s="1">
        <v>-0.22828223662244609</v>
      </c>
      <c r="DX25" s="1">
        <v>1.7152663519122539E-2</v>
      </c>
      <c r="DY25" s="1">
        <v>-1.9524714557968281E-4</v>
      </c>
      <c r="DZ25" s="1">
        <v>-7.5564412707265216E-2</v>
      </c>
      <c r="EA25" s="1">
        <v>9.3362079468968795E-2</v>
      </c>
      <c r="EB25" s="1">
        <v>0.31038588333370842</v>
      </c>
      <c r="EC25" s="1">
        <v>-0.1232049429556647</v>
      </c>
      <c r="ED25" s="1">
        <v>-0.194323278521919</v>
      </c>
      <c r="EE25" s="1">
        <v>6.9545558094986554E-2</v>
      </c>
      <c r="EF25" s="1">
        <v>-8.3271776749482732E-2</v>
      </c>
      <c r="EG25" s="62">
        <f t="shared" si="0"/>
        <v>1.5562197667160089E-2</v>
      </c>
      <c r="EH25" s="32">
        <f t="shared" si="1"/>
        <v>0.19016571213002723</v>
      </c>
      <c r="EI25" s="32">
        <f t="shared" si="2"/>
        <v>8.1834929614016436E-2</v>
      </c>
    </row>
    <row r="26" spans="1:142" ht="16">
      <c r="A26" s="6">
        <v>964</v>
      </c>
      <c r="B26" s="6">
        <v>1</v>
      </c>
      <c r="C26" s="9">
        <v>2.776696731044102E-2</v>
      </c>
      <c r="D26" s="9">
        <v>-8.1988379169623898E-2</v>
      </c>
      <c r="E26" s="9">
        <v>8.1880334610397495E-2</v>
      </c>
      <c r="F26" s="9">
        <v>-0.2103977356699305</v>
      </c>
      <c r="G26" s="9">
        <v>-5.6221512422469602E-2</v>
      </c>
      <c r="H26" s="9">
        <v>-0.35082219133103881</v>
      </c>
      <c r="I26" s="9">
        <v>0.2403862447709158</v>
      </c>
      <c r="J26" s="9">
        <v>4.0357249392596467E-3</v>
      </c>
      <c r="K26" s="9">
        <v>5.0444335993488708E-2</v>
      </c>
      <c r="L26" s="2">
        <v>0.33375944447564659</v>
      </c>
      <c r="M26" s="2">
        <v>-0.14681933889950849</v>
      </c>
      <c r="N26" s="2">
        <v>-4.5513036897265921E-2</v>
      </c>
      <c r="O26" s="1">
        <v>3.6648790739543732E-2</v>
      </c>
      <c r="P26" s="1">
        <v>2.3793042237939769E-2</v>
      </c>
      <c r="Q26" s="1">
        <v>-5.8526355228876503E-2</v>
      </c>
      <c r="R26" s="1">
        <v>-0.205719498946597</v>
      </c>
      <c r="S26" s="1">
        <v>0.16214817112020841</v>
      </c>
      <c r="T26" s="1">
        <v>8.6879700711825353E-3</v>
      </c>
      <c r="U26" s="1">
        <v>0.31319604574317439</v>
      </c>
      <c r="V26" s="1">
        <v>0.1198708711359763</v>
      </c>
      <c r="W26" s="1">
        <v>-0.3584633922548992</v>
      </c>
      <c r="X26" s="1">
        <v>-0.3943802756836714</v>
      </c>
      <c r="Y26" s="1">
        <v>1.4221312723076109E-2</v>
      </c>
      <c r="Z26" s="1">
        <v>0.15040992568878969</v>
      </c>
      <c r="AA26" s="1">
        <v>-0.21854457969115479</v>
      </c>
      <c r="AB26" s="1">
        <v>0.30039379355698248</v>
      </c>
      <c r="AC26" s="1">
        <v>0.4017473338469546</v>
      </c>
      <c r="AD26" s="1">
        <v>-5.9922146810819088E-2</v>
      </c>
      <c r="AE26" s="1">
        <v>-7.6910296327827874E-3</v>
      </c>
      <c r="AF26" s="1">
        <v>0.49538941280416188</v>
      </c>
      <c r="AG26" s="1">
        <v>0.38005539258279603</v>
      </c>
      <c r="AH26" s="1">
        <v>-0.30212275660657528</v>
      </c>
      <c r="AI26" s="1">
        <v>0.22020303799885829</v>
      </c>
      <c r="AJ26" s="1">
        <v>-4.3060156683354972E-2</v>
      </c>
      <c r="AK26" s="1">
        <v>7.446209485385441E-2</v>
      </c>
      <c r="AL26" s="1">
        <v>0.1074544263057416</v>
      </c>
      <c r="AM26" s="1">
        <v>8.7353687328161136E-3</v>
      </c>
      <c r="AN26" s="1">
        <v>-0.1106607719355505</v>
      </c>
      <c r="AO26" s="1">
        <v>-0.1029057025777895</v>
      </c>
      <c r="AP26" s="1">
        <v>0.41640853388971072</v>
      </c>
      <c r="AQ26" s="1">
        <v>-0.35649193169751819</v>
      </c>
      <c r="AR26" s="1">
        <v>2.0350844492814421E-2</v>
      </c>
      <c r="AS26" s="1">
        <v>-3.2867737066227462E-3</v>
      </c>
      <c r="AT26" s="1">
        <v>-0.15076897992568081</v>
      </c>
      <c r="AU26" s="1">
        <v>0.22984101567941989</v>
      </c>
      <c r="AV26" s="1">
        <v>-2.701295389019814E-2</v>
      </c>
      <c r="AW26" s="1">
        <v>0.110692741431359</v>
      </c>
      <c r="AX26" s="1">
        <v>-8.7562371548723775E-2</v>
      </c>
      <c r="AY26" s="1">
        <v>-0.15123352655858069</v>
      </c>
      <c r="AZ26" s="1">
        <v>-0.1351747783682527</v>
      </c>
      <c r="BA26" s="1">
        <v>0.1721687797484048</v>
      </c>
      <c r="BB26" s="1">
        <v>9.7411651607418992E-2</v>
      </c>
      <c r="BC26" s="1">
        <v>-4.366869614383373E-3</v>
      </c>
      <c r="BD26" s="1">
        <v>-8.4626104287160442E-3</v>
      </c>
      <c r="BE26" s="1">
        <v>-0.2253254170325045</v>
      </c>
      <c r="BF26" s="1">
        <v>5.3072180092927357E-3</v>
      </c>
      <c r="BG26" s="1">
        <v>0.23814201230386919</v>
      </c>
      <c r="BH26" s="1">
        <v>0.38455842328885081</v>
      </c>
      <c r="BI26" s="1">
        <v>1.288899881599736E-2</v>
      </c>
      <c r="BJ26" s="1">
        <v>6.0567254322459393E-2</v>
      </c>
      <c r="BK26" s="1">
        <v>0.1360958044315734</v>
      </c>
      <c r="BL26" s="1">
        <v>-0.1850218211144101</v>
      </c>
      <c r="BM26" s="1">
        <v>-8.4782939838988242E-2</v>
      </c>
      <c r="BN26" s="1">
        <v>-1.989015847921969E-2</v>
      </c>
      <c r="BO26" s="1">
        <v>5.9152692835040738E-2</v>
      </c>
      <c r="BP26" s="1">
        <v>-0.56718861430704814</v>
      </c>
      <c r="BQ26" s="1">
        <v>-3.0219752294305121E-2</v>
      </c>
      <c r="BR26" s="1">
        <v>-0.46561903092791163</v>
      </c>
      <c r="BS26" s="1">
        <v>-0.29899423812570458</v>
      </c>
      <c r="BT26" s="1">
        <v>1.3565277960945889E-2</v>
      </c>
      <c r="BU26" s="1">
        <v>-0.42401330902075263</v>
      </c>
      <c r="BV26" s="1">
        <v>0.57736679187244444</v>
      </c>
      <c r="BW26" s="1">
        <v>-0.12626742260128859</v>
      </c>
      <c r="BX26" s="1">
        <v>-0.11547584939891931</v>
      </c>
      <c r="BY26" s="1">
        <v>-6.2216432947597378E-2</v>
      </c>
      <c r="BZ26" s="1">
        <v>0.17452436813387709</v>
      </c>
      <c r="CA26" s="1">
        <v>-8.5352138787233134E-2</v>
      </c>
      <c r="CB26" s="1">
        <v>6.4127083156042083E-2</v>
      </c>
      <c r="CC26" s="1">
        <v>-0.2133941810290905</v>
      </c>
      <c r="CD26" s="1">
        <v>-0.69133196858938295</v>
      </c>
      <c r="CE26" s="1">
        <v>-1.1613905017936721E-2</v>
      </c>
      <c r="CF26" s="1">
        <v>-0.2205997696869802</v>
      </c>
      <c r="CG26" s="1">
        <v>-0.26059873319147719</v>
      </c>
      <c r="CH26" s="1">
        <v>0.18315276268400121</v>
      </c>
      <c r="CI26" s="1">
        <v>-0.14493950193848451</v>
      </c>
      <c r="CJ26" s="1">
        <v>0.28580320410647481</v>
      </c>
      <c r="CK26" s="1">
        <v>7.0407690410865975E-2</v>
      </c>
      <c r="CL26" s="1">
        <v>8.562087850371021E-2</v>
      </c>
      <c r="CM26" s="1">
        <v>4.4688538323931992E-2</v>
      </c>
      <c r="CN26" s="1">
        <v>0.5691224990463567</v>
      </c>
      <c r="CO26" s="1">
        <v>-0.47231299319638959</v>
      </c>
      <c r="CP26" s="1">
        <v>-3.9424886005623043E-2</v>
      </c>
      <c r="CQ26" s="1">
        <v>5.1440027992953663E-2</v>
      </c>
      <c r="CR26" s="1">
        <v>-0.1377874560487031</v>
      </c>
      <c r="CS26" s="1">
        <v>0.25680382282331699</v>
      </c>
      <c r="CT26" s="1">
        <v>-0.1020926034667536</v>
      </c>
      <c r="CU26" s="1">
        <v>-5.2729044813654813E-2</v>
      </c>
      <c r="CV26" s="1">
        <v>8.9725835158648334E-2</v>
      </c>
      <c r="CW26" s="1">
        <v>-0.234993215272846</v>
      </c>
      <c r="CX26" s="1">
        <v>-0.14669462567028749</v>
      </c>
      <c r="CY26" s="1">
        <v>0.36022804676873771</v>
      </c>
      <c r="CZ26" s="1">
        <v>0.16210690987816029</v>
      </c>
      <c r="DA26" s="1">
        <v>0.81302239690696343</v>
      </c>
      <c r="DB26" s="1">
        <v>0.94810958937996914</v>
      </c>
      <c r="DC26" s="1">
        <v>-0.28272977872851818</v>
      </c>
      <c r="DD26" s="1">
        <v>2.9493018415762889E-2</v>
      </c>
      <c r="DE26" s="1">
        <v>-0.11126515754093801</v>
      </c>
      <c r="DF26" s="1">
        <v>0.10068725514528019</v>
      </c>
      <c r="DG26" s="1">
        <v>-0.21872041243816959</v>
      </c>
      <c r="DH26" s="1">
        <v>-8.2747511785653108E-2</v>
      </c>
      <c r="DI26" s="1">
        <v>-0.37614904154618278</v>
      </c>
      <c r="DJ26" s="1">
        <v>0.2293698745310894</v>
      </c>
      <c r="DK26" s="1">
        <v>0.22005458366138081</v>
      </c>
      <c r="DL26" s="1">
        <v>-0.15326139564237409</v>
      </c>
      <c r="DM26" s="1">
        <v>-0.13104387070065179</v>
      </c>
      <c r="DN26" s="1">
        <v>7.5677388355675057E-2</v>
      </c>
      <c r="DO26" s="1">
        <v>5.233752510823015E-2</v>
      </c>
      <c r="DP26" s="1">
        <v>1.191424786424663E-2</v>
      </c>
      <c r="DQ26" s="1">
        <v>4.8815482548044409E-2</v>
      </c>
      <c r="DR26" s="1">
        <v>0.34727416965402652</v>
      </c>
      <c r="DS26" s="1">
        <v>0.14400697483881431</v>
      </c>
      <c r="DT26" s="1">
        <v>-2.9435726388863388E-2</v>
      </c>
      <c r="DU26" s="1">
        <v>0.7705433077559587</v>
      </c>
      <c r="DV26" s="1">
        <v>-0.32149888937948667</v>
      </c>
      <c r="DW26" s="1">
        <v>-0.22665737061400629</v>
      </c>
      <c r="DX26" s="1">
        <v>2.8142322567260621E-2</v>
      </c>
      <c r="DY26" s="1">
        <v>0.1657872141314391</v>
      </c>
      <c r="DZ26" s="1">
        <v>5.8303293232280007E-2</v>
      </c>
      <c r="EA26" s="1">
        <v>2.3171501846674901E-2</v>
      </c>
      <c r="EB26" s="1">
        <v>0.66580759497743014</v>
      </c>
      <c r="EC26" s="1">
        <v>-0.25665137996352638</v>
      </c>
      <c r="ED26" s="1">
        <v>-8.4540092567264802E-2</v>
      </c>
      <c r="EE26" s="1">
        <v>-3.5663982870964749E-2</v>
      </c>
      <c r="EF26" s="1">
        <v>-0.12895777307843831</v>
      </c>
      <c r="EG26" s="62">
        <f t="shared" si="0"/>
        <v>1.2568324198584294E-2</v>
      </c>
      <c r="EH26" s="32">
        <f t="shared" si="1"/>
        <v>0.25860434500642066</v>
      </c>
      <c r="EI26" s="32">
        <f t="shared" si="2"/>
        <v>4.860059175831808E-2</v>
      </c>
    </row>
    <row r="27" spans="1:142" ht="16">
      <c r="A27" s="6" t="s">
        <v>141</v>
      </c>
      <c r="B27" s="6" t="s">
        <v>142</v>
      </c>
      <c r="C27" s="22">
        <v>-1.7446770539390338E-2</v>
      </c>
      <c r="D27" s="22">
        <v>2.070106053181563E-2</v>
      </c>
      <c r="E27" s="22">
        <v>2.3982129254766709E-2</v>
      </c>
      <c r="F27" s="22">
        <v>-6.557578972823077E-3</v>
      </c>
      <c r="G27" s="22">
        <v>3.1845129800519692E-2</v>
      </c>
      <c r="H27" s="22">
        <v>3.4348532736990518E-2</v>
      </c>
      <c r="I27" s="22">
        <v>-8.2549327813252367E-3</v>
      </c>
      <c r="J27" s="22">
        <v>1.2843524394052759E-2</v>
      </c>
      <c r="K27" s="22">
        <v>-5.1018524626790823E-2</v>
      </c>
      <c r="L27" s="22">
        <v>8.7394274103658827E-4</v>
      </c>
      <c r="M27" s="22">
        <v>2.3389575505495919E-2</v>
      </c>
      <c r="N27" s="22">
        <v>1.2988972200332851E-2</v>
      </c>
      <c r="O27" s="22">
        <v>5.8545887256348812E-3</v>
      </c>
      <c r="P27" s="22">
        <v>2.7413206571790558E-2</v>
      </c>
      <c r="Q27" s="22">
        <v>-3.7129361176928542E-3</v>
      </c>
      <c r="R27" s="22">
        <v>2.4076614047823328E-2</v>
      </c>
      <c r="S27" s="22">
        <v>-1.219002529903996E-2</v>
      </c>
      <c r="T27" s="22">
        <v>-3.9749578159589592E-2</v>
      </c>
      <c r="U27" s="22">
        <v>-7.3155449831649552E-2</v>
      </c>
      <c r="V27" s="22">
        <v>-5.8260229910114661E-2</v>
      </c>
      <c r="W27" s="22">
        <v>7.7279756550837221E-4</v>
      </c>
      <c r="X27" s="22">
        <v>4.459152113521897E-2</v>
      </c>
      <c r="Y27" s="22">
        <v>-2.7699680050213091E-2</v>
      </c>
      <c r="Z27" s="22">
        <v>2.0950059497436462E-3</v>
      </c>
      <c r="AA27" s="22">
        <v>-2.340055099256411E-2</v>
      </c>
      <c r="AB27" s="22">
        <v>3.2129371097322189E-2</v>
      </c>
      <c r="AC27" s="22">
        <v>3.890327309406643E-2</v>
      </c>
      <c r="AD27" s="22">
        <v>-4.286538217110427E-2</v>
      </c>
      <c r="AE27" s="22">
        <v>1.8647194550152159E-2</v>
      </c>
      <c r="AF27" s="22">
        <v>1.5229768322528949E-2</v>
      </c>
      <c r="AG27" s="22">
        <v>3.6016603778892417E-2</v>
      </c>
      <c r="AH27" s="22">
        <v>9.3546113853161701E-3</v>
      </c>
      <c r="AI27" s="22">
        <v>1.0748251336838139E-2</v>
      </c>
      <c r="AJ27" s="22">
        <v>1.335775405308097E-2</v>
      </c>
      <c r="AK27" s="22">
        <v>-5.3327473290953921E-3</v>
      </c>
      <c r="AL27" s="22">
        <v>1.383135807261675E-3</v>
      </c>
      <c r="AM27" s="22">
        <v>2.079592842007446E-2</v>
      </c>
      <c r="AN27" s="22">
        <v>3.1517702220390638E-2</v>
      </c>
      <c r="AO27" s="22">
        <v>6.2417165333294418E-3</v>
      </c>
      <c r="AP27" s="22">
        <v>6.1452616535713897E-3</v>
      </c>
      <c r="AQ27" s="22">
        <v>1.694635767669651E-2</v>
      </c>
      <c r="AR27" s="22">
        <v>3.4682830454308228E-2</v>
      </c>
      <c r="AS27" s="22">
        <v>3.0985886171969678E-3</v>
      </c>
      <c r="AT27" s="22">
        <v>1.508134714348611E-2</v>
      </c>
      <c r="AU27" s="22">
        <v>-1.9251209229863991E-2</v>
      </c>
      <c r="AV27" s="22">
        <v>3.8711513387631437E-2</v>
      </c>
      <c r="AW27" s="22">
        <v>-2.1856951135736599E-2</v>
      </c>
      <c r="AX27" s="22">
        <v>7.7743007097896798E-3</v>
      </c>
      <c r="AY27" s="22">
        <v>4.2397246695325942E-2</v>
      </c>
      <c r="AZ27" s="22">
        <v>-2.630897486115975E-2</v>
      </c>
      <c r="BA27" s="22">
        <v>9.5717493087162323E-3</v>
      </c>
      <c r="BB27" s="22">
        <v>-2.424974126627483E-2</v>
      </c>
      <c r="BC27" s="22">
        <v>2.0163374143915822E-2</v>
      </c>
      <c r="BD27" s="22">
        <v>-3.5049987821160239E-3</v>
      </c>
      <c r="BE27" s="22">
        <v>2.0151935098542271E-2</v>
      </c>
      <c r="BF27" s="22">
        <v>5.8133623077027128E-4</v>
      </c>
      <c r="BG27" s="22">
        <v>-5.2197009532526043E-3</v>
      </c>
      <c r="BH27" s="22">
        <v>-0.11587176140213</v>
      </c>
      <c r="BI27" s="22">
        <v>8.7252256924373536E-3</v>
      </c>
      <c r="BJ27" s="22">
        <v>-1.6377260977822151E-2</v>
      </c>
      <c r="BK27" s="22">
        <v>2.0840371600260421E-2</v>
      </c>
      <c r="BL27" s="22">
        <v>4.4975872102114713E-2</v>
      </c>
      <c r="BM27" s="22">
        <v>2.3954306081863871E-2</v>
      </c>
      <c r="BN27" s="22">
        <v>3.0239101391442601E-2</v>
      </c>
      <c r="BO27" s="22">
        <v>-4.372588759108751E-2</v>
      </c>
      <c r="BP27" s="22">
        <v>2.1889469568198618E-2</v>
      </c>
      <c r="BQ27" s="22">
        <v>8.6274302635084028E-3</v>
      </c>
      <c r="BR27" s="22">
        <v>-1.9192953994658781E-2</v>
      </c>
      <c r="BS27" s="22">
        <v>1.973512988813305E-2</v>
      </c>
      <c r="BT27" s="22">
        <v>4.7694337483699438E-2</v>
      </c>
      <c r="BU27" s="22">
        <v>1.145481680658339E-2</v>
      </c>
      <c r="BV27" s="22">
        <v>4.3228620735213191E-2</v>
      </c>
      <c r="BW27" s="22">
        <v>-4.2747430436922793E-2</v>
      </c>
      <c r="BX27" s="22">
        <v>-1.781129242779457E-2</v>
      </c>
      <c r="BY27" s="22">
        <v>-0.1511530968690756</v>
      </c>
      <c r="BZ27" s="22">
        <v>0.12422400361957529</v>
      </c>
      <c r="CA27" s="22">
        <v>-4.5572538445296431E-3</v>
      </c>
      <c r="CB27" s="22">
        <v>6.0211240204911178E-2</v>
      </c>
      <c r="CC27" s="22">
        <v>8.5992033482502284E-2</v>
      </c>
      <c r="CD27" s="22">
        <v>-5.8084795823660634E-3</v>
      </c>
      <c r="CE27" s="22">
        <v>-6.0413469889680736E-3</v>
      </c>
      <c r="CF27" s="22">
        <v>2.4523243722520739E-3</v>
      </c>
      <c r="CG27" s="22">
        <v>8.963625193702289E-2</v>
      </c>
      <c r="CH27" s="22">
        <v>7.099273252675789E-2</v>
      </c>
      <c r="CI27" s="22">
        <v>2.7170642901783448E-2</v>
      </c>
      <c r="CJ27" s="22">
        <v>5.2468428425330033E-2</v>
      </c>
      <c r="CK27" s="22">
        <v>2.9480660943049509E-2</v>
      </c>
      <c r="CL27" s="22">
        <v>6.6825081060201283E-2</v>
      </c>
      <c r="CM27" s="22">
        <v>-2.8772229019816971E-2</v>
      </c>
      <c r="CN27" s="22">
        <v>3.9462515901637851E-2</v>
      </c>
      <c r="CO27" s="22">
        <v>-2.9031086977359909E-2</v>
      </c>
      <c r="CP27" s="22">
        <v>1.3983882519467901E-2</v>
      </c>
      <c r="CQ27" s="22">
        <v>-3.2276964959333833E-2</v>
      </c>
      <c r="CR27" s="22">
        <v>3.1035766128940231E-3</v>
      </c>
      <c r="CS27" s="22">
        <v>2.5591855767083171E-2</v>
      </c>
      <c r="CT27" s="22">
        <v>4.4391886287193302E-2</v>
      </c>
      <c r="CU27" s="22">
        <v>-3.0338958549577438E-2</v>
      </c>
      <c r="CV27" s="22">
        <v>-1.2579764545717069E-3</v>
      </c>
      <c r="CW27" s="22">
        <v>2.336356455857952E-3</v>
      </c>
      <c r="CX27" s="22">
        <v>-6.4264144925906069E-2</v>
      </c>
      <c r="CY27" s="22">
        <v>1.2909779458992439E-2</v>
      </c>
      <c r="CZ27" s="22">
        <v>-0.12547709467085871</v>
      </c>
      <c r="DA27" s="22">
        <v>1.1690682939792569E-2</v>
      </c>
      <c r="DB27" s="22">
        <v>6.3378437007417512E-3</v>
      </c>
      <c r="DC27" s="22">
        <v>-0.1173053564693855</v>
      </c>
      <c r="DD27" s="22">
        <v>-3.6010872049446613E-2</v>
      </c>
      <c r="DE27" s="22">
        <v>0.1389113040722679</v>
      </c>
      <c r="DF27" s="22">
        <v>-5.1143506226105737E-2</v>
      </c>
      <c r="DG27" s="22">
        <v>7.6731447181969059E-2</v>
      </c>
      <c r="DH27" s="22">
        <v>1.550878219700816E-2</v>
      </c>
      <c r="DI27" s="22">
        <v>2.3223773674755831E-2</v>
      </c>
      <c r="DJ27" s="22">
        <v>-1.8372876361227891E-2</v>
      </c>
      <c r="DK27" s="22">
        <v>6.2199014085099431E-2</v>
      </c>
      <c r="DL27" s="22">
        <v>2.0098304486957191E-2</v>
      </c>
      <c r="DM27" s="22">
        <v>1.349893974806809E-2</v>
      </c>
      <c r="DN27" s="22">
        <v>-3.025221272842088E-2</v>
      </c>
      <c r="DO27" s="22">
        <v>-1.7022835708053841E-2</v>
      </c>
      <c r="DP27" s="22">
        <v>-2.1788523272461981E-2</v>
      </c>
      <c r="DQ27" s="22">
        <v>8.5745624585137223E-2</v>
      </c>
      <c r="DR27" s="22">
        <v>2.8106743604973752E-2</v>
      </c>
      <c r="DS27" s="22">
        <v>-2.3031598073594501E-3</v>
      </c>
      <c r="DT27" s="22">
        <v>5.8471198131487503E-2</v>
      </c>
      <c r="DU27" s="22">
        <v>6.7658949048647651E-2</v>
      </c>
      <c r="DV27" s="22">
        <v>5.0207706404322644E-3</v>
      </c>
      <c r="DW27" s="22">
        <v>3.7416183675207063E-2</v>
      </c>
      <c r="DX27" s="22">
        <v>8.4111003746042121E-2</v>
      </c>
      <c r="DY27" s="22">
        <v>-3.6832398544012837E-2</v>
      </c>
      <c r="DZ27" s="22">
        <v>3.0917028169369942E-3</v>
      </c>
      <c r="EA27" s="22">
        <v>-1.957628214294549E-3</v>
      </c>
      <c r="EB27" s="22">
        <v>2.6459103603519739E-2</v>
      </c>
      <c r="EC27" s="22">
        <v>-2.4752538760690269E-2</v>
      </c>
      <c r="ED27" s="22">
        <v>3.4115490982559941E-2</v>
      </c>
      <c r="EE27" s="22">
        <v>2.1061973989032982E-2</v>
      </c>
      <c r="EF27" s="22">
        <v>-2.0277392706005919E-2</v>
      </c>
      <c r="EG27" s="31">
        <f t="shared" si="0"/>
        <v>7.3485376145559517E-3</v>
      </c>
      <c r="EH27" s="31">
        <f t="shared" si="1"/>
        <v>4.2276369775976368E-2</v>
      </c>
      <c r="EI27" s="31">
        <f t="shared" si="2"/>
        <v>0.17382139605401439</v>
      </c>
    </row>
    <row r="28" spans="1:14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</row>
    <row r="30" spans="1:142" ht="34" customHeight="1">
      <c r="EK30" s="58"/>
      <c r="EL30" s="59"/>
    </row>
    <row r="31" spans="1:142" ht="16">
      <c r="EK31" s="59"/>
      <c r="EL31" s="59"/>
    </row>
    <row r="32" spans="1:142" ht="16">
      <c r="EK32" s="59"/>
      <c r="EL32" s="59"/>
    </row>
  </sheetData>
  <mergeCells count="1">
    <mergeCell ref="A12:B1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EDA4-0EB8-4401-9FE0-9175AC13864A}">
  <dimension ref="A12:EI30"/>
  <sheetViews>
    <sheetView topLeftCell="DR2" zoomScale="85" zoomScaleNormal="70" workbookViewId="0">
      <selection activeCell="EK16" sqref="EK16"/>
    </sheetView>
  </sheetViews>
  <sheetFormatPr baseColWidth="10" defaultColWidth="8.83203125" defaultRowHeight="15"/>
  <cols>
    <col min="1" max="1" width="8.33203125" style="23" customWidth="1"/>
    <col min="2" max="3" width="9.33203125" style="23" customWidth="1"/>
    <col min="11" max="11" width="8.1640625" style="23" customWidth="1"/>
    <col min="64" max="64" width="8.33203125" customWidth="1"/>
    <col min="139" max="139" width="9.5" customWidth="1"/>
  </cols>
  <sheetData>
    <row r="12" spans="1:139" ht="16">
      <c r="A12" s="63" t="s">
        <v>136</v>
      </c>
      <c r="B12" s="65"/>
      <c r="C12" s="10" t="s">
        <v>137</v>
      </c>
      <c r="D12" s="10">
        <v>964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</row>
    <row r="13" spans="1:139" ht="18">
      <c r="A13" s="6" t="s">
        <v>138</v>
      </c>
      <c r="B13" s="6" t="s">
        <v>139</v>
      </c>
      <c r="C13" s="12" t="s">
        <v>3</v>
      </c>
      <c r="D13" s="12" t="s">
        <v>4</v>
      </c>
      <c r="E13" s="12" t="s">
        <v>5</v>
      </c>
      <c r="F13" s="12" t="s">
        <v>6</v>
      </c>
      <c r="G13" s="12" t="s">
        <v>7</v>
      </c>
      <c r="H13" s="12" t="s">
        <v>8</v>
      </c>
      <c r="I13" s="12" t="s">
        <v>9</v>
      </c>
      <c r="J13" s="12" t="s">
        <v>10</v>
      </c>
      <c r="K13" s="12" t="s">
        <v>11</v>
      </c>
      <c r="L13" s="12" t="s">
        <v>12</v>
      </c>
      <c r="M13" s="12" t="s">
        <v>13</v>
      </c>
      <c r="N13" s="12" t="s">
        <v>14</v>
      </c>
      <c r="O13" s="12" t="s">
        <v>15</v>
      </c>
      <c r="P13" s="12" t="s">
        <v>16</v>
      </c>
      <c r="Q13" s="12" t="s">
        <v>17</v>
      </c>
      <c r="R13" s="12" t="s">
        <v>18</v>
      </c>
      <c r="S13" s="12" t="s">
        <v>19</v>
      </c>
      <c r="T13" s="12" t="s">
        <v>20</v>
      </c>
      <c r="U13" s="12" t="s">
        <v>21</v>
      </c>
      <c r="V13" s="12" t="s">
        <v>22</v>
      </c>
      <c r="W13" s="12" t="s">
        <v>23</v>
      </c>
      <c r="X13" s="12" t="s">
        <v>24</v>
      </c>
      <c r="Y13" s="12" t="s">
        <v>25</v>
      </c>
      <c r="Z13" s="12" t="s">
        <v>26</v>
      </c>
      <c r="AA13" s="12" t="s">
        <v>27</v>
      </c>
      <c r="AB13" s="12" t="s">
        <v>28</v>
      </c>
      <c r="AC13" s="12" t="s">
        <v>29</v>
      </c>
      <c r="AD13" s="12" t="s">
        <v>30</v>
      </c>
      <c r="AE13" s="12" t="s">
        <v>31</v>
      </c>
      <c r="AF13" s="12" t="s">
        <v>32</v>
      </c>
      <c r="AG13" s="12" t="s">
        <v>33</v>
      </c>
      <c r="AH13" s="12" t="s">
        <v>34</v>
      </c>
      <c r="AI13" s="12" t="s">
        <v>35</v>
      </c>
      <c r="AJ13" s="12" t="s">
        <v>36</v>
      </c>
      <c r="AK13" s="12" t="s">
        <v>37</v>
      </c>
      <c r="AL13" s="12" t="s">
        <v>38</v>
      </c>
      <c r="AM13" s="12" t="s">
        <v>39</v>
      </c>
      <c r="AN13" s="12" t="s">
        <v>40</v>
      </c>
      <c r="AO13" s="12" t="s">
        <v>41</v>
      </c>
      <c r="AP13" s="12" t="s">
        <v>42</v>
      </c>
      <c r="AQ13" s="12" t="s">
        <v>43</v>
      </c>
      <c r="AR13" s="12" t="s">
        <v>44</v>
      </c>
      <c r="AS13" s="12" t="s">
        <v>45</v>
      </c>
      <c r="AT13" s="12" t="s">
        <v>46</v>
      </c>
      <c r="AU13" s="12" t="s">
        <v>47</v>
      </c>
      <c r="AV13" s="12" t="s">
        <v>48</v>
      </c>
      <c r="AW13" s="12" t="s">
        <v>49</v>
      </c>
      <c r="AX13" s="12" t="s">
        <v>50</v>
      </c>
      <c r="AY13" s="12" t="s">
        <v>51</v>
      </c>
      <c r="AZ13" s="12" t="s">
        <v>52</v>
      </c>
      <c r="BA13" s="12" t="s">
        <v>53</v>
      </c>
      <c r="BB13" s="12" t="s">
        <v>54</v>
      </c>
      <c r="BC13" s="12" t="s">
        <v>55</v>
      </c>
      <c r="BD13" s="12" t="s">
        <v>56</v>
      </c>
      <c r="BE13" s="12" t="s">
        <v>57</v>
      </c>
      <c r="BF13" s="12" t="s">
        <v>58</v>
      </c>
      <c r="BG13" s="12" t="s">
        <v>59</v>
      </c>
      <c r="BH13" s="12" t="s">
        <v>60</v>
      </c>
      <c r="BI13" s="12" t="s">
        <v>61</v>
      </c>
      <c r="BJ13" s="12" t="s">
        <v>62</v>
      </c>
      <c r="BK13" s="12" t="s">
        <v>63</v>
      </c>
      <c r="BL13" s="12" t="s">
        <v>64</v>
      </c>
      <c r="BM13" s="12" t="s">
        <v>65</v>
      </c>
      <c r="BN13" s="12" t="s">
        <v>66</v>
      </c>
      <c r="BO13" s="12" t="s">
        <v>67</v>
      </c>
      <c r="BP13" s="12" t="s">
        <v>68</v>
      </c>
      <c r="BQ13" s="12" t="s">
        <v>69</v>
      </c>
      <c r="BR13" s="12" t="s">
        <v>70</v>
      </c>
      <c r="BS13" s="12" t="s">
        <v>71</v>
      </c>
      <c r="BT13" s="12" t="s">
        <v>72</v>
      </c>
      <c r="BU13" s="12" t="s">
        <v>73</v>
      </c>
      <c r="BV13" s="12" t="s">
        <v>74</v>
      </c>
      <c r="BW13" s="12" t="s">
        <v>75</v>
      </c>
      <c r="BX13" s="12" t="s">
        <v>76</v>
      </c>
      <c r="BY13" s="12" t="s">
        <v>77</v>
      </c>
      <c r="BZ13" s="12" t="s">
        <v>78</v>
      </c>
      <c r="CA13" s="12" t="s">
        <v>79</v>
      </c>
      <c r="CB13" s="12" t="s">
        <v>80</v>
      </c>
      <c r="CC13" s="12" t="s">
        <v>81</v>
      </c>
      <c r="CD13" s="12" t="s">
        <v>82</v>
      </c>
      <c r="CE13" s="12" t="s">
        <v>83</v>
      </c>
      <c r="CF13" s="12" t="s">
        <v>84</v>
      </c>
      <c r="CG13" s="12" t="s">
        <v>85</v>
      </c>
      <c r="CH13" s="12" t="s">
        <v>86</v>
      </c>
      <c r="CI13" s="12" t="s">
        <v>87</v>
      </c>
      <c r="CJ13" s="12" t="s">
        <v>88</v>
      </c>
      <c r="CK13" s="12" t="s">
        <v>89</v>
      </c>
      <c r="CL13" s="12" t="s">
        <v>90</v>
      </c>
      <c r="CM13" s="12" t="s">
        <v>91</v>
      </c>
      <c r="CN13" s="12" t="s">
        <v>92</v>
      </c>
      <c r="CO13" s="12" t="s">
        <v>93</v>
      </c>
      <c r="CP13" s="12" t="s">
        <v>94</v>
      </c>
      <c r="CQ13" s="12" t="s">
        <v>95</v>
      </c>
      <c r="CR13" s="12" t="s">
        <v>96</v>
      </c>
      <c r="CS13" s="12" t="s">
        <v>97</v>
      </c>
      <c r="CT13" s="12" t="s">
        <v>98</v>
      </c>
      <c r="CU13" s="12" t="s">
        <v>99</v>
      </c>
      <c r="CV13" s="12" t="s">
        <v>100</v>
      </c>
      <c r="CW13" s="12" t="s">
        <v>101</v>
      </c>
      <c r="CX13" s="12" t="s">
        <v>102</v>
      </c>
      <c r="CY13" s="12" t="s">
        <v>103</v>
      </c>
      <c r="CZ13" s="12" t="s">
        <v>104</v>
      </c>
      <c r="DA13" s="12" t="s">
        <v>105</v>
      </c>
      <c r="DB13" s="12" t="s">
        <v>106</v>
      </c>
      <c r="DC13" s="12" t="s">
        <v>107</v>
      </c>
      <c r="DD13" s="12" t="s">
        <v>108</v>
      </c>
      <c r="DE13" s="12" t="s">
        <v>109</v>
      </c>
      <c r="DF13" s="12" t="s">
        <v>110</v>
      </c>
      <c r="DG13" s="12" t="s">
        <v>111</v>
      </c>
      <c r="DH13" s="12" t="s">
        <v>112</v>
      </c>
      <c r="DI13" s="12" t="s">
        <v>113</v>
      </c>
      <c r="DJ13" s="12" t="s">
        <v>114</v>
      </c>
      <c r="DK13" s="12" t="s">
        <v>115</v>
      </c>
      <c r="DL13" s="12" t="s">
        <v>116</v>
      </c>
      <c r="DM13" s="12" t="s">
        <v>117</v>
      </c>
      <c r="DN13" s="12" t="s">
        <v>118</v>
      </c>
      <c r="DO13" s="12" t="s">
        <v>119</v>
      </c>
      <c r="DP13" s="12" t="s">
        <v>120</v>
      </c>
      <c r="DQ13" s="12" t="s">
        <v>121</v>
      </c>
      <c r="DR13" s="12" t="s">
        <v>122</v>
      </c>
      <c r="DS13" s="12" t="s">
        <v>123</v>
      </c>
      <c r="DT13" s="12" t="s">
        <v>124</v>
      </c>
      <c r="DU13" s="12" t="s">
        <v>125</v>
      </c>
      <c r="DV13" s="12" t="s">
        <v>126</v>
      </c>
      <c r="DW13" s="12" t="s">
        <v>127</v>
      </c>
      <c r="DX13" s="12" t="s">
        <v>128</v>
      </c>
      <c r="DY13" s="12" t="s">
        <v>129</v>
      </c>
      <c r="DZ13" s="12" t="s">
        <v>130</v>
      </c>
      <c r="EA13" s="12" t="s">
        <v>131</v>
      </c>
      <c r="EB13" s="12" t="s">
        <v>132</v>
      </c>
      <c r="EC13" s="12" t="s">
        <v>133</v>
      </c>
      <c r="ED13" s="12" t="s">
        <v>134</v>
      </c>
      <c r="EE13" s="12" t="s">
        <v>140</v>
      </c>
      <c r="EF13" s="12" t="s">
        <v>144</v>
      </c>
      <c r="EG13" s="29" t="s">
        <v>161</v>
      </c>
      <c r="EH13" s="29" t="s">
        <v>162</v>
      </c>
      <c r="EI13" s="29" t="s">
        <v>163</v>
      </c>
    </row>
    <row r="14" spans="1:139" ht="16">
      <c r="A14" s="6">
        <v>10</v>
      </c>
      <c r="B14" s="6">
        <v>96</v>
      </c>
      <c r="C14" s="9">
        <v>1.4499246984096079E-2</v>
      </c>
      <c r="D14" s="9">
        <v>-1.467855149787599E-2</v>
      </c>
      <c r="E14" s="9">
        <v>1.393724540866443E-3</v>
      </c>
      <c r="F14" s="9">
        <v>-5.5959384784458693E-2</v>
      </c>
      <c r="G14" s="9">
        <v>4.1961454393969103E-2</v>
      </c>
      <c r="H14" s="9">
        <v>-9.5992583565995878E-3</v>
      </c>
      <c r="I14" s="9">
        <v>3.4706739734519258E-2</v>
      </c>
      <c r="J14" s="9">
        <v>2.3303620048731329E-2</v>
      </c>
      <c r="K14" s="9">
        <v>9.9649059035327309E-3</v>
      </c>
      <c r="L14" s="2">
        <v>3.1312734757973498E-2</v>
      </c>
      <c r="M14" s="2">
        <v>-1.801965651313555E-2</v>
      </c>
      <c r="N14" s="2">
        <v>3.4703354243462832E-2</v>
      </c>
      <c r="O14" s="1">
        <v>2.6784773524831568E-2</v>
      </c>
      <c r="P14" s="1">
        <v>-2.5432810815710942E-4</v>
      </c>
      <c r="Q14" s="1">
        <v>2.3279776206123419E-2</v>
      </c>
      <c r="R14" s="1">
        <v>2.6379861257194891E-2</v>
      </c>
      <c r="S14" s="1">
        <v>7.0622507683201399E-2</v>
      </c>
      <c r="T14" s="1">
        <v>8.1370905813461694E-2</v>
      </c>
      <c r="U14" s="1">
        <v>9.3007960444258797E-3</v>
      </c>
      <c r="V14" s="1">
        <v>1.211318389535372E-2</v>
      </c>
      <c r="W14" s="1">
        <v>2.841766285816311E-2</v>
      </c>
      <c r="X14" s="1">
        <v>0.10636943785049791</v>
      </c>
      <c r="Y14" s="1">
        <v>4.9026198774376341E-2</v>
      </c>
      <c r="Z14" s="1">
        <v>6.5362758369934756E-2</v>
      </c>
      <c r="AA14" s="1">
        <v>6.9017746122357199E-3</v>
      </c>
      <c r="AB14" s="1">
        <v>1.385325092436758E-2</v>
      </c>
      <c r="AC14" s="1">
        <v>2.6464181995971559E-2</v>
      </c>
      <c r="AD14" s="1">
        <v>2.9116941618712359E-2</v>
      </c>
      <c r="AE14" s="1">
        <v>4.6437716666984027E-2</v>
      </c>
      <c r="AF14" s="1">
        <v>2.223445996469128E-2</v>
      </c>
      <c r="AG14" s="1">
        <v>3.814930420809846E-3</v>
      </c>
      <c r="AH14" s="1">
        <v>1.8802729831562E-2</v>
      </c>
      <c r="AI14" s="1">
        <v>-8.79379249226157E-3</v>
      </c>
      <c r="AJ14" s="1">
        <v>2.005209064290164E-2</v>
      </c>
      <c r="AK14" s="1">
        <v>1.416581559647973E-2</v>
      </c>
      <c r="AL14" s="1">
        <v>4.7013173140121059E-2</v>
      </c>
      <c r="AM14" s="1">
        <v>2.8540927517940219E-2</v>
      </c>
      <c r="AN14" s="1">
        <v>-2.6645628802444581E-2</v>
      </c>
      <c r="AO14" s="1">
        <v>-1.499547084312733E-2</v>
      </c>
      <c r="AP14" s="1">
        <v>3.9724130505228557E-2</v>
      </c>
      <c r="AQ14" s="1">
        <v>9.6935179582823446E-3</v>
      </c>
      <c r="AR14" s="1">
        <v>2.2223025987592172E-2</v>
      </c>
      <c r="AS14" s="1">
        <v>2.326236105582952E-2</v>
      </c>
      <c r="AT14" s="1">
        <v>7.6883760601009071E-2</v>
      </c>
      <c r="AU14" s="1">
        <v>-3.713536440044597E-3</v>
      </c>
      <c r="AV14" s="1">
        <v>4.6910306946673329E-2</v>
      </c>
      <c r="AW14" s="1">
        <v>1.7563423556935329E-2</v>
      </c>
      <c r="AX14" s="1">
        <v>4.0481688149105292E-2</v>
      </c>
      <c r="AY14" s="1">
        <v>4.8156517207972087E-2</v>
      </c>
      <c r="AZ14" s="1">
        <v>2.361455316530061E-2</v>
      </c>
      <c r="BA14" s="1">
        <v>2.6434329877061589E-2</v>
      </c>
      <c r="BB14" s="1">
        <v>1.233972201510253E-3</v>
      </c>
      <c r="BC14" s="1">
        <v>3.7276109431537308E-2</v>
      </c>
      <c r="BD14" s="1">
        <v>8.2215801414614979E-3</v>
      </c>
      <c r="BE14" s="1">
        <v>-3.5368545142518727E-2</v>
      </c>
      <c r="BF14" s="1">
        <v>7.0904934370428871E-2</v>
      </c>
      <c r="BG14" s="1">
        <v>2.8739961775754559E-2</v>
      </c>
      <c r="BH14" s="1">
        <v>8.3923868638347332E-2</v>
      </c>
      <c r="BI14" s="1">
        <v>7.857415131815064E-2</v>
      </c>
      <c r="BJ14" s="1">
        <v>2.4663126175119381E-2</v>
      </c>
      <c r="BK14" s="1">
        <v>-6.5738349503460108E-4</v>
      </c>
      <c r="BL14" s="1">
        <v>5.0616365910587803E-2</v>
      </c>
      <c r="BM14" s="1">
        <v>2.063401850669919E-2</v>
      </c>
      <c r="BN14" s="1">
        <v>1.430525947943481E-2</v>
      </c>
      <c r="BO14" s="1">
        <v>6.1541279385937467E-2</v>
      </c>
      <c r="BP14" s="1">
        <v>3.2994976342917738E-2</v>
      </c>
      <c r="BQ14" s="1">
        <v>3.2266202745726967E-2</v>
      </c>
      <c r="BR14" s="1">
        <v>5.6986674960917361E-2</v>
      </c>
      <c r="BS14" s="1">
        <v>3.2642854888392712E-2</v>
      </c>
      <c r="BT14" s="1">
        <v>1.6364783314425421E-2</v>
      </c>
      <c r="BU14" s="1">
        <v>1.691501722427487E-2</v>
      </c>
      <c r="BV14" s="1">
        <v>3.7969141942813707E-2</v>
      </c>
      <c r="BW14" s="1">
        <v>4.4477003891650213E-2</v>
      </c>
      <c r="BX14" s="1">
        <v>1.4968367403470189E-2</v>
      </c>
      <c r="BY14" s="1">
        <v>8.801131477805163E-2</v>
      </c>
      <c r="BZ14" s="1">
        <v>2.9735991808453821E-2</v>
      </c>
      <c r="CA14" s="1">
        <v>-6.0368843449926102E-4</v>
      </c>
      <c r="CB14" s="1">
        <v>2.7173862793031679E-2</v>
      </c>
      <c r="CC14" s="1">
        <v>-1.612118070707726E-2</v>
      </c>
      <c r="CD14" s="1">
        <v>4.9035807317421562E-2</v>
      </c>
      <c r="CE14" s="1">
        <v>5.0816539029017671E-2</v>
      </c>
      <c r="CF14" s="1">
        <v>1.165806526422826E-2</v>
      </c>
      <c r="CG14" s="1">
        <v>2.065594692542061E-2</v>
      </c>
      <c r="CH14" s="1">
        <v>3.2558163266996912E-2</v>
      </c>
      <c r="CI14" s="1">
        <v>5.9093801834623483E-2</v>
      </c>
      <c r="CJ14" s="1">
        <v>6.4059392195633946E-2</v>
      </c>
      <c r="CK14" s="1">
        <v>6.8992563901843967E-2</v>
      </c>
      <c r="CL14" s="1">
        <v>0.1075148382745849</v>
      </c>
      <c r="CM14" s="1">
        <v>-2.6353950838169271E-2</v>
      </c>
      <c r="CN14" s="1">
        <v>0.1561724078108212</v>
      </c>
      <c r="CO14" s="1">
        <v>5.6181821891254792E-2</v>
      </c>
      <c r="CP14" s="1">
        <v>-1.005022035691888E-3</v>
      </c>
      <c r="CQ14" s="1">
        <v>6.7376584335243211E-2</v>
      </c>
      <c r="CR14" s="1">
        <v>5.5808329124309747E-2</v>
      </c>
      <c r="CS14" s="1">
        <v>2.2256163376022649E-2</v>
      </c>
      <c r="CT14" s="1">
        <v>6.5684091527569044E-2</v>
      </c>
      <c r="CU14" s="1">
        <v>5.1317623947433513E-2</v>
      </c>
      <c r="CV14" s="1">
        <v>3.5483194522230442E-2</v>
      </c>
      <c r="CW14" s="1">
        <v>1.6945478878017211E-2</v>
      </c>
      <c r="CX14" s="1">
        <v>3.0752638267462998E-2</v>
      </c>
      <c r="CY14" s="1">
        <v>-1.6420596247805591E-2</v>
      </c>
      <c r="CZ14" s="1">
        <v>1.232426205991659E-2</v>
      </c>
      <c r="DA14" s="1">
        <v>6.3495726289159379E-2</v>
      </c>
      <c r="DB14" s="1">
        <v>-3.5585282643903413E-2</v>
      </c>
      <c r="DC14" s="1">
        <v>2.4316549691977819E-2</v>
      </c>
      <c r="DD14" s="1">
        <v>6.3793867549636923E-2</v>
      </c>
      <c r="DE14" s="1">
        <v>7.7132099196599524E-2</v>
      </c>
      <c r="DF14" s="1">
        <v>-1.1624319687869001E-2</v>
      </c>
      <c r="DG14" s="1">
        <v>-4.7394421629824303E-2</v>
      </c>
      <c r="DH14" s="1">
        <v>-3.0803155186856539E-2</v>
      </c>
      <c r="DI14" s="1">
        <v>-2.9979254557499689E-2</v>
      </c>
      <c r="DJ14" s="1">
        <v>4.6699544919174343E-2</v>
      </c>
      <c r="DK14" s="1">
        <v>1.071198628580648E-3</v>
      </c>
      <c r="DL14" s="1">
        <v>1.231048349440207E-2</v>
      </c>
      <c r="DM14" s="1">
        <v>5.5814637076361057E-2</v>
      </c>
      <c r="DN14" s="1">
        <v>1.7558182704016521E-2</v>
      </c>
      <c r="DO14" s="1">
        <v>1.9030728267897829E-2</v>
      </c>
      <c r="DP14" s="1">
        <v>6.3520966431002551E-2</v>
      </c>
      <c r="DQ14" s="1">
        <v>2.6687357853319878E-2</v>
      </c>
      <c r="DR14" s="1">
        <v>1.9377367459695542E-2</v>
      </c>
      <c r="DS14" s="1">
        <v>-4.6024279005124763E-2</v>
      </c>
      <c r="DT14" s="1">
        <v>1.0075931124348059E-2</v>
      </c>
      <c r="DU14" s="1">
        <v>4.5787141974467017E-2</v>
      </c>
      <c r="DV14" s="1">
        <v>-1.0771227952457579E-3</v>
      </c>
      <c r="DW14" s="1">
        <v>5.7481428382575007E-2</v>
      </c>
      <c r="DX14" s="1">
        <v>3.7731484286673542E-2</v>
      </c>
      <c r="DY14" s="1">
        <v>-6.2728222094769914E-2</v>
      </c>
      <c r="DZ14" s="1">
        <v>2.845328574485979E-2</v>
      </c>
      <c r="EA14" s="1">
        <v>9.6735160117665475E-2</v>
      </c>
      <c r="EB14" s="1">
        <v>3.1887415032860217E-2</v>
      </c>
      <c r="EC14" s="1">
        <v>2.1682571739028291E-2</v>
      </c>
      <c r="ED14" s="1">
        <v>2.8381040698280308E-2</v>
      </c>
      <c r="EE14" s="1">
        <v>-2.821628026780338E-2</v>
      </c>
      <c r="EF14" s="1">
        <v>-3.1810858274230483E-2</v>
      </c>
      <c r="EG14" s="62">
        <f>AVERAGE(C14:EF14)</f>
        <v>2.6594319267076005E-2</v>
      </c>
      <c r="EH14" s="62">
        <f>STDEV(C14:EF14)</f>
        <v>3.4514344628699449E-2</v>
      </c>
      <c r="EI14" s="62">
        <f>EG14/EH14</f>
        <v>0.77052945820568286</v>
      </c>
    </row>
    <row r="15" spans="1:139" ht="16">
      <c r="A15" s="6">
        <v>20</v>
      </c>
      <c r="B15" s="6">
        <v>48</v>
      </c>
      <c r="C15" s="9">
        <v>-7.4773642018864817E-3</v>
      </c>
      <c r="D15" s="9">
        <v>5.4568599887918484E-3</v>
      </c>
      <c r="E15" s="9">
        <v>5.5236267032863426E-3</v>
      </c>
      <c r="F15" s="9">
        <v>-5.9986526692922967E-2</v>
      </c>
      <c r="G15" s="9">
        <v>3.067107744474367E-2</v>
      </c>
      <c r="H15" s="9">
        <v>-1.7388387027499001E-2</v>
      </c>
      <c r="I15" s="9">
        <v>5.8084020026547459E-2</v>
      </c>
      <c r="J15" s="9">
        <v>3.9856684074938302E-2</v>
      </c>
      <c r="K15" s="9">
        <v>1.5861688991329521E-2</v>
      </c>
      <c r="L15" s="2">
        <v>5.8607348544394422E-2</v>
      </c>
      <c r="M15" s="2">
        <v>-1.8712507749699321E-3</v>
      </c>
      <c r="N15" s="2">
        <v>4.3392417465696768E-2</v>
      </c>
      <c r="O15" s="1">
        <v>2.5220257447385489E-2</v>
      </c>
      <c r="P15" s="1">
        <v>-6.2776476607329431E-3</v>
      </c>
      <c r="Q15" s="1">
        <v>7.0595182804607049E-3</v>
      </c>
      <c r="R15" s="1">
        <v>7.6740477191068242E-3</v>
      </c>
      <c r="S15" s="1">
        <v>9.2380985744164965E-2</v>
      </c>
      <c r="T15" s="1">
        <v>9.8739164028358875E-2</v>
      </c>
      <c r="U15" s="1">
        <v>2.7434259977465431E-2</v>
      </c>
      <c r="V15" s="1">
        <v>2.283075276744766E-2</v>
      </c>
      <c r="W15" s="1">
        <v>3.096890407148287E-2</v>
      </c>
      <c r="X15" s="1">
        <v>0.15038577771880221</v>
      </c>
      <c r="Y15" s="1">
        <v>5.9594261973708852E-2</v>
      </c>
      <c r="Z15" s="1">
        <v>8.9596586699451808E-2</v>
      </c>
      <c r="AA15" s="1">
        <v>4.1796948899226263E-2</v>
      </c>
      <c r="AB15" s="1">
        <v>9.5636683869003355E-3</v>
      </c>
      <c r="AC15" s="1">
        <v>6.2887261527782456E-2</v>
      </c>
      <c r="AD15" s="1">
        <v>4.2610233164312762E-2</v>
      </c>
      <c r="AE15" s="1">
        <v>7.7071416726800693E-2</v>
      </c>
      <c r="AF15" s="1">
        <v>6.5830546235003951E-2</v>
      </c>
      <c r="AG15" s="1">
        <v>-9.9052077270740911E-3</v>
      </c>
      <c r="AH15" s="1">
        <v>5.3916524072466089E-2</v>
      </c>
      <c r="AI15" s="1">
        <v>-1.8646046379966051E-2</v>
      </c>
      <c r="AJ15" s="1">
        <v>1.30357893924533E-2</v>
      </c>
      <c r="AK15" s="1">
        <v>1.231959919073378E-2</v>
      </c>
      <c r="AL15" s="1">
        <v>8.0599425637266991E-2</v>
      </c>
      <c r="AM15" s="1">
        <v>4.1837427989975327E-2</v>
      </c>
      <c r="AN15" s="1">
        <v>-2.9977660519922341E-2</v>
      </c>
      <c r="AO15" s="1">
        <v>1.708846688635377E-3</v>
      </c>
      <c r="AP15" s="1">
        <v>4.6909190456250742E-2</v>
      </c>
      <c r="AQ15" s="1">
        <v>3.2293347395235143E-2</v>
      </c>
      <c r="AR15" s="1">
        <v>2.0848043794723822E-2</v>
      </c>
      <c r="AS15" s="1">
        <v>1.5442130768374701E-2</v>
      </c>
      <c r="AT15" s="1">
        <v>8.8363545729628637E-2</v>
      </c>
      <c r="AU15" s="1">
        <v>1.569541842647252E-2</v>
      </c>
      <c r="AV15" s="1">
        <v>8.3161757297302019E-2</v>
      </c>
      <c r="AW15" s="1">
        <v>5.1912609220117568E-2</v>
      </c>
      <c r="AX15" s="1">
        <v>4.8434224065755059E-2</v>
      </c>
      <c r="AY15" s="1">
        <v>6.8287142652547719E-2</v>
      </c>
      <c r="AZ15" s="1">
        <v>3.1220536093770089E-2</v>
      </c>
      <c r="BA15" s="1">
        <v>2.618827405064264E-2</v>
      </c>
      <c r="BB15" s="1">
        <v>5.4462432294473888E-2</v>
      </c>
      <c r="BC15" s="1">
        <v>4.7291055956566477E-2</v>
      </c>
      <c r="BD15" s="1">
        <v>1.0962313176339699E-2</v>
      </c>
      <c r="BE15" s="1">
        <v>-4.3773789385783149E-2</v>
      </c>
      <c r="BF15" s="1">
        <v>7.1981555380687207E-2</v>
      </c>
      <c r="BG15" s="1">
        <v>5.7825843984624377E-2</v>
      </c>
      <c r="BH15" s="1">
        <v>6.2336407483630292E-2</v>
      </c>
      <c r="BI15" s="1">
        <v>7.033950938804806E-2</v>
      </c>
      <c r="BJ15" s="1">
        <v>2.4266087613108878E-2</v>
      </c>
      <c r="BK15" s="1">
        <v>-8.8783959160913806E-3</v>
      </c>
      <c r="BL15" s="1">
        <v>3.9310511392790522E-2</v>
      </c>
      <c r="BM15" s="1">
        <v>2.4812053730599009E-2</v>
      </c>
      <c r="BN15" s="1">
        <v>8.2262658060564854E-3</v>
      </c>
      <c r="BO15" s="1">
        <v>8.2577836296605422E-2</v>
      </c>
      <c r="BP15" s="1">
        <v>5.7598025288633573E-2</v>
      </c>
      <c r="BQ15" s="1">
        <v>2.4176505327882299E-2</v>
      </c>
      <c r="BR15" s="1">
        <v>8.1428201651234683E-2</v>
      </c>
      <c r="BS15" s="1">
        <v>4.0180514361416918E-2</v>
      </c>
      <c r="BT15" s="1">
        <v>5.2107167580298965E-4</v>
      </c>
      <c r="BU15" s="1">
        <v>1.552716642111396E-2</v>
      </c>
      <c r="BV15" s="1">
        <v>6.9814479287640147E-2</v>
      </c>
      <c r="BW15" s="1">
        <v>7.5714005636679543E-2</v>
      </c>
      <c r="BX15" s="1">
        <v>3.8230427600343793E-2</v>
      </c>
      <c r="BY15" s="1">
        <v>8.8893446723256359E-2</v>
      </c>
      <c r="BZ15" s="1">
        <v>4.9619743013921608E-2</v>
      </c>
      <c r="CA15" s="1">
        <v>-1.1020985390851629E-2</v>
      </c>
      <c r="CB15" s="1">
        <v>2.6017379522694919E-2</v>
      </c>
      <c r="CC15" s="1">
        <v>8.2248093719304166E-3</v>
      </c>
      <c r="CD15" s="1">
        <v>0.10303659262633121</v>
      </c>
      <c r="CE15" s="1">
        <v>7.9437869787202589E-2</v>
      </c>
      <c r="CF15" s="1">
        <v>1.0965174140406349E-2</v>
      </c>
      <c r="CG15" s="1">
        <v>7.0088229580526074E-3</v>
      </c>
      <c r="CH15" s="1">
        <v>6.9980991086459443E-2</v>
      </c>
      <c r="CI15" s="1">
        <v>5.2366556886112088E-2</v>
      </c>
      <c r="CJ15" s="1">
        <v>8.0962159562338792E-2</v>
      </c>
      <c r="CK15" s="1">
        <v>3.471242810937674E-2</v>
      </c>
      <c r="CL15" s="1">
        <v>9.5904701976189416E-2</v>
      </c>
      <c r="CM15" s="1">
        <v>-1.401073477287859E-2</v>
      </c>
      <c r="CN15" s="1">
        <v>0.19173365248419361</v>
      </c>
      <c r="CO15" s="1">
        <v>6.0648235510008419E-2</v>
      </c>
      <c r="CP15" s="1">
        <v>2.0576995740129451E-2</v>
      </c>
      <c r="CQ15" s="1">
        <v>7.3319275809578907E-2</v>
      </c>
      <c r="CR15" s="1">
        <v>6.3694110404249535E-2</v>
      </c>
      <c r="CS15" s="1">
        <v>2.04377478764536E-2</v>
      </c>
      <c r="CT15" s="1">
        <v>9.4868405295442326E-2</v>
      </c>
      <c r="CU15" s="1">
        <v>9.2464007023769598E-2</v>
      </c>
      <c r="CV15" s="1">
        <v>5.457688963215418E-2</v>
      </c>
      <c r="CW15" s="1">
        <v>2.1968141460530409E-2</v>
      </c>
      <c r="CX15" s="1">
        <v>3.0582841479689839E-2</v>
      </c>
      <c r="CY15" s="1">
        <v>-4.1201751884096742E-2</v>
      </c>
      <c r="CZ15" s="1">
        <v>4.8982161600652913E-3</v>
      </c>
      <c r="DA15" s="1">
        <v>9.1763535383060882E-2</v>
      </c>
      <c r="DB15" s="1">
        <v>-6.1356185237271411E-2</v>
      </c>
      <c r="DC15" s="1">
        <v>2.7499309215570811E-2</v>
      </c>
      <c r="DD15" s="1">
        <v>8.380604879211169E-2</v>
      </c>
      <c r="DE15" s="1">
        <v>5.8686433124140028E-2</v>
      </c>
      <c r="DF15" s="1">
        <v>-1.727163202818233E-2</v>
      </c>
      <c r="DG15" s="1">
        <v>-7.1335760214919608E-2</v>
      </c>
      <c r="DH15" s="1">
        <v>-3.8806516940288249E-2</v>
      </c>
      <c r="DI15" s="1">
        <v>-2.957041963442816E-2</v>
      </c>
      <c r="DJ15" s="1">
        <v>6.2055444301176668E-2</v>
      </c>
      <c r="DK15" s="1">
        <v>-2.340089189559031E-2</v>
      </c>
      <c r="DL15" s="1">
        <v>1.523210973566882E-2</v>
      </c>
      <c r="DM15" s="1">
        <v>5.0544010345780092E-2</v>
      </c>
      <c r="DN15" s="1">
        <v>3.4460787087784238E-2</v>
      </c>
      <c r="DO15" s="1">
        <v>4.4325139422202869E-2</v>
      </c>
      <c r="DP15" s="1">
        <v>7.1385517092726836E-2</v>
      </c>
      <c r="DQ15" s="1">
        <v>1.9359187229736188E-2</v>
      </c>
      <c r="DR15" s="1">
        <v>2.443410483172985E-2</v>
      </c>
      <c r="DS15" s="1">
        <v>-2.991519389132713E-2</v>
      </c>
      <c r="DT15" s="1">
        <v>-1.9573841233267289E-2</v>
      </c>
      <c r="DU15" s="1">
        <v>2.369885378120147E-2</v>
      </c>
      <c r="DV15" s="1">
        <v>-1.868677602333235E-3</v>
      </c>
      <c r="DW15" s="1">
        <v>6.8211974643914694E-2</v>
      </c>
      <c r="DX15" s="1">
        <v>4.8594748227518303E-2</v>
      </c>
      <c r="DY15" s="1">
        <v>-9.5046248038774331E-3</v>
      </c>
      <c r="DZ15" s="1">
        <v>4.2618816770670781E-2</v>
      </c>
      <c r="EA15" s="1">
        <v>0.13635654829712329</v>
      </c>
      <c r="EB15" s="1">
        <v>5.8059596313331067E-2</v>
      </c>
      <c r="EC15" s="1">
        <v>1.47594409868422E-3</v>
      </c>
      <c r="ED15" s="1">
        <v>1.228506476574304E-2</v>
      </c>
      <c r="EE15" s="1">
        <v>-3.58674799008201E-2</v>
      </c>
      <c r="EF15" s="1">
        <v>-4.7879265492308178E-2</v>
      </c>
      <c r="EG15" s="62">
        <f t="shared" ref="EG15:EG27" si="0">AVERAGE(C15:EF15)</f>
        <v>3.4431645881905587E-2</v>
      </c>
      <c r="EH15" s="30">
        <f t="shared" ref="EH15:EH27" si="1">STDEV(C15:EF15)</f>
        <v>4.2778993671012268E-2</v>
      </c>
      <c r="EI15" s="62">
        <f t="shared" ref="EI15:EI27" si="2">EG15/EH15</f>
        <v>0.80487274073576498</v>
      </c>
    </row>
    <row r="16" spans="1:139" ht="16">
      <c r="A16" s="6">
        <v>50</v>
      </c>
      <c r="B16" s="6">
        <v>19</v>
      </c>
      <c r="C16" s="9">
        <v>-3.3228977675766193E-2</v>
      </c>
      <c r="D16" s="9">
        <v>0.14164364875262569</v>
      </c>
      <c r="E16" s="9">
        <v>4.7920746013269233E-2</v>
      </c>
      <c r="F16" s="9">
        <v>-6.0341904906032563E-2</v>
      </c>
      <c r="G16" s="9">
        <v>2.159907404179276E-3</v>
      </c>
      <c r="H16" s="9">
        <v>1.150826086212358E-2</v>
      </c>
      <c r="I16" s="9">
        <v>2.9145887999726811E-2</v>
      </c>
      <c r="J16" s="9">
        <v>7.2074427620435116E-2</v>
      </c>
      <c r="K16" s="9">
        <v>3.3031716948784401E-2</v>
      </c>
      <c r="L16" s="2">
        <v>0.1103574307225705</v>
      </c>
      <c r="M16" s="2">
        <v>-3.2524613441144247E-2</v>
      </c>
      <c r="N16" s="2">
        <v>5.7369426657022049E-2</v>
      </c>
      <c r="O16" s="1">
        <v>1.0220681250603599E-2</v>
      </c>
      <c r="P16" s="1">
        <v>6.5414209581504011E-3</v>
      </c>
      <c r="Q16" s="1">
        <v>4.7138773697644618E-2</v>
      </c>
      <c r="R16" s="1">
        <v>2.3861424233528331E-2</v>
      </c>
      <c r="S16" s="1">
        <v>0.1017947274093632</v>
      </c>
      <c r="T16" s="1">
        <v>0.14378684519624929</v>
      </c>
      <c r="U16" s="1">
        <v>3.5183022279848063E-2</v>
      </c>
      <c r="V16" s="1">
        <v>5.9177758336658857E-2</v>
      </c>
      <c r="W16" s="1">
        <v>4.779500273352006E-2</v>
      </c>
      <c r="X16" s="1">
        <v>0.21811053511687881</v>
      </c>
      <c r="Y16" s="1">
        <v>2.995643227259016E-2</v>
      </c>
      <c r="Z16" s="1">
        <v>0.145743857962021</v>
      </c>
      <c r="AA16" s="1">
        <v>0.1070834594347648</v>
      </c>
      <c r="AB16" s="1">
        <v>3.4264466517791081E-2</v>
      </c>
      <c r="AC16" s="1">
        <v>6.8321334190784538E-2</v>
      </c>
      <c r="AD16" s="1">
        <v>3.8219856267594478E-2</v>
      </c>
      <c r="AE16" s="1">
        <v>0.11683691983956609</v>
      </c>
      <c r="AF16" s="1">
        <v>0.1565334733582435</v>
      </c>
      <c r="AG16" s="1">
        <v>-2.532929501095306E-2</v>
      </c>
      <c r="AH16" s="1">
        <v>7.9251789282674873E-2</v>
      </c>
      <c r="AI16" s="1">
        <v>3.5462643898611909E-2</v>
      </c>
      <c r="AJ16" s="1">
        <v>2.6059549347814959E-2</v>
      </c>
      <c r="AK16" s="1">
        <v>-3.7561767147497572E-3</v>
      </c>
      <c r="AL16" s="1">
        <v>0.10194434054772621</v>
      </c>
      <c r="AM16" s="1">
        <v>2.8014228646212651E-2</v>
      </c>
      <c r="AN16" s="1">
        <v>-1.9132523225286639E-2</v>
      </c>
      <c r="AO16" s="1">
        <v>3.8044352542061337E-2</v>
      </c>
      <c r="AP16" s="1">
        <v>7.7212592104824937E-2</v>
      </c>
      <c r="AQ16" s="1">
        <v>4.95195385045228E-2</v>
      </c>
      <c r="AR16" s="1">
        <v>7.5826916674388654E-3</v>
      </c>
      <c r="AS16" s="1">
        <v>2.7183251285118702E-2</v>
      </c>
      <c r="AT16" s="1">
        <v>0.1271366623675747</v>
      </c>
      <c r="AU16" s="1">
        <v>5.7421613114133872E-2</v>
      </c>
      <c r="AV16" s="1">
        <v>2.267549452821925E-2</v>
      </c>
      <c r="AW16" s="1">
        <v>0.12471052744714491</v>
      </c>
      <c r="AX16" s="1">
        <v>5.3702717337575562E-2</v>
      </c>
      <c r="AY16" s="1">
        <v>0.1432485149460308</v>
      </c>
      <c r="AZ16" s="1">
        <v>6.1070580481239263E-2</v>
      </c>
      <c r="BA16" s="1">
        <v>6.688983156284864E-2</v>
      </c>
      <c r="BB16" s="1">
        <v>0.1399818913615056</v>
      </c>
      <c r="BC16" s="1">
        <v>3.4202302029718239E-2</v>
      </c>
      <c r="BD16" s="1">
        <v>5.4089652686273207E-2</v>
      </c>
      <c r="BE16" s="1">
        <v>-7.0081770149328954E-2</v>
      </c>
      <c r="BF16" s="1">
        <v>0.1101725310759458</v>
      </c>
      <c r="BG16" s="1">
        <v>0.1004747755448602</v>
      </c>
      <c r="BH16" s="1">
        <v>7.2087164226492639E-2</v>
      </c>
      <c r="BI16" s="1">
        <v>4.2830066772558323E-2</v>
      </c>
      <c r="BJ16" s="1">
        <v>6.8604195602302701E-2</v>
      </c>
      <c r="BK16" s="1">
        <v>-3.3691419870768582E-2</v>
      </c>
      <c r="BL16" s="1">
        <v>4.2496618170721999E-2</v>
      </c>
      <c r="BM16" s="1">
        <v>1.7130280440688161E-2</v>
      </c>
      <c r="BN16" s="1">
        <v>8.27926832208149E-2</v>
      </c>
      <c r="BO16" s="1">
        <v>2.0140931042434401E-2</v>
      </c>
      <c r="BP16" s="1">
        <v>7.0319344371876077E-2</v>
      </c>
      <c r="BQ16" s="1">
        <v>1.405509542141364E-2</v>
      </c>
      <c r="BR16" s="1">
        <v>8.6828184595889091E-2</v>
      </c>
      <c r="BS16" s="1">
        <v>3.033272398677064E-2</v>
      </c>
      <c r="BT16" s="1">
        <v>-3.0726476125764419E-2</v>
      </c>
      <c r="BU16" s="1">
        <v>1.800251373238208E-2</v>
      </c>
      <c r="BV16" s="1">
        <v>0.10176926059884341</v>
      </c>
      <c r="BW16" s="1">
        <v>0.13089750855718529</v>
      </c>
      <c r="BX16" s="1">
        <v>6.8591435252763649E-2</v>
      </c>
      <c r="BY16" s="1">
        <v>6.6609972464382522E-2</v>
      </c>
      <c r="BZ16" s="1">
        <v>2.655840513080376E-2</v>
      </c>
      <c r="CA16" s="1">
        <v>-9.6516324581383234E-2</v>
      </c>
      <c r="CB16" s="1">
        <v>5.947706029353985E-2</v>
      </c>
      <c r="CC16" s="1">
        <v>2.8975681486368692E-2</v>
      </c>
      <c r="CD16" s="1">
        <v>9.6587738692372277E-2</v>
      </c>
      <c r="CE16" s="1">
        <v>0.1143531086270947</v>
      </c>
      <c r="CF16" s="1">
        <v>2.073529831987958E-2</v>
      </c>
      <c r="CG16" s="1">
        <v>-3.8548459664088462E-3</v>
      </c>
      <c r="CH16" s="1">
        <v>2.517840120176966E-2</v>
      </c>
      <c r="CI16" s="1">
        <v>6.4628960587314571E-2</v>
      </c>
      <c r="CJ16" s="1">
        <v>0.12531710259410231</v>
      </c>
      <c r="CK16" s="1">
        <v>5.0262758695945597E-2</v>
      </c>
      <c r="CL16" s="1">
        <v>2.0066941364265942E-2</v>
      </c>
      <c r="CM16" s="1">
        <v>5.0971068777472964E-3</v>
      </c>
      <c r="CN16" s="1">
        <v>0.2178744160266744</v>
      </c>
      <c r="CO16" s="1">
        <v>0.1186599854193373</v>
      </c>
      <c r="CP16" s="1">
        <v>9.3659357741041865E-2</v>
      </c>
      <c r="CQ16" s="1">
        <v>9.2452779160133169E-2</v>
      </c>
      <c r="CR16" s="1">
        <v>0.1255896364037235</v>
      </c>
      <c r="CS16" s="1">
        <v>-2.1811516403124839E-2</v>
      </c>
      <c r="CT16" s="1">
        <v>9.9677083852552695E-2</v>
      </c>
      <c r="CU16" s="1">
        <v>0.12194388688342769</v>
      </c>
      <c r="CV16" s="1">
        <v>5.8675077055290813E-2</v>
      </c>
      <c r="CW16" s="1">
        <v>-8.6733492579689625E-3</v>
      </c>
      <c r="CX16" s="1">
        <v>9.0639227349923676E-2</v>
      </c>
      <c r="CY16" s="1">
        <v>-9.6361130127283895E-2</v>
      </c>
      <c r="CZ16" s="1">
        <v>1.030139965842336E-2</v>
      </c>
      <c r="DA16" s="1">
        <v>9.0255186182485347E-2</v>
      </c>
      <c r="DB16" s="1">
        <v>-9.0239013556801195E-2</v>
      </c>
      <c r="DC16" s="1">
        <v>1.958707875190693E-2</v>
      </c>
      <c r="DD16" s="1">
        <v>9.5026376422367137E-2</v>
      </c>
      <c r="DE16" s="1">
        <v>2.9401324059843251E-2</v>
      </c>
      <c r="DF16" s="1">
        <v>-6.4180407871054584E-2</v>
      </c>
      <c r="DG16" s="1">
        <v>-8.7324805758533047E-2</v>
      </c>
      <c r="DH16" s="1">
        <v>-8.4132403676702855E-3</v>
      </c>
      <c r="DI16" s="1">
        <v>-4.0659134635571623E-2</v>
      </c>
      <c r="DJ16" s="1">
        <v>7.5919774861546802E-2</v>
      </c>
      <c r="DK16" s="1">
        <v>-7.7413284290136219E-2</v>
      </c>
      <c r="DL16" s="1">
        <v>4.8888732826866087E-2</v>
      </c>
      <c r="DM16" s="1">
        <v>-1.0041382403377579E-2</v>
      </c>
      <c r="DN16" s="1">
        <v>1.9303839954376598E-2</v>
      </c>
      <c r="DO16" s="1">
        <v>7.0288548944531598E-2</v>
      </c>
      <c r="DP16" s="1">
        <v>6.6129097011168425E-2</v>
      </c>
      <c r="DQ16" s="1">
        <v>4.6225076596043371E-2</v>
      </c>
      <c r="DR16" s="1">
        <v>-1.416633297322486E-2</v>
      </c>
      <c r="DS16" s="1">
        <v>-8.9437754388967172E-2</v>
      </c>
      <c r="DT16" s="1">
        <v>3.2148242638743357E-2</v>
      </c>
      <c r="DU16" s="1">
        <v>0.11891758656757311</v>
      </c>
      <c r="DV16" s="1">
        <v>-1.055302289104675E-3</v>
      </c>
      <c r="DW16" s="1">
        <v>7.8666707024103569E-2</v>
      </c>
      <c r="DX16" s="1">
        <v>6.5291075928872427E-2</v>
      </c>
      <c r="DY16" s="1">
        <v>-4.7660986602341193E-2</v>
      </c>
      <c r="DZ16" s="1">
        <v>1.7729961760733319E-2</v>
      </c>
      <c r="EA16" s="1">
        <v>0.19235015927739299</v>
      </c>
      <c r="EB16" s="1">
        <v>8.8158781681692097E-2</v>
      </c>
      <c r="EC16" s="1">
        <v>-6.8136937310102758E-3</v>
      </c>
      <c r="ED16" s="1">
        <v>3.2621900485425237E-2</v>
      </c>
      <c r="EE16" s="1">
        <v>-4.2505739301358238E-2</v>
      </c>
      <c r="EF16" s="1">
        <v>-8.4951384476466579E-2</v>
      </c>
      <c r="EG16" s="62">
        <f t="shared" si="0"/>
        <v>4.5134698306716084E-2</v>
      </c>
      <c r="EH16" s="30">
        <f t="shared" si="1"/>
        <v>6.2979483924711699E-2</v>
      </c>
      <c r="EI16" s="62">
        <f t="shared" si="2"/>
        <v>0.71665716347679165</v>
      </c>
    </row>
    <row r="17" spans="1:139" ht="16">
      <c r="A17" s="6">
        <v>100</v>
      </c>
      <c r="B17" s="6">
        <v>10</v>
      </c>
      <c r="C17" s="9">
        <v>-3.6350225217569643E-2</v>
      </c>
      <c r="D17" s="9">
        <v>0.27303487269562599</v>
      </c>
      <c r="E17" s="9">
        <v>9.5344605470970442E-2</v>
      </c>
      <c r="F17" s="9">
        <v>3.4921436556697362E-2</v>
      </c>
      <c r="G17" s="9">
        <v>9.6089997898837584E-2</v>
      </c>
      <c r="H17" s="9">
        <v>1.2437260581050979E-3</v>
      </c>
      <c r="I17" s="9">
        <v>2.296976075655088E-2</v>
      </c>
      <c r="J17" s="9">
        <v>1.9207592167383349E-2</v>
      </c>
      <c r="K17" s="9">
        <v>4.4247227061697848E-3</v>
      </c>
      <c r="L17" s="2">
        <v>2.46838370368683E-2</v>
      </c>
      <c r="M17" s="2">
        <v>6.7675427893991336E-2</v>
      </c>
      <c r="N17" s="2">
        <v>0.10979619442513371</v>
      </c>
      <c r="O17" s="1">
        <v>-5.3304249958189602E-2</v>
      </c>
      <c r="P17" s="1">
        <v>2.1896569845224052E-2</v>
      </c>
      <c r="Q17" s="1">
        <v>6.1471869493003747E-2</v>
      </c>
      <c r="R17" s="1">
        <v>1.232337052385705E-2</v>
      </c>
      <c r="S17" s="1">
        <v>0.14332081948029771</v>
      </c>
      <c r="T17" s="1">
        <v>0.19849228635955071</v>
      </c>
      <c r="U17" s="1">
        <v>3.5213137452692327E-2</v>
      </c>
      <c r="V17" s="1">
        <v>0.18766619244425281</v>
      </c>
      <c r="W17" s="1">
        <v>5.0671424244990597E-2</v>
      </c>
      <c r="X17" s="1">
        <v>0.25186325128855802</v>
      </c>
      <c r="Y17" s="1">
        <v>9.3065988813691193E-3</v>
      </c>
      <c r="Z17" s="1">
        <v>8.5222204686674741E-2</v>
      </c>
      <c r="AA17" s="1">
        <v>0.113345209732513</v>
      </c>
      <c r="AB17" s="1">
        <v>3.3221015839858883E-2</v>
      </c>
      <c r="AC17" s="1">
        <v>0.15912435400720079</v>
      </c>
      <c r="AD17" s="1">
        <v>-7.728212132685916E-3</v>
      </c>
      <c r="AE17" s="1">
        <v>0.21179264304727199</v>
      </c>
      <c r="AF17" s="1">
        <v>0.20342608166953571</v>
      </c>
      <c r="AG17" s="1">
        <v>-4.4324544215075819E-2</v>
      </c>
      <c r="AH17" s="1">
        <v>0.1650398016901814</v>
      </c>
      <c r="AI17" s="1">
        <v>2.4849257132530979E-2</v>
      </c>
      <c r="AJ17" s="1">
        <v>4.9967108754486698E-2</v>
      </c>
      <c r="AK17" s="1">
        <v>1.9606473120677248E-3</v>
      </c>
      <c r="AL17" s="1">
        <v>8.9783850361381895E-2</v>
      </c>
      <c r="AM17" s="1">
        <v>-2.1048665009479162E-2</v>
      </c>
      <c r="AN17" s="1">
        <v>-3.550046026520183E-2</v>
      </c>
      <c r="AO17" s="1">
        <v>5.1384520239967417E-2</v>
      </c>
      <c r="AP17" s="1">
        <v>7.5074159484203984E-2</v>
      </c>
      <c r="AQ17" s="1">
        <v>0.12618228653927241</v>
      </c>
      <c r="AR17" s="1">
        <v>1.773382575923934E-2</v>
      </c>
      <c r="AS17" s="1">
        <v>7.9962980787619611E-4</v>
      </c>
      <c r="AT17" s="1">
        <v>0.11866220652941591</v>
      </c>
      <c r="AU17" s="1">
        <v>7.7174077249961781E-2</v>
      </c>
      <c r="AV17" s="1">
        <v>-4.4632515675899348E-3</v>
      </c>
      <c r="AW17" s="1">
        <v>0.18936077066892121</v>
      </c>
      <c r="AX17" s="1">
        <v>0.1131763688864499</v>
      </c>
      <c r="AY17" s="1">
        <v>0.20000626980510719</v>
      </c>
      <c r="AZ17" s="1">
        <v>6.7846329118650406E-2</v>
      </c>
      <c r="BA17" s="1">
        <v>-1.5151738493797209E-2</v>
      </c>
      <c r="BB17" s="1">
        <v>8.466479166840081E-2</v>
      </c>
      <c r="BC17" s="1">
        <v>5.9072808976257628E-2</v>
      </c>
      <c r="BD17" s="1">
        <v>9.6474811402217225E-3</v>
      </c>
      <c r="BE17" s="1">
        <v>-4.1397970696908121E-2</v>
      </c>
      <c r="BF17" s="1">
        <v>0.1272523121191925</v>
      </c>
      <c r="BG17" s="1">
        <v>0.12916989067904619</v>
      </c>
      <c r="BH17" s="1">
        <v>6.8436267604432971E-2</v>
      </c>
      <c r="BI17" s="1">
        <v>0.13535398218118319</v>
      </c>
      <c r="BJ17" s="1">
        <v>0.13011025503616941</v>
      </c>
      <c r="BK17" s="1">
        <v>4.5604932300413438E-2</v>
      </c>
      <c r="BL17" s="1">
        <v>2.11126667000688E-2</v>
      </c>
      <c r="BM17" s="1">
        <v>1.1126533396229011E-2</v>
      </c>
      <c r="BN17" s="1">
        <v>0.10130496792474041</v>
      </c>
      <c r="BO17" s="1">
        <v>2.8938090794333439E-2</v>
      </c>
      <c r="BP17" s="1">
        <v>0.1382756322826329</v>
      </c>
      <c r="BQ17" s="1">
        <v>-5.8076926467476864E-3</v>
      </c>
      <c r="BR17" s="1">
        <v>0.13180032776225159</v>
      </c>
      <c r="BS17" s="1">
        <v>1.1865910908611719E-2</v>
      </c>
      <c r="BT17" s="1">
        <v>-5.9850936091850729E-2</v>
      </c>
      <c r="BU17" s="1">
        <v>-1.514008239886341E-2</v>
      </c>
      <c r="BV17" s="1">
        <v>0.16459384726439391</v>
      </c>
      <c r="BW17" s="1">
        <v>0.29887898957592779</v>
      </c>
      <c r="BX17" s="1">
        <v>6.5865195931870332E-2</v>
      </c>
      <c r="BY17" s="1">
        <v>1.735896241721183E-2</v>
      </c>
      <c r="BZ17" s="1">
        <v>1.2772746408824779E-2</v>
      </c>
      <c r="CA17" s="1">
        <v>-9.2920533808793823E-2</v>
      </c>
      <c r="CB17" s="1">
        <v>9.268410552323747E-2</v>
      </c>
      <c r="CC17" s="1">
        <v>-3.5358543172516708E-2</v>
      </c>
      <c r="CD17" s="1">
        <v>-9.8917645152045292E-3</v>
      </c>
      <c r="CE17" s="1">
        <v>9.7490745145434682E-2</v>
      </c>
      <c r="CF17" s="1">
        <v>4.5210670660176318E-2</v>
      </c>
      <c r="CG17" s="1">
        <v>2.451194808216035E-2</v>
      </c>
      <c r="CH17" s="1">
        <v>3.5292236273181177E-2</v>
      </c>
      <c r="CI17" s="1">
        <v>9.5587797892597665E-2</v>
      </c>
      <c r="CJ17" s="1">
        <v>5.6967558937002713E-2</v>
      </c>
      <c r="CK17" s="1">
        <v>2.145722091248117E-2</v>
      </c>
      <c r="CL17" s="1">
        <v>6.502653643932553E-2</v>
      </c>
      <c r="CM17" s="1">
        <v>4.662653579259865E-2</v>
      </c>
      <c r="CN17" s="1">
        <v>0.30775852693825723</v>
      </c>
      <c r="CO17" s="1">
        <v>0.19945622381826589</v>
      </c>
      <c r="CP17" s="1">
        <v>0.13009874767373969</v>
      </c>
      <c r="CQ17" s="1">
        <v>6.7089015743962532E-2</v>
      </c>
      <c r="CR17" s="1">
        <v>0.13647811444388511</v>
      </c>
      <c r="CS17" s="1">
        <v>-5.9912530200233308E-2</v>
      </c>
      <c r="CT17" s="1">
        <v>0.16873606627298221</v>
      </c>
      <c r="CU17" s="1">
        <v>0.1842701190485436</v>
      </c>
      <c r="CV17" s="1">
        <v>8.464184309113934E-2</v>
      </c>
      <c r="CW17" s="1">
        <v>4.1982760628530819E-2</v>
      </c>
      <c r="CX17" s="1">
        <v>0.15238777889156799</v>
      </c>
      <c r="CY17" s="1">
        <v>-9.2947904335357948E-2</v>
      </c>
      <c r="CZ17" s="1">
        <v>2.3763335140482119E-2</v>
      </c>
      <c r="DA17" s="1">
        <v>0.1626710477427829</v>
      </c>
      <c r="DB17" s="1">
        <v>-0.20966340207921569</v>
      </c>
      <c r="DC17" s="1">
        <v>8.4746934354120118E-2</v>
      </c>
      <c r="DD17" s="1">
        <v>0.1001987504485114</v>
      </c>
      <c r="DE17" s="1">
        <v>-2.2313539019256479E-2</v>
      </c>
      <c r="DF17" s="1">
        <v>6.0545262726041937E-3</v>
      </c>
      <c r="DG17" s="1">
        <v>-0.11309156284035971</v>
      </c>
      <c r="DH17" s="1">
        <v>9.3841476708658722E-4</v>
      </c>
      <c r="DI17" s="1">
        <v>-5.4108318657130297E-2</v>
      </c>
      <c r="DJ17" s="1">
        <v>5.0118008605961967E-2</v>
      </c>
      <c r="DK17" s="1">
        <v>-7.2188597805797533E-2</v>
      </c>
      <c r="DL17" s="1">
        <v>7.5327611348568552E-2</v>
      </c>
      <c r="DM17" s="1">
        <v>-5.2317813240770963E-2</v>
      </c>
      <c r="DN17" s="1">
        <v>-4.6964690162812017E-2</v>
      </c>
      <c r="DO17" s="1">
        <v>3.4104415749097068E-2</v>
      </c>
      <c r="DP17" s="1">
        <v>0.14544193115157711</v>
      </c>
      <c r="DQ17" s="1">
        <v>4.1916519321548502E-2</v>
      </c>
      <c r="DR17" s="1">
        <v>-3.6174917563987538E-2</v>
      </c>
      <c r="DS17" s="1">
        <v>-9.5715424587646189E-3</v>
      </c>
      <c r="DT17" s="1">
        <v>4.9159564832050147E-2</v>
      </c>
      <c r="DU17" s="1">
        <v>0.18864064490238791</v>
      </c>
      <c r="DV17" s="1">
        <v>1.6190145421325661E-2</v>
      </c>
      <c r="DW17" s="1">
        <v>5.9003667251552691E-2</v>
      </c>
      <c r="DX17" s="1">
        <v>0.11240375283143531</v>
      </c>
      <c r="DY17" s="1">
        <v>8.3673634692538773E-2</v>
      </c>
      <c r="DZ17" s="1">
        <v>-1.5664545698907181E-2</v>
      </c>
      <c r="EA17" s="1">
        <v>0.14525279100574751</v>
      </c>
      <c r="EB17" s="1">
        <v>7.5294390068854106E-2</v>
      </c>
      <c r="EC17" s="1">
        <v>1.41482685682065E-2</v>
      </c>
      <c r="ED17" s="1">
        <v>5.9257877699051567E-2</v>
      </c>
      <c r="EE17" s="1">
        <v>-4.9344179940159598E-2</v>
      </c>
      <c r="EF17" s="1">
        <v>-0.15968343912296651</v>
      </c>
      <c r="EG17" s="62">
        <f t="shared" si="0"/>
        <v>5.8207700269728949E-2</v>
      </c>
      <c r="EH17" s="30">
        <f t="shared" si="1"/>
        <v>8.6879924539072201E-2</v>
      </c>
      <c r="EI17" s="62">
        <f t="shared" si="2"/>
        <v>0.66997871577974732</v>
      </c>
    </row>
    <row r="18" spans="1:139" ht="16">
      <c r="A18" s="6">
        <v>107</v>
      </c>
      <c r="B18" s="6">
        <v>9</v>
      </c>
      <c r="C18" s="9">
        <v>-3.9435389831589437E-2</v>
      </c>
      <c r="D18" s="9">
        <v>0.23433797695998909</v>
      </c>
      <c r="E18" s="9">
        <v>8.6704171428553314E-2</v>
      </c>
      <c r="F18" s="9">
        <v>7.871547190433098E-2</v>
      </c>
      <c r="G18" s="9">
        <v>0.109031149567638</v>
      </c>
      <c r="H18" s="9">
        <v>6.4934945682304252E-4</v>
      </c>
      <c r="I18" s="9">
        <v>2.7240273275590431E-2</v>
      </c>
      <c r="J18" s="9">
        <v>4.1406976112723218E-2</v>
      </c>
      <c r="K18" s="9">
        <v>-1.9554681566525959E-2</v>
      </c>
      <c r="L18" s="2">
        <v>3.9397823732206932E-3</v>
      </c>
      <c r="M18" s="2">
        <v>4.9392184987669167E-2</v>
      </c>
      <c r="N18" s="2">
        <v>0.1202424982791967</v>
      </c>
      <c r="O18" s="1">
        <v>-6.6199355793817846E-2</v>
      </c>
      <c r="P18" s="1">
        <v>8.1881795143319731E-3</v>
      </c>
      <c r="Q18" s="1">
        <v>7.6299132728347402E-2</v>
      </c>
      <c r="R18" s="1">
        <v>-9.600969226025019E-4</v>
      </c>
      <c r="S18" s="1">
        <v>0.14543681595694299</v>
      </c>
      <c r="T18" s="1">
        <v>0.224559799495058</v>
      </c>
      <c r="U18" s="1">
        <v>2.7648234072830669E-2</v>
      </c>
      <c r="V18" s="1">
        <v>0.22655835455312609</v>
      </c>
      <c r="W18" s="1">
        <v>0.1016313571311754</v>
      </c>
      <c r="X18" s="1">
        <v>0.27113095815733512</v>
      </c>
      <c r="Y18" s="1">
        <v>7.237298417993536E-2</v>
      </c>
      <c r="Z18" s="1">
        <v>9.5220855002759813E-2</v>
      </c>
      <c r="AA18" s="1">
        <v>0.12880750461640081</v>
      </c>
      <c r="AB18" s="1">
        <v>2.696186977636628E-2</v>
      </c>
      <c r="AC18" s="1">
        <v>0.14261636205658451</v>
      </c>
      <c r="AD18" s="1">
        <v>-4.3150504353961366E-3</v>
      </c>
      <c r="AE18" s="1">
        <v>0.20962824117691051</v>
      </c>
      <c r="AF18" s="1">
        <v>0.20694873849648571</v>
      </c>
      <c r="AG18" s="1">
        <v>-4.377615973577241E-2</v>
      </c>
      <c r="AH18" s="1">
        <v>0.17727619038042061</v>
      </c>
      <c r="AI18" s="1">
        <v>3.3383255671647287E-2</v>
      </c>
      <c r="AJ18" s="1">
        <v>5.5558243575850028E-2</v>
      </c>
      <c r="AK18" s="1">
        <v>2.1222531996144579E-2</v>
      </c>
      <c r="AL18" s="1">
        <v>8.0221329797241683E-2</v>
      </c>
      <c r="AM18" s="1">
        <v>-2.8978861064543681E-2</v>
      </c>
      <c r="AN18" s="1">
        <v>-2.2032517942514099E-2</v>
      </c>
      <c r="AO18" s="1">
        <v>4.1090153361741238E-2</v>
      </c>
      <c r="AP18" s="1">
        <v>5.1133118117231098E-2</v>
      </c>
      <c r="AQ18" s="1">
        <v>0.12639411488258351</v>
      </c>
      <c r="AR18" s="1">
        <v>3.4371979060270917E-2</v>
      </c>
      <c r="AS18" s="1">
        <v>-8.2851231130728932E-3</v>
      </c>
      <c r="AT18" s="1">
        <v>0.13151109754337109</v>
      </c>
      <c r="AU18" s="1">
        <v>8.2090271843001911E-2</v>
      </c>
      <c r="AV18" s="1">
        <v>-2.1221234553224E-2</v>
      </c>
      <c r="AW18" s="1">
        <v>0.21589448291222979</v>
      </c>
      <c r="AX18" s="1">
        <v>2.608009384067083E-2</v>
      </c>
      <c r="AY18" s="1">
        <v>0.22593248855830589</v>
      </c>
      <c r="AZ18" s="1">
        <v>8.8150181520572635E-2</v>
      </c>
      <c r="BA18" s="1">
        <v>3.3911561984698552E-2</v>
      </c>
      <c r="BB18" s="1">
        <v>0.11876170274132269</v>
      </c>
      <c r="BC18" s="1">
        <v>6.951714654568697E-2</v>
      </c>
      <c r="BD18" s="1">
        <v>-1.6936217924359391E-2</v>
      </c>
      <c r="BE18" s="1">
        <v>-6.119764392645928E-2</v>
      </c>
      <c r="BF18" s="1">
        <v>0.1586923508972026</v>
      </c>
      <c r="BG18" s="1">
        <v>0.1207788909262187</v>
      </c>
      <c r="BH18" s="1">
        <v>8.1620837513683459E-2</v>
      </c>
      <c r="BI18" s="1">
        <v>0.1223671255273429</v>
      </c>
      <c r="BJ18" s="1">
        <v>9.6566803525538036E-2</v>
      </c>
      <c r="BK18" s="1">
        <v>5.1371624526011413E-2</v>
      </c>
      <c r="BL18" s="1">
        <v>9.8151684675086698E-3</v>
      </c>
      <c r="BM18" s="1">
        <v>-1.4382606788316331E-3</v>
      </c>
      <c r="BN18" s="1">
        <v>0.1012639033842422</v>
      </c>
      <c r="BO18" s="1">
        <v>2.9487266931902061E-2</v>
      </c>
      <c r="BP18" s="1">
        <v>0.12596295439639271</v>
      </c>
      <c r="BQ18" s="1">
        <v>2.265208765356554E-2</v>
      </c>
      <c r="BR18" s="1">
        <v>0.14752202810068329</v>
      </c>
      <c r="BS18" s="1">
        <v>3.2006987192883168E-2</v>
      </c>
      <c r="BT18" s="1">
        <v>-4.6660882493518303E-2</v>
      </c>
      <c r="BU18" s="1">
        <v>-1.5064577536601859E-2</v>
      </c>
      <c r="BV18" s="1">
        <v>0.17428475975596619</v>
      </c>
      <c r="BW18" s="1">
        <v>0.31797083453836722</v>
      </c>
      <c r="BX18" s="1">
        <v>6.9459716596261087E-2</v>
      </c>
      <c r="BY18" s="1">
        <v>6.1034726731378892E-2</v>
      </c>
      <c r="BZ18" s="1">
        <v>-2.84017715575339E-2</v>
      </c>
      <c r="CA18" s="1">
        <v>-0.13046988383823571</v>
      </c>
      <c r="CB18" s="1">
        <v>0.1158655489891553</v>
      </c>
      <c r="CC18" s="1">
        <v>-2.0683160701185161E-2</v>
      </c>
      <c r="CD18" s="1">
        <v>6.4934923417245174E-2</v>
      </c>
      <c r="CE18" s="1">
        <v>0.12131041340196019</v>
      </c>
      <c r="CF18" s="1">
        <v>-1.19936404476988E-2</v>
      </c>
      <c r="CG18" s="1">
        <v>5.4488637966952018E-2</v>
      </c>
      <c r="CH18" s="1">
        <v>5.9711263508849227E-2</v>
      </c>
      <c r="CI18" s="1">
        <v>0.102135471759466</v>
      </c>
      <c r="CJ18" s="1">
        <v>5.4788462478742223E-2</v>
      </c>
      <c r="CK18" s="1">
        <v>6.0724102631643927E-2</v>
      </c>
      <c r="CL18" s="1">
        <v>6.8320466134685287E-2</v>
      </c>
      <c r="CM18" s="1">
        <v>6.9997267456522183E-3</v>
      </c>
      <c r="CN18" s="1">
        <v>0.30199598219258678</v>
      </c>
      <c r="CO18" s="1">
        <v>0.2041018267437201</v>
      </c>
      <c r="CP18" s="1">
        <v>0.1111514502016443</v>
      </c>
      <c r="CQ18" s="1">
        <v>9.1639389935504953E-2</v>
      </c>
      <c r="CR18" s="1">
        <v>0.13403741536657451</v>
      </c>
      <c r="CS18" s="1">
        <v>-8.9290829489122772E-2</v>
      </c>
      <c r="CT18" s="1">
        <v>0.1569789966764131</v>
      </c>
      <c r="CU18" s="1">
        <v>0.16811337784348579</v>
      </c>
      <c r="CV18" s="1">
        <v>9.0097054832442486E-2</v>
      </c>
      <c r="CW18" s="1">
        <v>5.1934259828947123E-2</v>
      </c>
      <c r="CX18" s="1">
        <v>0.16226597530261619</v>
      </c>
      <c r="CY18" s="1">
        <v>-8.1280637874214245E-2</v>
      </c>
      <c r="CZ18" s="1">
        <v>3.2724822242144208E-2</v>
      </c>
      <c r="DA18" s="1">
        <v>0.16782969051510871</v>
      </c>
      <c r="DB18" s="1">
        <v>-0.23166534590164389</v>
      </c>
      <c r="DC18" s="1">
        <v>9.61333382983873E-2</v>
      </c>
      <c r="DD18" s="1">
        <v>9.7893033702861065E-2</v>
      </c>
      <c r="DE18" s="1">
        <v>-5.0631629502670507E-2</v>
      </c>
      <c r="DF18" s="1">
        <v>2.6980135523259762E-3</v>
      </c>
      <c r="DG18" s="1">
        <v>-0.12637191985047269</v>
      </c>
      <c r="DH18" s="1">
        <v>-3.9788319645553058E-3</v>
      </c>
      <c r="DI18" s="1">
        <v>-4.5399497901261202E-2</v>
      </c>
      <c r="DJ18" s="1">
        <v>6.6051330404252137E-2</v>
      </c>
      <c r="DK18" s="1">
        <v>-5.7685769347259337E-2</v>
      </c>
      <c r="DL18" s="1">
        <v>5.5473782477393152E-2</v>
      </c>
      <c r="DM18" s="1">
        <v>-5.0953763039580997E-2</v>
      </c>
      <c r="DN18" s="1">
        <v>-5.7679570246785522E-2</v>
      </c>
      <c r="DO18" s="1">
        <v>4.6563866479777977E-2</v>
      </c>
      <c r="DP18" s="1">
        <v>0.13500153092975339</v>
      </c>
      <c r="DQ18" s="1">
        <v>4.145341061894342E-2</v>
      </c>
      <c r="DR18" s="1">
        <v>-2.6365380194143018E-2</v>
      </c>
      <c r="DS18" s="1">
        <v>1.042302437651494E-2</v>
      </c>
      <c r="DT18" s="1">
        <v>4.677433526996512E-2</v>
      </c>
      <c r="DU18" s="1">
        <v>0.1901082424459184</v>
      </c>
      <c r="DV18" s="1">
        <v>1.0674915793543269E-2</v>
      </c>
      <c r="DW18" s="1">
        <v>4.8547744872951368E-2</v>
      </c>
      <c r="DX18" s="1">
        <v>0.10514200203935101</v>
      </c>
      <c r="DY18" s="1">
        <v>9.4984864221236961E-2</v>
      </c>
      <c r="DZ18" s="1">
        <v>-1.509224731396463E-2</v>
      </c>
      <c r="EA18" s="1">
        <v>0.14794581154704359</v>
      </c>
      <c r="EB18" s="1">
        <v>8.8908953959292436E-2</v>
      </c>
      <c r="EC18" s="1">
        <v>1.6325517932017961E-2</v>
      </c>
      <c r="ED18" s="1">
        <v>5.8215192077591418E-2</v>
      </c>
      <c r="EE18" s="1">
        <v>-5.9240996655185868E-2</v>
      </c>
      <c r="EF18" s="1">
        <v>-0.15799174927001061</v>
      </c>
      <c r="EG18" s="62">
        <f t="shared" si="0"/>
        <v>6.0830318831035589E-2</v>
      </c>
      <c r="EH18" s="30">
        <f t="shared" si="1"/>
        <v>9.057137404565152E-2</v>
      </c>
      <c r="EI18" s="62">
        <f t="shared" si="2"/>
        <v>0.67162853022826752</v>
      </c>
    </row>
    <row r="19" spans="1:139" ht="16">
      <c r="A19" s="6">
        <v>120</v>
      </c>
      <c r="B19" s="6">
        <v>8</v>
      </c>
      <c r="C19" s="9">
        <v>-3.8913468982799758E-2</v>
      </c>
      <c r="D19" s="9">
        <v>0.16854736185977429</v>
      </c>
      <c r="E19" s="9">
        <v>9.6671109192610821E-2</v>
      </c>
      <c r="F19" s="9">
        <v>8.0752164152319103E-2</v>
      </c>
      <c r="G19" s="9">
        <v>0.1347326611812226</v>
      </c>
      <c r="H19" s="9">
        <v>-7.9428568480016844E-3</v>
      </c>
      <c r="I19" s="9">
        <v>2.4219034639758139E-2</v>
      </c>
      <c r="J19" s="9">
        <v>2.8755829150013849E-2</v>
      </c>
      <c r="K19" s="9">
        <v>-4.5982238765455638E-3</v>
      </c>
      <c r="L19" s="2">
        <v>1.257257416604282E-2</v>
      </c>
      <c r="M19" s="2">
        <v>4.9947201803779748E-2</v>
      </c>
      <c r="N19" s="2">
        <v>0.1092778268298058</v>
      </c>
      <c r="O19" s="1">
        <v>-6.9983647279601532E-2</v>
      </c>
      <c r="P19" s="1">
        <v>1.3382946743368309E-2</v>
      </c>
      <c r="Q19" s="1">
        <v>7.5377464853876447E-2</v>
      </c>
      <c r="R19" s="1">
        <v>-3.4291974366142779E-3</v>
      </c>
      <c r="S19" s="1">
        <v>0.16865809972046189</v>
      </c>
      <c r="T19" s="1">
        <v>0.20441382127320989</v>
      </c>
      <c r="U19" s="1">
        <v>8.0603229871662185E-3</v>
      </c>
      <c r="V19" s="1">
        <v>0.18406310044512211</v>
      </c>
      <c r="W19" s="1">
        <v>0.1286672543576686</v>
      </c>
      <c r="X19" s="1">
        <v>0.27133594829567148</v>
      </c>
      <c r="Y19" s="1">
        <v>8.9095159266180279E-2</v>
      </c>
      <c r="Z19" s="1">
        <v>0.14106493822804689</v>
      </c>
      <c r="AA19" s="1">
        <v>0.1172277019924583</v>
      </c>
      <c r="AB19" s="1">
        <v>3.8530231473316703E-2</v>
      </c>
      <c r="AC19" s="1">
        <v>0.19759172354391311</v>
      </c>
      <c r="AD19" s="1">
        <v>9.6522741229912098E-3</v>
      </c>
      <c r="AE19" s="1">
        <v>0.22212270442845089</v>
      </c>
      <c r="AF19" s="1">
        <v>0.2112132146561663</v>
      </c>
      <c r="AG19" s="1">
        <v>-6.2640141571138716E-2</v>
      </c>
      <c r="AH19" s="1">
        <v>0.21598924848345069</v>
      </c>
      <c r="AI19" s="1">
        <v>5.7037975655486538E-2</v>
      </c>
      <c r="AJ19" s="1">
        <v>5.1567092257441813E-2</v>
      </c>
      <c r="AK19" s="1">
        <v>1.7833618899743858E-2</v>
      </c>
      <c r="AL19" s="1">
        <v>7.6426547694144586E-2</v>
      </c>
      <c r="AM19" s="1">
        <v>-2.952114289090722E-2</v>
      </c>
      <c r="AN19" s="1">
        <v>6.4561353732883464E-3</v>
      </c>
      <c r="AO19" s="1">
        <v>7.6694527622622966E-2</v>
      </c>
      <c r="AP19" s="1">
        <v>5.9962441360630933E-2</v>
      </c>
      <c r="AQ19" s="1">
        <v>0.1127231273337288</v>
      </c>
      <c r="AR19" s="1">
        <v>4.5802625557302828E-2</v>
      </c>
      <c r="AS19" s="1">
        <v>9.9190402085040826E-3</v>
      </c>
      <c r="AT19" s="1">
        <v>0.14284857915328819</v>
      </c>
      <c r="AU19" s="1">
        <v>0.11569960953410489</v>
      </c>
      <c r="AV19" s="1">
        <v>-6.1275359407888308E-2</v>
      </c>
      <c r="AW19" s="1">
        <v>0.25023986522614389</v>
      </c>
      <c r="AX19" s="1">
        <v>2.9189241893463839E-2</v>
      </c>
      <c r="AY19" s="1">
        <v>0.23807944308841519</v>
      </c>
      <c r="AZ19" s="1">
        <v>7.0494230916434572E-2</v>
      </c>
      <c r="BA19" s="1">
        <v>3.8771615247690558E-2</v>
      </c>
      <c r="BB19" s="1">
        <v>0.13322666043475401</v>
      </c>
      <c r="BC19" s="1">
        <v>5.134875213438167E-2</v>
      </c>
      <c r="BD19" s="1">
        <v>1.347482982462418E-2</v>
      </c>
      <c r="BE19" s="1">
        <v>-4.4110253344838479E-2</v>
      </c>
      <c r="BF19" s="1">
        <v>5.5060756886814111E-2</v>
      </c>
      <c r="BG19" s="1">
        <v>0.11262104663195339</v>
      </c>
      <c r="BH19" s="1">
        <v>8.9156995538337003E-2</v>
      </c>
      <c r="BI19" s="1">
        <v>0.1182997346921037</v>
      </c>
      <c r="BJ19" s="1">
        <v>9.7868244368423979E-2</v>
      </c>
      <c r="BK19" s="1">
        <v>1.67513267503808E-2</v>
      </c>
      <c r="BL19" s="1">
        <v>1.132258281994482E-2</v>
      </c>
      <c r="BM19" s="1">
        <v>-8.5086093268850575E-3</v>
      </c>
      <c r="BN19" s="1">
        <v>9.3255475180167191E-2</v>
      </c>
      <c r="BO19" s="1">
        <v>3.219728570126746E-2</v>
      </c>
      <c r="BP19" s="1">
        <v>0.14972725019603911</v>
      </c>
      <c r="BQ19" s="1">
        <v>1.9160736461803121E-2</v>
      </c>
      <c r="BR19" s="1">
        <v>0.17828809709458751</v>
      </c>
      <c r="BS19" s="1">
        <v>2.090601821369549E-2</v>
      </c>
      <c r="BT19" s="1">
        <v>-5.265016026197774E-2</v>
      </c>
      <c r="BU19" s="1">
        <v>-3.8510384871554643E-2</v>
      </c>
      <c r="BV19" s="1">
        <v>0.18846883730086739</v>
      </c>
      <c r="BW19" s="1">
        <v>0.2083368255173885</v>
      </c>
      <c r="BX19" s="1">
        <v>7.1902304476958279E-2</v>
      </c>
      <c r="BY19" s="1">
        <v>5.1357930857691157E-2</v>
      </c>
      <c r="BZ19" s="1">
        <v>-2.5526302810298721E-2</v>
      </c>
      <c r="CA19" s="1">
        <v>-0.1308778477759738</v>
      </c>
      <c r="CB19" s="1">
        <v>0.10916583702074401</v>
      </c>
      <c r="CC19" s="1">
        <v>-0.1146808468537778</v>
      </c>
      <c r="CD19" s="1">
        <v>6.0579450358787063E-2</v>
      </c>
      <c r="CE19" s="1">
        <v>0.1124945912954069</v>
      </c>
      <c r="CF19" s="1">
        <v>5.5948196573457707E-4</v>
      </c>
      <c r="CG19" s="1">
        <v>9.5848573087292444E-2</v>
      </c>
      <c r="CH19" s="1">
        <v>0.115839366391173</v>
      </c>
      <c r="CI19" s="1">
        <v>0.13045056225053181</v>
      </c>
      <c r="CJ19" s="1">
        <v>8.1164386899999691E-2</v>
      </c>
      <c r="CK19" s="1">
        <v>5.2047222923162578E-2</v>
      </c>
      <c r="CL19" s="1">
        <v>3.069144001299443E-3</v>
      </c>
      <c r="CM19" s="1">
        <v>-1.6699728933534249E-3</v>
      </c>
      <c r="CN19" s="1">
        <v>0.33955425374346643</v>
      </c>
      <c r="CO19" s="1">
        <v>0.18269784574884071</v>
      </c>
      <c r="CP19" s="1">
        <v>0.108221383508889</v>
      </c>
      <c r="CQ19" s="1">
        <v>9.1887761713894067E-2</v>
      </c>
      <c r="CR19" s="1">
        <v>0.1631100460377467</v>
      </c>
      <c r="CS19" s="1">
        <v>-8.8519896400953299E-2</v>
      </c>
      <c r="CT19" s="1">
        <v>0.1145065715734727</v>
      </c>
      <c r="CU19" s="1">
        <v>0.17086143868775819</v>
      </c>
      <c r="CV19" s="1">
        <v>6.6457647905950434E-2</v>
      </c>
      <c r="CW19" s="1">
        <v>5.5803085769991642E-2</v>
      </c>
      <c r="CX19" s="1">
        <v>0.1250098553997174</v>
      </c>
      <c r="CY19" s="1">
        <v>-7.5608913409805661E-2</v>
      </c>
      <c r="CZ19" s="1">
        <v>3.1592684380340658E-2</v>
      </c>
      <c r="DA19" s="1">
        <v>0.21729512228579931</v>
      </c>
      <c r="DB19" s="1">
        <v>-0.22431697129508241</v>
      </c>
      <c r="DC19" s="1">
        <v>0.1124463838392047</v>
      </c>
      <c r="DD19" s="1">
        <v>8.9256538320887452E-2</v>
      </c>
      <c r="DE19" s="1">
        <v>-5.3569555155120741E-2</v>
      </c>
      <c r="DF19" s="1">
        <v>1.5674444936529901E-2</v>
      </c>
      <c r="DG19" s="1">
        <v>-0.1232124661306393</v>
      </c>
      <c r="DH19" s="1">
        <v>-1.2653894662512761E-2</v>
      </c>
      <c r="DI19" s="1">
        <v>-3.504453606594507E-2</v>
      </c>
      <c r="DJ19" s="1">
        <v>8.1138534273587137E-2</v>
      </c>
      <c r="DK19" s="1">
        <v>-6.8118111488885122E-2</v>
      </c>
      <c r="DL19" s="1">
        <v>3.6462510985385367E-2</v>
      </c>
      <c r="DM19" s="1">
        <v>-6.1866517609930699E-2</v>
      </c>
      <c r="DN19" s="1">
        <v>-3.2796834940880662E-2</v>
      </c>
      <c r="DO19" s="1">
        <v>6.5250544351453679E-2</v>
      </c>
      <c r="DP19" s="1">
        <v>0.12178262475785941</v>
      </c>
      <c r="DQ19" s="1">
        <v>7.2381798096285421E-2</v>
      </c>
      <c r="DR19" s="1">
        <v>-2.9562321152702541E-2</v>
      </c>
      <c r="DS19" s="1">
        <v>6.5055362314722356E-3</v>
      </c>
      <c r="DT19" s="1">
        <v>-7.2241768215537371E-3</v>
      </c>
      <c r="DU19" s="1">
        <v>0.15955509947844379</v>
      </c>
      <c r="DV19" s="1">
        <v>2.349968072458233E-2</v>
      </c>
      <c r="DW19" s="1">
        <v>6.2561775719574206E-2</v>
      </c>
      <c r="DX19" s="1">
        <v>0.1108210784346087</v>
      </c>
      <c r="DY19" s="1">
        <v>0.12601053790105471</v>
      </c>
      <c r="DZ19" s="1">
        <v>2.9107188759115409E-2</v>
      </c>
      <c r="EA19" s="1">
        <v>0.13185062442513931</v>
      </c>
      <c r="EB19" s="1">
        <v>8.6858713774628823E-2</v>
      </c>
      <c r="EC19" s="1">
        <v>-1.0220505365850971E-2</v>
      </c>
      <c r="ED19" s="1">
        <v>7.5350992521246968E-2</v>
      </c>
      <c r="EE19" s="1">
        <v>-6.4278699968889033E-2</v>
      </c>
      <c r="EF19" s="1">
        <v>-0.13981484782620349</v>
      </c>
      <c r="EG19" s="62">
        <f t="shared" si="0"/>
        <v>6.1399131206756823E-2</v>
      </c>
      <c r="EH19" s="30">
        <f t="shared" si="1"/>
        <v>9.1424950984584238E-2</v>
      </c>
      <c r="EI19" s="62">
        <f t="shared" si="2"/>
        <v>0.67157959118960575</v>
      </c>
    </row>
    <row r="20" spans="1:139" ht="16">
      <c r="A20" s="6">
        <v>137</v>
      </c>
      <c r="B20" s="6">
        <v>7</v>
      </c>
      <c r="C20" s="9">
        <v>-5.9146797802220617E-2</v>
      </c>
      <c r="D20" s="9">
        <v>0.18401888940316621</v>
      </c>
      <c r="E20" s="9">
        <v>0.10047562300309219</v>
      </c>
      <c r="F20" s="9">
        <v>0.11938296010218979</v>
      </c>
      <c r="G20" s="9">
        <v>0.16399390802720509</v>
      </c>
      <c r="H20" s="9">
        <v>-8.6222277544443261E-3</v>
      </c>
      <c r="I20" s="9">
        <v>3.0636707211393749E-2</v>
      </c>
      <c r="J20" s="9">
        <v>-1.1634694394191651E-2</v>
      </c>
      <c r="K20" s="9">
        <v>-1.4703560803650409E-2</v>
      </c>
      <c r="L20" s="2">
        <v>2.9322852947789059E-2</v>
      </c>
      <c r="M20" s="2">
        <v>7.0025626230073357E-2</v>
      </c>
      <c r="N20" s="2">
        <v>0.14120748849629611</v>
      </c>
      <c r="O20" s="1">
        <v>-6.9370689117355791E-2</v>
      </c>
      <c r="P20" s="1">
        <v>8.3280858539089599E-3</v>
      </c>
      <c r="Q20" s="1">
        <v>7.5409570921666697E-2</v>
      </c>
      <c r="R20" s="1">
        <v>-3.306423989218276E-3</v>
      </c>
      <c r="S20" s="1">
        <v>0.19196586596172921</v>
      </c>
      <c r="T20" s="1">
        <v>0.22531337403900059</v>
      </c>
      <c r="U20" s="1">
        <v>7.1456678423764269E-3</v>
      </c>
      <c r="V20" s="1">
        <v>0.2301292091290579</v>
      </c>
      <c r="W20" s="1">
        <v>0.16613482926929909</v>
      </c>
      <c r="X20" s="1">
        <v>0.28203658893631423</v>
      </c>
      <c r="Y20" s="1">
        <v>5.2382066107746469E-2</v>
      </c>
      <c r="Z20" s="1">
        <v>0.1449497793710067</v>
      </c>
      <c r="AA20" s="1">
        <v>0.10441760948373439</v>
      </c>
      <c r="AB20" s="1">
        <v>3.6791411363642453E-2</v>
      </c>
      <c r="AC20" s="1">
        <v>0.19163482088092201</v>
      </c>
      <c r="AD20" s="1">
        <v>1.8143742179112E-2</v>
      </c>
      <c r="AE20" s="1">
        <v>0.25839134891520849</v>
      </c>
      <c r="AF20" s="1">
        <v>0.25576929106695911</v>
      </c>
      <c r="AG20" s="1">
        <v>-8.1719979892753619E-2</v>
      </c>
      <c r="AH20" s="1">
        <v>0.29224261072045687</v>
      </c>
      <c r="AI20" s="1">
        <v>8.1423750051169697E-2</v>
      </c>
      <c r="AJ20" s="1">
        <v>5.5938250388193098E-2</v>
      </c>
      <c r="AK20" s="1">
        <v>1.4642588458335619E-2</v>
      </c>
      <c r="AL20" s="1">
        <v>0.124524007929702</v>
      </c>
      <c r="AM20" s="1">
        <v>-3.980331590333433E-2</v>
      </c>
      <c r="AN20" s="1">
        <v>-2.7944177599378839E-3</v>
      </c>
      <c r="AO20" s="1">
        <v>-2.4584280444806969E-2</v>
      </c>
      <c r="AP20" s="1">
        <v>9.6950774431148953E-2</v>
      </c>
      <c r="AQ20" s="1">
        <v>0.13434728255340239</v>
      </c>
      <c r="AR20" s="1">
        <v>3.9002474062764268E-2</v>
      </c>
      <c r="AS20" s="1">
        <v>5.0561008623202855E-4</v>
      </c>
      <c r="AT20" s="1">
        <v>0.15198511409100729</v>
      </c>
      <c r="AU20" s="1">
        <v>0.13889821464621971</v>
      </c>
      <c r="AV20" s="1">
        <v>-4.6031583709171688E-2</v>
      </c>
      <c r="AW20" s="1">
        <v>0.21338713699061879</v>
      </c>
      <c r="AX20" s="1">
        <v>6.7649606941906359E-2</v>
      </c>
      <c r="AY20" s="1">
        <v>0.25333878430622631</v>
      </c>
      <c r="AZ20" s="1">
        <v>5.1646327393508343E-2</v>
      </c>
      <c r="BA20" s="1">
        <v>3.5302240006763339E-2</v>
      </c>
      <c r="BB20" s="1">
        <v>0.159606639913808</v>
      </c>
      <c r="BC20" s="1">
        <v>0.1180415143207405</v>
      </c>
      <c r="BD20" s="1">
        <v>3.857350279129606E-3</v>
      </c>
      <c r="BE20" s="1">
        <v>-9.117285285592254E-2</v>
      </c>
      <c r="BF20" s="1">
        <v>3.9489137561973087E-2</v>
      </c>
      <c r="BG20" s="1">
        <v>3.968538179457877E-2</v>
      </c>
      <c r="BH20" s="1">
        <v>6.7045152969585686E-2</v>
      </c>
      <c r="BI20" s="1">
        <v>9.7220939232647005E-2</v>
      </c>
      <c r="BJ20" s="1">
        <v>9.8533856685421792E-2</v>
      </c>
      <c r="BK20" s="1">
        <v>9.810839031169187E-4</v>
      </c>
      <c r="BL20" s="1">
        <v>2.6616325896028411E-2</v>
      </c>
      <c r="BM20" s="1">
        <v>-1.573621607511148E-2</v>
      </c>
      <c r="BN20" s="1">
        <v>0.13185709462909961</v>
      </c>
      <c r="BO20" s="1">
        <v>2.997158814435465E-2</v>
      </c>
      <c r="BP20" s="1">
        <v>0.1648733667619405</v>
      </c>
      <c r="BQ20" s="1">
        <v>4.5241931126652549E-3</v>
      </c>
      <c r="BR20" s="1">
        <v>0.1741873736507232</v>
      </c>
      <c r="BS20" s="1">
        <v>3.2873256576031823E-2</v>
      </c>
      <c r="BT20" s="1">
        <v>-6.1545322892704799E-2</v>
      </c>
      <c r="BU20" s="1">
        <v>8.9206671055132442E-3</v>
      </c>
      <c r="BV20" s="1">
        <v>0.18988256705005441</v>
      </c>
      <c r="BW20" s="1">
        <v>0.21837549913098869</v>
      </c>
      <c r="BX20" s="1">
        <v>-2.5080919660545878E-5</v>
      </c>
      <c r="BY20" s="1">
        <v>3.0645106758907689E-2</v>
      </c>
      <c r="BZ20" s="1">
        <v>8.9482419393309143E-3</v>
      </c>
      <c r="CA20" s="1">
        <v>-0.1143259869520892</v>
      </c>
      <c r="CB20" s="1">
        <v>9.7387282979409254E-2</v>
      </c>
      <c r="CC20" s="1">
        <v>-0.10559806271589139</v>
      </c>
      <c r="CD20" s="1">
        <v>5.0324044981818847E-2</v>
      </c>
      <c r="CE20" s="1">
        <v>0.13007558561724719</v>
      </c>
      <c r="CF20" s="1">
        <v>1.25635822602341E-2</v>
      </c>
      <c r="CG20" s="1">
        <v>0.12563434045106889</v>
      </c>
      <c r="CH20" s="1">
        <v>0.1219862736825164</v>
      </c>
      <c r="CI20" s="1">
        <v>0.1273482928820226</v>
      </c>
      <c r="CJ20" s="1">
        <v>7.4164048463141258E-2</v>
      </c>
      <c r="CK20" s="1">
        <v>4.1630199142583937E-2</v>
      </c>
      <c r="CL20" s="1">
        <v>1.1567712223525E-2</v>
      </c>
      <c r="CM20" s="1">
        <v>-1.554875034200344E-2</v>
      </c>
      <c r="CN20" s="1">
        <v>0.34908052015781688</v>
      </c>
      <c r="CO20" s="1">
        <v>0.21677740286378891</v>
      </c>
      <c r="CP20" s="1">
        <v>0.1162703198079334</v>
      </c>
      <c r="CQ20" s="1">
        <v>9.1780217008749748E-2</v>
      </c>
      <c r="CR20" s="1">
        <v>0.15261332054537691</v>
      </c>
      <c r="CS20" s="1">
        <v>-0.12939734194643859</v>
      </c>
      <c r="CT20" s="1">
        <v>0.1008978510430367</v>
      </c>
      <c r="CU20" s="1">
        <v>0.19223174436587359</v>
      </c>
      <c r="CV20" s="1">
        <v>4.9648573949631937E-2</v>
      </c>
      <c r="CW20" s="1">
        <v>6.6998780110333264E-2</v>
      </c>
      <c r="CX20" s="1">
        <v>0.1530756896091533</v>
      </c>
      <c r="CY20" s="1">
        <v>-9.3178383907907517E-2</v>
      </c>
      <c r="CZ20" s="1">
        <v>9.1459213412702536E-2</v>
      </c>
      <c r="DA20" s="1">
        <v>0.22229134592749139</v>
      </c>
      <c r="DB20" s="1">
        <v>-0.2223821125233825</v>
      </c>
      <c r="DC20" s="1">
        <v>0.1518564839037464</v>
      </c>
      <c r="DD20" s="1">
        <v>6.1689381640210227E-2</v>
      </c>
      <c r="DE20" s="1">
        <v>-1.0516025236620369E-2</v>
      </c>
      <c r="DF20" s="1">
        <v>2.8071975077961529E-2</v>
      </c>
      <c r="DG20" s="1">
        <v>-0.11821709327359541</v>
      </c>
      <c r="DH20" s="1">
        <v>-1.305003261692848E-2</v>
      </c>
      <c r="DI20" s="1">
        <v>-1.8613248030418191E-2</v>
      </c>
      <c r="DJ20" s="1">
        <v>7.6328354507878768E-2</v>
      </c>
      <c r="DK20" s="1">
        <v>-5.7250589986626008E-2</v>
      </c>
      <c r="DL20" s="1">
        <v>3.7182939410708812E-2</v>
      </c>
      <c r="DM20" s="1">
        <v>-6.5017103249625771E-2</v>
      </c>
      <c r="DN20" s="1">
        <v>-6.2461855668827587E-2</v>
      </c>
      <c r="DO20" s="1">
        <v>3.019901746158983E-2</v>
      </c>
      <c r="DP20" s="1">
        <v>0.1183328971341381</v>
      </c>
      <c r="DQ20" s="1">
        <v>9.0804693301264686E-2</v>
      </c>
      <c r="DR20" s="1">
        <v>-3.8466169653333791E-2</v>
      </c>
      <c r="DS20" s="1">
        <v>2.5385651257138282E-2</v>
      </c>
      <c r="DT20" s="1">
        <v>-3.9831275897070804E-3</v>
      </c>
      <c r="DU20" s="1">
        <v>0.16258878442425009</v>
      </c>
      <c r="DV20" s="1">
        <v>1.754520532884252E-2</v>
      </c>
      <c r="DW20" s="1">
        <v>5.4192831771072182E-2</v>
      </c>
      <c r="DX20" s="1">
        <v>0.1195156481225506</v>
      </c>
      <c r="DY20" s="1">
        <v>0.16576310466200311</v>
      </c>
      <c r="DZ20" s="1">
        <v>1.1559542560123801E-2</v>
      </c>
      <c r="EA20" s="1">
        <v>9.6097119569997252E-2</v>
      </c>
      <c r="EB20" s="1">
        <v>0.1019784775173027</v>
      </c>
      <c r="EC20" s="1">
        <v>9.5228769819239237E-3</v>
      </c>
      <c r="ED20" s="1">
        <v>8.1112113732413782E-2</v>
      </c>
      <c r="EE20" s="1">
        <v>-5.3015040315364213E-2</v>
      </c>
      <c r="EF20" s="1">
        <v>-0.15493610268974681</v>
      </c>
      <c r="EG20" s="62">
        <f t="shared" si="0"/>
        <v>6.5039607433244509E-2</v>
      </c>
      <c r="EH20" s="30">
        <f t="shared" si="1"/>
        <v>9.9163130359683035E-2</v>
      </c>
      <c r="EI20" s="62">
        <f t="shared" si="2"/>
        <v>0.65588497657681655</v>
      </c>
    </row>
    <row r="21" spans="1:139" ht="16">
      <c r="A21" s="6">
        <v>160</v>
      </c>
      <c r="B21" s="6">
        <v>6</v>
      </c>
      <c r="C21" s="9">
        <v>-7.386192988077088E-2</v>
      </c>
      <c r="D21" s="9">
        <v>0.21954286838228931</v>
      </c>
      <c r="E21" s="9">
        <v>0.1405836765913312</v>
      </c>
      <c r="F21" s="9">
        <v>0.1776886618055605</v>
      </c>
      <c r="G21" s="9">
        <v>0.23579516936791139</v>
      </c>
      <c r="H21" s="9">
        <v>1.2068788462484921E-2</v>
      </c>
      <c r="I21" s="9">
        <v>1.6074987595653369E-2</v>
      </c>
      <c r="J21" s="9">
        <v>-3.4276718062496658E-2</v>
      </c>
      <c r="K21" s="9">
        <v>1.7157791669453751E-2</v>
      </c>
      <c r="L21" s="2">
        <v>3.8786798275662643E-2</v>
      </c>
      <c r="M21" s="2">
        <v>6.1808697061504339E-2</v>
      </c>
      <c r="N21" s="2">
        <v>0.15184358114798011</v>
      </c>
      <c r="O21" s="1">
        <v>-8.6254642692069033E-2</v>
      </c>
      <c r="P21" s="1">
        <v>2.3513160824520051E-2</v>
      </c>
      <c r="Q21" s="1">
        <v>8.7977832741944484E-2</v>
      </c>
      <c r="R21" s="1">
        <v>-3.60275312600828E-3</v>
      </c>
      <c r="S21" s="1">
        <v>0.18052063915267891</v>
      </c>
      <c r="T21" s="1">
        <v>0.2243495768984719</v>
      </c>
      <c r="U21" s="1">
        <v>2.5809927208050549E-2</v>
      </c>
      <c r="V21" s="1">
        <v>0.29470239612484139</v>
      </c>
      <c r="W21" s="1">
        <v>0.1747347633022315</v>
      </c>
      <c r="X21" s="1">
        <v>0.27968945142967339</v>
      </c>
      <c r="Y21" s="1">
        <v>8.141485048178225E-2</v>
      </c>
      <c r="Z21" s="1">
        <v>0.1186891535388737</v>
      </c>
      <c r="AA21" s="1">
        <v>0.10162731183589679</v>
      </c>
      <c r="AB21" s="1">
        <v>5.8083800219374808E-2</v>
      </c>
      <c r="AC21" s="1">
        <v>0.16768309483900931</v>
      </c>
      <c r="AD21" s="1">
        <v>3.048378801929065E-2</v>
      </c>
      <c r="AE21" s="1">
        <v>0.30849285792536868</v>
      </c>
      <c r="AF21" s="1">
        <v>0.27543524678159031</v>
      </c>
      <c r="AG21" s="1">
        <v>-4.1487103444311647E-2</v>
      </c>
      <c r="AH21" s="1">
        <v>0.29963521596183129</v>
      </c>
      <c r="AI21" s="1">
        <v>4.7766352759796363E-2</v>
      </c>
      <c r="AJ21" s="1">
        <v>5.7792583949660761E-2</v>
      </c>
      <c r="AK21" s="1">
        <v>6.1761082265121697E-3</v>
      </c>
      <c r="AL21" s="1">
        <v>0.1222721680409395</v>
      </c>
      <c r="AM21" s="1">
        <v>-4.437098544030698E-2</v>
      </c>
      <c r="AN21" s="1">
        <v>1.023954826971317E-2</v>
      </c>
      <c r="AO21" s="1">
        <v>-5.5890126129114689E-2</v>
      </c>
      <c r="AP21" s="1">
        <v>8.8830950498133485E-2</v>
      </c>
      <c r="AQ21" s="1">
        <v>0.1352596027930793</v>
      </c>
      <c r="AR21" s="1">
        <v>-4.1144514895575801E-2</v>
      </c>
      <c r="AS21" s="1">
        <v>2.1467462616468719E-2</v>
      </c>
      <c r="AT21" s="1">
        <v>0.17114730694314939</v>
      </c>
      <c r="AU21" s="1">
        <v>0.1530146264742607</v>
      </c>
      <c r="AV21" s="1">
        <v>-6.4146316646237725E-2</v>
      </c>
      <c r="AW21" s="1">
        <v>0.1718415863924217</v>
      </c>
      <c r="AX21" s="1">
        <v>5.3049005470330993E-2</v>
      </c>
      <c r="AY21" s="1">
        <v>0.28470839191036551</v>
      </c>
      <c r="AZ21" s="1">
        <v>0.11561152836942371</v>
      </c>
      <c r="BA21" s="1">
        <v>1.509016555835047E-3</v>
      </c>
      <c r="BB21" s="1">
        <v>0.19839559418964289</v>
      </c>
      <c r="BC21" s="1">
        <v>9.3604507285464489E-2</v>
      </c>
      <c r="BD21" s="1">
        <v>-1.4320046775842719E-2</v>
      </c>
      <c r="BE21" s="1">
        <v>-8.948072176037114E-2</v>
      </c>
      <c r="BF21" s="1">
        <v>4.7638579302290401E-2</v>
      </c>
      <c r="BG21" s="1">
        <v>6.9151689409027037E-2</v>
      </c>
      <c r="BH21" s="1">
        <v>3.7924393752731128E-2</v>
      </c>
      <c r="BI21" s="1">
        <v>0.13219912971644349</v>
      </c>
      <c r="BJ21" s="1">
        <v>5.8912217172455733E-2</v>
      </c>
      <c r="BK21" s="1">
        <v>-6.9519036629441727E-2</v>
      </c>
      <c r="BL21" s="1">
        <v>1.7025995544162609E-2</v>
      </c>
      <c r="BM21" s="1">
        <v>-2.8667915331404541E-3</v>
      </c>
      <c r="BN21" s="1">
        <v>0.16643403720888739</v>
      </c>
      <c r="BO21" s="1">
        <v>3.8154863469178228E-2</v>
      </c>
      <c r="BP21" s="1">
        <v>0.15328773448595909</v>
      </c>
      <c r="BQ21" s="1">
        <v>2.0388510014357489E-4</v>
      </c>
      <c r="BR21" s="1">
        <v>0.19272348691259331</v>
      </c>
      <c r="BS21" s="1">
        <v>-3.4999319396389061E-3</v>
      </c>
      <c r="BT21" s="1">
        <v>-8.2323403677311308E-2</v>
      </c>
      <c r="BU21" s="1">
        <v>4.32466349335403E-2</v>
      </c>
      <c r="BV21" s="1">
        <v>0.17061194404922689</v>
      </c>
      <c r="BW21" s="1">
        <v>0.30745300680973342</v>
      </c>
      <c r="BX21" s="1">
        <v>-2.3374215711517529E-2</v>
      </c>
      <c r="BY21" s="1">
        <v>-1.4334339305978079E-2</v>
      </c>
      <c r="BZ21" s="1">
        <v>5.4238668817589257E-2</v>
      </c>
      <c r="CA21" s="1">
        <v>-5.6215143833243067E-2</v>
      </c>
      <c r="CB21" s="1">
        <v>7.8976807618525546E-2</v>
      </c>
      <c r="CC21" s="1">
        <v>-0.1054167570187242</v>
      </c>
      <c r="CD21" s="1">
        <v>3.6318648211709488E-3</v>
      </c>
      <c r="CE21" s="1">
        <v>0.11441435951313331</v>
      </c>
      <c r="CF21" s="1">
        <v>1.126340638261419E-2</v>
      </c>
      <c r="CG21" s="1">
        <v>0.1019921826051625</v>
      </c>
      <c r="CH21" s="1">
        <v>0.1077540410921818</v>
      </c>
      <c r="CI21" s="1">
        <v>0.1429923210377323</v>
      </c>
      <c r="CJ21" s="1">
        <v>0.1217761899427115</v>
      </c>
      <c r="CK21" s="1">
        <v>5.6178442168892527E-2</v>
      </c>
      <c r="CL21" s="1">
        <v>5.0014712960580833E-2</v>
      </c>
      <c r="CM21" s="1">
        <v>-7.558187099799421E-2</v>
      </c>
      <c r="CN21" s="1">
        <v>0.39490353753150759</v>
      </c>
      <c r="CO21" s="1">
        <v>0.233706699240423</v>
      </c>
      <c r="CP21" s="1">
        <v>0.13741472475783589</v>
      </c>
      <c r="CQ21" s="1">
        <v>8.5571876552919535E-2</v>
      </c>
      <c r="CR21" s="1">
        <v>0.16159636802654079</v>
      </c>
      <c r="CS21" s="1">
        <v>-0.12394645849967011</v>
      </c>
      <c r="CT21" s="1">
        <v>0.13687456606784951</v>
      </c>
      <c r="CU21" s="1">
        <v>0.21065653860891109</v>
      </c>
      <c r="CV21" s="1">
        <v>1.6310169514581481E-2</v>
      </c>
      <c r="CW21" s="1">
        <v>6.1053727957420548E-2</v>
      </c>
      <c r="CX21" s="1">
        <v>0.1481502908045049</v>
      </c>
      <c r="CY21" s="1">
        <v>-0.107892119457191</v>
      </c>
      <c r="CZ21" s="1">
        <v>5.7499263088511957E-2</v>
      </c>
      <c r="DA21" s="1">
        <v>0.22104856893023911</v>
      </c>
      <c r="DB21" s="1">
        <v>-0.28613845390130638</v>
      </c>
      <c r="DC21" s="1">
        <v>0.2038450395785098</v>
      </c>
      <c r="DD21" s="1">
        <v>4.4491239293829657E-2</v>
      </c>
      <c r="DE21" s="1">
        <v>3.2174511003490451E-3</v>
      </c>
      <c r="DF21" s="1">
        <v>2.1296342427166989E-2</v>
      </c>
      <c r="DG21" s="1">
        <v>-0.12649079783752129</v>
      </c>
      <c r="DH21" s="1">
        <v>-4.3220605483251413E-2</v>
      </c>
      <c r="DI21" s="1">
        <v>-5.8647033011268501E-2</v>
      </c>
      <c r="DJ21" s="1">
        <v>0.1167420239623989</v>
      </c>
      <c r="DK21" s="1">
        <v>-1.598428957466394E-2</v>
      </c>
      <c r="DL21" s="1">
        <v>2.7966293653361389E-2</v>
      </c>
      <c r="DM21" s="1">
        <v>-4.737444052605333E-2</v>
      </c>
      <c r="DN21" s="1">
        <v>-6.4781565625228341E-2</v>
      </c>
      <c r="DO21" s="1">
        <v>4.8705519860593828E-2</v>
      </c>
      <c r="DP21" s="1">
        <v>0.1021956741412227</v>
      </c>
      <c r="DQ21" s="1">
        <v>0.1112475064110796</v>
      </c>
      <c r="DR21" s="1">
        <v>-3.6135967237923741E-2</v>
      </c>
      <c r="DS21" s="1">
        <v>4.4918963151879987E-2</v>
      </c>
      <c r="DT21" s="1">
        <v>-1.3871028324111171E-2</v>
      </c>
      <c r="DU21" s="1">
        <v>0.1945194394629792</v>
      </c>
      <c r="DV21" s="1">
        <v>4.4761035644048652E-2</v>
      </c>
      <c r="DW21" s="1">
        <v>6.5081707721028684E-3</v>
      </c>
      <c r="DX21" s="1">
        <v>0.16203384986000591</v>
      </c>
      <c r="DY21" s="1">
        <v>0.15211940960448689</v>
      </c>
      <c r="DZ21" s="1">
        <v>6.2238674792957902E-2</v>
      </c>
      <c r="EA21" s="1">
        <v>7.8030582677855023E-2</v>
      </c>
      <c r="EB21" s="1">
        <v>0.12567599815114269</v>
      </c>
      <c r="EC21" s="1">
        <v>5.0761180852624002E-2</v>
      </c>
      <c r="ED21" s="1">
        <v>8.8697608071579781E-2</v>
      </c>
      <c r="EE21" s="1">
        <v>-2.2815885843912861E-2</v>
      </c>
      <c r="EF21" s="1">
        <v>-0.16823693539735851</v>
      </c>
      <c r="EG21" s="62">
        <f t="shared" si="0"/>
        <v>6.9196540504096959E-2</v>
      </c>
      <c r="EH21" s="30">
        <f t="shared" si="1"/>
        <v>0.11000364313080316</v>
      </c>
      <c r="EI21" s="62">
        <f t="shared" si="2"/>
        <v>0.62903862576457326</v>
      </c>
    </row>
    <row r="22" spans="1:139" ht="16">
      <c r="A22" s="6">
        <v>192</v>
      </c>
      <c r="B22" s="6">
        <v>5</v>
      </c>
      <c r="C22" s="9">
        <v>1.1241331728202891E-2</v>
      </c>
      <c r="D22" s="9">
        <v>0.22258639368877581</v>
      </c>
      <c r="E22" s="9">
        <v>0.1461249052642459</v>
      </c>
      <c r="F22" s="9">
        <v>0.2055312643331742</v>
      </c>
      <c r="G22" s="9">
        <v>0.30682915644010639</v>
      </c>
      <c r="H22" s="9">
        <v>-1.158302607857771E-2</v>
      </c>
      <c r="I22" s="9">
        <v>2.600524422150487E-2</v>
      </c>
      <c r="J22" s="9">
        <v>-4.2850734683614999E-2</v>
      </c>
      <c r="K22" s="9">
        <v>1.081142869253489E-2</v>
      </c>
      <c r="L22" s="2">
        <v>3.37033316959265E-2</v>
      </c>
      <c r="M22" s="2">
        <v>3.6795824585791469E-2</v>
      </c>
      <c r="N22" s="2">
        <v>0.16814358818954389</v>
      </c>
      <c r="O22" s="1">
        <v>-0.1176513472487886</v>
      </c>
      <c r="P22" s="1">
        <v>4.3138678888527522E-2</v>
      </c>
      <c r="Q22" s="1">
        <v>8.5412351000629466E-2</v>
      </c>
      <c r="R22" s="1">
        <v>-2.9490570330360569E-2</v>
      </c>
      <c r="S22" s="1">
        <v>0.1217539554294771</v>
      </c>
      <c r="T22" s="1">
        <v>0.25442141520409811</v>
      </c>
      <c r="U22" s="1">
        <v>3.0971912649660639E-2</v>
      </c>
      <c r="V22" s="1">
        <v>0.2455361193394951</v>
      </c>
      <c r="W22" s="1">
        <v>0.22644366208310149</v>
      </c>
      <c r="X22" s="1">
        <v>0.22338310742813761</v>
      </c>
      <c r="Y22" s="1">
        <v>8.1111124604062321E-2</v>
      </c>
      <c r="Z22" s="1">
        <v>0.11896327075382759</v>
      </c>
      <c r="AA22" s="1">
        <v>0.1234903732026795</v>
      </c>
      <c r="AB22" s="1">
        <v>7.4439457921783442E-2</v>
      </c>
      <c r="AC22" s="1">
        <v>0.15288960065399201</v>
      </c>
      <c r="AD22" s="1">
        <v>0.11884884433340891</v>
      </c>
      <c r="AE22" s="1">
        <v>0.16122120715511101</v>
      </c>
      <c r="AF22" s="1">
        <v>0.30610802646847629</v>
      </c>
      <c r="AG22" s="1">
        <v>-3.216324888167648E-2</v>
      </c>
      <c r="AH22" s="1">
        <v>0.40875759967668329</v>
      </c>
      <c r="AI22" s="1">
        <v>8.3279353750723401E-2</v>
      </c>
      <c r="AJ22" s="1">
        <v>6.3529246121894561E-2</v>
      </c>
      <c r="AK22" s="1">
        <v>3.1722913362905038E-2</v>
      </c>
      <c r="AL22" s="1">
        <v>0.15473446823542039</v>
      </c>
      <c r="AM22" s="1">
        <v>4.3441575001793763E-2</v>
      </c>
      <c r="AN22" s="1">
        <v>-3.4444518988845471E-2</v>
      </c>
      <c r="AO22" s="1">
        <v>-4.9108294639399641E-2</v>
      </c>
      <c r="AP22" s="1">
        <v>9.8230924720809909E-2</v>
      </c>
      <c r="AQ22" s="1">
        <v>0.14450642807942901</v>
      </c>
      <c r="AR22" s="1">
        <v>-2.9738999850300981E-2</v>
      </c>
      <c r="AS22" s="1">
        <v>1.701281561705845E-2</v>
      </c>
      <c r="AT22" s="1">
        <v>0.19326334450039509</v>
      </c>
      <c r="AU22" s="1">
        <v>0.14307264092716551</v>
      </c>
      <c r="AV22" s="1">
        <v>-6.0817681851066882E-2</v>
      </c>
      <c r="AW22" s="1">
        <v>0.25381485933307829</v>
      </c>
      <c r="AX22" s="1">
        <v>3.9045493797984783E-2</v>
      </c>
      <c r="AY22" s="1">
        <v>0.35493547515032742</v>
      </c>
      <c r="AZ22" s="1">
        <v>0.15627400770666389</v>
      </c>
      <c r="BA22" s="1">
        <v>0.1020775703207792</v>
      </c>
      <c r="BB22" s="1">
        <v>0.21383470399596899</v>
      </c>
      <c r="BC22" s="1">
        <v>8.6816751365313985E-2</v>
      </c>
      <c r="BD22" s="1">
        <v>-1.1308295386238161E-2</v>
      </c>
      <c r="BE22" s="1">
        <v>-9.8278374734355731E-2</v>
      </c>
      <c r="BF22" s="1">
        <v>5.9849353508696912E-2</v>
      </c>
      <c r="BG22" s="1">
        <v>5.6039328898285813E-2</v>
      </c>
      <c r="BH22" s="1">
        <v>7.1499986758605055E-2</v>
      </c>
      <c r="BI22" s="1">
        <v>0.14046892500037311</v>
      </c>
      <c r="BJ22" s="1">
        <v>4.9139783811273992E-2</v>
      </c>
      <c r="BK22" s="1">
        <v>-0.1025982841544454</v>
      </c>
      <c r="BL22" s="1">
        <v>1.784798208831222E-2</v>
      </c>
      <c r="BM22" s="1">
        <v>9.4222031483192966E-3</v>
      </c>
      <c r="BN22" s="1">
        <v>0.23666855478229931</v>
      </c>
      <c r="BO22" s="1">
        <v>6.5655954031279828E-2</v>
      </c>
      <c r="BP22" s="1">
        <v>0.1992288234843673</v>
      </c>
      <c r="BQ22" s="1">
        <v>-4.08674740310963E-2</v>
      </c>
      <c r="BR22" s="1">
        <v>0.21419005807673269</v>
      </c>
      <c r="BS22" s="1">
        <v>-3.2536197724856143E-2</v>
      </c>
      <c r="BT22" s="1">
        <v>-9.6530501214455888E-2</v>
      </c>
      <c r="BU22" s="1">
        <v>-4.0683597104934813E-2</v>
      </c>
      <c r="BV22" s="1">
        <v>0.1294376780812832</v>
      </c>
      <c r="BW22" s="1">
        <v>0.35182955004840472</v>
      </c>
      <c r="BX22" s="1">
        <v>-2.018346044885895E-2</v>
      </c>
      <c r="BY22" s="1">
        <v>-9.2947883410897658E-3</v>
      </c>
      <c r="BZ22" s="1">
        <v>2.6249798759356711E-2</v>
      </c>
      <c r="CA22" s="1">
        <v>2.4248534739425901E-2</v>
      </c>
      <c r="CB22" s="1">
        <v>-1.077551010283638E-4</v>
      </c>
      <c r="CC22" s="1">
        <v>-0.1014293809649939</v>
      </c>
      <c r="CD22" s="1">
        <v>-2.3208029400854171E-2</v>
      </c>
      <c r="CE22" s="1">
        <v>0.1137684736196253</v>
      </c>
      <c r="CF22" s="1">
        <v>1.4094959264409941E-2</v>
      </c>
      <c r="CG22" s="1">
        <v>0.1089906224514005</v>
      </c>
      <c r="CH22" s="1">
        <v>9.9095897261553517E-2</v>
      </c>
      <c r="CI22" s="1">
        <v>0.18285071492314811</v>
      </c>
      <c r="CJ22" s="1">
        <v>0.15596956294007211</v>
      </c>
      <c r="CK22" s="1">
        <v>9.5139694221726551E-3</v>
      </c>
      <c r="CL22" s="1">
        <v>5.9102170705890737E-2</v>
      </c>
      <c r="CM22" s="1">
        <v>-7.9454727181336005E-2</v>
      </c>
      <c r="CN22" s="1">
        <v>0.36508131914910741</v>
      </c>
      <c r="CO22" s="1">
        <v>0.2142690534942551</v>
      </c>
      <c r="CP22" s="1">
        <v>0.15666075519518291</v>
      </c>
      <c r="CQ22" s="1">
        <v>7.4302629585178678E-2</v>
      </c>
      <c r="CR22" s="1">
        <v>0.1478327434957159</v>
      </c>
      <c r="CS22" s="1">
        <v>-9.3425970307714656E-2</v>
      </c>
      <c r="CT22" s="1">
        <v>0.1105439599314075</v>
      </c>
      <c r="CU22" s="1">
        <v>0.18953195041030249</v>
      </c>
      <c r="CV22" s="1">
        <v>2.7137038786896849E-2</v>
      </c>
      <c r="CW22" s="1">
        <v>7.9694705727188522E-2</v>
      </c>
      <c r="CX22" s="1">
        <v>0.14515418799986671</v>
      </c>
      <c r="CY22" s="1">
        <v>-0.1009666571118235</v>
      </c>
      <c r="CZ22" s="1">
        <v>1.306263386233056E-2</v>
      </c>
      <c r="DA22" s="1">
        <v>0.13166377310952099</v>
      </c>
      <c r="DB22" s="1">
        <v>-0.38248992026639161</v>
      </c>
      <c r="DC22" s="1">
        <v>0.14083519739521891</v>
      </c>
      <c r="DD22" s="1">
        <v>5.9499809643827978E-2</v>
      </c>
      <c r="DE22" s="1">
        <v>-3.5624449211750231E-2</v>
      </c>
      <c r="DF22" s="1">
        <v>4.5499958490798388E-2</v>
      </c>
      <c r="DG22" s="1">
        <v>-0.1240733079841211</v>
      </c>
      <c r="DH22" s="1">
        <v>-4.8058412185503073E-2</v>
      </c>
      <c r="DI22" s="1">
        <v>-7.4248335592093345E-2</v>
      </c>
      <c r="DJ22" s="1">
        <v>0.1703364595388468</v>
      </c>
      <c r="DK22" s="1">
        <v>-2.0765658487994779E-2</v>
      </c>
      <c r="DL22" s="1">
        <v>1.023361913433019E-2</v>
      </c>
      <c r="DM22" s="1">
        <v>-0.12382429442045451</v>
      </c>
      <c r="DN22" s="1">
        <v>-5.085232627282512E-2</v>
      </c>
      <c r="DO22" s="1">
        <v>4.9820854676895968E-2</v>
      </c>
      <c r="DP22" s="1">
        <v>7.1459179027656111E-2</v>
      </c>
      <c r="DQ22" s="1">
        <v>0.1346307589015816</v>
      </c>
      <c r="DR22" s="1">
        <v>-2.8803114477104659E-2</v>
      </c>
      <c r="DS22" s="1">
        <v>-6.9792757898282515E-2</v>
      </c>
      <c r="DT22" s="1">
        <v>-8.860726929473331E-3</v>
      </c>
      <c r="DU22" s="1">
        <v>0.27264432784194559</v>
      </c>
      <c r="DV22" s="1">
        <v>4.1075837360377093E-2</v>
      </c>
      <c r="DW22" s="1">
        <v>1.670731422800914E-2</v>
      </c>
      <c r="DX22" s="1">
        <v>0.21065666614064579</v>
      </c>
      <c r="DY22" s="1">
        <v>0.1874018300391932</v>
      </c>
      <c r="DZ22" s="1">
        <v>2.701607276859027E-2</v>
      </c>
      <c r="EA22" s="1">
        <v>1.7772342320156089E-2</v>
      </c>
      <c r="EB22" s="1">
        <v>0.21024948868647039</v>
      </c>
      <c r="EC22" s="1">
        <v>5.9624151782464933E-2</v>
      </c>
      <c r="ED22" s="1">
        <v>0.1250663854846884</v>
      </c>
      <c r="EE22" s="1">
        <v>-2.0017587297018819E-2</v>
      </c>
      <c r="EF22" s="1">
        <v>-0.2095417424669202</v>
      </c>
      <c r="EG22" s="62">
        <f t="shared" si="0"/>
        <v>7.1412008122268333E-2</v>
      </c>
      <c r="EH22" s="30">
        <f t="shared" si="1"/>
        <v>0.12134692971669268</v>
      </c>
      <c r="EI22" s="62">
        <f t="shared" si="2"/>
        <v>0.58849456091714181</v>
      </c>
    </row>
    <row r="23" spans="1:139" ht="16">
      <c r="A23" s="6">
        <v>241</v>
      </c>
      <c r="B23" s="6">
        <v>4</v>
      </c>
      <c r="C23" s="9">
        <v>1.038483447742689E-2</v>
      </c>
      <c r="D23" s="9">
        <v>0.32500828164220219</v>
      </c>
      <c r="E23" s="9">
        <v>4.3717554879721017E-2</v>
      </c>
      <c r="F23" s="9">
        <v>0.18403858160612999</v>
      </c>
      <c r="G23" s="9">
        <v>0.27573235068223639</v>
      </c>
      <c r="H23" s="9">
        <v>3.7844077028292407E-2</v>
      </c>
      <c r="I23" s="9">
        <v>5.5402396970211473E-2</v>
      </c>
      <c r="J23" s="9">
        <v>-3.942239298730299E-2</v>
      </c>
      <c r="K23" s="9">
        <v>5.7512013387862448E-3</v>
      </c>
      <c r="L23" s="2">
        <v>0.1180621174112165</v>
      </c>
      <c r="M23" s="2">
        <v>-1.282315189514275E-3</v>
      </c>
      <c r="N23" s="2">
        <v>0.13905067586079981</v>
      </c>
      <c r="O23" s="1">
        <v>-8.0960975875318586E-2</v>
      </c>
      <c r="P23" s="1">
        <v>3.9891722860102737E-2</v>
      </c>
      <c r="Q23" s="1">
        <v>0.1215752646551497</v>
      </c>
      <c r="R23" s="1">
        <v>1.0488576499713201E-2</v>
      </c>
      <c r="S23" s="1">
        <v>0.16387615472526021</v>
      </c>
      <c r="T23" s="1">
        <v>0.2707611725531775</v>
      </c>
      <c r="U23" s="1">
        <v>3.26115808486101E-2</v>
      </c>
      <c r="V23" s="1">
        <v>0.25006427983452312</v>
      </c>
      <c r="W23" s="1">
        <v>0.32292054868818693</v>
      </c>
      <c r="X23" s="1">
        <v>0.26892829504619692</v>
      </c>
      <c r="Y23" s="1">
        <v>0.1370049722203788</v>
      </c>
      <c r="Z23" s="1">
        <v>0.13621156211496441</v>
      </c>
      <c r="AA23" s="1">
        <v>0.1124086659918965</v>
      </c>
      <c r="AB23" s="1">
        <v>8.4785255016709138E-2</v>
      </c>
      <c r="AC23" s="1">
        <v>0.2289600151645346</v>
      </c>
      <c r="AD23" s="1">
        <v>0.10394717497661431</v>
      </c>
      <c r="AE23" s="1">
        <v>0.12810497879624591</v>
      </c>
      <c r="AF23" s="1">
        <v>0.27660031573424332</v>
      </c>
      <c r="AG23" s="1">
        <v>-1.10465721064439E-2</v>
      </c>
      <c r="AH23" s="1">
        <v>0.51867459485434808</v>
      </c>
      <c r="AI23" s="1">
        <v>6.7729680595151026E-2</v>
      </c>
      <c r="AJ23" s="1">
        <v>3.8083447132579287E-2</v>
      </c>
      <c r="AK23" s="1">
        <v>4.0757396255910468E-2</v>
      </c>
      <c r="AL23" s="1">
        <v>0.1317523363182283</v>
      </c>
      <c r="AM23" s="1">
        <v>9.1598169549742189E-2</v>
      </c>
      <c r="AN23" s="1">
        <v>-2.1789029545820651E-2</v>
      </c>
      <c r="AO23" s="1">
        <v>-8.5567774913887312E-2</v>
      </c>
      <c r="AP23" s="1">
        <v>0.14197096868521961</v>
      </c>
      <c r="AQ23" s="1">
        <v>8.5370900112243742E-2</v>
      </c>
      <c r="AR23" s="1">
        <v>-3.4197900630824132E-2</v>
      </c>
      <c r="AS23" s="1">
        <v>-2.278513235925907E-2</v>
      </c>
      <c r="AT23" s="1">
        <v>0.1905267472355692</v>
      </c>
      <c r="AU23" s="1">
        <v>6.3455329613280029E-2</v>
      </c>
      <c r="AV23" s="1">
        <v>-9.0416840281829405E-2</v>
      </c>
      <c r="AW23" s="1">
        <v>0.31856931689645579</v>
      </c>
      <c r="AX23" s="1">
        <v>-2.7707290116822981E-2</v>
      </c>
      <c r="AY23" s="1">
        <v>0.31298445589067447</v>
      </c>
      <c r="AZ23" s="1">
        <v>9.3059394128593209E-2</v>
      </c>
      <c r="BA23" s="1">
        <v>1.9293207635707351E-2</v>
      </c>
      <c r="BB23" s="1">
        <v>0.1717171351780464</v>
      </c>
      <c r="BC23" s="1">
        <v>0.1119733108658177</v>
      </c>
      <c r="BD23" s="1">
        <v>-3.0287979307913451E-2</v>
      </c>
      <c r="BE23" s="1">
        <v>-0.13674535590796441</v>
      </c>
      <c r="BF23" s="1">
        <v>-1.4405499054857549E-3</v>
      </c>
      <c r="BG23" s="1">
        <v>8.8386261553480838E-3</v>
      </c>
      <c r="BH23" s="1">
        <v>-4.0067581156309762E-3</v>
      </c>
      <c r="BI23" s="1">
        <v>0.1075240100569517</v>
      </c>
      <c r="BJ23" s="1">
        <v>3.1982514410992063E-2</v>
      </c>
      <c r="BK23" s="1">
        <v>-8.2973161890065844E-2</v>
      </c>
      <c r="BL23" s="1">
        <v>5.1745482427973138E-2</v>
      </c>
      <c r="BM23" s="1">
        <v>2.8428272159928252E-3</v>
      </c>
      <c r="BN23" s="1">
        <v>0.2411820841267357</v>
      </c>
      <c r="BO23" s="1">
        <v>7.4350173583755619E-2</v>
      </c>
      <c r="BP23" s="1">
        <v>0.20473421562728139</v>
      </c>
      <c r="BQ23" s="1">
        <v>-5.4916868212703543E-2</v>
      </c>
      <c r="BR23" s="1">
        <v>0.28727554131239991</v>
      </c>
      <c r="BS23" s="1">
        <v>-6.5741820960347419E-2</v>
      </c>
      <c r="BT23" s="1">
        <v>-9.2952203348257254E-2</v>
      </c>
      <c r="BU23" s="1">
        <v>1.299660700193926E-2</v>
      </c>
      <c r="BV23" s="1">
        <v>0.18815701204098079</v>
      </c>
      <c r="BW23" s="1">
        <v>0.18446067072040909</v>
      </c>
      <c r="BX23" s="1">
        <v>-3.0042882303696811E-2</v>
      </c>
      <c r="BY23" s="1">
        <v>-0.1212832510182696</v>
      </c>
      <c r="BZ23" s="1">
        <v>0.24397093419112581</v>
      </c>
      <c r="CA23" s="1">
        <v>3.8078939475266402E-2</v>
      </c>
      <c r="CB23" s="1">
        <v>7.3466099404929153E-2</v>
      </c>
      <c r="CC23" s="1">
        <v>-5.3307577939454079E-2</v>
      </c>
      <c r="CD23" s="1">
        <v>4.2417527164828614E-3</v>
      </c>
      <c r="CE23" s="1">
        <v>0.14537496044398809</v>
      </c>
      <c r="CF23" s="1">
        <v>1.7618699080512421E-2</v>
      </c>
      <c r="CG23" s="1">
        <v>0.1322594222365932</v>
      </c>
      <c r="CH23" s="1">
        <v>2.2196870690250749E-3</v>
      </c>
      <c r="CI23" s="1">
        <v>0.1515396513783959</v>
      </c>
      <c r="CJ23" s="1">
        <v>7.5528008718936751E-2</v>
      </c>
      <c r="CK23" s="1">
        <v>5.3693873213358598E-2</v>
      </c>
      <c r="CL23" s="1">
        <v>0.18260056929965299</v>
      </c>
      <c r="CM23" s="1">
        <v>-6.2994332860424385E-2</v>
      </c>
      <c r="CN23" s="1">
        <v>0.30375509641254728</v>
      </c>
      <c r="CO23" s="1">
        <v>0.22242558921040251</v>
      </c>
      <c r="CP23" s="1">
        <v>9.8307306124050364E-2</v>
      </c>
      <c r="CQ23" s="1">
        <v>0.1210733800567444</v>
      </c>
      <c r="CR23" s="1">
        <v>0.11542004412777</v>
      </c>
      <c r="CS23" s="1">
        <v>-5.378291563681669E-2</v>
      </c>
      <c r="CT23" s="1">
        <v>6.7240263303585054E-2</v>
      </c>
      <c r="CU23" s="1">
        <v>0.23308971498903619</v>
      </c>
      <c r="CV23" s="1">
        <v>5.6706712346363708E-2</v>
      </c>
      <c r="CW23" s="1">
        <v>8.1174069603073357E-2</v>
      </c>
      <c r="CX23" s="1">
        <v>0.15696884691161159</v>
      </c>
      <c r="CY23" s="1">
        <v>-0.15245230624531919</v>
      </c>
      <c r="CZ23" s="1">
        <v>1.3847206411700621E-2</v>
      </c>
      <c r="DA23" s="1">
        <v>0.1180026704017608</v>
      </c>
      <c r="DB23" s="1">
        <v>-0.47235073547067691</v>
      </c>
      <c r="DC23" s="1">
        <v>0.17680626239107389</v>
      </c>
      <c r="DD23" s="1">
        <v>7.5397995815565541E-2</v>
      </c>
      <c r="DE23" s="1">
        <v>-1.1812776202459461E-3</v>
      </c>
      <c r="DF23" s="1">
        <v>0.1488089024897431</v>
      </c>
      <c r="DG23" s="1">
        <v>-0.14818493113172959</v>
      </c>
      <c r="DH23" s="1">
        <v>1.0355571501857411E-2</v>
      </c>
      <c r="DI23" s="1">
        <v>-9.0149202717820648E-2</v>
      </c>
      <c r="DJ23" s="1">
        <v>0.2068253452789777</v>
      </c>
      <c r="DK23" s="1">
        <v>-2.0966062152018541E-2</v>
      </c>
      <c r="DL23" s="1">
        <v>-4.6592571266284202E-2</v>
      </c>
      <c r="DM23" s="1">
        <v>-4.0529259766685262E-2</v>
      </c>
      <c r="DN23" s="1">
        <v>2.3084439456485951E-2</v>
      </c>
      <c r="DO23" s="1">
        <v>-1.8558809057787451E-2</v>
      </c>
      <c r="DP23" s="1">
        <v>5.1127087350032199E-2</v>
      </c>
      <c r="DQ23" s="1">
        <v>8.6895180726389187E-2</v>
      </c>
      <c r="DR23" s="1">
        <v>-4.6224820222538918E-2</v>
      </c>
      <c r="DS23" s="1">
        <v>-8.4605433605535907E-2</v>
      </c>
      <c r="DT23" s="1">
        <v>3.5339622819039157E-2</v>
      </c>
      <c r="DU23" s="1">
        <v>0.3398066388575679</v>
      </c>
      <c r="DV23" s="1">
        <v>-8.1659281235947831E-3</v>
      </c>
      <c r="DW23" s="1">
        <v>-5.3584292918368449E-2</v>
      </c>
      <c r="DX23" s="1">
        <v>0.25082647091319582</v>
      </c>
      <c r="DY23" s="1">
        <v>0.22566188118798919</v>
      </c>
      <c r="DZ23" s="1">
        <v>2.881750499782193E-2</v>
      </c>
      <c r="EA23" s="1">
        <v>1.800016614023979E-3</v>
      </c>
      <c r="EB23" s="1">
        <v>0.23519828350796679</v>
      </c>
      <c r="EC23" s="1">
        <v>0.13202662911752441</v>
      </c>
      <c r="ED23" s="1">
        <v>0.1914369840557387</v>
      </c>
      <c r="EE23" s="1">
        <v>1.095594540687448E-2</v>
      </c>
      <c r="EF23" s="1">
        <v>-0.17865427963298861</v>
      </c>
      <c r="EG23" s="62">
        <f t="shared" si="0"/>
        <v>7.4997471877022312E-2</v>
      </c>
      <c r="EH23" s="30">
        <f t="shared" si="1"/>
        <v>0.13138617494068747</v>
      </c>
      <c r="EI23" s="62">
        <f t="shared" si="2"/>
        <v>0.57081707349254152</v>
      </c>
    </row>
    <row r="24" spans="1:139" ht="16">
      <c r="A24" s="6">
        <v>321</v>
      </c>
      <c r="B24" s="6">
        <v>3</v>
      </c>
      <c r="C24" s="9">
        <v>2.5922326608526759E-2</v>
      </c>
      <c r="D24" s="9">
        <v>0.41742192464002892</v>
      </c>
      <c r="E24" s="9">
        <v>2.2230412259238129E-2</v>
      </c>
      <c r="F24" s="9">
        <v>6.7831060921277567E-2</v>
      </c>
      <c r="G24" s="9">
        <v>0.16821807859567631</v>
      </c>
      <c r="H24" s="9">
        <v>0.22980554449140059</v>
      </c>
      <c r="I24" s="9">
        <v>5.2519943664693938E-2</v>
      </c>
      <c r="J24" s="9">
        <v>-7.977668271164251E-3</v>
      </c>
      <c r="K24" s="9">
        <v>9.7392053558472257E-3</v>
      </c>
      <c r="L24" s="2">
        <v>0.13120749073770821</v>
      </c>
      <c r="M24" s="2">
        <v>-4.5551595819490587E-2</v>
      </c>
      <c r="N24" s="2">
        <v>9.8030860807632764E-2</v>
      </c>
      <c r="O24" s="1">
        <v>-0.1297081749736933</v>
      </c>
      <c r="P24" s="1">
        <v>4.28584885189899E-2</v>
      </c>
      <c r="Q24" s="1">
        <v>0.17045618637125931</v>
      </c>
      <c r="R24" s="1">
        <v>2.2808642248719192E-2</v>
      </c>
      <c r="S24" s="1">
        <v>0.20635452669209531</v>
      </c>
      <c r="T24" s="1">
        <v>0.23665935153756179</v>
      </c>
      <c r="U24" s="1">
        <v>2.569714335763118E-2</v>
      </c>
      <c r="V24" s="1">
        <v>0.2011451024221198</v>
      </c>
      <c r="W24" s="1">
        <v>0.34619348529924859</v>
      </c>
      <c r="X24" s="1">
        <v>0.37472541819480099</v>
      </c>
      <c r="Y24" s="1">
        <v>0.13082499827218749</v>
      </c>
      <c r="Z24" s="1">
        <v>0.1446270696508889</v>
      </c>
      <c r="AA24" s="1">
        <v>2.7557701981985469E-2</v>
      </c>
      <c r="AB24" s="1">
        <v>6.5201125110941421E-2</v>
      </c>
      <c r="AC24" s="1">
        <v>0.3051167581115759</v>
      </c>
      <c r="AD24" s="1">
        <v>6.3937155947890012E-2</v>
      </c>
      <c r="AE24" s="1">
        <v>0.13082384281633419</v>
      </c>
      <c r="AF24" s="1">
        <v>0.15532320335718661</v>
      </c>
      <c r="AG24" s="1">
        <v>-1.0812100566842311E-2</v>
      </c>
      <c r="AH24" s="1">
        <v>0.60992565399695797</v>
      </c>
      <c r="AI24" s="1">
        <v>6.7392901011186057E-2</v>
      </c>
      <c r="AJ24" s="1">
        <v>2.398933833366089E-2</v>
      </c>
      <c r="AK24" s="1">
        <v>3.8889399011115988E-2</v>
      </c>
      <c r="AL24" s="1">
        <v>0.1162096259040736</v>
      </c>
      <c r="AM24" s="1">
        <v>0.1129979013369514</v>
      </c>
      <c r="AN24" s="1">
        <v>-2.7860566885395861E-2</v>
      </c>
      <c r="AO24" s="1">
        <v>-0.1581528752937269</v>
      </c>
      <c r="AP24" s="1">
        <v>0.18351529094570149</v>
      </c>
      <c r="AQ24" s="1">
        <v>7.8650053157339195E-3</v>
      </c>
      <c r="AR24" s="1">
        <v>-0.10818370054823639</v>
      </c>
      <c r="AS24" s="1">
        <v>1.0010713955008471E-2</v>
      </c>
      <c r="AT24" s="1">
        <v>0.2096019064782122</v>
      </c>
      <c r="AU24" s="1">
        <v>0.1099145973181844</v>
      </c>
      <c r="AV24" s="1">
        <v>-0.13130381470607411</v>
      </c>
      <c r="AW24" s="1">
        <v>0.4034837721474766</v>
      </c>
      <c r="AX24" s="1">
        <v>-1.5941445379236269E-2</v>
      </c>
      <c r="AY24" s="1">
        <v>0.30688012293046418</v>
      </c>
      <c r="AZ24" s="1">
        <v>0.2274854962334536</v>
      </c>
      <c r="BA24" s="1">
        <v>4.9176939747220441E-2</v>
      </c>
      <c r="BB24" s="1">
        <v>0.23029086022047859</v>
      </c>
      <c r="BC24" s="1">
        <v>0.1627625817334834</v>
      </c>
      <c r="BD24" s="1">
        <v>-5.8336354641560839E-2</v>
      </c>
      <c r="BE24" s="1">
        <v>-0.12806788396565999</v>
      </c>
      <c r="BF24" s="1">
        <v>-0.10506563388419229</v>
      </c>
      <c r="BG24" s="1">
        <v>6.8467457805373472E-2</v>
      </c>
      <c r="BH24" s="1">
        <v>6.8057647649857028E-2</v>
      </c>
      <c r="BI24" s="1">
        <v>0.11826475467550771</v>
      </c>
      <c r="BJ24" s="1">
        <v>-1.023397544910358E-2</v>
      </c>
      <c r="BK24" s="1">
        <v>-2.085475532976656E-2</v>
      </c>
      <c r="BL24" s="1">
        <v>5.084259546719317E-2</v>
      </c>
      <c r="BM24" s="1">
        <v>-5.5446908264472988E-2</v>
      </c>
      <c r="BN24" s="1">
        <v>0.20235492827623591</v>
      </c>
      <c r="BO24" s="1">
        <v>9.6567134905796839E-2</v>
      </c>
      <c r="BP24" s="1">
        <v>0.23915209849178731</v>
      </c>
      <c r="BQ24" s="1">
        <v>-0.1206327991317408</v>
      </c>
      <c r="BR24" s="1">
        <v>0.37344456905648932</v>
      </c>
      <c r="BS24" s="1">
        <v>-9.7047589704545023E-2</v>
      </c>
      <c r="BT24" s="1">
        <v>6.7143215417725319E-2</v>
      </c>
      <c r="BU24" s="1">
        <v>4.0368468589877637E-2</v>
      </c>
      <c r="BV24" s="1">
        <v>0.2191206056967574</v>
      </c>
      <c r="BW24" s="1">
        <v>0.1321717915357814</v>
      </c>
      <c r="BX24" s="1">
        <v>-5.4086914276141533E-2</v>
      </c>
      <c r="BY24" s="1">
        <v>-0.23789165357888539</v>
      </c>
      <c r="BZ24" s="1">
        <v>9.4846274132618008E-2</v>
      </c>
      <c r="CA24" s="1">
        <v>6.3406764064362658E-2</v>
      </c>
      <c r="CB24" s="1">
        <v>6.3604269539688812E-2</v>
      </c>
      <c r="CC24" s="1">
        <v>2.243146575298537E-2</v>
      </c>
      <c r="CD24" s="1">
        <v>-4.5246541796364392E-2</v>
      </c>
      <c r="CE24" s="1">
        <v>0.13394243105119161</v>
      </c>
      <c r="CF24" s="1">
        <v>1.1724243004556561E-2</v>
      </c>
      <c r="CG24" s="1">
        <v>0.13432332595398</v>
      </c>
      <c r="CH24" s="1">
        <v>2.8602002066367978E-2</v>
      </c>
      <c r="CI24" s="1">
        <v>6.6530984961383405E-2</v>
      </c>
      <c r="CJ24" s="1">
        <v>5.6504407948129547E-2</v>
      </c>
      <c r="CK24" s="1">
        <v>4.6159646744123171E-2</v>
      </c>
      <c r="CL24" s="1">
        <v>0.40534033607402992</v>
      </c>
      <c r="CM24" s="1">
        <v>-4.64412789746977E-2</v>
      </c>
      <c r="CN24" s="1">
        <v>0.3421646032751462</v>
      </c>
      <c r="CO24" s="1">
        <v>0.24974639966885989</v>
      </c>
      <c r="CP24" s="1">
        <v>0.17184373314239881</v>
      </c>
      <c r="CQ24" s="1">
        <v>0.16015078529955001</v>
      </c>
      <c r="CR24" s="1">
        <v>8.263560449481834E-2</v>
      </c>
      <c r="CS24" s="1">
        <v>-0.1104063686998898</v>
      </c>
      <c r="CT24" s="1">
        <v>0.1177315208897074</v>
      </c>
      <c r="CU24" s="1">
        <v>0.21647041996501859</v>
      </c>
      <c r="CV24" s="1">
        <v>4.6660081039862578E-2</v>
      </c>
      <c r="CW24" s="1">
        <v>1.6559054689718921E-2</v>
      </c>
      <c r="CX24" s="1">
        <v>5.4293295473803682E-2</v>
      </c>
      <c r="CY24" s="1">
        <v>-0.16243986871344671</v>
      </c>
      <c r="CZ24" s="1">
        <v>7.58724644113902E-3</v>
      </c>
      <c r="DA24" s="1">
        <v>0.22724284694565211</v>
      </c>
      <c r="DB24" s="1">
        <v>-0.59337517172623166</v>
      </c>
      <c r="DC24" s="1">
        <v>0.19207746504868889</v>
      </c>
      <c r="DD24" s="1">
        <v>0.13700972598687911</v>
      </c>
      <c r="DE24" s="1">
        <v>-8.9808455898488973E-2</v>
      </c>
      <c r="DF24" s="1">
        <v>9.7071705636226913E-2</v>
      </c>
      <c r="DG24" s="1">
        <v>-8.8121410503063616E-2</v>
      </c>
      <c r="DH24" s="1">
        <v>-3.4688752429190083E-2</v>
      </c>
      <c r="DI24" s="1">
        <v>-8.1105543840270106E-2</v>
      </c>
      <c r="DJ24" s="1">
        <v>0.18674152959776441</v>
      </c>
      <c r="DK24" s="1">
        <v>-2.3346176632961561E-2</v>
      </c>
      <c r="DL24" s="1">
        <v>3.2563908339568459E-2</v>
      </c>
      <c r="DM24" s="1">
        <v>-1.8313226735953599E-2</v>
      </c>
      <c r="DN24" s="1">
        <v>-2.6961744787839938E-2</v>
      </c>
      <c r="DO24" s="1">
        <v>2.3768668287448849E-2</v>
      </c>
      <c r="DP24" s="1">
        <v>5.1378437677635828E-2</v>
      </c>
      <c r="DQ24" s="1">
        <v>0.15247422230191529</v>
      </c>
      <c r="DR24" s="1">
        <v>-5.7879300205872203E-2</v>
      </c>
      <c r="DS24" s="1">
        <v>-0.12952383936920511</v>
      </c>
      <c r="DT24" s="1">
        <v>9.0306123837247426E-2</v>
      </c>
      <c r="DU24" s="1">
        <v>0.37526887234197209</v>
      </c>
      <c r="DV24" s="1">
        <v>3.3782386809592529E-3</v>
      </c>
      <c r="DW24" s="1">
        <v>-5.3132475378432263E-2</v>
      </c>
      <c r="DX24" s="1">
        <v>0.34869508967062701</v>
      </c>
      <c r="DY24" s="1">
        <v>0.31775437236448251</v>
      </c>
      <c r="DZ24" s="1">
        <v>6.0848987048616847E-2</v>
      </c>
      <c r="EA24" s="1">
        <v>1.5406586049626079E-2</v>
      </c>
      <c r="EB24" s="1">
        <v>0.21821707141831539</v>
      </c>
      <c r="EC24" s="1">
        <v>0.12589599204069071</v>
      </c>
      <c r="ED24" s="1">
        <v>0.20723115966531641</v>
      </c>
      <c r="EE24" s="1">
        <v>3.5899357196068807E-2</v>
      </c>
      <c r="EF24" s="1">
        <v>-0.1611462010182779</v>
      </c>
      <c r="EG24" s="62">
        <f t="shared" si="0"/>
        <v>7.9604335153658348E-2</v>
      </c>
      <c r="EH24" s="30">
        <f t="shared" si="1"/>
        <v>0.15374782605084023</v>
      </c>
      <c r="EI24" s="62">
        <f t="shared" si="2"/>
        <v>0.51775909421532473</v>
      </c>
    </row>
    <row r="25" spans="1:139" ht="16">
      <c r="A25" s="6">
        <v>482</v>
      </c>
      <c r="B25" s="6">
        <v>2</v>
      </c>
      <c r="C25" s="9">
        <v>3.1325684581971477E-2</v>
      </c>
      <c r="D25" s="9">
        <v>-8.8966622734356765E-2</v>
      </c>
      <c r="E25" s="9">
        <v>1.5061587686965401E-2</v>
      </c>
      <c r="F25" s="9">
        <v>0.1823960753208787</v>
      </c>
      <c r="G25" s="9">
        <v>0.1360338718362685</v>
      </c>
      <c r="H25" s="9">
        <v>0.2628102412014528</v>
      </c>
      <c r="I25" s="9">
        <v>5.304524788230075E-2</v>
      </c>
      <c r="J25" s="9">
        <v>6.8112854823898339E-2</v>
      </c>
      <c r="K25" s="9">
        <v>4.5734091523975437E-2</v>
      </c>
      <c r="L25" s="2">
        <v>8.4494633965416704E-2</v>
      </c>
      <c r="M25" s="2">
        <v>-0.1025638002242181</v>
      </c>
      <c r="N25" s="2">
        <v>0.12680001369232849</v>
      </c>
      <c r="O25" s="1">
        <v>-0.11749233834479331</v>
      </c>
      <c r="P25" s="1">
        <v>1.068350475974675E-2</v>
      </c>
      <c r="Q25" s="1">
        <v>0.20986705163822811</v>
      </c>
      <c r="R25" s="1">
        <v>-8.5049777354503225E-3</v>
      </c>
      <c r="S25" s="1">
        <v>0.23955554684871089</v>
      </c>
      <c r="T25" s="1">
        <v>0.19439364786394209</v>
      </c>
      <c r="U25" s="1">
        <v>7.9732252342084253E-2</v>
      </c>
      <c r="V25" s="1">
        <v>0.15106906895084249</v>
      </c>
      <c r="W25" s="1">
        <v>0.50391933118531074</v>
      </c>
      <c r="X25" s="1">
        <v>0.25870299994157397</v>
      </c>
      <c r="Y25" s="1">
        <v>0.19511089219450081</v>
      </c>
      <c r="Z25" s="1">
        <v>0.115374630712771</v>
      </c>
      <c r="AA25" s="1">
        <v>1.5120525002932711E-2</v>
      </c>
      <c r="AB25" s="1">
        <v>9.6909287110631556E-2</v>
      </c>
      <c r="AC25" s="1">
        <v>0.26512711724320981</v>
      </c>
      <c r="AD25" s="1">
        <v>9.0543192095023151E-2</v>
      </c>
      <c r="AE25" s="1">
        <v>0.13721198875766</v>
      </c>
      <c r="AF25" s="1">
        <v>0.23397983023978469</v>
      </c>
      <c r="AG25" s="1">
        <v>0.145893892939672</v>
      </c>
      <c r="AH25" s="1">
        <v>0.73424176003455488</v>
      </c>
      <c r="AI25" s="1">
        <v>7.5450169739462281E-2</v>
      </c>
      <c r="AJ25" s="1">
        <v>4.856911620064204E-2</v>
      </c>
      <c r="AK25" s="1">
        <v>6.0601025410583029E-2</v>
      </c>
      <c r="AL25" s="1">
        <v>6.8655516054113505E-2</v>
      </c>
      <c r="AM25" s="1">
        <v>-3.298576452782942E-2</v>
      </c>
      <c r="AN25" s="1">
        <v>-0.16052014076233129</v>
      </c>
      <c r="AO25" s="1">
        <v>-9.078247952961746E-2</v>
      </c>
      <c r="AP25" s="1">
        <v>0.3175143606665462</v>
      </c>
      <c r="AQ25" s="1">
        <v>-8.5582788101402879E-2</v>
      </c>
      <c r="AR25" s="1">
        <v>-0.25346079578034408</v>
      </c>
      <c r="AS25" s="1">
        <v>-1.361428949919485E-2</v>
      </c>
      <c r="AT25" s="1">
        <v>0.20518667546015909</v>
      </c>
      <c r="AU25" s="1">
        <v>0.20359589118158589</v>
      </c>
      <c r="AV25" s="1">
        <v>-0.1139295291829399</v>
      </c>
      <c r="AW25" s="1">
        <v>7.9829551471428423E-2</v>
      </c>
      <c r="AX25" s="1">
        <v>8.3560006462093814E-2</v>
      </c>
      <c r="AY25" s="1">
        <v>0.42235449128487301</v>
      </c>
      <c r="AZ25" s="1">
        <v>0.31598452125580129</v>
      </c>
      <c r="BA25" s="1">
        <v>-0.1720809093757327</v>
      </c>
      <c r="BB25" s="1">
        <v>0.41262256706873113</v>
      </c>
      <c r="BC25" s="1">
        <v>0.1744793977777325</v>
      </c>
      <c r="BD25" s="1">
        <v>-1.535066922443418E-2</v>
      </c>
      <c r="BE25" s="1">
        <v>-0.1242921430258994</v>
      </c>
      <c r="BF25" s="1">
        <v>-4.0543090691840922E-2</v>
      </c>
      <c r="BG25" s="1">
        <v>6.0876158354245168E-2</v>
      </c>
      <c r="BH25" s="1">
        <v>0.13718937608994811</v>
      </c>
      <c r="BI25" s="1">
        <v>2.6506633597620299E-2</v>
      </c>
      <c r="BJ25" s="1">
        <v>5.8020213544642429E-2</v>
      </c>
      <c r="BK25" s="1">
        <v>-5.0098634745350491E-3</v>
      </c>
      <c r="BL25" s="1">
        <v>4.0498238901360457E-2</v>
      </c>
      <c r="BM25" s="1">
        <v>-1.1227371159245061E-3</v>
      </c>
      <c r="BN25" s="1">
        <v>0.27087395746921272</v>
      </c>
      <c r="BO25" s="1">
        <v>-2.1041233342738899E-2</v>
      </c>
      <c r="BP25" s="1">
        <v>0.24739862621825409</v>
      </c>
      <c r="BQ25" s="1">
        <v>-6.9750882537515088E-2</v>
      </c>
      <c r="BR25" s="1">
        <v>0.36684672853674211</v>
      </c>
      <c r="BS25" s="1">
        <v>-0.2205670944023907</v>
      </c>
      <c r="BT25" s="1">
        <v>7.018926416463693E-2</v>
      </c>
      <c r="BU25" s="1">
        <v>0.16327468999222081</v>
      </c>
      <c r="BV25" s="1">
        <v>0.31036373576714488</v>
      </c>
      <c r="BW25" s="1">
        <v>1.536251504309036E-2</v>
      </c>
      <c r="BX25" s="1">
        <v>-7.1021975551524258E-2</v>
      </c>
      <c r="BY25" s="1">
        <v>-0.19083520982480881</v>
      </c>
      <c r="BZ25" s="1">
        <v>0.30511607524442841</v>
      </c>
      <c r="CA25" s="1">
        <v>-3.4283619845346558E-2</v>
      </c>
      <c r="CB25" s="1">
        <v>-4.1664988378588452E-2</v>
      </c>
      <c r="CC25" s="1">
        <v>8.3555909038169007E-2</v>
      </c>
      <c r="CD25" s="1">
        <v>-7.827425295736018E-2</v>
      </c>
      <c r="CE25" s="1">
        <v>0.2045907215024447</v>
      </c>
      <c r="CF25" s="1">
        <v>4.3442465030490179E-2</v>
      </c>
      <c r="CG25" s="1">
        <v>8.1436355110577271E-2</v>
      </c>
      <c r="CH25" s="1">
        <v>8.0916362296203331E-2</v>
      </c>
      <c r="CI25" s="1">
        <v>2.0130185116805279E-2</v>
      </c>
      <c r="CJ25" s="1">
        <v>-3.5304074314340628E-2</v>
      </c>
      <c r="CK25" s="1">
        <v>3.7307753462931588E-2</v>
      </c>
      <c r="CL25" s="1">
        <v>0.30484811116052979</v>
      </c>
      <c r="CM25" s="1">
        <v>-6.9750090132210951E-3</v>
      </c>
      <c r="CN25" s="1">
        <v>0.37527390669913419</v>
      </c>
      <c r="CO25" s="1">
        <v>0.21630903111465311</v>
      </c>
      <c r="CP25" s="1">
        <v>0.24610177245621889</v>
      </c>
      <c r="CQ25" s="1">
        <v>0.1192281798197458</v>
      </c>
      <c r="CR25" s="1">
        <v>6.191248784002179E-2</v>
      </c>
      <c r="CS25" s="1">
        <v>0.18411134538175011</v>
      </c>
      <c r="CT25" s="1">
        <v>9.9939178711183657E-2</v>
      </c>
      <c r="CU25" s="1">
        <v>0.13089704720430059</v>
      </c>
      <c r="CV25" s="1">
        <v>7.9103172966228555E-2</v>
      </c>
      <c r="CW25" s="1">
        <v>0.13558402938106701</v>
      </c>
      <c r="CX25" s="1">
        <v>6.1859993147280662E-2</v>
      </c>
      <c r="CY25" s="1">
        <v>-0.28171082747401988</v>
      </c>
      <c r="CZ25" s="1">
        <v>-6.1281100514640897E-2</v>
      </c>
      <c r="DA25" s="1">
        <v>0.1206927493887074</v>
      </c>
      <c r="DB25" s="1">
        <v>-0.86457557459721113</v>
      </c>
      <c r="DC25" s="1">
        <v>0.21929106910535209</v>
      </c>
      <c r="DD25" s="1">
        <v>0.28485167144526469</v>
      </c>
      <c r="DE25" s="1">
        <v>-0.13994415204303251</v>
      </c>
      <c r="DF25" s="1">
        <v>0.1913738738124513</v>
      </c>
      <c r="DG25" s="1">
        <v>-0.15297665429505281</v>
      </c>
      <c r="DH25" s="1">
        <v>-0.1095821983620974</v>
      </c>
      <c r="DI25" s="1">
        <v>-0.18491271354810521</v>
      </c>
      <c r="DJ25" s="1">
        <v>0.17841658187128029</v>
      </c>
      <c r="DK25" s="1">
        <v>-4.7749797048578922E-2</v>
      </c>
      <c r="DL25" s="1">
        <v>5.4971909962510813E-2</v>
      </c>
      <c r="DM25" s="1">
        <v>-0.19976992704615301</v>
      </c>
      <c r="DN25" s="1">
        <v>4.6213660461266182E-2</v>
      </c>
      <c r="DO25" s="1">
        <v>-8.4670827807182117E-2</v>
      </c>
      <c r="DP25" s="1">
        <v>9.6270511044360088E-2</v>
      </c>
      <c r="DQ25" s="1">
        <v>0.23778793080664401</v>
      </c>
      <c r="DR25" s="1">
        <v>-7.5931973391099639E-2</v>
      </c>
      <c r="DS25" s="1">
        <v>-0.24719455144246849</v>
      </c>
      <c r="DT25" s="1">
        <v>5.5218175271476419E-2</v>
      </c>
      <c r="DU25" s="1">
        <v>0.52524170665309988</v>
      </c>
      <c r="DV25" s="1">
        <v>-2.47270863078989E-2</v>
      </c>
      <c r="DW25" s="1">
        <v>0.21016617095469431</v>
      </c>
      <c r="DX25" s="1">
        <v>0.2589849690033853</v>
      </c>
      <c r="DY25" s="1">
        <v>0.26822192937212391</v>
      </c>
      <c r="DZ25" s="1">
        <v>2.5955164679618309E-2</v>
      </c>
      <c r="EA25" s="1">
        <v>3.5782094434630873E-2</v>
      </c>
      <c r="EB25" s="1">
        <v>0.31038588333370842</v>
      </c>
      <c r="EC25" s="1">
        <v>0.33146834853884311</v>
      </c>
      <c r="ED25" s="1">
        <v>6.3192472204515265E-2</v>
      </c>
      <c r="EE25" s="1">
        <v>6.9545558094986554E-2</v>
      </c>
      <c r="EF25" s="1">
        <v>-8.3271776749482732E-2</v>
      </c>
      <c r="EG25" s="62">
        <f t="shared" si="0"/>
        <v>7.925321136632002E-2</v>
      </c>
      <c r="EH25" s="30">
        <f t="shared" si="1"/>
        <v>0.18623336617074049</v>
      </c>
      <c r="EI25" s="62">
        <f t="shared" si="2"/>
        <v>0.42555860421735564</v>
      </c>
    </row>
    <row r="26" spans="1:139" ht="16">
      <c r="A26" s="6">
        <v>964</v>
      </c>
      <c r="B26" s="6">
        <v>1</v>
      </c>
      <c r="C26" s="9">
        <v>2.776696731044102E-2</v>
      </c>
      <c r="D26" s="9">
        <v>-8.1988379169623898E-2</v>
      </c>
      <c r="E26" s="9">
        <v>-8.1880334610397495E-2</v>
      </c>
      <c r="F26" s="9">
        <v>0.20154571887164621</v>
      </c>
      <c r="G26" s="9">
        <v>-2.2622388562617651E-2</v>
      </c>
      <c r="H26" s="9">
        <v>0.35082219133103881</v>
      </c>
      <c r="I26" s="9">
        <v>4.8541667304075893E-2</v>
      </c>
      <c r="J26" s="9">
        <v>-5.170518944782404E-3</v>
      </c>
      <c r="K26" s="9">
        <v>-1.974455572944488E-2</v>
      </c>
      <c r="L26" s="2">
        <v>-0.192573627084517</v>
      </c>
      <c r="M26" s="2">
        <v>0.13645120482380019</v>
      </c>
      <c r="N26" s="2">
        <v>0.1051917107958454</v>
      </c>
      <c r="O26" s="1">
        <v>-0.27049724769768002</v>
      </c>
      <c r="P26" s="1">
        <v>7.7736485854057236E-2</v>
      </c>
      <c r="Q26" s="1">
        <v>8.6793540191679133E-2</v>
      </c>
      <c r="R26" s="1">
        <v>2.2454265588894351E-2</v>
      </c>
      <c r="S26" s="1">
        <v>0.29893394924921568</v>
      </c>
      <c r="T26" s="1">
        <v>0.45417579566715982</v>
      </c>
      <c r="U26" s="1">
        <v>0.1173219671219055</v>
      </c>
      <c r="V26" s="1">
        <v>0.56251758374214278</v>
      </c>
      <c r="W26" s="1">
        <v>0.64293352860565944</v>
      </c>
      <c r="X26" s="1">
        <v>0.3943802756836714</v>
      </c>
      <c r="Y26" s="1">
        <v>0.1502901799901015</v>
      </c>
      <c r="Z26" s="1">
        <v>8.9670663165636488E-2</v>
      </c>
      <c r="AA26" s="1">
        <v>7.8111046105503346E-2</v>
      </c>
      <c r="AB26" s="1">
        <v>6.5967773669365126E-2</v>
      </c>
      <c r="AC26" s="1">
        <v>0.4017473338469546</v>
      </c>
      <c r="AD26" s="1">
        <v>-0.36389544319836098</v>
      </c>
      <c r="AE26" s="1">
        <v>0.19314178971175811</v>
      </c>
      <c r="AF26" s="1">
        <v>0.48904083526581982</v>
      </c>
      <c r="AG26" s="1">
        <v>0.38005539258279603</v>
      </c>
      <c r="AH26" s="1">
        <v>1.462947609302206</v>
      </c>
      <c r="AI26" s="1">
        <v>0.15191167478339729</v>
      </c>
      <c r="AJ26" s="1">
        <v>4.7560204300488552E-2</v>
      </c>
      <c r="AK26" s="1">
        <v>0.19140630949441459</v>
      </c>
      <c r="AL26" s="1">
        <v>0.1755171066541821</v>
      </c>
      <c r="AM26" s="1">
        <v>-8.7353687328161136E-3</v>
      </c>
      <c r="AN26" s="1">
        <v>-0.1106607719355505</v>
      </c>
      <c r="AO26" s="1">
        <v>-0.1029057025777895</v>
      </c>
      <c r="AP26" s="1">
        <v>0.20014831416142009</v>
      </c>
      <c r="AQ26" s="1">
        <v>-0.33309839647211897</v>
      </c>
      <c r="AR26" s="1">
        <v>-2.0350844492814421E-2</v>
      </c>
      <c r="AS26" s="1">
        <v>-0.30407516935920542</v>
      </c>
      <c r="AT26" s="1">
        <v>-0.21265645000644101</v>
      </c>
      <c r="AU26" s="1">
        <v>0.22984101567941989</v>
      </c>
      <c r="AV26" s="1">
        <v>-0.2378231555513734</v>
      </c>
      <c r="AW26" s="1">
        <v>0.22381267144623379</v>
      </c>
      <c r="AX26" s="1">
        <v>-7.3407495395669459E-2</v>
      </c>
      <c r="AY26" s="1">
        <v>-0.15123352655858069</v>
      </c>
      <c r="AZ26" s="1">
        <v>0.60989956018477687</v>
      </c>
      <c r="BA26" s="1">
        <v>-0.1017826943099424</v>
      </c>
      <c r="BB26" s="1">
        <v>0.77915232109079058</v>
      </c>
      <c r="BC26" s="1">
        <v>-8.9792290186166232E-2</v>
      </c>
      <c r="BD26" s="1">
        <v>0.17257013871334029</v>
      </c>
      <c r="BE26" s="1">
        <v>5.7380537985080138E-2</v>
      </c>
      <c r="BF26" s="1">
        <v>5.3072180092927357E-3</v>
      </c>
      <c r="BG26" s="1">
        <v>0.23814201230386919</v>
      </c>
      <c r="BH26" s="1">
        <v>0.23042622689581499</v>
      </c>
      <c r="BI26" s="1">
        <v>-0.1201243785940973</v>
      </c>
      <c r="BJ26" s="1">
        <v>-6.0567254322459393E-2</v>
      </c>
      <c r="BK26" s="1">
        <v>-1.00197269490701E-2</v>
      </c>
      <c r="BL26" s="1">
        <v>0.1061069201511666</v>
      </c>
      <c r="BM26" s="1">
        <v>8.4782939838988242E-2</v>
      </c>
      <c r="BN26" s="1">
        <v>0.22225976866720201</v>
      </c>
      <c r="BO26" s="1">
        <v>-5.9152692835040738E-2</v>
      </c>
      <c r="BP26" s="1">
        <v>0.56718861430704814</v>
      </c>
      <c r="BQ26" s="1">
        <v>-0.14048484012467469</v>
      </c>
      <c r="BR26" s="1">
        <v>0.46561903092791163</v>
      </c>
      <c r="BS26" s="1">
        <v>-0.1216210365296066</v>
      </c>
      <c r="BT26" s="1">
        <v>5.5799256308256592E-2</v>
      </c>
      <c r="BU26" s="1">
        <v>0.45156953678161682</v>
      </c>
      <c r="BV26" s="1">
        <v>0.57736679187244444</v>
      </c>
      <c r="BW26" s="1">
        <v>0.15102744542241939</v>
      </c>
      <c r="BX26" s="1">
        <v>9.8459177017133165E-2</v>
      </c>
      <c r="BY26" s="1">
        <v>-0.39728190593752383</v>
      </c>
      <c r="BZ26" s="1">
        <v>-0.141644608763656</v>
      </c>
      <c r="CA26" s="1">
        <v>-8.5352138787233134E-2</v>
      </c>
      <c r="CB26" s="1">
        <v>6.4127083156042083E-2</v>
      </c>
      <c r="CC26" s="1">
        <v>0.2198311932012271</v>
      </c>
      <c r="CD26" s="1">
        <v>-4.515152545753065E-2</v>
      </c>
      <c r="CE26" s="1">
        <v>0.17930378386651619</v>
      </c>
      <c r="CF26" s="1">
        <v>-0.2205997696869802</v>
      </c>
      <c r="CG26" s="1">
        <v>8.0322388838833275E-2</v>
      </c>
      <c r="CH26" s="1">
        <v>0.16137193048241749</v>
      </c>
      <c r="CI26" s="1">
        <v>-0.10620054734777511</v>
      </c>
      <c r="CJ26" s="1">
        <v>-0.28580320410647481</v>
      </c>
      <c r="CK26" s="1">
        <v>-0.30976647659227358</v>
      </c>
      <c r="CL26" s="1">
        <v>-4.2170642208116713E-2</v>
      </c>
      <c r="CM26" s="1">
        <v>-4.4688538323931992E-2</v>
      </c>
      <c r="CN26" s="1">
        <v>0.14713511665539891</v>
      </c>
      <c r="CO26" s="1">
        <v>0.47231299319638959</v>
      </c>
      <c r="CP26" s="1">
        <v>0.19806734554709299</v>
      </c>
      <c r="CQ26" s="1">
        <v>-5.1440027992953663E-2</v>
      </c>
      <c r="CR26" s="1">
        <v>-0.25506268964851941</v>
      </c>
      <c r="CS26" s="1">
        <v>0.15756518579542139</v>
      </c>
      <c r="CT26" s="1">
        <v>0.1020926034667536</v>
      </c>
      <c r="CU26" s="1">
        <v>0.22870938419359549</v>
      </c>
      <c r="CV26" s="1">
        <v>8.9725835158648334E-2</v>
      </c>
      <c r="CW26" s="1">
        <v>0.2436497675082317</v>
      </c>
      <c r="CX26" s="1">
        <v>0.14669462567028749</v>
      </c>
      <c r="CY26" s="1">
        <v>-0.36022804676873771</v>
      </c>
      <c r="CZ26" s="1">
        <v>-0.16210690987816029</v>
      </c>
      <c r="DA26" s="1">
        <v>0.26053401353545808</v>
      </c>
      <c r="DB26" s="1">
        <v>-0.94810958937996914</v>
      </c>
      <c r="DC26" s="1">
        <v>0.35011754339257323</v>
      </c>
      <c r="DD26" s="1">
        <v>7.5505698164948884E-2</v>
      </c>
      <c r="DE26" s="1">
        <v>-0.21225499244431981</v>
      </c>
      <c r="DF26" s="1">
        <v>0.19463806375593051</v>
      </c>
      <c r="DG26" s="1">
        <v>-0.24858898273322999</v>
      </c>
      <c r="DH26" s="1">
        <v>-0.1028328439815145</v>
      </c>
      <c r="DI26" s="1">
        <v>-0.42309879972833903</v>
      </c>
      <c r="DJ26" s="1">
        <v>0.19144695953752089</v>
      </c>
      <c r="DK26" s="1">
        <v>-0.16602172835425</v>
      </c>
      <c r="DL26" s="1">
        <v>7.8227035948543425E-2</v>
      </c>
      <c r="DM26" s="1">
        <v>-0.3680283680181945</v>
      </c>
      <c r="DN26" s="1">
        <v>3.2577672666622072E-2</v>
      </c>
      <c r="DO26" s="1">
        <v>-8.3114289590005733E-2</v>
      </c>
      <c r="DP26" s="1">
        <v>-5.5090160775889491E-2</v>
      </c>
      <c r="DQ26" s="1">
        <v>7.611033925581534E-2</v>
      </c>
      <c r="DR26" s="1">
        <v>-8.2557026640249415E-2</v>
      </c>
      <c r="DS26" s="1">
        <v>-0.14400697483881431</v>
      </c>
      <c r="DT26" s="1">
        <v>-6.1771072780258528E-2</v>
      </c>
      <c r="DU26" s="1">
        <v>0.7705433077559587</v>
      </c>
      <c r="DV26" s="1">
        <v>-0.1016246924906845</v>
      </c>
      <c r="DW26" s="1">
        <v>0.23213227122128241</v>
      </c>
      <c r="DX26" s="1">
        <v>0.56717595105083507</v>
      </c>
      <c r="DY26" s="1">
        <v>3.2066535729951551E-2</v>
      </c>
      <c r="DZ26" s="1">
        <v>0.13060160891322209</v>
      </c>
      <c r="EA26" s="1">
        <v>0.27291703580973192</v>
      </c>
      <c r="EB26" s="1">
        <v>0.66580759497743014</v>
      </c>
      <c r="EC26" s="1">
        <v>0.14343651784726261</v>
      </c>
      <c r="ED26" s="1">
        <v>0.29283080699710301</v>
      </c>
      <c r="EE26" s="1">
        <v>-3.5663982870964749E-2</v>
      </c>
      <c r="EF26" s="1">
        <v>-0.12895777307843831</v>
      </c>
      <c r="EG26" s="62">
        <f t="shared" si="0"/>
        <v>8.077081987268131E-2</v>
      </c>
      <c r="EH26" s="30">
        <f t="shared" si="1"/>
        <v>0.28854133349032796</v>
      </c>
      <c r="EI26" s="62">
        <f t="shared" si="2"/>
        <v>0.2799280744136049</v>
      </c>
    </row>
    <row r="27" spans="1:139" ht="16">
      <c r="A27" s="6" t="s">
        <v>141</v>
      </c>
      <c r="B27" s="6" t="s">
        <v>142</v>
      </c>
      <c r="C27" s="22">
        <v>-1.7446770539390338E-2</v>
      </c>
      <c r="D27" s="22">
        <v>2.070106053181563E-2</v>
      </c>
      <c r="E27" s="22">
        <v>2.3982129254766709E-2</v>
      </c>
      <c r="F27" s="22">
        <v>-6.557578972823077E-3</v>
      </c>
      <c r="G27" s="22">
        <v>3.1845129800519692E-2</v>
      </c>
      <c r="H27" s="22">
        <v>3.4348532736990518E-2</v>
      </c>
      <c r="I27" s="22">
        <v>-8.2549327813252367E-3</v>
      </c>
      <c r="J27" s="22">
        <v>1.2843524394052759E-2</v>
      </c>
      <c r="K27" s="22">
        <v>-5.1018524626790823E-2</v>
      </c>
      <c r="L27" s="22">
        <v>8.7394274103658827E-4</v>
      </c>
      <c r="M27" s="22">
        <v>2.3389575505495919E-2</v>
      </c>
      <c r="N27" s="22">
        <v>1.2988972200332851E-2</v>
      </c>
      <c r="O27" s="22">
        <v>5.8545887256348812E-3</v>
      </c>
      <c r="P27" s="22">
        <v>2.7413206571790558E-2</v>
      </c>
      <c r="Q27" s="22">
        <v>-3.7129361176928542E-3</v>
      </c>
      <c r="R27" s="22">
        <v>2.4076614047823328E-2</v>
      </c>
      <c r="S27" s="22">
        <v>-1.219002529903996E-2</v>
      </c>
      <c r="T27" s="22">
        <v>-3.9749578159589592E-2</v>
      </c>
      <c r="U27" s="22">
        <v>-7.3155449831649552E-2</v>
      </c>
      <c r="V27" s="22">
        <v>-5.8260229910114661E-2</v>
      </c>
      <c r="W27" s="22">
        <v>7.7279756550837221E-4</v>
      </c>
      <c r="X27" s="22">
        <v>4.459152113521897E-2</v>
      </c>
      <c r="Y27" s="22">
        <v>-2.7699680050213091E-2</v>
      </c>
      <c r="Z27" s="22">
        <v>2.0950059497436462E-3</v>
      </c>
      <c r="AA27" s="22">
        <v>-2.340055099256411E-2</v>
      </c>
      <c r="AB27" s="22">
        <v>3.2129371097322189E-2</v>
      </c>
      <c r="AC27" s="22">
        <v>3.890327309406643E-2</v>
      </c>
      <c r="AD27" s="22">
        <v>-4.286538217110427E-2</v>
      </c>
      <c r="AE27" s="22">
        <v>1.8647194550152159E-2</v>
      </c>
      <c r="AF27" s="22">
        <v>1.5229768322528949E-2</v>
      </c>
      <c r="AG27" s="22">
        <v>3.6016603778892417E-2</v>
      </c>
      <c r="AH27" s="22">
        <v>9.3546113853161701E-3</v>
      </c>
      <c r="AI27" s="22">
        <v>1.0748251336838139E-2</v>
      </c>
      <c r="AJ27" s="22">
        <v>1.335775405308097E-2</v>
      </c>
      <c r="AK27" s="22">
        <v>-5.3327473290953921E-3</v>
      </c>
      <c r="AL27" s="22">
        <v>1.383135807261675E-3</v>
      </c>
      <c r="AM27" s="22">
        <v>2.079592842007446E-2</v>
      </c>
      <c r="AN27" s="22">
        <v>3.1517702220390638E-2</v>
      </c>
      <c r="AO27" s="22">
        <v>6.2417165333294418E-3</v>
      </c>
      <c r="AP27" s="22">
        <v>6.1452616535713897E-3</v>
      </c>
      <c r="AQ27" s="22">
        <v>1.694635767669651E-2</v>
      </c>
      <c r="AR27" s="22">
        <v>3.4682830454308228E-2</v>
      </c>
      <c r="AS27" s="22">
        <v>3.0985886171969678E-3</v>
      </c>
      <c r="AT27" s="22">
        <v>1.508134714348611E-2</v>
      </c>
      <c r="AU27" s="22">
        <v>-1.9251209229863991E-2</v>
      </c>
      <c r="AV27" s="22">
        <v>3.8711513387631437E-2</v>
      </c>
      <c r="AW27" s="22">
        <v>-2.1856951135736599E-2</v>
      </c>
      <c r="AX27" s="22">
        <v>7.7743007097896798E-3</v>
      </c>
      <c r="AY27" s="22">
        <v>4.2397246695325942E-2</v>
      </c>
      <c r="AZ27" s="22">
        <v>-2.630897486115975E-2</v>
      </c>
      <c r="BA27" s="22">
        <v>9.5717493087162323E-3</v>
      </c>
      <c r="BB27" s="22">
        <v>-2.424974126627483E-2</v>
      </c>
      <c r="BC27" s="22">
        <v>2.0163374143915822E-2</v>
      </c>
      <c r="BD27" s="22">
        <v>-3.5049987821160239E-3</v>
      </c>
      <c r="BE27" s="22">
        <v>2.0151935098542271E-2</v>
      </c>
      <c r="BF27" s="22">
        <v>5.8133623077027128E-4</v>
      </c>
      <c r="BG27" s="22">
        <v>-5.2197009532526043E-3</v>
      </c>
      <c r="BH27" s="22">
        <v>-0.11587176140213</v>
      </c>
      <c r="BI27" s="22">
        <v>8.7252256924373536E-3</v>
      </c>
      <c r="BJ27" s="22">
        <v>-1.6377260977822151E-2</v>
      </c>
      <c r="BK27" s="22">
        <v>2.0840371600260421E-2</v>
      </c>
      <c r="BL27" s="22">
        <v>4.4975872102114713E-2</v>
      </c>
      <c r="BM27" s="22">
        <v>2.3954306081863871E-2</v>
      </c>
      <c r="BN27" s="22">
        <v>3.0239101391442601E-2</v>
      </c>
      <c r="BO27" s="22">
        <v>-4.372588759108751E-2</v>
      </c>
      <c r="BP27" s="22">
        <v>2.1889469568198618E-2</v>
      </c>
      <c r="BQ27" s="22">
        <v>8.6274302635084028E-3</v>
      </c>
      <c r="BR27" s="22">
        <v>-1.9192953994658781E-2</v>
      </c>
      <c r="BS27" s="22">
        <v>1.973512988813305E-2</v>
      </c>
      <c r="BT27" s="22">
        <v>4.7694337483699438E-2</v>
      </c>
      <c r="BU27" s="22">
        <v>1.145481680658339E-2</v>
      </c>
      <c r="BV27" s="22">
        <v>4.3228620735213191E-2</v>
      </c>
      <c r="BW27" s="22">
        <v>-4.2747430436922793E-2</v>
      </c>
      <c r="BX27" s="22">
        <v>-1.781129242779457E-2</v>
      </c>
      <c r="BY27" s="22">
        <v>-0.1511530968690756</v>
      </c>
      <c r="BZ27" s="22">
        <v>0.12422400361957529</v>
      </c>
      <c r="CA27" s="22">
        <v>-4.5572538445296431E-3</v>
      </c>
      <c r="CB27" s="22">
        <v>6.0211240204911178E-2</v>
      </c>
      <c r="CC27" s="22">
        <v>8.5992033482502284E-2</v>
      </c>
      <c r="CD27" s="22">
        <v>-5.8084795823660634E-3</v>
      </c>
      <c r="CE27" s="22">
        <v>-6.0413469889680736E-3</v>
      </c>
      <c r="CF27" s="22">
        <v>2.4523243722520739E-3</v>
      </c>
      <c r="CG27" s="22">
        <v>8.963625193702289E-2</v>
      </c>
      <c r="CH27" s="22">
        <v>7.099273252675789E-2</v>
      </c>
      <c r="CI27" s="22">
        <v>2.7170642901783448E-2</v>
      </c>
      <c r="CJ27" s="22">
        <v>5.2468428425330033E-2</v>
      </c>
      <c r="CK27" s="22">
        <v>2.9480660943049509E-2</v>
      </c>
      <c r="CL27" s="22">
        <v>6.6825081060201283E-2</v>
      </c>
      <c r="CM27" s="22">
        <v>-2.8772229019816971E-2</v>
      </c>
      <c r="CN27" s="22">
        <v>3.9462515901637851E-2</v>
      </c>
      <c r="CO27" s="22">
        <v>-2.9031086977359909E-2</v>
      </c>
      <c r="CP27" s="22">
        <v>1.3983882519467901E-2</v>
      </c>
      <c r="CQ27" s="22">
        <v>-3.2276964959333833E-2</v>
      </c>
      <c r="CR27" s="22">
        <v>3.1035766128940231E-3</v>
      </c>
      <c r="CS27" s="22">
        <v>2.5591855767083171E-2</v>
      </c>
      <c r="CT27" s="22">
        <v>4.4391886287193302E-2</v>
      </c>
      <c r="CU27" s="22">
        <v>-3.0338958549577438E-2</v>
      </c>
      <c r="CV27" s="22">
        <v>-1.2579764545717069E-3</v>
      </c>
      <c r="CW27" s="22">
        <v>2.336356455857952E-3</v>
      </c>
      <c r="CX27" s="22">
        <v>-6.4264144925906069E-2</v>
      </c>
      <c r="CY27" s="22">
        <v>1.2909779458992439E-2</v>
      </c>
      <c r="CZ27" s="22">
        <v>-0.12547709467085871</v>
      </c>
      <c r="DA27" s="22">
        <v>1.1690682939792569E-2</v>
      </c>
      <c r="DB27" s="22">
        <v>6.3378437007417512E-3</v>
      </c>
      <c r="DC27" s="22">
        <v>-0.1173053564693855</v>
      </c>
      <c r="DD27" s="22">
        <v>-3.6010872049446613E-2</v>
      </c>
      <c r="DE27" s="22">
        <v>0.1389113040722679</v>
      </c>
      <c r="DF27" s="22">
        <v>-5.1143506226105737E-2</v>
      </c>
      <c r="DG27" s="22">
        <v>7.6731447181969059E-2</v>
      </c>
      <c r="DH27" s="22">
        <v>1.550878219700816E-2</v>
      </c>
      <c r="DI27" s="22">
        <v>2.3223773674755831E-2</v>
      </c>
      <c r="DJ27" s="22">
        <v>-1.8372876361227891E-2</v>
      </c>
      <c r="DK27" s="22">
        <v>6.2199014085099431E-2</v>
      </c>
      <c r="DL27" s="22">
        <v>2.0098304486957191E-2</v>
      </c>
      <c r="DM27" s="22">
        <v>1.349893974806809E-2</v>
      </c>
      <c r="DN27" s="22">
        <v>-3.025221272842088E-2</v>
      </c>
      <c r="DO27" s="22">
        <v>-1.7022835708053841E-2</v>
      </c>
      <c r="DP27" s="22">
        <v>-2.1788523272461981E-2</v>
      </c>
      <c r="DQ27" s="22">
        <v>8.5745624585137223E-2</v>
      </c>
      <c r="DR27" s="22">
        <v>2.8106743604973752E-2</v>
      </c>
      <c r="DS27" s="22">
        <v>-2.3031598073594501E-3</v>
      </c>
      <c r="DT27" s="22">
        <v>5.8471198131487503E-2</v>
      </c>
      <c r="DU27" s="22">
        <v>6.7658949048647651E-2</v>
      </c>
      <c r="DV27" s="22">
        <v>5.0207706404322644E-3</v>
      </c>
      <c r="DW27" s="22">
        <v>3.7416183675207063E-2</v>
      </c>
      <c r="DX27" s="22">
        <v>8.4111003746042121E-2</v>
      </c>
      <c r="DY27" s="22">
        <v>-3.6832398544012837E-2</v>
      </c>
      <c r="DZ27" s="22">
        <v>3.0917028169369942E-3</v>
      </c>
      <c r="EA27" s="22">
        <v>-1.957628214294549E-3</v>
      </c>
      <c r="EB27" s="22">
        <v>2.6459103603519739E-2</v>
      </c>
      <c r="EC27" s="22">
        <v>-2.4752538760690269E-2</v>
      </c>
      <c r="ED27" s="22">
        <v>3.4115490982559941E-2</v>
      </c>
      <c r="EE27" s="22">
        <v>2.1061973989032982E-2</v>
      </c>
      <c r="EF27" s="22">
        <v>-2.0277392706005919E-2</v>
      </c>
      <c r="EG27" s="31">
        <f t="shared" si="0"/>
        <v>7.3485376145559517E-3</v>
      </c>
      <c r="EH27" s="31">
        <f t="shared" si="1"/>
        <v>4.2276369775976368E-2</v>
      </c>
      <c r="EI27" s="31">
        <f t="shared" si="2"/>
        <v>0.17382139605401439</v>
      </c>
    </row>
    <row r="28" spans="1:139" ht="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3"/>
    </row>
    <row r="30" spans="1:139" ht="16">
      <c r="A30" s="24"/>
      <c r="B30" s="24"/>
      <c r="C30" s="24"/>
      <c r="D30" s="4"/>
      <c r="E30" s="4"/>
      <c r="F30" s="4"/>
      <c r="G30" s="4"/>
      <c r="H30" s="4"/>
      <c r="I30" s="4"/>
      <c r="J30" s="4"/>
      <c r="K30" s="2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</row>
  </sheetData>
  <mergeCells count="1">
    <mergeCell ref="A12:B1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5F34-F02B-428F-BD2F-DC2573FB8119}">
  <dimension ref="A1:EG33"/>
  <sheetViews>
    <sheetView topLeftCell="A4" zoomScaleNormal="71" workbookViewId="0">
      <selection activeCell="N23" sqref="N23"/>
    </sheetView>
  </sheetViews>
  <sheetFormatPr baseColWidth="10" defaultColWidth="8.83203125" defaultRowHeight="15"/>
  <cols>
    <col min="1" max="1" width="16.6640625" customWidth="1"/>
    <col min="3" max="3" width="10.1640625" customWidth="1"/>
    <col min="4" max="4" width="11.6640625" customWidth="1"/>
    <col min="5" max="5" width="9.1640625" customWidth="1"/>
    <col min="6" max="6" width="8.6640625" customWidth="1"/>
    <col min="7" max="7" width="9.33203125" customWidth="1"/>
    <col min="8" max="8" width="9.6640625" customWidth="1"/>
    <col min="9" max="9" width="9" customWidth="1"/>
    <col min="10" max="136" width="10.6640625" customWidth="1"/>
  </cols>
  <sheetData>
    <row r="1" spans="1:137" ht="16">
      <c r="A1" s="13" t="s">
        <v>143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7" ht="16">
      <c r="A2" s="35"/>
      <c r="B2" s="6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4" t="s">
        <v>34</v>
      </c>
      <c r="AJ2" s="14" t="s">
        <v>35</v>
      </c>
      <c r="AK2" s="14" t="s">
        <v>36</v>
      </c>
      <c r="AL2" s="14" t="s">
        <v>37</v>
      </c>
      <c r="AM2" s="14" t="s">
        <v>38</v>
      </c>
      <c r="AN2" s="14" t="s">
        <v>39</v>
      </c>
      <c r="AO2" s="14" t="s">
        <v>40</v>
      </c>
      <c r="AP2" s="14" t="s">
        <v>41</v>
      </c>
      <c r="AQ2" s="14" t="s">
        <v>42</v>
      </c>
      <c r="AR2" s="14" t="s">
        <v>43</v>
      </c>
      <c r="AS2" s="14" t="s">
        <v>44</v>
      </c>
      <c r="AT2" s="14" t="s">
        <v>45</v>
      </c>
      <c r="AU2" s="14" t="s">
        <v>46</v>
      </c>
      <c r="AV2" s="14" t="s">
        <v>47</v>
      </c>
      <c r="AW2" s="14" t="s">
        <v>48</v>
      </c>
      <c r="AX2" s="14" t="s">
        <v>49</v>
      </c>
      <c r="AY2" s="14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4" t="s">
        <v>55</v>
      </c>
      <c r="BE2" s="14" t="s">
        <v>56</v>
      </c>
      <c r="BF2" s="14" t="s">
        <v>57</v>
      </c>
      <c r="BG2" s="14" t="s">
        <v>58</v>
      </c>
      <c r="BH2" s="14" t="s">
        <v>59</v>
      </c>
      <c r="BI2" s="14" t="s">
        <v>60</v>
      </c>
      <c r="BJ2" s="14" t="s">
        <v>61</v>
      </c>
      <c r="BK2" s="14" t="s">
        <v>62</v>
      </c>
      <c r="BL2" s="14" t="s">
        <v>63</v>
      </c>
      <c r="BM2" s="14" t="s">
        <v>64</v>
      </c>
      <c r="BN2" s="14" t="s">
        <v>65</v>
      </c>
      <c r="BO2" s="14" t="s">
        <v>66</v>
      </c>
      <c r="BP2" s="14" t="s">
        <v>67</v>
      </c>
      <c r="BQ2" s="14" t="s">
        <v>68</v>
      </c>
      <c r="BR2" s="14" t="s">
        <v>69</v>
      </c>
      <c r="BS2" s="14" t="s">
        <v>70</v>
      </c>
      <c r="BT2" s="14" t="s">
        <v>71</v>
      </c>
      <c r="BU2" s="14" t="s">
        <v>72</v>
      </c>
      <c r="BV2" s="14" t="s">
        <v>73</v>
      </c>
      <c r="BW2" s="14" t="s">
        <v>74</v>
      </c>
      <c r="BX2" s="14" t="s">
        <v>75</v>
      </c>
      <c r="BY2" s="14" t="s">
        <v>76</v>
      </c>
      <c r="BZ2" s="14" t="s">
        <v>77</v>
      </c>
      <c r="CA2" s="14" t="s">
        <v>78</v>
      </c>
      <c r="CB2" s="14" t="s">
        <v>79</v>
      </c>
      <c r="CC2" s="14" t="s">
        <v>80</v>
      </c>
      <c r="CD2" s="14" t="s">
        <v>81</v>
      </c>
      <c r="CE2" s="14" t="s">
        <v>82</v>
      </c>
      <c r="CF2" s="14" t="s">
        <v>83</v>
      </c>
      <c r="CG2" s="14" t="s">
        <v>84</v>
      </c>
      <c r="CH2" s="14" t="s">
        <v>85</v>
      </c>
      <c r="CI2" s="14" t="s">
        <v>86</v>
      </c>
      <c r="CJ2" s="14" t="s">
        <v>87</v>
      </c>
      <c r="CK2" s="14" t="s">
        <v>88</v>
      </c>
      <c r="CL2" s="14" t="s">
        <v>89</v>
      </c>
      <c r="CM2" s="14" t="s">
        <v>90</v>
      </c>
      <c r="CN2" s="14" t="s">
        <v>91</v>
      </c>
      <c r="CO2" s="14" t="s">
        <v>92</v>
      </c>
      <c r="CP2" s="14" t="s">
        <v>93</v>
      </c>
      <c r="CQ2" s="14" t="s">
        <v>94</v>
      </c>
      <c r="CR2" s="14" t="s">
        <v>95</v>
      </c>
      <c r="CS2" s="14" t="s">
        <v>96</v>
      </c>
      <c r="CT2" s="14" t="s">
        <v>97</v>
      </c>
      <c r="CU2" s="14" t="s">
        <v>98</v>
      </c>
      <c r="CV2" s="14" t="s">
        <v>99</v>
      </c>
      <c r="CW2" s="14" t="s">
        <v>100</v>
      </c>
      <c r="CX2" s="14" t="s">
        <v>101</v>
      </c>
      <c r="CY2" s="14" t="s">
        <v>102</v>
      </c>
      <c r="CZ2" s="14" t="s">
        <v>103</v>
      </c>
      <c r="DA2" s="14" t="s">
        <v>104</v>
      </c>
      <c r="DB2" s="14" t="s">
        <v>105</v>
      </c>
      <c r="DC2" s="14" t="s">
        <v>106</v>
      </c>
      <c r="DD2" s="14" t="s">
        <v>107</v>
      </c>
      <c r="DE2" s="14" t="s">
        <v>108</v>
      </c>
      <c r="DF2" s="14" t="s">
        <v>109</v>
      </c>
      <c r="DG2" s="14" t="s">
        <v>110</v>
      </c>
      <c r="DH2" s="14" t="s">
        <v>111</v>
      </c>
      <c r="DI2" s="14" t="s">
        <v>112</v>
      </c>
      <c r="DJ2" s="14" t="s">
        <v>113</v>
      </c>
      <c r="DK2" s="14" t="s">
        <v>114</v>
      </c>
      <c r="DL2" s="14" t="s">
        <v>115</v>
      </c>
      <c r="DM2" s="14" t="s">
        <v>116</v>
      </c>
      <c r="DN2" s="14" t="s">
        <v>117</v>
      </c>
      <c r="DO2" s="14" t="s">
        <v>118</v>
      </c>
      <c r="DP2" s="14" t="s">
        <v>119</v>
      </c>
      <c r="DQ2" s="14" t="s">
        <v>120</v>
      </c>
      <c r="DR2" s="14" t="s">
        <v>121</v>
      </c>
      <c r="DS2" s="14" t="s">
        <v>122</v>
      </c>
      <c r="DT2" s="14" t="s">
        <v>123</v>
      </c>
      <c r="DU2" s="14" t="s">
        <v>124</v>
      </c>
      <c r="DV2" s="14" t="s">
        <v>125</v>
      </c>
      <c r="DW2" s="14" t="s">
        <v>126</v>
      </c>
      <c r="DX2" s="14" t="s">
        <v>127</v>
      </c>
      <c r="DY2" s="14" t="s">
        <v>128</v>
      </c>
      <c r="DZ2" s="14" t="s">
        <v>129</v>
      </c>
      <c r="EA2" s="14" t="s">
        <v>130</v>
      </c>
      <c r="EB2" s="14" t="s">
        <v>131</v>
      </c>
      <c r="EC2" s="14" t="s">
        <v>132</v>
      </c>
      <c r="ED2" s="15" t="s">
        <v>133</v>
      </c>
      <c r="EE2" s="12" t="s">
        <v>134</v>
      </c>
      <c r="EF2" s="14" t="s">
        <v>140</v>
      </c>
    </row>
    <row r="3" spans="1:137" ht="16">
      <c r="A3" s="35"/>
      <c r="B3" s="30" t="s">
        <v>253</v>
      </c>
      <c r="C3" s="36">
        <v>0.12061070248141641</v>
      </c>
      <c r="D3" s="36">
        <v>4.5588621500437902E-2</v>
      </c>
      <c r="E3" s="36">
        <v>0.16704505126777161</v>
      </c>
      <c r="F3" s="36">
        <v>-7.3748988286869252E-2</v>
      </c>
      <c r="G3" s="36">
        <v>-3.2506586973684262E-2</v>
      </c>
      <c r="H3" s="36">
        <v>-3.2847118626080897E-2</v>
      </c>
      <c r="I3" s="36">
        <v>-0.12110157860918851</v>
      </c>
      <c r="J3" s="36">
        <v>2.5822337019559341E-3</v>
      </c>
      <c r="K3" s="36">
        <v>7.1968625004836057E-2</v>
      </c>
      <c r="L3" s="36">
        <v>3.4342712304991078E-2</v>
      </c>
      <c r="M3" s="36">
        <v>4.0084602667129349E-2</v>
      </c>
      <c r="N3" s="36">
        <v>4.1563466655895852E-2</v>
      </c>
      <c r="O3" s="36">
        <v>-6.9002801033464468E-3</v>
      </c>
      <c r="P3" s="36">
        <v>3.5779379096689788E-2</v>
      </c>
      <c r="Q3" s="36">
        <v>6.8350636349776644E-2</v>
      </c>
      <c r="R3" s="36">
        <v>-4.5413080669201647E-2</v>
      </c>
      <c r="S3" s="36">
        <v>1.9673980374611249E-2</v>
      </c>
      <c r="T3" s="36">
        <v>-0.10645091888905089</v>
      </c>
      <c r="U3" s="36">
        <v>-3.2053188608652222E-2</v>
      </c>
      <c r="V3" s="36">
        <v>-1.486561554125564E-2</v>
      </c>
      <c r="W3" s="36">
        <v>-9.3405071083985589E-2</v>
      </c>
      <c r="X3" s="36">
        <v>-3.7053875715306342E-2</v>
      </c>
      <c r="Y3" s="36">
        <v>-4.7379645481055749E-2</v>
      </c>
      <c r="Z3" s="36">
        <v>-3.5732975972085197E-2</v>
      </c>
      <c r="AA3" s="36">
        <v>7.4709415434143334E-2</v>
      </c>
      <c r="AB3" s="36">
        <v>-0.1014916742073749</v>
      </c>
      <c r="AC3" s="36">
        <v>-2.958901675079971E-4</v>
      </c>
      <c r="AD3" s="36">
        <v>-6.884879748071672E-2</v>
      </c>
      <c r="AE3" s="36">
        <v>-2.226603217992465E-2</v>
      </c>
      <c r="AF3" s="36">
        <v>4.1625471515908258E-2</v>
      </c>
      <c r="AG3" s="36">
        <v>-8.0508267102041703E-3</v>
      </c>
      <c r="AH3" s="36">
        <v>-3.8264652471021107E-2</v>
      </c>
      <c r="AI3" s="36">
        <v>4.5184246070277309E-2</v>
      </c>
      <c r="AJ3" s="36">
        <v>3.4215625055713628E-2</v>
      </c>
      <c r="AK3" s="36">
        <v>4.4138222564125883E-2</v>
      </c>
      <c r="AL3" s="36">
        <v>-3.5587566867339653E-2</v>
      </c>
      <c r="AM3" s="36">
        <v>-1.307752910282832E-2</v>
      </c>
      <c r="AN3" s="36">
        <v>4.1485640311627048E-3</v>
      </c>
      <c r="AO3" s="36">
        <v>-7.7685069747940566E-2</v>
      </c>
      <c r="AP3" s="36">
        <v>-6.9983938877633423E-3</v>
      </c>
      <c r="AQ3" s="36">
        <v>0.13094783928293391</v>
      </c>
      <c r="AR3" s="36">
        <v>-8.6792708504303165E-2</v>
      </c>
      <c r="AS3" s="36">
        <v>-5.2702983493883533E-2</v>
      </c>
      <c r="AT3" s="36">
        <v>6.5228470856534659E-2</v>
      </c>
      <c r="AU3" s="36">
        <v>-6.5193823066972231E-2</v>
      </c>
      <c r="AV3" s="36">
        <v>8.5695091691641318E-3</v>
      </c>
      <c r="AW3" s="36">
        <v>-4.0024302856775031E-2</v>
      </c>
      <c r="AX3" s="36">
        <v>-3.1442522098695247E-2</v>
      </c>
      <c r="AY3" s="36">
        <v>-4.0051979337830963E-3</v>
      </c>
      <c r="AZ3" s="36">
        <v>-7.87988595399116E-3</v>
      </c>
      <c r="BA3" s="36">
        <v>-6.0724257043419964E-3</v>
      </c>
      <c r="BB3" s="36">
        <v>-1.1000774597969601E-2</v>
      </c>
      <c r="BC3" s="36">
        <v>-2.6379571628000791E-2</v>
      </c>
      <c r="BD3" s="36">
        <v>3.9479545280064407E-2</v>
      </c>
      <c r="BE3" s="36">
        <v>3.1278311810121473E-2</v>
      </c>
      <c r="BF3" s="36">
        <v>-6.0707144594610513E-3</v>
      </c>
      <c r="BG3" s="36">
        <v>-6.0537314950835433E-2</v>
      </c>
      <c r="BH3" s="36">
        <v>-8.5381433803068715E-2</v>
      </c>
      <c r="BI3" s="36">
        <v>6.449315459347095E-2</v>
      </c>
      <c r="BJ3" s="36">
        <v>-6.227610105192051E-3</v>
      </c>
      <c r="BK3" s="36">
        <v>4.6391114420235899E-2</v>
      </c>
      <c r="BL3" s="36">
        <v>-1.156082161362396E-2</v>
      </c>
      <c r="BM3" s="36">
        <v>-4.455844209947097E-2</v>
      </c>
      <c r="BN3" s="36">
        <v>2.7621487445270072E-3</v>
      </c>
      <c r="BO3" s="36">
        <v>8.312142553037161E-3</v>
      </c>
      <c r="BP3" s="36">
        <v>-5.5860348790947041E-2</v>
      </c>
      <c r="BQ3" s="36">
        <v>3.5706629851489133E-2</v>
      </c>
      <c r="BR3" s="36">
        <v>-2.2012848784035179E-2</v>
      </c>
      <c r="BS3" s="36">
        <v>3.9643524500143849E-2</v>
      </c>
      <c r="BT3" s="36">
        <v>-3.5802523819053762E-3</v>
      </c>
      <c r="BU3" s="36">
        <v>8.9809503674597949E-3</v>
      </c>
      <c r="BV3" s="36">
        <v>-8.9428832558806175E-3</v>
      </c>
      <c r="BW3" s="36">
        <v>-7.606401830661523E-2</v>
      </c>
      <c r="BX3" s="36">
        <v>-4.0663010962644373E-2</v>
      </c>
      <c r="BY3" s="36">
        <v>-5.908333642589482E-2</v>
      </c>
      <c r="BZ3" s="36">
        <v>-2.6982576363534839E-2</v>
      </c>
      <c r="CA3" s="36">
        <v>-0.12652495379074219</v>
      </c>
      <c r="CB3" s="36">
        <v>1.2022261026242089E-2</v>
      </c>
      <c r="CC3" s="36">
        <v>-5.0881431189465171E-2</v>
      </c>
      <c r="CD3" s="36">
        <v>2.5276040610712269E-2</v>
      </c>
      <c r="CE3" s="36">
        <v>8.7027483919829188E-2</v>
      </c>
      <c r="CF3" s="36">
        <v>-2.4625967354591039E-2</v>
      </c>
      <c r="CG3" s="36">
        <v>1.874726219553563E-2</v>
      </c>
      <c r="CH3" s="36">
        <v>4.1512479804806227E-2</v>
      </c>
      <c r="CI3" s="36">
        <v>-2.982027623949892E-2</v>
      </c>
      <c r="CJ3" s="36">
        <v>-1.2665490672423049E-2</v>
      </c>
      <c r="CK3" s="36">
        <v>4.7987523977313533E-2</v>
      </c>
      <c r="CL3" s="36">
        <v>-6.6815212175235783E-3</v>
      </c>
      <c r="CM3" s="36">
        <v>2.3373144063608738E-2</v>
      </c>
      <c r="CN3" s="36">
        <v>1.089017138913061E-2</v>
      </c>
      <c r="CO3" s="36">
        <v>0.14646343744112991</v>
      </c>
      <c r="CP3" s="36">
        <v>1.9768544897054329E-2</v>
      </c>
      <c r="CQ3" s="36">
        <v>1.7749235500301951E-2</v>
      </c>
      <c r="CR3" s="36">
        <v>-2.8991521269468159E-2</v>
      </c>
      <c r="CS3" s="36">
        <v>-9.2105433549335754E-3</v>
      </c>
      <c r="CT3" s="36">
        <v>3.684814317680405E-2</v>
      </c>
      <c r="CU3" s="36">
        <v>3.050411561754297E-2</v>
      </c>
      <c r="CV3" s="36">
        <v>4.0383350938434252E-2</v>
      </c>
      <c r="CW3" s="36">
        <v>-9.3859596047043536E-3</v>
      </c>
      <c r="CX3" s="36">
        <v>-7.7248887176943296E-2</v>
      </c>
      <c r="CY3" s="36">
        <v>2.548220655716743E-3</v>
      </c>
      <c r="CZ3" s="36">
        <v>-2.335678888027266E-2</v>
      </c>
      <c r="DA3" s="36">
        <v>-3.5608656768651929E-2</v>
      </c>
      <c r="DB3" s="36">
        <v>4.4999952963004786E-3</v>
      </c>
      <c r="DC3" s="36">
        <v>-4.3417921151317942E-2</v>
      </c>
      <c r="DD3" s="36">
        <v>7.7585487350289431E-2</v>
      </c>
      <c r="DE3" s="36">
        <v>4.5548817954567847E-2</v>
      </c>
      <c r="DF3" s="36">
        <v>-7.3761037440207289E-2</v>
      </c>
      <c r="DG3" s="36">
        <v>-1.383602919096409E-2</v>
      </c>
      <c r="DH3" s="36">
        <v>-1.314658790875837E-2</v>
      </c>
      <c r="DI3" s="36">
        <v>-0.1184441451090506</v>
      </c>
      <c r="DJ3" s="36">
        <v>4.9715760335060859E-2</v>
      </c>
      <c r="DK3" s="36">
        <v>2.8876918213256629E-2</v>
      </c>
      <c r="DL3" s="36">
        <v>-1.318152540995088E-2</v>
      </c>
      <c r="DM3" s="36">
        <v>4.3520520821273612E-2</v>
      </c>
      <c r="DN3" s="36">
        <v>-6.0662478946377781E-2</v>
      </c>
      <c r="DO3" s="36">
        <v>8.2564150197316444E-2</v>
      </c>
      <c r="DP3" s="36">
        <v>-9.6015988315113029E-2</v>
      </c>
      <c r="DQ3" s="36">
        <v>-1.9845471562179029E-2</v>
      </c>
      <c r="DR3" s="36">
        <v>-1.8579633997215111E-2</v>
      </c>
      <c r="DS3" s="36">
        <v>-2.578465931080003E-2</v>
      </c>
      <c r="DT3" s="36">
        <v>-3.759158589343687E-2</v>
      </c>
      <c r="DU3" s="36">
        <v>-4.5291919372196177E-2</v>
      </c>
      <c r="DV3" s="36">
        <v>-2.2458423361422019E-2</v>
      </c>
      <c r="DW3" s="36">
        <v>2.7164709117450531E-4</v>
      </c>
      <c r="DX3" s="36">
        <v>-6.4503989329820932E-2</v>
      </c>
      <c r="DY3" s="36">
        <v>6.0125260418043287E-2</v>
      </c>
      <c r="DZ3" s="36">
        <v>5.824521899381126E-3</v>
      </c>
      <c r="EA3" s="36">
        <v>1.550389496878647E-2</v>
      </c>
      <c r="EB3" s="36">
        <v>3.0904912560126702E-2</v>
      </c>
      <c r="EC3" s="36">
        <v>3.9813074668317322E-2</v>
      </c>
      <c r="ED3" s="36">
        <v>6.0186469707419407E-3</v>
      </c>
      <c r="EE3" s="36">
        <v>-3.9888767217459868E-2</v>
      </c>
      <c r="EF3" s="36">
        <v>-9.608135149364426E-2</v>
      </c>
    </row>
    <row r="4" spans="1:137" ht="16">
      <c r="A4" s="35"/>
      <c r="B4" s="30" t="s">
        <v>254</v>
      </c>
      <c r="C4" s="36">
        <v>-0.20935792122733601</v>
      </c>
      <c r="D4" s="36">
        <v>-0.24145620521490571</v>
      </c>
      <c r="E4" s="36">
        <v>0.26636596474473501</v>
      </c>
      <c r="F4" s="36">
        <v>0.33022979398488089</v>
      </c>
      <c r="G4" s="36">
        <v>0.2035863770520018</v>
      </c>
      <c r="H4" s="36">
        <v>0.5537341742626456</v>
      </c>
      <c r="I4" s="36">
        <v>0.66979451114429034</v>
      </c>
      <c r="J4" s="36">
        <v>0.61032590854849456</v>
      </c>
      <c r="K4" s="36">
        <v>0.86207445584452447</v>
      </c>
      <c r="L4" s="36">
        <v>0.37355796404420633</v>
      </c>
      <c r="M4" s="36">
        <v>0.62222012198115262</v>
      </c>
      <c r="N4" s="36">
        <v>0.29351051715390319</v>
      </c>
      <c r="O4" s="36">
        <v>0.35628689631689647</v>
      </c>
      <c r="P4" s="36">
        <v>0.17806893054971379</v>
      </c>
      <c r="Q4" s="36">
        <v>0.1563575197337759</v>
      </c>
      <c r="R4" s="36">
        <v>0.22483040458636899</v>
      </c>
      <c r="S4" s="36">
        <v>0.18264461949126659</v>
      </c>
      <c r="T4" s="36">
        <v>0.15307368282964859</v>
      </c>
      <c r="U4" s="36">
        <v>0.22557713697371559</v>
      </c>
      <c r="V4" s="36">
        <v>-9.1580290119962757E-2</v>
      </c>
      <c r="W4" s="36">
        <v>-4.9495832352311628E-2</v>
      </c>
      <c r="X4" s="36">
        <v>-0.2678950640091351</v>
      </c>
      <c r="Y4" s="36">
        <v>-0.36478829273583491</v>
      </c>
      <c r="Z4" s="36">
        <v>-0.3779060136015861</v>
      </c>
      <c r="AA4" s="36">
        <v>-0.43955484978357701</v>
      </c>
      <c r="AB4" s="36">
        <v>-0.41859416874526367</v>
      </c>
      <c r="AC4" s="36">
        <v>-0.31816515320418409</v>
      </c>
      <c r="AD4" s="36">
        <v>-0.20856536883441179</v>
      </c>
      <c r="AE4" s="36">
        <v>-0.1023649845008438</v>
      </c>
      <c r="AF4" s="36">
        <v>-0.14886860509428651</v>
      </c>
      <c r="AG4" s="36">
        <v>-0.1866902267256208</v>
      </c>
      <c r="AH4" s="36">
        <v>-0.25393275403871191</v>
      </c>
      <c r="AI4" s="36">
        <v>-0.14773922610345119</v>
      </c>
      <c r="AJ4" s="36">
        <v>4.4513506223647151E-2</v>
      </c>
      <c r="AK4" s="36">
        <v>-5.8155621464165322E-2</v>
      </c>
      <c r="AL4" s="36">
        <v>-9.1865237642505163E-2</v>
      </c>
      <c r="AM4" s="36">
        <v>-0.16826269698552301</v>
      </c>
      <c r="AN4" s="36">
        <v>-0.33743700555198552</v>
      </c>
      <c r="AO4" s="36">
        <v>-0.36868152859592562</v>
      </c>
      <c r="AP4" s="36">
        <v>-0.28691959224511548</v>
      </c>
      <c r="AQ4" s="36">
        <v>-0.30523872624318382</v>
      </c>
      <c r="AR4" s="36">
        <v>-0.29331379911690642</v>
      </c>
      <c r="AS4" s="36">
        <v>-0.30267029688624508</v>
      </c>
      <c r="AT4" s="36">
        <v>-0.28045675156766531</v>
      </c>
      <c r="AU4" s="36">
        <v>-0.18262992182905941</v>
      </c>
      <c r="AV4" s="36">
        <v>-0.12130978761687</v>
      </c>
      <c r="AW4" s="36">
        <v>-0.15372123350245639</v>
      </c>
      <c r="AX4" s="36">
        <v>-2.163155956071092E-2</v>
      </c>
      <c r="AY4" s="36">
        <v>0.10122185588554949</v>
      </c>
      <c r="AZ4" s="36">
        <v>0.18954150820982221</v>
      </c>
      <c r="BA4" s="36">
        <v>9.5279708371273503E-2</v>
      </c>
      <c r="BB4" s="36">
        <v>1.1130473143875179E-2</v>
      </c>
      <c r="BC4" s="36">
        <v>0.19620313414919849</v>
      </c>
      <c r="BD4" s="36">
        <v>0.1522471346455414</v>
      </c>
      <c r="BE4" s="36">
        <v>0.20934399551839861</v>
      </c>
      <c r="BF4" s="36">
        <v>0.16752252916389659</v>
      </c>
      <c r="BG4" s="36">
        <v>0.16855713353359719</v>
      </c>
      <c r="BH4" s="36">
        <v>0.23475757737273911</v>
      </c>
      <c r="BI4" s="36">
        <v>0.27598376688340442</v>
      </c>
      <c r="BJ4" s="36">
        <v>0.26154895504900538</v>
      </c>
      <c r="BK4" s="36">
        <v>0.19300560487419521</v>
      </c>
      <c r="BL4" s="36">
        <v>3.2255305302616187E-2</v>
      </c>
      <c r="BM4" s="36">
        <v>8.4649698660638095E-2</v>
      </c>
      <c r="BN4" s="36">
        <v>-1.5702242386539032E-2</v>
      </c>
      <c r="BO4" s="36">
        <v>2.9608765252482721E-2</v>
      </c>
      <c r="BP4" s="36">
        <v>-8.2625544071202886E-2</v>
      </c>
      <c r="BQ4" s="36">
        <v>-7.9330451385874676E-2</v>
      </c>
      <c r="BR4" s="36">
        <v>-0.11353413407979809</v>
      </c>
      <c r="BS4" s="36">
        <v>-0.16045061256945001</v>
      </c>
      <c r="BT4" s="36">
        <v>-2.8989653450827001E-2</v>
      </c>
      <c r="BU4" s="36">
        <v>-3.8417136037107451E-3</v>
      </c>
      <c r="BV4" s="36">
        <v>-0.17414888256791389</v>
      </c>
      <c r="BW4" s="36">
        <v>-5.0655462653666453E-2</v>
      </c>
      <c r="BX4" s="36">
        <v>-9.7462301529207679E-3</v>
      </c>
      <c r="BY4" s="36">
        <v>4.311871752812544E-2</v>
      </c>
      <c r="BZ4" s="36">
        <v>8.3594709945727624E-2</v>
      </c>
      <c r="CA4" s="36">
        <v>5.9758542127211607E-2</v>
      </c>
      <c r="CB4" s="36">
        <v>0.22654684744137221</v>
      </c>
      <c r="CC4" s="36">
        <v>0.16059562442098191</v>
      </c>
      <c r="CD4" s="36">
        <v>0.1247822180786789</v>
      </c>
      <c r="CE4" s="36">
        <v>7.0316847032607876E-2</v>
      </c>
      <c r="CF4" s="36">
        <v>3.7786686365643571E-2</v>
      </c>
      <c r="CG4" s="36">
        <v>0.14783134630066269</v>
      </c>
      <c r="CH4" s="36">
        <v>0.16146329015111541</v>
      </c>
      <c r="CI4" s="36">
        <v>0.19050379057570099</v>
      </c>
      <c r="CJ4" s="36">
        <v>5.7810008272749062E-2</v>
      </c>
      <c r="CK4" s="36">
        <v>0.1815957554070709</v>
      </c>
      <c r="CL4" s="36">
        <v>0.15995890504762161</v>
      </c>
      <c r="CM4" s="36">
        <v>-0.19344889033092799</v>
      </c>
      <c r="CN4" s="36">
        <v>9.2661650400173462E-2</v>
      </c>
      <c r="CO4" s="36">
        <v>0.18420345965444129</v>
      </c>
      <c r="CP4" s="36">
        <v>0.21509937997508449</v>
      </c>
      <c r="CQ4" s="36">
        <v>7.8222160125948112E-2</v>
      </c>
      <c r="CR4" s="36">
        <v>0.23262305351410531</v>
      </c>
      <c r="CS4" s="36">
        <v>0.1246176152094155</v>
      </c>
      <c r="CT4" s="36">
        <v>0.2146340953754568</v>
      </c>
      <c r="CU4" s="36">
        <v>0.29380322799279129</v>
      </c>
      <c r="CV4" s="36">
        <v>0.16458639143631021</v>
      </c>
      <c r="CW4" s="36">
        <v>0.22758953291297229</v>
      </c>
      <c r="CX4" s="36">
        <v>0.30967914222586451</v>
      </c>
      <c r="CY4" s="36">
        <v>0.1008269451540873</v>
      </c>
      <c r="CZ4" s="36">
        <v>0.27399190305797039</v>
      </c>
      <c r="DA4" s="36">
        <v>0.29613632136496731</v>
      </c>
      <c r="DB4" s="36">
        <v>0.44409378278633932</v>
      </c>
      <c r="DC4" s="36">
        <v>0.27739949663700231</v>
      </c>
      <c r="DD4" s="36">
        <v>0.2084619437252104</v>
      </c>
      <c r="DE4" s="36">
        <v>5.006562543628422E-2</v>
      </c>
      <c r="DF4" s="36">
        <v>7.9342540750067247E-2</v>
      </c>
      <c r="DG4" s="36">
        <v>4.1263423131758292E-2</v>
      </c>
      <c r="DH4" s="36">
        <v>-7.4014041769745603E-3</v>
      </c>
      <c r="DI4" s="36">
        <v>9.1903678777207287E-2</v>
      </c>
      <c r="DJ4" s="36">
        <v>0.18881040894549631</v>
      </c>
      <c r="DK4" s="36">
        <v>5.0346204508612824E-3</v>
      </c>
      <c r="DL4" s="36">
        <v>-6.5302735759753747E-2</v>
      </c>
      <c r="DM4" s="36">
        <v>-0.16991943054339001</v>
      </c>
      <c r="DN4" s="36">
        <v>-4.8355536158137598E-2</v>
      </c>
      <c r="DO4" s="36">
        <v>0.3023913444349744</v>
      </c>
      <c r="DP4" s="36">
        <v>0.40249617507699309</v>
      </c>
      <c r="DQ4" s="36">
        <v>0.42337951153233438</v>
      </c>
      <c r="DR4" s="36">
        <v>0.31958732161063053</v>
      </c>
      <c r="DS4" s="36">
        <v>0.27007262221994582</v>
      </c>
      <c r="DT4" s="36">
        <v>0.24555914580250721</v>
      </c>
      <c r="DU4" s="36">
        <v>0.18374521718344591</v>
      </c>
      <c r="DV4" s="36">
        <v>0.16882438454898829</v>
      </c>
      <c r="DW4" s="36">
        <v>0.21735692510693649</v>
      </c>
      <c r="DX4" s="36">
        <v>0.18716202375844659</v>
      </c>
      <c r="DY4" s="36">
        <v>0.12863278460069319</v>
      </c>
      <c r="DZ4" s="36">
        <v>0.1138956216351769</v>
      </c>
      <c r="EA4" s="36">
        <v>6.9887093780084175E-2</v>
      </c>
      <c r="EB4" s="36">
        <v>0.12681710950217981</v>
      </c>
      <c r="EC4" s="36">
        <v>0.1562815300942598</v>
      </c>
      <c r="ED4" s="36">
        <v>0.36668826933924509</v>
      </c>
      <c r="EE4" s="36">
        <v>0.47250079911659248</v>
      </c>
      <c r="EF4" s="36">
        <v>0.72972326297934098</v>
      </c>
    </row>
    <row r="5" spans="1:137" ht="16">
      <c r="A5" s="35"/>
      <c r="B5" s="30" t="s">
        <v>255</v>
      </c>
      <c r="C5" s="36">
        <v>0.1415892121840287</v>
      </c>
      <c r="D5" s="36">
        <v>9.2586945061469042E-2</v>
      </c>
      <c r="E5" s="36">
        <v>0.11349879155944111</v>
      </c>
      <c r="F5" s="36">
        <v>-7.3769776575699809E-3</v>
      </c>
      <c r="G5" s="36">
        <v>-0.3186396678242116</v>
      </c>
      <c r="H5" s="36">
        <v>-0.42059898952232572</v>
      </c>
      <c r="I5" s="36">
        <v>-0.61741574929518839</v>
      </c>
      <c r="J5" s="36">
        <v>-0.43362008529973561</v>
      </c>
      <c r="K5" s="36">
        <v>-0.25626772334753112</v>
      </c>
      <c r="L5" s="36">
        <v>-0.2113105027109515</v>
      </c>
      <c r="M5" s="36">
        <v>-0.20647602014875061</v>
      </c>
      <c r="N5" s="36">
        <v>-0.32791237477111829</v>
      </c>
      <c r="O5" s="36">
        <v>1.5729811103918339E-2</v>
      </c>
      <c r="P5" s="36">
        <v>6.8442694647505714E-2</v>
      </c>
      <c r="Q5" s="36">
        <v>5.2648855857004642E-2</v>
      </c>
      <c r="R5" s="36">
        <v>-2.0694613114836578E-2</v>
      </c>
      <c r="S5" s="36">
        <v>2.495928979766664E-2</v>
      </c>
      <c r="T5" s="36">
        <v>-8.6843647181224407E-2</v>
      </c>
      <c r="U5" s="36">
        <v>-0.52458473451682519</v>
      </c>
      <c r="V5" s="36">
        <v>-0.4792143423997316</v>
      </c>
      <c r="W5" s="36">
        <v>-0.36348833368794342</v>
      </c>
      <c r="X5" s="36">
        <v>-0.39764648466092672</v>
      </c>
      <c r="Y5" s="36">
        <v>-0.47562109760818377</v>
      </c>
      <c r="Z5" s="36">
        <v>-0.29400139222215738</v>
      </c>
      <c r="AA5" s="36">
        <v>-0.21990454798605369</v>
      </c>
      <c r="AB5" s="36">
        <v>1.8176812449253021E-2</v>
      </c>
      <c r="AC5" s="36">
        <v>-7.9990063758137941E-2</v>
      </c>
      <c r="AD5" s="36">
        <v>-0.1028929785055152</v>
      </c>
      <c r="AE5" s="36">
        <v>0.14449675324010591</v>
      </c>
      <c r="AF5" s="36">
        <v>9.4619546486641323E-2</v>
      </c>
      <c r="AG5" s="36">
        <v>0.15888808539996641</v>
      </c>
      <c r="AH5" s="36">
        <v>0.1196181721172441</v>
      </c>
      <c r="AI5" s="36">
        <v>0.26749723606904691</v>
      </c>
      <c r="AJ5" s="36">
        <v>0.28042018158602128</v>
      </c>
      <c r="AK5" s="36">
        <v>-3.0700048481476939E-2</v>
      </c>
      <c r="AL5" s="36">
        <v>4.5908625392411313E-2</v>
      </c>
      <c r="AM5" s="36">
        <v>0.17498289674326181</v>
      </c>
      <c r="AN5" s="36">
        <v>0.12715124049161411</v>
      </c>
      <c r="AO5" s="36">
        <v>0.1846750202735136</v>
      </c>
      <c r="AP5" s="36">
        <v>8.4214377141994659E-2</v>
      </c>
      <c r="AQ5" s="36">
        <v>0.195944269725251</v>
      </c>
      <c r="AR5" s="36">
        <v>0.1332335332468598</v>
      </c>
      <c r="AS5" s="36">
        <v>0.16593561585303601</v>
      </c>
      <c r="AT5" s="36">
        <v>2.0797244614353168E-2</v>
      </c>
      <c r="AU5" s="36">
        <v>1.2255111472991581E-2</v>
      </c>
      <c r="AV5" s="36">
        <v>-1.3354263340341489E-2</v>
      </c>
      <c r="AW5" s="36">
        <v>-0.1629162908390954</v>
      </c>
      <c r="AX5" s="36">
        <v>2.1398073174880568E-2</v>
      </c>
      <c r="AY5" s="36">
        <v>-0.31841892204614608</v>
      </c>
      <c r="AZ5" s="36">
        <v>-0.2389402856524428</v>
      </c>
      <c r="BA5" s="36">
        <v>-0.22999540969309759</v>
      </c>
      <c r="BB5" s="36">
        <v>-7.1523535861795301E-2</v>
      </c>
      <c r="BC5" s="36">
        <v>0.19523407189221659</v>
      </c>
      <c r="BD5" s="36">
        <v>0.1343817013556074</v>
      </c>
      <c r="BE5" s="36">
        <v>0.36448653223917399</v>
      </c>
      <c r="BF5" s="36">
        <v>0.44848254478272898</v>
      </c>
      <c r="BG5" s="36">
        <v>0.43221300941381358</v>
      </c>
      <c r="BH5" s="36">
        <v>0.27475197161243958</v>
      </c>
      <c r="BI5" s="36">
        <v>0.27625006164983618</v>
      </c>
      <c r="BJ5" s="36">
        <v>1.55846946017396E-2</v>
      </c>
      <c r="BK5" s="36">
        <v>0.1058051363286677</v>
      </c>
      <c r="BL5" s="36">
        <v>0.12655100249236981</v>
      </c>
      <c r="BM5" s="36">
        <v>0.22848090332571749</v>
      </c>
      <c r="BN5" s="36">
        <v>0.28499472414789501</v>
      </c>
      <c r="BO5" s="36">
        <v>0.10343621031436109</v>
      </c>
      <c r="BP5" s="36">
        <v>0.37735475502544108</v>
      </c>
      <c r="BQ5" s="36">
        <v>0.20037255890381511</v>
      </c>
      <c r="BR5" s="36">
        <v>0.22737663442672029</v>
      </c>
      <c r="BS5" s="36">
        <v>0.28000569960508931</v>
      </c>
      <c r="BT5" s="36">
        <v>0.25048842105416552</v>
      </c>
      <c r="BU5" s="36">
        <v>0.40950603598106478</v>
      </c>
      <c r="BV5" s="36">
        <v>0.27914339825966772</v>
      </c>
      <c r="BW5" s="36">
        <v>0.42338681782856119</v>
      </c>
      <c r="BX5" s="36">
        <v>0.20681397354492859</v>
      </c>
      <c r="BY5" s="36">
        <v>0.16995656458325559</v>
      </c>
      <c r="BZ5" s="36">
        <v>0.25229150973658637</v>
      </c>
      <c r="CA5" s="36">
        <v>0.32026292962452041</v>
      </c>
      <c r="CB5" s="36">
        <v>0.51463583067154539</v>
      </c>
      <c r="CC5" s="36">
        <v>0.18153007409469241</v>
      </c>
      <c r="CD5" s="36">
        <v>0.12003370467929959</v>
      </c>
      <c r="CE5" s="36">
        <v>-2.5943292883541139E-2</v>
      </c>
      <c r="CF5" s="36">
        <v>4.5043615925369367E-2</v>
      </c>
      <c r="CG5" s="36">
        <v>-0.35445425141928649</v>
      </c>
      <c r="CH5" s="36">
        <v>-0.25260244407894528</v>
      </c>
      <c r="CI5" s="36">
        <v>0.14395187079646721</v>
      </c>
      <c r="CJ5" s="36">
        <v>0.27306771173615763</v>
      </c>
      <c r="CK5" s="36">
        <v>1.7040845792885052E-2</v>
      </c>
      <c r="CL5" s="36">
        <v>-0.2428342099250631</v>
      </c>
      <c r="CM5" s="36">
        <v>-6.2585841640853714E-3</v>
      </c>
      <c r="CN5" s="36">
        <v>-0.310075109187538</v>
      </c>
      <c r="CO5" s="36">
        <v>-0.48661942430606081</v>
      </c>
      <c r="CP5" s="36">
        <v>-0.58562675232019856</v>
      </c>
      <c r="CQ5" s="36">
        <v>-0.21352733862147991</v>
      </c>
      <c r="CR5" s="36">
        <v>-0.1651861224943722</v>
      </c>
      <c r="CS5" s="36">
        <v>-0.15856953077819341</v>
      </c>
      <c r="CT5" s="36">
        <v>-0.2953032979629534</v>
      </c>
      <c r="CU5" s="36">
        <v>-0.1254818780087637</v>
      </c>
      <c r="CV5" s="36">
        <v>-4.7694294242323958E-2</v>
      </c>
      <c r="CW5" s="36">
        <v>-6.9955238824078614E-2</v>
      </c>
      <c r="CX5" s="36">
        <v>-9.2457955566808206E-3</v>
      </c>
      <c r="CY5" s="36">
        <v>-2.2135304831282489E-2</v>
      </c>
      <c r="CZ5" s="36">
        <v>5.5799951070273343E-2</v>
      </c>
      <c r="DA5" s="36">
        <v>4.6904914532679559E-3</v>
      </c>
      <c r="DB5" s="36">
        <v>-0.19841703137983821</v>
      </c>
      <c r="DC5" s="36">
        <v>-0.1481577816394834</v>
      </c>
      <c r="DD5" s="36">
        <v>-7.8448866350443819E-2</v>
      </c>
      <c r="DE5" s="36">
        <v>-3.4735830531551833E-2</v>
      </c>
      <c r="DF5" s="36">
        <v>0.23309856186511069</v>
      </c>
      <c r="DG5" s="36">
        <v>0.10547592327494661</v>
      </c>
      <c r="DH5" s="36">
        <v>0.26024560403747621</v>
      </c>
      <c r="DI5" s="36">
        <v>0.24342212166939201</v>
      </c>
      <c r="DJ5" s="36">
        <v>6.1619870633241258E-2</v>
      </c>
      <c r="DK5" s="36">
        <v>8.9139844165813373E-2</v>
      </c>
      <c r="DL5" s="36">
        <v>2.9253193961501531E-2</v>
      </c>
      <c r="DM5" s="36">
        <v>0.14236144307942539</v>
      </c>
      <c r="DN5" s="36">
        <v>0.14615257349174909</v>
      </c>
      <c r="DO5" s="36">
        <v>4.9079225670203321E-2</v>
      </c>
      <c r="DP5" s="36">
        <v>0.40322960152089549</v>
      </c>
      <c r="DQ5" s="36">
        <v>0.46524421937942317</v>
      </c>
      <c r="DR5" s="36">
        <v>0.25491522170831532</v>
      </c>
      <c r="DS5" s="36">
        <v>0.1449016436002509</v>
      </c>
      <c r="DT5" s="36">
        <v>0.1096478687616492</v>
      </c>
      <c r="DU5" s="36">
        <v>0.14664794338699069</v>
      </c>
      <c r="DV5" s="36">
        <v>-0.37515330256173463</v>
      </c>
      <c r="DW5" s="36">
        <v>-0.29741986054930047</v>
      </c>
      <c r="DX5" s="36">
        <v>-0.19544277976532101</v>
      </c>
      <c r="DY5" s="36">
        <v>-8.2428265894752814E-2</v>
      </c>
      <c r="DZ5" s="36">
        <v>5.866183339010559E-2</v>
      </c>
      <c r="EA5" s="36">
        <v>-4.6779077930829367E-2</v>
      </c>
      <c r="EB5" s="36">
        <v>0.1641432425225606</v>
      </c>
      <c r="EC5" s="36">
        <v>-3.8064247233434587E-2</v>
      </c>
      <c r="ED5" s="36">
        <v>5.5317446797800797E-2</v>
      </c>
      <c r="EE5" s="36">
        <v>4.5666052310806213E-2</v>
      </c>
      <c r="EF5" s="36">
        <v>-1.513055182908553E-2</v>
      </c>
    </row>
    <row r="6" spans="1:137" ht="16">
      <c r="A6" s="35"/>
      <c r="B6" s="30" t="s">
        <v>256</v>
      </c>
      <c r="C6" s="36">
        <v>-5.5287602367965212E-2</v>
      </c>
      <c r="D6" s="36">
        <v>-0.14445298729163969</v>
      </c>
      <c r="E6" s="36">
        <v>-9.1431301014034599E-2</v>
      </c>
      <c r="F6" s="36">
        <v>0.35495179720125758</v>
      </c>
      <c r="G6" s="36">
        <v>0.21923638181908089</v>
      </c>
      <c r="H6" s="36">
        <v>0.283134197622957</v>
      </c>
      <c r="I6" s="36">
        <v>0.37143266638530409</v>
      </c>
      <c r="J6" s="36">
        <v>0.41062409023091229</v>
      </c>
      <c r="K6" s="36">
        <v>0.40769934121960488</v>
      </c>
      <c r="L6" s="36">
        <v>-7.159674146892725E-3</v>
      </c>
      <c r="M6" s="36">
        <v>-7.3648091051968512E-3</v>
      </c>
      <c r="N6" s="36">
        <v>-5.1515820152121562E-2</v>
      </c>
      <c r="O6" s="36">
        <v>0.2542620970860141</v>
      </c>
      <c r="P6" s="36">
        <v>0.25179107603585099</v>
      </c>
      <c r="Q6" s="36">
        <v>0.2218350215305622</v>
      </c>
      <c r="R6" s="36">
        <v>0.24564422754657189</v>
      </c>
      <c r="S6" s="36">
        <v>0.21802587035960269</v>
      </c>
      <c r="T6" s="36">
        <v>0.22885928116164689</v>
      </c>
      <c r="U6" s="36">
        <v>-3.8365895591860683E-2</v>
      </c>
      <c r="V6" s="36">
        <v>-2.4933565518348022E-4</v>
      </c>
      <c r="W6" s="36">
        <v>-6.9911431364622995E-2</v>
      </c>
      <c r="X6" s="36">
        <v>-6.456449127916436E-2</v>
      </c>
      <c r="Y6" s="36">
        <v>4.1605297186146813E-2</v>
      </c>
      <c r="Z6" s="36">
        <v>-1.9800016442501619E-2</v>
      </c>
      <c r="AA6" s="36">
        <v>-7.2143290991637576E-2</v>
      </c>
      <c r="AB6" s="36">
        <v>-6.8452120608651329E-2</v>
      </c>
      <c r="AC6" s="36">
        <v>3.2607263241921841E-2</v>
      </c>
      <c r="AD6" s="36">
        <v>1.7594645532416991E-2</v>
      </c>
      <c r="AE6" s="36">
        <v>-2.901928616329708E-3</v>
      </c>
      <c r="AF6" s="36">
        <v>-2.248356577507465E-3</v>
      </c>
      <c r="AG6" s="36">
        <v>-5.5811273092355174E-3</v>
      </c>
      <c r="AH6" s="36">
        <v>-6.6841359079102816E-3</v>
      </c>
      <c r="AI6" s="36">
        <v>-1.385499411618335E-3</v>
      </c>
      <c r="AJ6" s="36">
        <v>-8.6481173432073621E-4</v>
      </c>
      <c r="AK6" s="36">
        <v>5.6462115284851337E-2</v>
      </c>
      <c r="AL6" s="36">
        <v>7.8493009558184917E-2</v>
      </c>
      <c r="AM6" s="36">
        <v>-0.11226928615946841</v>
      </c>
      <c r="AN6" s="36">
        <v>-0.22946841655236611</v>
      </c>
      <c r="AO6" s="36">
        <v>-0.13981328564836121</v>
      </c>
      <c r="AP6" s="36">
        <v>-0.1103039313350698</v>
      </c>
      <c r="AQ6" s="36">
        <v>-0.16861413881368431</v>
      </c>
      <c r="AR6" s="36">
        <v>-0.1371830444209835</v>
      </c>
      <c r="AS6" s="36">
        <v>5.211904011802404E-2</v>
      </c>
      <c r="AT6" s="36">
        <v>0.14234804792068309</v>
      </c>
      <c r="AU6" s="36">
        <v>0.15576266032816749</v>
      </c>
      <c r="AV6" s="36">
        <v>0.1449166373776215</v>
      </c>
      <c r="AW6" s="36">
        <v>0.18538208810641141</v>
      </c>
      <c r="AX6" s="36">
        <v>0.1366523480003056</v>
      </c>
      <c r="AY6" s="36">
        <v>0.14596250886375589</v>
      </c>
      <c r="AZ6" s="36">
        <v>0.26503780407394811</v>
      </c>
      <c r="BA6" s="36">
        <v>0.14676561542020911</v>
      </c>
      <c r="BB6" s="36">
        <v>3.3428218400161358E-3</v>
      </c>
      <c r="BC6" s="36">
        <v>-7.0510317488028634E-2</v>
      </c>
      <c r="BD6" s="36">
        <v>-3.5291447065675441E-2</v>
      </c>
      <c r="BE6" s="36">
        <v>3.5257594922360899E-2</v>
      </c>
      <c r="BF6" s="36">
        <v>3.8800415177149161E-2</v>
      </c>
      <c r="BG6" s="36">
        <v>5.35267227270948E-2</v>
      </c>
      <c r="BH6" s="36">
        <v>0.17967627527126151</v>
      </c>
      <c r="BI6" s="36">
        <v>0.15487119135892979</v>
      </c>
      <c r="BJ6" s="36">
        <v>0.1190558145321248</v>
      </c>
      <c r="BK6" s="36">
        <v>0.13032726460855551</v>
      </c>
      <c r="BL6" s="36">
        <v>9.3330537871948963E-2</v>
      </c>
      <c r="BM6" s="36">
        <v>8.0284022008766234E-2</v>
      </c>
      <c r="BN6" s="36">
        <v>0.20761045318620699</v>
      </c>
      <c r="BO6" s="36">
        <v>0.18768666424061561</v>
      </c>
      <c r="BP6" s="36">
        <v>0.1299212136716856</v>
      </c>
      <c r="BQ6" s="36">
        <v>9.8717055186148456E-2</v>
      </c>
      <c r="BR6" s="36">
        <v>4.5233846544491793E-2</v>
      </c>
      <c r="BS6" s="36">
        <v>0.13778382026817171</v>
      </c>
      <c r="BT6" s="36">
        <v>4.6964995030642789E-2</v>
      </c>
      <c r="BU6" s="36">
        <v>7.8535809146009994E-2</v>
      </c>
      <c r="BV6" s="36">
        <v>0.12030054403500839</v>
      </c>
      <c r="BW6" s="36">
        <v>5.9755525305673893E-2</v>
      </c>
      <c r="BX6" s="36">
        <v>6.3549054774741306E-2</v>
      </c>
      <c r="BY6" s="36">
        <v>-6.5045110879808632E-3</v>
      </c>
      <c r="BZ6" s="36">
        <v>-5.1668341542727647E-2</v>
      </c>
      <c r="CA6" s="36">
        <v>-7.9185433944847061E-2</v>
      </c>
      <c r="CB6" s="36">
        <v>-0.1127810804912311</v>
      </c>
      <c r="CC6" s="36">
        <v>-6.7050409232242481E-2</v>
      </c>
      <c r="CD6" s="36">
        <v>-6.6787378150592241E-2</v>
      </c>
      <c r="CE6" s="36">
        <v>-4.6564912298377087E-2</v>
      </c>
      <c r="CF6" s="36">
        <v>-0.11929573414549299</v>
      </c>
      <c r="CG6" s="36">
        <v>-5.3152980450178272E-2</v>
      </c>
      <c r="CH6" s="36">
        <v>-9.2611607894625192E-2</v>
      </c>
      <c r="CI6" s="36">
        <v>-0.1090312706633422</v>
      </c>
      <c r="CJ6" s="36">
        <v>-6.5592489381071956E-2</v>
      </c>
      <c r="CK6" s="36">
        <v>-8.8696832578178758E-2</v>
      </c>
      <c r="CL6" s="36">
        <v>8.9572676996418077E-2</v>
      </c>
      <c r="CM6" s="36">
        <v>6.5466674673977043E-2</v>
      </c>
      <c r="CN6" s="36">
        <v>2.9778259770337628E-2</v>
      </c>
      <c r="CO6" s="36">
        <v>7.2508099539442067E-2</v>
      </c>
      <c r="CP6" s="36">
        <v>-1.303358147527731E-2</v>
      </c>
      <c r="CQ6" s="36">
        <v>9.569522182040463E-3</v>
      </c>
      <c r="CR6" s="36">
        <v>2.47953533363264E-2</v>
      </c>
      <c r="CS6" s="36">
        <v>4.8612117320788267E-2</v>
      </c>
      <c r="CT6" s="36">
        <v>6.0893021537142523E-2</v>
      </c>
      <c r="CU6" s="36">
        <v>3.4381618283240711E-2</v>
      </c>
      <c r="CV6" s="36">
        <v>0.16980040126902121</v>
      </c>
      <c r="CW6" s="36">
        <v>0.20445758339957451</v>
      </c>
      <c r="CX6" s="36">
        <v>0.1166793182346092</v>
      </c>
      <c r="CY6" s="36">
        <v>2.005814356519928E-2</v>
      </c>
      <c r="CZ6" s="36">
        <v>-1.4802745472687891E-3</v>
      </c>
      <c r="DA6" s="36">
        <v>-2.3150114921623641E-2</v>
      </c>
      <c r="DB6" s="36">
        <v>-0.19162965872882659</v>
      </c>
      <c r="DC6" s="36">
        <v>-0.27185177019325968</v>
      </c>
      <c r="DD6" s="36">
        <v>-0.21309613111010051</v>
      </c>
      <c r="DE6" s="36">
        <v>-0.16221912242286801</v>
      </c>
      <c r="DF6" s="36">
        <v>-0.2020125592365708</v>
      </c>
      <c r="DG6" s="36">
        <v>-0.17344116046680241</v>
      </c>
      <c r="DH6" s="36">
        <v>1.012974642923409E-3</v>
      </c>
      <c r="DI6" s="36">
        <v>7.6205462994728718E-2</v>
      </c>
      <c r="DJ6" s="36">
        <v>6.8038263628197981E-2</v>
      </c>
      <c r="DK6" s="36">
        <v>5.8032611963437293E-2</v>
      </c>
      <c r="DL6" s="36">
        <v>9.6719985419295995E-3</v>
      </c>
      <c r="DM6" s="36">
        <v>-0.13040706175590769</v>
      </c>
      <c r="DN6" s="36">
        <v>-0.29058270893517102</v>
      </c>
      <c r="DO6" s="36">
        <v>-0.37804696398510318</v>
      </c>
      <c r="DP6" s="36">
        <v>-0.38659982436733192</v>
      </c>
      <c r="DQ6" s="36">
        <v>-0.38856601893403331</v>
      </c>
      <c r="DR6" s="36">
        <v>-0.2225135809416024</v>
      </c>
      <c r="DS6" s="36">
        <v>-0.1787917296931768</v>
      </c>
      <c r="DT6" s="36">
        <v>-0.15458476004354091</v>
      </c>
      <c r="DU6" s="36">
        <v>-6.1360687164233867E-2</v>
      </c>
      <c r="DV6" s="36">
        <v>2.79779304551812E-2</v>
      </c>
      <c r="DW6" s="36">
        <v>-3.1911652435136412E-2</v>
      </c>
      <c r="DX6" s="36">
        <v>-9.9874593181686566E-2</v>
      </c>
      <c r="DY6" s="36">
        <v>3.4834303206100481E-3</v>
      </c>
      <c r="DZ6" s="36">
        <v>2.8079826854705309E-2</v>
      </c>
      <c r="EA6" s="36">
        <v>-1.7876846775940201E-3</v>
      </c>
      <c r="EB6" s="36">
        <v>-9.0286462263588552E-2</v>
      </c>
      <c r="EC6" s="36">
        <v>-5.335702626953312E-2</v>
      </c>
      <c r="ED6" s="36">
        <v>-6.5240630345267336E-2</v>
      </c>
      <c r="EE6" s="36">
        <v>-4.1521107351409209E-2</v>
      </c>
      <c r="EF6" s="36">
        <v>-3.5067920268846753E-2</v>
      </c>
      <c r="EG6" s="4"/>
    </row>
    <row r="7" spans="1:137" ht="16">
      <c r="A7" s="4"/>
      <c r="B7" s="30" t="s">
        <v>257</v>
      </c>
      <c r="C7" s="36">
        <v>3.1791852321887817E-2</v>
      </c>
      <c r="D7" s="36">
        <v>-0.124113534659973</v>
      </c>
      <c r="E7" s="36">
        <v>-0.1855275041338216</v>
      </c>
      <c r="F7" s="36">
        <v>-0.51750513151026711</v>
      </c>
      <c r="G7" s="36">
        <v>-0.47668017407719437</v>
      </c>
      <c r="H7" s="36">
        <v>-0.45722757099455158</v>
      </c>
      <c r="I7" s="36">
        <v>-0.52844879570355097</v>
      </c>
      <c r="J7" s="36">
        <v>-0.42896715641499811</v>
      </c>
      <c r="K7" s="36">
        <v>-0.41261833988945718</v>
      </c>
      <c r="L7" s="36">
        <v>-4.1638076480459141E-3</v>
      </c>
      <c r="M7" s="36">
        <v>-2.6791835565263569E-2</v>
      </c>
      <c r="N7" s="36">
        <v>-0.1044832975710908</v>
      </c>
      <c r="O7" s="36">
        <v>4.4211548082371273E-2</v>
      </c>
      <c r="P7" s="36">
        <v>5.8306595935677913E-2</v>
      </c>
      <c r="Q7" s="36">
        <v>-6.8633318730227794E-2</v>
      </c>
      <c r="R7" s="36">
        <v>3.9118300564990882E-2</v>
      </c>
      <c r="S7" s="36">
        <v>1.430917631974769E-2</v>
      </c>
      <c r="T7" s="36">
        <v>4.7434316151017543E-2</v>
      </c>
      <c r="U7" s="36">
        <v>-5.8521476915807114E-3</v>
      </c>
      <c r="V7" s="36">
        <v>-8.4536822785316129E-2</v>
      </c>
      <c r="W7" s="36">
        <v>-0.21030818610927479</v>
      </c>
      <c r="X7" s="36">
        <v>-0.29890892520185208</v>
      </c>
      <c r="Y7" s="36">
        <v>-0.28699682154041978</v>
      </c>
      <c r="Z7" s="36">
        <v>-0.24392935892183371</v>
      </c>
      <c r="AA7" s="36">
        <v>-0.26669381309450008</v>
      </c>
      <c r="AB7" s="36">
        <v>-0.26649480062011849</v>
      </c>
      <c r="AC7" s="36">
        <v>-9.2233352434640453E-2</v>
      </c>
      <c r="AD7" s="36">
        <v>-0.1147951387733117</v>
      </c>
      <c r="AE7" s="36">
        <v>-0.1224079017715</v>
      </c>
      <c r="AF7" s="36">
        <v>-9.5242339474186588E-2</v>
      </c>
      <c r="AG7" s="36">
        <v>-7.8768448683095765E-2</v>
      </c>
      <c r="AH7" s="36">
        <v>-0.10231021540807481</v>
      </c>
      <c r="AI7" s="36">
        <v>-5.7262343839864033E-2</v>
      </c>
      <c r="AJ7" s="36">
        <v>1.375630556441051E-2</v>
      </c>
      <c r="AK7" s="36">
        <v>7.4954773180899756E-2</v>
      </c>
      <c r="AL7" s="36">
        <v>5.8691382352518973E-2</v>
      </c>
      <c r="AM7" s="36">
        <v>5.3574222808861066E-3</v>
      </c>
      <c r="AN7" s="36">
        <v>1.151120887247797E-2</v>
      </c>
      <c r="AO7" s="36">
        <v>4.3992852184543921E-2</v>
      </c>
      <c r="AP7" s="36">
        <v>1.386578512691944E-2</v>
      </c>
      <c r="AQ7" s="36">
        <v>-3.7826594379919122E-2</v>
      </c>
      <c r="AR7" s="36">
        <v>2.0397996471123452E-3</v>
      </c>
      <c r="AS7" s="36">
        <v>0.1357503039005247</v>
      </c>
      <c r="AT7" s="36">
        <v>9.6260025474145652E-2</v>
      </c>
      <c r="AU7" s="36">
        <v>0.1098524283726847</v>
      </c>
      <c r="AV7" s="36">
        <v>5.4049591826809518E-2</v>
      </c>
      <c r="AW7" s="36">
        <v>9.1063555575025282E-2</v>
      </c>
      <c r="AX7" s="36">
        <v>-3.3959984777302832E-3</v>
      </c>
      <c r="AY7" s="36">
        <v>-7.119897332728195E-2</v>
      </c>
      <c r="AZ7" s="36">
        <v>-7.4040978527148166E-2</v>
      </c>
      <c r="BA7" s="36">
        <v>-0.1347483501299408</v>
      </c>
      <c r="BB7" s="36">
        <v>-0.18483968000529249</v>
      </c>
      <c r="BC7" s="36">
        <v>-0.17191627264560791</v>
      </c>
      <c r="BD7" s="36">
        <v>-0.19026124746966269</v>
      </c>
      <c r="BE7" s="36">
        <v>-0.18314878620084191</v>
      </c>
      <c r="BF7" s="36">
        <v>-0.1169061503080033</v>
      </c>
      <c r="BG7" s="36">
        <v>0.12330030316125749</v>
      </c>
      <c r="BH7" s="36">
        <v>0.15359621989951699</v>
      </c>
      <c r="BI7" s="36">
        <v>0.14035134075417011</v>
      </c>
      <c r="BJ7" s="36">
        <v>0.23465690016734941</v>
      </c>
      <c r="BK7" s="36">
        <v>0.2729537543891194</v>
      </c>
      <c r="BL7" s="36">
        <v>0.28953704776009159</v>
      </c>
      <c r="BM7" s="36">
        <v>5.9430813207467729E-2</v>
      </c>
      <c r="BN7" s="36">
        <v>0.12537867289131549</v>
      </c>
      <c r="BO7" s="36">
        <v>9.4402297988768397E-2</v>
      </c>
      <c r="BP7" s="36">
        <v>2.2123087244387041E-2</v>
      </c>
      <c r="BQ7" s="36">
        <v>3.8988347669411047E-2</v>
      </c>
      <c r="BR7" s="36">
        <v>3.9930685000121452E-2</v>
      </c>
      <c r="BS7" s="36">
        <v>4.2655091353802167E-2</v>
      </c>
      <c r="BT7" s="36">
        <v>3.6797176926708558E-2</v>
      </c>
      <c r="BU7" s="36">
        <v>7.6853980936937072E-2</v>
      </c>
      <c r="BV7" s="36">
        <v>8.6874653055629289E-2</v>
      </c>
      <c r="BW7" s="36">
        <v>4.5363248455846543E-2</v>
      </c>
      <c r="BX7" s="36">
        <v>3.359059787487173E-2</v>
      </c>
      <c r="BY7" s="36">
        <v>5.0840617964594763E-2</v>
      </c>
      <c r="BZ7" s="36">
        <v>9.0275438321156073E-2</v>
      </c>
      <c r="CA7" s="36">
        <v>9.5704210681912413E-2</v>
      </c>
      <c r="CB7" s="36">
        <v>0.1004237191891803</v>
      </c>
      <c r="CC7" s="36">
        <v>0.1341684898244323</v>
      </c>
      <c r="CD7" s="36">
        <v>6.9815281522896414E-2</v>
      </c>
      <c r="CE7" s="36">
        <v>5.3519808238351417E-2</v>
      </c>
      <c r="CF7" s="36">
        <v>-0.13786759520854391</v>
      </c>
      <c r="CG7" s="36">
        <v>-0.19353121275137081</v>
      </c>
      <c r="CH7" s="36">
        <v>-0.26226848017204002</v>
      </c>
      <c r="CI7" s="36">
        <v>-0.3621599917846654</v>
      </c>
      <c r="CJ7" s="36">
        <v>-0.17238616741213869</v>
      </c>
      <c r="CK7" s="36">
        <v>-0.24049517149258881</v>
      </c>
      <c r="CL7" s="36">
        <v>-2.9835663042383141E-2</v>
      </c>
      <c r="CM7" s="36">
        <v>4.8473891845623951E-2</v>
      </c>
      <c r="CN7" s="36">
        <v>3.9346739118729157E-2</v>
      </c>
      <c r="CO7" s="36">
        <v>0.1164079590468295</v>
      </c>
      <c r="CP7" s="36">
        <v>2.7954671930253121E-2</v>
      </c>
      <c r="CQ7" s="36">
        <v>0.11747759455583209</v>
      </c>
      <c r="CR7" s="36">
        <v>2.9545899327482559E-2</v>
      </c>
      <c r="CS7" s="36">
        <v>1.0751643579328309E-2</v>
      </c>
      <c r="CT7" s="36">
        <v>5.1099373345264383E-2</v>
      </c>
      <c r="CU7" s="36">
        <v>0.1082341816412679</v>
      </c>
      <c r="CV7" s="36">
        <v>0.10010509493954881</v>
      </c>
      <c r="CW7" s="36">
        <v>8.243585879334471E-2</v>
      </c>
      <c r="CX7" s="36">
        <v>0.14446651107932301</v>
      </c>
      <c r="CY7" s="36">
        <v>1.543497282917974E-2</v>
      </c>
      <c r="CZ7" s="36">
        <v>-6.8435941888257273E-2</v>
      </c>
      <c r="DA7" s="36">
        <v>-4.0885147588147007E-2</v>
      </c>
      <c r="DB7" s="36">
        <v>-9.0240152606780755E-2</v>
      </c>
      <c r="DC7" s="36">
        <v>-7.2910137230503241E-2</v>
      </c>
      <c r="DD7" s="36">
        <v>-7.4101523922137175E-2</v>
      </c>
      <c r="DE7" s="36">
        <v>-3.8176172495442889E-2</v>
      </c>
      <c r="DF7" s="36">
        <v>-8.0366391316806784E-2</v>
      </c>
      <c r="DG7" s="36">
        <v>-8.476282179701658E-2</v>
      </c>
      <c r="DH7" s="36">
        <v>4.5561825761215147E-2</v>
      </c>
      <c r="DI7" s="36">
        <v>1.528392919064096E-2</v>
      </c>
      <c r="DJ7" s="36">
        <v>-8.6368002330220212E-2</v>
      </c>
      <c r="DK7" s="36">
        <v>-8.3284992535386043E-2</v>
      </c>
      <c r="DL7" s="36">
        <v>-0.31070789680062177</v>
      </c>
      <c r="DM7" s="36">
        <v>-0.48915583017430442</v>
      </c>
      <c r="DN7" s="36">
        <v>-0.61713752149518741</v>
      </c>
      <c r="DO7" s="36">
        <v>-0.64241868762619436</v>
      </c>
      <c r="DP7" s="36">
        <v>-0.51612725116185121</v>
      </c>
      <c r="DQ7" s="36">
        <v>-0.53531007584853307</v>
      </c>
      <c r="DR7" s="36">
        <v>-0.2064125755835888</v>
      </c>
      <c r="DS7" s="36">
        <v>-3.676563839448474E-2</v>
      </c>
      <c r="DT7" s="36">
        <v>-2.1176359815958671E-2</v>
      </c>
      <c r="DU7" s="36">
        <v>-0.10998908800017081</v>
      </c>
      <c r="DV7" s="36">
        <v>-8.386624293692993E-2</v>
      </c>
      <c r="DW7" s="36">
        <v>-0.1762242698023504</v>
      </c>
      <c r="DX7" s="36">
        <v>-0.2504373293811597</v>
      </c>
      <c r="DY7" s="36">
        <v>-0.1513928108760241</v>
      </c>
      <c r="DZ7" s="36">
        <v>-0.1158377971666855</v>
      </c>
      <c r="EA7" s="36">
        <v>-5.6648240929698529E-2</v>
      </c>
      <c r="EB7" s="36">
        <v>3.4255181880149747E-2</v>
      </c>
      <c r="EC7" s="36">
        <v>-1.7395651008662891E-2</v>
      </c>
      <c r="ED7" s="36">
        <v>4.0598599233819838E-2</v>
      </c>
      <c r="EE7" s="36">
        <v>4.9896273549653668E-2</v>
      </c>
      <c r="EF7" s="36">
        <v>4.1656706453052278E-2</v>
      </c>
    </row>
    <row r="8" spans="1:137" ht="16">
      <c r="A8" s="4"/>
    </row>
    <row r="9" spans="1:137" ht="16">
      <c r="A9" s="55" t="s">
        <v>0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7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4"/>
    </row>
    <row r="10" spans="1:137" ht="17">
      <c r="A10" s="35"/>
      <c r="B10" s="6" t="s">
        <v>1</v>
      </c>
      <c r="C10" s="52" t="s">
        <v>2</v>
      </c>
      <c r="D10" s="52" t="s">
        <v>3</v>
      </c>
      <c r="E10" s="52" t="s">
        <v>4</v>
      </c>
      <c r="F10" s="52" t="s">
        <v>5</v>
      </c>
      <c r="G10" s="52" t="s">
        <v>6</v>
      </c>
      <c r="H10" s="52" t="s">
        <v>7</v>
      </c>
      <c r="I10" s="52" t="s">
        <v>8</v>
      </c>
      <c r="J10" s="52" t="s">
        <v>9</v>
      </c>
      <c r="K10" s="52" t="s">
        <v>10</v>
      </c>
      <c r="L10" s="52" t="s">
        <v>11</v>
      </c>
      <c r="M10" s="52" t="s">
        <v>12</v>
      </c>
      <c r="N10" s="52" t="s">
        <v>13</v>
      </c>
      <c r="O10" s="52" t="s">
        <v>14</v>
      </c>
      <c r="P10" s="52" t="s">
        <v>15</v>
      </c>
      <c r="Q10" s="52" t="s">
        <v>16</v>
      </c>
      <c r="R10" s="52" t="s">
        <v>17</v>
      </c>
      <c r="S10" s="52" t="s">
        <v>18</v>
      </c>
      <c r="T10" s="52" t="s">
        <v>19</v>
      </c>
      <c r="U10" s="52" t="s">
        <v>20</v>
      </c>
      <c r="V10" s="52" t="s">
        <v>21</v>
      </c>
      <c r="W10" s="52" t="s">
        <v>22</v>
      </c>
      <c r="X10" s="52" t="s">
        <v>23</v>
      </c>
      <c r="Y10" s="52" t="s">
        <v>24</v>
      </c>
      <c r="Z10" s="52" t="s">
        <v>25</v>
      </c>
      <c r="AA10" s="52" t="s">
        <v>26</v>
      </c>
      <c r="AB10" s="52" t="s">
        <v>27</v>
      </c>
      <c r="AC10" s="52" t="s">
        <v>28</v>
      </c>
      <c r="AD10" s="52" t="s">
        <v>29</v>
      </c>
      <c r="AE10" s="52" t="s">
        <v>30</v>
      </c>
      <c r="AF10" s="52" t="s">
        <v>31</v>
      </c>
      <c r="AG10" s="52" t="s">
        <v>32</v>
      </c>
      <c r="AH10" s="52" t="s">
        <v>33</v>
      </c>
      <c r="AI10" s="52" t="s">
        <v>34</v>
      </c>
      <c r="AJ10" s="52" t="s">
        <v>35</v>
      </c>
      <c r="AK10" s="52" t="s">
        <v>36</v>
      </c>
      <c r="AL10" s="52" t="s">
        <v>37</v>
      </c>
      <c r="AM10" s="52" t="s">
        <v>38</v>
      </c>
      <c r="AN10" s="52" t="s">
        <v>39</v>
      </c>
      <c r="AO10" s="52" t="s">
        <v>40</v>
      </c>
      <c r="AP10" s="52" t="s">
        <v>41</v>
      </c>
      <c r="AQ10" s="52" t="s">
        <v>42</v>
      </c>
      <c r="AR10" s="52" t="s">
        <v>43</v>
      </c>
      <c r="AS10" s="52" t="s">
        <v>44</v>
      </c>
      <c r="AT10" s="52" t="s">
        <v>45</v>
      </c>
      <c r="AU10" s="52" t="s">
        <v>46</v>
      </c>
      <c r="AV10" s="52" t="s">
        <v>47</v>
      </c>
      <c r="AW10" s="52" t="s">
        <v>48</v>
      </c>
      <c r="AX10" s="52" t="s">
        <v>49</v>
      </c>
      <c r="AY10" s="52" t="s">
        <v>50</v>
      </c>
      <c r="AZ10" s="52" t="s">
        <v>51</v>
      </c>
      <c r="BA10" s="52" t="s">
        <v>52</v>
      </c>
      <c r="BB10" s="52" t="s">
        <v>53</v>
      </c>
      <c r="BC10" s="52" t="s">
        <v>54</v>
      </c>
      <c r="BD10" s="52" t="s">
        <v>55</v>
      </c>
      <c r="BE10" s="52" t="s">
        <v>56</v>
      </c>
      <c r="BF10" s="52" t="s">
        <v>57</v>
      </c>
      <c r="BG10" s="52" t="s">
        <v>58</v>
      </c>
      <c r="BH10" s="52" t="s">
        <v>59</v>
      </c>
      <c r="BI10" s="52" t="s">
        <v>60</v>
      </c>
      <c r="BJ10" s="52" t="s">
        <v>61</v>
      </c>
      <c r="BK10" s="52" t="s">
        <v>62</v>
      </c>
      <c r="BL10" s="52" t="s">
        <v>63</v>
      </c>
      <c r="BM10" s="52" t="s">
        <v>64</v>
      </c>
      <c r="BN10" s="52" t="s">
        <v>65</v>
      </c>
      <c r="BO10" s="52" t="s">
        <v>66</v>
      </c>
      <c r="BP10" s="52" t="s">
        <v>67</v>
      </c>
      <c r="BQ10" s="52" t="s">
        <v>68</v>
      </c>
      <c r="BR10" s="52" t="s">
        <v>69</v>
      </c>
      <c r="BS10" s="52" t="s">
        <v>70</v>
      </c>
      <c r="BT10" s="52" t="s">
        <v>71</v>
      </c>
      <c r="BU10" s="52" t="s">
        <v>72</v>
      </c>
      <c r="BV10" s="52" t="s">
        <v>73</v>
      </c>
      <c r="BW10" s="52" t="s">
        <v>74</v>
      </c>
      <c r="BX10" s="52" t="s">
        <v>75</v>
      </c>
      <c r="BY10" s="52" t="s">
        <v>76</v>
      </c>
      <c r="BZ10" s="52" t="s">
        <v>77</v>
      </c>
      <c r="CA10" s="52" t="s">
        <v>78</v>
      </c>
      <c r="CB10" s="52" t="s">
        <v>79</v>
      </c>
      <c r="CC10" s="52" t="s">
        <v>80</v>
      </c>
      <c r="CD10" s="52" t="s">
        <v>81</v>
      </c>
      <c r="CE10" s="52" t="s">
        <v>82</v>
      </c>
      <c r="CF10" s="52" t="s">
        <v>83</v>
      </c>
      <c r="CG10" s="52" t="s">
        <v>84</v>
      </c>
      <c r="CH10" s="52" t="s">
        <v>85</v>
      </c>
      <c r="CI10" s="52" t="s">
        <v>86</v>
      </c>
      <c r="CJ10" s="52" t="s">
        <v>87</v>
      </c>
      <c r="CK10" s="52" t="s">
        <v>88</v>
      </c>
      <c r="CL10" s="52" t="s">
        <v>89</v>
      </c>
      <c r="CM10" s="52" t="s">
        <v>90</v>
      </c>
      <c r="CN10" s="52" t="s">
        <v>91</v>
      </c>
      <c r="CO10" s="52" t="s">
        <v>92</v>
      </c>
      <c r="CP10" s="52" t="s">
        <v>93</v>
      </c>
      <c r="CQ10" s="52" t="s">
        <v>94</v>
      </c>
      <c r="CR10" s="52" t="s">
        <v>95</v>
      </c>
      <c r="CS10" s="52" t="s">
        <v>96</v>
      </c>
      <c r="CT10" s="52" t="s">
        <v>97</v>
      </c>
      <c r="CU10" s="52" t="s">
        <v>98</v>
      </c>
      <c r="CV10" s="52" t="s">
        <v>99</v>
      </c>
      <c r="CW10" s="52" t="s">
        <v>100</v>
      </c>
      <c r="CX10" s="52" t="s">
        <v>101</v>
      </c>
      <c r="CY10" s="52" t="s">
        <v>102</v>
      </c>
      <c r="CZ10" s="52" t="s">
        <v>103</v>
      </c>
      <c r="DA10" s="52" t="s">
        <v>104</v>
      </c>
      <c r="DB10" s="52" t="s">
        <v>105</v>
      </c>
      <c r="DC10" s="52" t="s">
        <v>106</v>
      </c>
      <c r="DD10" s="52" t="s">
        <v>107</v>
      </c>
      <c r="DE10" s="52" t="s">
        <v>108</v>
      </c>
      <c r="DF10" s="52" t="s">
        <v>109</v>
      </c>
      <c r="DG10" s="52" t="s">
        <v>110</v>
      </c>
      <c r="DH10" s="52" t="s">
        <v>111</v>
      </c>
      <c r="DI10" s="52" t="s">
        <v>112</v>
      </c>
      <c r="DJ10" s="52" t="s">
        <v>113</v>
      </c>
      <c r="DK10" s="52" t="s">
        <v>114</v>
      </c>
      <c r="DL10" s="52" t="s">
        <v>115</v>
      </c>
      <c r="DM10" s="52" t="s">
        <v>116</v>
      </c>
      <c r="DN10" s="52" t="s">
        <v>117</v>
      </c>
      <c r="DO10" s="52" t="s">
        <v>118</v>
      </c>
      <c r="DP10" s="52" t="s">
        <v>119</v>
      </c>
      <c r="DQ10" s="52" t="s">
        <v>120</v>
      </c>
      <c r="DR10" s="52" t="s">
        <v>121</v>
      </c>
      <c r="DS10" s="52" t="s">
        <v>122</v>
      </c>
      <c r="DT10" s="52" t="s">
        <v>123</v>
      </c>
      <c r="DU10" s="52" t="s">
        <v>124</v>
      </c>
      <c r="DV10" s="52" t="s">
        <v>125</v>
      </c>
      <c r="DW10" s="52" t="s">
        <v>126</v>
      </c>
      <c r="DX10" s="52" t="s">
        <v>127</v>
      </c>
      <c r="DY10" s="52" t="s">
        <v>128</v>
      </c>
      <c r="DZ10" s="52" t="s">
        <v>129</v>
      </c>
      <c r="EA10" s="52" t="s">
        <v>130</v>
      </c>
      <c r="EB10" s="52" t="s">
        <v>131</v>
      </c>
      <c r="EC10" s="52" t="s">
        <v>132</v>
      </c>
      <c r="ED10" s="53" t="s">
        <v>133</v>
      </c>
      <c r="EE10" s="52" t="s">
        <v>134</v>
      </c>
      <c r="EF10" s="52" t="s">
        <v>140</v>
      </c>
      <c r="EG10" s="4"/>
    </row>
    <row r="11" spans="1:137" ht="16">
      <c r="A11" s="35"/>
      <c r="B11" s="30" t="s">
        <v>253</v>
      </c>
      <c r="C11" s="36">
        <v>-3.9007326873579884E-2</v>
      </c>
      <c r="D11" s="36">
        <v>3.9134521488913047E-2</v>
      </c>
      <c r="E11" s="36">
        <v>-2.5194919531132443E-2</v>
      </c>
      <c r="F11" s="36">
        <v>-3.219084653774689E-3</v>
      </c>
      <c r="G11" s="36">
        <v>-2.3583239183472413E-2</v>
      </c>
      <c r="H11" s="36">
        <v>4.7514284021884172E-2</v>
      </c>
      <c r="I11" s="36">
        <v>-3.2860489175658376E-2</v>
      </c>
      <c r="J11" s="36">
        <v>-9.5191449869756972E-2</v>
      </c>
      <c r="K11" s="36">
        <v>2.4055684927529526E-2</v>
      </c>
      <c r="L11" s="36">
        <v>0.11492369208490275</v>
      </c>
      <c r="M11" s="36">
        <v>3.2584893543689319E-2</v>
      </c>
      <c r="N11" s="36">
        <v>-0.13728706634808741</v>
      </c>
      <c r="O11" s="36">
        <v>4.0583076916520133E-2</v>
      </c>
      <c r="P11" s="36">
        <v>-3.0470532108731286E-2</v>
      </c>
      <c r="Q11" s="36">
        <v>8.3866640045164829E-3</v>
      </c>
      <c r="R11" s="36">
        <v>8.208026750558664E-2</v>
      </c>
      <c r="S11" s="36">
        <v>0.16292554048470773</v>
      </c>
      <c r="T11" s="36">
        <v>0.21728657892151695</v>
      </c>
      <c r="U11" s="36">
        <v>-5.5060941550194385E-2</v>
      </c>
      <c r="V11" s="36">
        <v>-8.9510295714246221E-2</v>
      </c>
      <c r="W11" s="36">
        <v>-0.10562484594822316</v>
      </c>
      <c r="X11" s="36">
        <v>-0.11971474427306114</v>
      </c>
      <c r="Y11" s="36">
        <v>0.12771272655560825</v>
      </c>
      <c r="Z11" s="36">
        <v>-4.0331038946555639E-2</v>
      </c>
      <c r="AA11" s="36">
        <v>4.4367884909087919E-2</v>
      </c>
      <c r="AB11" s="36">
        <v>-4.2279450535116878E-2</v>
      </c>
      <c r="AC11" s="36">
        <v>-5.7020367284075411E-2</v>
      </c>
      <c r="AD11" s="36">
        <v>6.8722403945187388E-2</v>
      </c>
      <c r="AE11" s="36">
        <v>6.7364560115904859E-2</v>
      </c>
      <c r="AF11" s="36">
        <v>-1.8230039824596821E-2</v>
      </c>
      <c r="AG11" s="36">
        <v>-3.4169120378629014E-2</v>
      </c>
      <c r="AH11" s="36">
        <v>-8.6886113887948965E-2</v>
      </c>
      <c r="AI11" s="36">
        <v>4.8592569133621179E-2</v>
      </c>
      <c r="AJ11" s="36">
        <v>1.2606432872091101E-2</v>
      </c>
      <c r="AK11" s="36">
        <v>2.5725428890346E-2</v>
      </c>
      <c r="AL11" s="36">
        <v>-0.13684539744025931</v>
      </c>
      <c r="AM11" s="36">
        <v>-4.9314902892593701E-2</v>
      </c>
      <c r="AN11" s="36">
        <v>-7.3498153201375344E-2</v>
      </c>
      <c r="AO11" s="36">
        <v>-4.3838381764837411E-2</v>
      </c>
      <c r="AP11" s="36">
        <v>-0.14387054370475805</v>
      </c>
      <c r="AQ11" s="36">
        <v>5.9010432769763588E-2</v>
      </c>
      <c r="AR11" s="36">
        <v>-3.8686625774575947E-2</v>
      </c>
      <c r="AS11" s="36">
        <v>-2.5058191601815581E-2</v>
      </c>
      <c r="AT11" s="36">
        <v>8.4254995163718191E-2</v>
      </c>
      <c r="AU11" s="36">
        <v>-1.9291731042074736E-2</v>
      </c>
      <c r="AV11" s="36">
        <v>8.7104496534055206E-2</v>
      </c>
      <c r="AW11" s="36">
        <v>-1.4162266082550768E-2</v>
      </c>
      <c r="AX11" s="36">
        <v>-4.2657256212453754E-2</v>
      </c>
      <c r="AY11" s="36">
        <v>6.1058177191788666E-2</v>
      </c>
      <c r="AZ11" s="36">
        <v>-5.178036239672661E-5</v>
      </c>
      <c r="BA11" s="36">
        <v>3.6828295721629746E-2</v>
      </c>
      <c r="BB11" s="36">
        <v>-8.0436245601103934E-2</v>
      </c>
      <c r="BC11" s="36">
        <v>3.8029247751023704E-2</v>
      </c>
      <c r="BD11" s="36">
        <v>-5.1565757792120963E-2</v>
      </c>
      <c r="BE11" s="36">
        <v>-8.5810107478643607E-2</v>
      </c>
      <c r="BF11" s="36">
        <v>-6.1128366330905404E-2</v>
      </c>
      <c r="BG11" s="36">
        <v>0.10900735057117664</v>
      </c>
      <c r="BH11" s="36">
        <v>0.18797344776026095</v>
      </c>
      <c r="BI11" s="36">
        <v>-0.23403216627205473</v>
      </c>
      <c r="BJ11" s="36">
        <v>7.8144599646865223E-2</v>
      </c>
      <c r="BK11" s="36">
        <v>4.9517644617543273E-2</v>
      </c>
      <c r="BL11" s="36">
        <v>-0.10811230370756146</v>
      </c>
      <c r="BM11" s="36">
        <v>4.0995420647190445E-2</v>
      </c>
      <c r="BN11" s="36">
        <v>9.2102484028839096E-2</v>
      </c>
      <c r="BO11" s="36">
        <v>-2.9868190158994497E-2</v>
      </c>
      <c r="BP11" s="36">
        <v>8.526059699292636E-2</v>
      </c>
      <c r="BQ11" s="36">
        <v>-0.10416887341258078</v>
      </c>
      <c r="BR11" s="36">
        <v>0.14969369296309232</v>
      </c>
      <c r="BS11" s="36">
        <v>5.761393362138674E-2</v>
      </c>
      <c r="BT11" s="36">
        <v>5.4899752780532739E-2</v>
      </c>
      <c r="BU11" s="36">
        <v>4.0125969830785209E-2</v>
      </c>
      <c r="BV11" s="36">
        <v>-4.0890452099439312E-2</v>
      </c>
      <c r="BW11" s="36">
        <v>6.5860612083140065E-3</v>
      </c>
      <c r="BX11" s="36">
        <v>5.5283002424940102E-2</v>
      </c>
      <c r="BY11" s="36">
        <v>0.13754053082407328</v>
      </c>
      <c r="BZ11" s="36">
        <v>-6.4512263961454777E-2</v>
      </c>
      <c r="CA11" s="36">
        <v>-1.9263381620534311E-2</v>
      </c>
      <c r="CB11" s="36">
        <v>6.9052109461609154E-2</v>
      </c>
      <c r="CC11" s="36">
        <v>4.8435595877468547E-2</v>
      </c>
      <c r="CD11" s="36">
        <v>-8.17190342340465E-2</v>
      </c>
      <c r="CE11" s="36">
        <v>4.8460728359047862E-2</v>
      </c>
      <c r="CF11" s="36">
        <v>5.8417134660894925E-2</v>
      </c>
      <c r="CG11" s="36">
        <v>-7.8602351661111097E-2</v>
      </c>
      <c r="CH11" s="36">
        <v>6.9508132188542432E-2</v>
      </c>
      <c r="CI11" s="36">
        <v>-8.7246878578323805E-2</v>
      </c>
      <c r="CJ11" s="36">
        <v>0.20186410732367452</v>
      </c>
      <c r="CK11" s="36">
        <v>-4.3322736386182614E-2</v>
      </c>
      <c r="CL11" s="36">
        <v>0.182074580883508</v>
      </c>
      <c r="CM11" s="36">
        <v>-7.9455000075154877E-3</v>
      </c>
      <c r="CN11" s="36">
        <v>0.33942024973065399</v>
      </c>
      <c r="CO11" s="36">
        <v>-0.14672756913529494</v>
      </c>
      <c r="CP11" s="36">
        <v>4.4941469652246088E-2</v>
      </c>
      <c r="CQ11" s="36">
        <v>3.9103979741879312E-3</v>
      </c>
      <c r="CR11" s="36">
        <v>-3.0683155138021292E-2</v>
      </c>
      <c r="CS11" s="36">
        <v>-5.1872370464762542E-2</v>
      </c>
      <c r="CT11" s="36">
        <v>9.4398586416191595E-3</v>
      </c>
      <c r="CU11" s="36">
        <v>-0.27870293938134544</v>
      </c>
      <c r="CV11" s="36">
        <v>2.0006763437995366E-2</v>
      </c>
      <c r="CW11" s="36">
        <v>-1.2464053093591521E-3</v>
      </c>
      <c r="CX11" s="36">
        <v>1.0781223387906016E-2</v>
      </c>
      <c r="CY11" s="36">
        <v>-7.4905655656490544E-2</v>
      </c>
      <c r="CZ11" s="36">
        <v>0.18448789087991921</v>
      </c>
      <c r="DA11" s="36">
        <v>0.19248529331662953</v>
      </c>
      <c r="DB11" s="36">
        <v>6.1627753613709382E-2</v>
      </c>
      <c r="DC11" s="36">
        <v>-0.10363872570518069</v>
      </c>
      <c r="DD11" s="36">
        <v>-5.3550315938748393E-2</v>
      </c>
      <c r="DE11" s="36">
        <v>-0.2521086055858956</v>
      </c>
      <c r="DF11" s="36">
        <v>-2.7540621932510927E-2</v>
      </c>
      <c r="DG11" s="36">
        <v>0.16558886696252534</v>
      </c>
      <c r="DH11" s="36">
        <v>4.6391735024846704E-2</v>
      </c>
      <c r="DI11" s="36">
        <v>5.4891844539006213E-3</v>
      </c>
      <c r="DJ11" s="36">
        <v>0.13308746027093407</v>
      </c>
      <c r="DK11" s="36">
        <v>6.3741011498599065E-2</v>
      </c>
      <c r="DL11" s="36">
        <v>7.0523454246701284E-2</v>
      </c>
      <c r="DM11" s="36">
        <v>0.1041623681660753</v>
      </c>
      <c r="DN11" s="36">
        <v>-5.8162915911019297E-2</v>
      </c>
      <c r="DO11" s="36">
        <v>-1.3884911956444729E-2</v>
      </c>
      <c r="DP11" s="36">
        <v>5.6484872756358155E-2</v>
      </c>
      <c r="DQ11" s="36">
        <v>-1.4706094557337316E-2</v>
      </c>
      <c r="DR11" s="36">
        <v>-3.0026480163093838E-2</v>
      </c>
      <c r="DS11" s="36">
        <v>5.1960539941843353E-2</v>
      </c>
      <c r="DT11" s="36">
        <v>-2.5467153725701675E-2</v>
      </c>
      <c r="DU11" s="36">
        <v>1.2285600584383358E-2</v>
      </c>
      <c r="DV11" s="36">
        <v>-1.3448177724712409E-2</v>
      </c>
      <c r="DW11" s="36">
        <v>-0.11774066063163997</v>
      </c>
      <c r="DX11" s="36">
        <v>-0.10918803784143352</v>
      </c>
      <c r="DY11" s="36">
        <v>-1.0464767620874605E-2</v>
      </c>
      <c r="DZ11" s="36">
        <v>7.0138978019498199E-2</v>
      </c>
      <c r="EA11" s="36">
        <v>-0.19978654263576739</v>
      </c>
      <c r="EB11" s="36">
        <v>0.10130209540720767</v>
      </c>
      <c r="EC11" s="36">
        <v>-6.5302513195902051E-2</v>
      </c>
      <c r="ED11" s="36">
        <v>6.2504548001654711E-2</v>
      </c>
      <c r="EE11" s="36">
        <v>-9.38839009749067E-3</v>
      </c>
      <c r="EF11" s="49">
        <v>-7.5127137345198589E-2</v>
      </c>
      <c r="EG11" s="4"/>
    </row>
    <row r="12" spans="1:137" ht="16">
      <c r="A12" s="35"/>
      <c r="B12" s="30" t="s">
        <v>254</v>
      </c>
      <c r="C12" s="38">
        <v>-0.24758870953733739</v>
      </c>
      <c r="D12" s="38">
        <v>-0.27469330301591988</v>
      </c>
      <c r="E12" s="38">
        <v>-8.4648385226775952E-2</v>
      </c>
      <c r="F12" s="38">
        <v>2.264463125499239E-2</v>
      </c>
      <c r="G12" s="38">
        <v>-4.968000079578011E-2</v>
      </c>
      <c r="H12" s="38">
        <v>-0.100759633161552</v>
      </c>
      <c r="I12" s="38">
        <v>-1.2522721374844691E-2</v>
      </c>
      <c r="J12" s="38">
        <v>7.8736550465264579E-2</v>
      </c>
      <c r="K12" s="38">
        <v>-3.418510024326199E-2</v>
      </c>
      <c r="L12" s="38">
        <v>8.8406797789969321E-2</v>
      </c>
      <c r="M12" s="38">
        <v>-3.063454560011507E-3</v>
      </c>
      <c r="N12" s="38">
        <v>-0.21221799304980321</v>
      </c>
      <c r="O12" s="38">
        <v>-3.6805388582279122E-2</v>
      </c>
      <c r="P12" s="38">
        <v>7.1033118877316462E-2</v>
      </c>
      <c r="Q12" s="38">
        <v>-7.1261132998910126E-2</v>
      </c>
      <c r="R12" s="38">
        <v>2.1560446706208151E-2</v>
      </c>
      <c r="S12" s="38">
        <v>0.10111125807516751</v>
      </c>
      <c r="T12" s="38">
        <v>4.3224739792793003E-2</v>
      </c>
      <c r="U12" s="38">
        <v>1.488194958969411E-2</v>
      </c>
      <c r="V12" s="38">
        <v>6.3260243037239986E-3</v>
      </c>
      <c r="W12" s="38">
        <v>-0.1435529784595129</v>
      </c>
      <c r="X12" s="38">
        <v>-6.4282172013507929E-2</v>
      </c>
      <c r="Y12" s="38">
        <v>-1.9034202878042191E-2</v>
      </c>
      <c r="Z12" s="38">
        <v>-2.0644556245472189E-2</v>
      </c>
      <c r="AA12" s="38">
        <v>3.3059540377865217E-2</v>
      </c>
      <c r="AB12" s="38">
        <v>-1.9418226776777941E-2</v>
      </c>
      <c r="AC12" s="38">
        <v>-6.3126838764061721E-2</v>
      </c>
      <c r="AD12" s="38">
        <v>-6.5629712146108229E-2</v>
      </c>
      <c r="AE12" s="38">
        <v>0.1379956892668254</v>
      </c>
      <c r="AF12" s="38">
        <v>-0.1005679184552228</v>
      </c>
      <c r="AG12" s="38">
        <v>-3.7969091150733998E-2</v>
      </c>
      <c r="AH12" s="38">
        <v>-4.5839537807496208E-2</v>
      </c>
      <c r="AI12" s="38">
        <v>-5.1034095516539722E-2</v>
      </c>
      <c r="AJ12" s="38">
        <v>-3.2204408877165632E-3</v>
      </c>
      <c r="AK12" s="38">
        <v>4.8952958975013116E-4</v>
      </c>
      <c r="AL12" s="38">
        <v>-0.1064467536119352</v>
      </c>
      <c r="AM12" s="38">
        <v>-1.3723973583554899E-2</v>
      </c>
      <c r="AN12" s="38">
        <v>-0.1219647076543238</v>
      </c>
      <c r="AO12" s="38">
        <v>-4.858966597382592E-2</v>
      </c>
      <c r="AP12" s="38">
        <v>-1.903150433663008E-3</v>
      </c>
      <c r="AQ12" s="38">
        <v>2.9067484813314101E-2</v>
      </c>
      <c r="AR12" s="38">
        <v>5.2635776863899968E-2</v>
      </c>
      <c r="AS12" s="38">
        <v>-1.289325857571229E-2</v>
      </c>
      <c r="AT12" s="38">
        <v>-2.131134772842519E-3</v>
      </c>
      <c r="AU12" s="38">
        <v>-0.15538438197178719</v>
      </c>
      <c r="AV12" s="38">
        <v>1.268178414302561E-2</v>
      </c>
      <c r="AW12" s="38">
        <v>-1.1942321618877561E-2</v>
      </c>
      <c r="AX12" s="38">
        <v>-4.2537914968475456E-3</v>
      </c>
      <c r="AY12" s="38">
        <v>2.930087158954232E-2</v>
      </c>
      <c r="AZ12" s="38">
        <v>-0.13412750113921701</v>
      </c>
      <c r="BA12" s="38">
        <v>-0.13711152966130111</v>
      </c>
      <c r="BB12" s="38">
        <v>1.7546605068716691E-3</v>
      </c>
      <c r="BC12" s="38">
        <v>2.5117126105990401E-2</v>
      </c>
      <c r="BD12" s="38">
        <v>-0.11960190660895841</v>
      </c>
      <c r="BE12" s="38">
        <v>0.1357616496399312</v>
      </c>
      <c r="BF12" s="38">
        <v>4.7091161676368357E-2</v>
      </c>
      <c r="BG12" s="38">
        <v>-2.605004393557599E-2</v>
      </c>
      <c r="BH12" s="38">
        <v>4.3752773670266483E-2</v>
      </c>
      <c r="BI12" s="38">
        <v>-8.1391827895093402E-2</v>
      </c>
      <c r="BJ12" s="38">
        <v>-0.10060082155953699</v>
      </c>
      <c r="BK12" s="38">
        <v>9.0490079041763594E-2</v>
      </c>
      <c r="BL12" s="38">
        <v>-3.0898458704964389E-2</v>
      </c>
      <c r="BM12" s="38">
        <v>5.8814186622603987E-2</v>
      </c>
      <c r="BN12" s="38">
        <v>8.1345639246770615E-2</v>
      </c>
      <c r="BO12" s="38">
        <v>-7.7164168976593351E-3</v>
      </c>
      <c r="BP12" s="38">
        <v>0.1067348704344353</v>
      </c>
      <c r="BQ12" s="38">
        <v>-2.7156341096342261E-2</v>
      </c>
      <c r="BR12" s="38">
        <v>-5.4431018659150447E-2</v>
      </c>
      <c r="BS12" s="38">
        <v>-6.822927751511014E-2</v>
      </c>
      <c r="BT12" s="38">
        <v>9.8612222991557266E-2</v>
      </c>
      <c r="BU12" s="38">
        <v>0.1283985422991091</v>
      </c>
      <c r="BV12" s="38">
        <v>-7.8402519476778718E-2</v>
      </c>
      <c r="BW12" s="38">
        <v>-0.1191337216524913</v>
      </c>
      <c r="BX12" s="38">
        <v>-4.6890096077604589E-2</v>
      </c>
      <c r="BY12" s="38">
        <v>0.10169834364209621</v>
      </c>
      <c r="BZ12" s="38">
        <v>-2.5680084240218899E-2</v>
      </c>
      <c r="CA12" s="38">
        <v>-8.3301790010408508E-2</v>
      </c>
      <c r="CB12" s="38">
        <v>-0.15782764847875469</v>
      </c>
      <c r="CC12" s="38">
        <v>-7.1052571704280934E-2</v>
      </c>
      <c r="CD12" s="38">
        <v>-7.3875492145199798E-2</v>
      </c>
      <c r="CE12" s="38">
        <v>-0.23678647002516851</v>
      </c>
      <c r="CF12" s="38">
        <v>3.2627706277002622E-2</v>
      </c>
      <c r="CG12" s="38">
        <v>1.3423084626575861E-2</v>
      </c>
      <c r="CH12" s="38">
        <v>-2.7966658799032269E-3</v>
      </c>
      <c r="CI12" s="38">
        <v>4.7925699911805238E-2</v>
      </c>
      <c r="CJ12" s="38">
        <v>-3.2520192681292038E-3</v>
      </c>
      <c r="CK12" s="38">
        <v>-7.570819035307215E-2</v>
      </c>
      <c r="CL12" s="38">
        <v>-4.439725585073561E-2</v>
      </c>
      <c r="CM12" s="38">
        <v>0.17898858319392719</v>
      </c>
      <c r="CN12" s="38">
        <v>5.799426642317386E-2</v>
      </c>
      <c r="CO12" s="38">
        <v>-0.13939018969183081</v>
      </c>
      <c r="CP12" s="38">
        <v>6.4714670503515537E-2</v>
      </c>
      <c r="CQ12" s="38">
        <v>-0.18118788880647541</v>
      </c>
      <c r="CR12" s="38">
        <v>-8.8633532328162568E-2</v>
      </c>
      <c r="CS12" s="38">
        <v>-2.532177470861038E-2</v>
      </c>
      <c r="CT12" s="38">
        <v>-0.11307907407472829</v>
      </c>
      <c r="CU12" s="38">
        <v>8.095957294189474E-3</v>
      </c>
      <c r="CV12" s="38">
        <v>-4.5200208394220349E-2</v>
      </c>
      <c r="CW12" s="38">
        <v>-5.8941225467328592E-2</v>
      </c>
      <c r="CX12" s="38">
        <v>-0.1077283016776811</v>
      </c>
      <c r="CY12" s="38">
        <v>-9.6503499496267492E-2</v>
      </c>
      <c r="CZ12" s="38">
        <v>-0.2103543453191653</v>
      </c>
      <c r="DA12" s="38">
        <v>-0.10996113735654101</v>
      </c>
      <c r="DB12" s="38">
        <v>-0.1908204716293295</v>
      </c>
      <c r="DC12" s="38">
        <v>-2.0727272402408872E-2</v>
      </c>
      <c r="DD12" s="38">
        <v>8.7029095351123936E-2</v>
      </c>
      <c r="DE12" s="38">
        <v>8.2024592921593045E-2</v>
      </c>
      <c r="DF12" s="38">
        <v>-0.166876664789437</v>
      </c>
      <c r="DG12" s="38">
        <v>0.22243808581717431</v>
      </c>
      <c r="DH12" s="38">
        <v>-0.144297746243673</v>
      </c>
      <c r="DI12" s="38">
        <v>-0.1196199522370443</v>
      </c>
      <c r="DJ12" s="38">
        <v>-0.10159274396951661</v>
      </c>
      <c r="DK12" s="38">
        <v>9.2855058740681395E-2</v>
      </c>
      <c r="DL12" s="38">
        <v>-4.2630490096108087E-2</v>
      </c>
      <c r="DM12" s="38">
        <v>8.2732072899953643E-2</v>
      </c>
      <c r="DN12" s="38">
        <v>-3.1049452465540091E-2</v>
      </c>
      <c r="DO12" s="38">
        <v>-9.8141990492640205E-2</v>
      </c>
      <c r="DP12" s="38">
        <v>-0.13058888143944061</v>
      </c>
      <c r="DQ12" s="38">
        <v>4.8655718251279387E-2</v>
      </c>
      <c r="DR12" s="38">
        <v>-3.9251909935401189E-2</v>
      </c>
      <c r="DS12" s="38">
        <v>-0.1610301993932845</v>
      </c>
      <c r="DT12" s="38">
        <v>-7.8883966483063367E-2</v>
      </c>
      <c r="DU12" s="38">
        <v>0.16407715854109439</v>
      </c>
      <c r="DV12" s="38">
        <v>7.5052515397744431E-3</v>
      </c>
      <c r="DW12" s="38">
        <v>-0.1016452501185193</v>
      </c>
      <c r="DX12" s="38">
        <v>-5.6040292492535823E-2</v>
      </c>
      <c r="DY12" s="38">
        <v>-0.1066566396478186</v>
      </c>
      <c r="DZ12" s="38">
        <v>-6.9186575508287662E-2</v>
      </c>
      <c r="EA12" s="38">
        <v>-0.12618865773840809</v>
      </c>
      <c r="EB12" s="38">
        <v>-6.4737118328050736E-2</v>
      </c>
      <c r="EC12" s="38">
        <v>5.142607344157852E-2</v>
      </c>
      <c r="ED12" s="39">
        <v>3.4496728436731378E-2</v>
      </c>
      <c r="EE12" s="40">
        <v>0.15767759835539891</v>
      </c>
      <c r="EF12" s="50">
        <v>0.24308193553486401</v>
      </c>
      <c r="EG12" s="4"/>
    </row>
    <row r="13" spans="1:137" ht="16">
      <c r="A13" s="35"/>
      <c r="B13" s="30" t="s">
        <v>255</v>
      </c>
      <c r="C13" s="38">
        <v>0.11843667158717502</v>
      </c>
      <c r="D13" s="38">
        <v>-8.9580754341396021E-2</v>
      </c>
      <c r="E13" s="38">
        <v>2.3488019851897253E-2</v>
      </c>
      <c r="F13" s="38">
        <v>5.4203336925287959E-3</v>
      </c>
      <c r="G13" s="38">
        <v>-0.14235739201705941</v>
      </c>
      <c r="H13" s="38">
        <v>-3.4467846259274564E-2</v>
      </c>
      <c r="I13" s="38">
        <v>4.1884802005972117E-2</v>
      </c>
      <c r="J13" s="38">
        <v>7.848687234056205E-3</v>
      </c>
      <c r="K13" s="38">
        <v>-1.4786684593912625E-2</v>
      </c>
      <c r="L13" s="38">
        <v>-3.5337574632874576E-2</v>
      </c>
      <c r="M13" s="38">
        <v>-2.0088712013830064E-2</v>
      </c>
      <c r="N13" s="38">
        <v>0.14803677179448843</v>
      </c>
      <c r="O13" s="38">
        <v>-4.1218154588981884E-2</v>
      </c>
      <c r="P13" s="38">
        <v>-4.4827289198355645E-3</v>
      </c>
      <c r="Q13" s="38">
        <v>-5.0970104728066592E-3</v>
      </c>
      <c r="R13" s="38">
        <v>-4.6034336677316795E-2</v>
      </c>
      <c r="S13" s="38">
        <v>-5.0669567873052573E-2</v>
      </c>
      <c r="T13" s="38">
        <v>-0.16357968241146301</v>
      </c>
      <c r="U13" s="38">
        <v>2.375584739317509E-2</v>
      </c>
      <c r="V13" s="38">
        <v>6.6351999465091962E-3</v>
      </c>
      <c r="W13" s="38">
        <v>6.100415505127392E-2</v>
      </c>
      <c r="X13" s="38">
        <v>0.3465678513656586</v>
      </c>
      <c r="Y13" s="38">
        <v>-0.11438582515051082</v>
      </c>
      <c r="Z13" s="38">
        <v>0.22062448453801226</v>
      </c>
      <c r="AA13" s="38">
        <v>-7.1612331532165993E-2</v>
      </c>
      <c r="AB13" s="38">
        <v>1.7279594769942799E-2</v>
      </c>
      <c r="AC13" s="38">
        <v>0.12343339623166977</v>
      </c>
      <c r="AD13" s="38">
        <v>4.0766670446292348E-2</v>
      </c>
      <c r="AE13" s="38">
        <v>-0.11698163144922813</v>
      </c>
      <c r="AF13" s="38">
        <v>0.14131086111265173</v>
      </c>
      <c r="AG13" s="38">
        <v>3.3710329501512037E-2</v>
      </c>
      <c r="AH13" s="38">
        <v>3.9620447634302426E-2</v>
      </c>
      <c r="AI13" s="38">
        <v>3.9029679399279982E-2</v>
      </c>
      <c r="AJ13" s="38">
        <v>-4.0906256169356656E-2</v>
      </c>
      <c r="AK13" s="38">
        <v>1.3733520644722297E-2</v>
      </c>
      <c r="AL13" s="38">
        <v>0.10645880527690942</v>
      </c>
      <c r="AM13" s="38">
        <v>-7.4864491652776616E-2</v>
      </c>
      <c r="AN13" s="38">
        <v>-6.7789730546460716E-2</v>
      </c>
      <c r="AO13" s="38">
        <v>-2.7650424585532761E-2</v>
      </c>
      <c r="AP13" s="38">
        <v>1.2937667268099598E-2</v>
      </c>
      <c r="AQ13" s="38">
        <v>-2.1777122535302884E-3</v>
      </c>
      <c r="AR13" s="38">
        <v>-3.3042222045648946E-2</v>
      </c>
      <c r="AS13" s="38">
        <v>-8.2125018938211364E-2</v>
      </c>
      <c r="AT13" s="38">
        <v>-0.19568877316323155</v>
      </c>
      <c r="AU13" s="38">
        <v>1.3830899509231049E-2</v>
      </c>
      <c r="AV13" s="38">
        <v>-0.10073630506070744</v>
      </c>
      <c r="AW13" s="38">
        <v>-8.5478712515396266E-2</v>
      </c>
      <c r="AX13" s="38">
        <v>0.12050776591997199</v>
      </c>
      <c r="AY13" s="38">
        <v>-0.14167707410498778</v>
      </c>
      <c r="AZ13" s="38">
        <v>1.9762032127281625E-2</v>
      </c>
      <c r="BA13" s="38">
        <v>-1.9686915217344229E-2</v>
      </c>
      <c r="BB13" s="38">
        <v>9.361327214143178E-2</v>
      </c>
      <c r="BC13" s="38">
        <v>-7.8613954723112736E-2</v>
      </c>
      <c r="BD13" s="38">
        <v>-7.7988525886559454E-3</v>
      </c>
      <c r="BE13" s="38">
        <v>0.10760835572010813</v>
      </c>
      <c r="BF13" s="38">
        <v>0.15040034357766729</v>
      </c>
      <c r="BG13" s="38">
        <v>0.12494386128166779</v>
      </c>
      <c r="BH13" s="38">
        <v>1.3408880620447981E-2</v>
      </c>
      <c r="BI13" s="38">
        <v>0.15067978765109502</v>
      </c>
      <c r="BJ13" s="38">
        <v>5.430843208668687E-2</v>
      </c>
      <c r="BK13" s="38">
        <v>-2.8732284701433949E-3</v>
      </c>
      <c r="BL13" s="38">
        <v>0.21103086475970498</v>
      </c>
      <c r="BM13" s="38">
        <v>-8.8266989892484382E-2</v>
      </c>
      <c r="BN13" s="38">
        <v>-4.4718132055545382E-2</v>
      </c>
      <c r="BO13" s="38">
        <v>1.1466039508413696E-2</v>
      </c>
      <c r="BP13" s="38">
        <v>-0.1607527448022586</v>
      </c>
      <c r="BQ13" s="38">
        <v>5.3684357189508376E-3</v>
      </c>
      <c r="BR13" s="38">
        <v>-0.18186337747789852</v>
      </c>
      <c r="BS13" s="38">
        <v>4.290575400133995E-3</v>
      </c>
      <c r="BT13" s="38">
        <v>-3.7493549821311519E-3</v>
      </c>
      <c r="BU13" s="38">
        <v>-8.5562283021619404E-2</v>
      </c>
      <c r="BV13" s="38">
        <v>0.10019903193683095</v>
      </c>
      <c r="BW13" s="38">
        <v>9.0654954403283361E-2</v>
      </c>
      <c r="BX13" s="38">
        <v>-2.5206334619590893E-2</v>
      </c>
      <c r="BY13" s="38">
        <v>-5.8187495551903202E-2</v>
      </c>
      <c r="BZ13" s="38">
        <v>-3.1926096127615863E-2</v>
      </c>
      <c r="CA13" s="38">
        <v>-6.3127118757586323E-2</v>
      </c>
      <c r="CB13" s="38">
        <v>6.3839648195697013E-2</v>
      </c>
      <c r="CC13" s="38">
        <v>-6.5052894082312948E-2</v>
      </c>
      <c r="CD13" s="38">
        <v>3.946127628292076E-2</v>
      </c>
      <c r="CE13" s="38">
        <v>8.432463231952543E-2</v>
      </c>
      <c r="CF13" s="38">
        <v>1.3056101372998008E-2</v>
      </c>
      <c r="CG13" s="38">
        <v>3.0704171317102749E-2</v>
      </c>
      <c r="CH13" s="38">
        <v>2.7499992543953973E-2</v>
      </c>
      <c r="CI13" s="38">
        <v>0.17815173096708875</v>
      </c>
      <c r="CJ13" s="38">
        <v>-0.27504808192287422</v>
      </c>
      <c r="CK13" s="38">
        <v>-0.11066747609508903</v>
      </c>
      <c r="CL13" s="38">
        <v>-0.15492649047573073</v>
      </c>
      <c r="CM13" s="38">
        <v>3.1524406420197999E-2</v>
      </c>
      <c r="CN13" s="38">
        <v>-0.30327885365898821</v>
      </c>
      <c r="CO13" s="38">
        <v>0.14684401364344479</v>
      </c>
      <c r="CP13" s="38">
        <v>-5.8229710904592847E-3</v>
      </c>
      <c r="CQ13" s="38">
        <v>0.19890545730607118</v>
      </c>
      <c r="CR13" s="38">
        <v>0.14902268648747369</v>
      </c>
      <c r="CS13" s="38">
        <v>5.7004586086562663E-3</v>
      </c>
      <c r="CT13" s="38">
        <v>0.17668745364744995</v>
      </c>
      <c r="CU13" s="38">
        <v>0.27688114205135078</v>
      </c>
      <c r="CV13" s="38">
        <v>-4.3579182052984777E-2</v>
      </c>
      <c r="CW13" s="38">
        <v>-9.086897579730327E-2</v>
      </c>
      <c r="CX13" s="38">
        <v>8.3238655870344125E-2</v>
      </c>
      <c r="CY13" s="38">
        <v>-8.1559151349469838E-2</v>
      </c>
      <c r="CZ13" s="38">
        <v>-2.3119210409020995E-2</v>
      </c>
      <c r="DA13" s="38">
        <v>-8.4574586288981943E-2</v>
      </c>
      <c r="DB13" s="38">
        <v>-7.3640848402627718E-2</v>
      </c>
      <c r="DC13" s="38">
        <v>-1.6051325222610328E-2</v>
      </c>
      <c r="DD13" s="38">
        <v>0.15479536631094531</v>
      </c>
      <c r="DE13" s="38">
        <v>0.14398879928184458</v>
      </c>
      <c r="DF13" s="38">
        <v>2.524155186125451E-2</v>
      </c>
      <c r="DG13" s="38">
        <v>0.18762995895186399</v>
      </c>
      <c r="DH13" s="38">
        <v>-3.5798481687196987E-2</v>
      </c>
      <c r="DI13" s="38">
        <v>-0.10114010328172157</v>
      </c>
      <c r="DJ13" s="38">
        <v>-0.14828908324692358</v>
      </c>
      <c r="DK13" s="38">
        <v>-1.3682519750437744E-2</v>
      </c>
      <c r="DL13" s="38">
        <v>-6.8096525518023462E-2</v>
      </c>
      <c r="DM13" s="38">
        <v>-2.7891166775589754E-2</v>
      </c>
      <c r="DN13" s="38">
        <v>7.1020446243733978E-2</v>
      </c>
      <c r="DO13" s="38">
        <v>8.2716798018570778E-2</v>
      </c>
      <c r="DP13" s="38">
        <v>0.21860203188719882</v>
      </c>
      <c r="DQ13" s="38">
        <v>-0.17001763821289442</v>
      </c>
      <c r="DR13" s="38">
        <v>-2.5670146469349148E-2</v>
      </c>
      <c r="DS13" s="38">
        <v>-0.12684064774396731</v>
      </c>
      <c r="DT13" s="38">
        <v>-8.1569072709721913E-2</v>
      </c>
      <c r="DU13" s="38">
        <v>-2.6614726806483944E-2</v>
      </c>
      <c r="DV13" s="38">
        <v>2.429742114620391E-2</v>
      </c>
      <c r="DW13" s="38">
        <v>1.5209186086841953E-2</v>
      </c>
      <c r="DX13" s="38">
        <v>-2.7805665228687382E-2</v>
      </c>
      <c r="DY13" s="38">
        <v>-9.6292678260737744E-2</v>
      </c>
      <c r="DZ13" s="38">
        <v>-3.7660479314118984E-2</v>
      </c>
      <c r="EA13" s="38">
        <v>0.28823378102852726</v>
      </c>
      <c r="EB13" s="38">
        <v>0.16698384968049593</v>
      </c>
      <c r="EC13" s="38">
        <v>7.2976685908654346E-2</v>
      </c>
      <c r="ED13" s="39">
        <v>1.0544526630913495E-2</v>
      </c>
      <c r="EE13" s="40">
        <v>4.7730455292752563E-2</v>
      </c>
      <c r="EF13" s="50">
        <v>0.18371090611012494</v>
      </c>
      <c r="EG13" s="4"/>
    </row>
    <row r="14" spans="1:137" ht="16">
      <c r="A14" s="4"/>
      <c r="B14" s="30" t="s">
        <v>256</v>
      </c>
      <c r="C14" s="38">
        <v>1.1325794816237758E-2</v>
      </c>
      <c r="D14" s="38">
        <v>2.727846951220099E-2</v>
      </c>
      <c r="E14" s="38">
        <v>1.4678822038412347E-2</v>
      </c>
      <c r="F14" s="38">
        <v>2.0470789497815153E-2</v>
      </c>
      <c r="G14" s="38">
        <v>-1.6921652114752512E-2</v>
      </c>
      <c r="H14" s="38">
        <v>1.9290330573584473E-2</v>
      </c>
      <c r="I14" s="38">
        <v>-5.0310642660210972E-2</v>
      </c>
      <c r="J14" s="38">
        <v>2.5365658618121029E-2</v>
      </c>
      <c r="K14" s="38">
        <v>-3.8189545028037751E-2</v>
      </c>
      <c r="L14" s="38">
        <v>-2.9690118203253651E-2</v>
      </c>
      <c r="M14" s="38">
        <v>-1.8832459372311466E-2</v>
      </c>
      <c r="N14" s="38">
        <v>-1.4796787755093332E-2</v>
      </c>
      <c r="O14" s="38">
        <v>3.18776366977232E-2</v>
      </c>
      <c r="P14" s="38">
        <v>-7.0678861053307214E-3</v>
      </c>
      <c r="Q14" s="38">
        <v>1.8889371761299723E-2</v>
      </c>
      <c r="R14" s="38">
        <v>-9.0849935081911512E-2</v>
      </c>
      <c r="S14" s="38">
        <v>5.8558530413887817E-2</v>
      </c>
      <c r="T14" s="38">
        <v>-2.932367987589567E-2</v>
      </c>
      <c r="U14" s="38">
        <v>-5.5191851906749946E-2</v>
      </c>
      <c r="V14" s="38">
        <v>3.7888974811566979E-2</v>
      </c>
      <c r="W14" s="38">
        <v>2.6208603990904959E-2</v>
      </c>
      <c r="X14" s="38">
        <v>-5.9748310163364009E-2</v>
      </c>
      <c r="Y14" s="38">
        <v>2.9410210290584875E-2</v>
      </c>
      <c r="Z14" s="38">
        <v>3.5283754860678919E-3</v>
      </c>
      <c r="AA14" s="38">
        <v>4.9550292043420617E-2</v>
      </c>
      <c r="AB14" s="38">
        <v>5.121290512243433E-2</v>
      </c>
      <c r="AC14" s="38">
        <v>9.9760467544083003E-3</v>
      </c>
      <c r="AD14" s="38">
        <v>-4.011716627074411E-2</v>
      </c>
      <c r="AE14" s="38">
        <v>5.1869658724428879E-3</v>
      </c>
      <c r="AF14" s="38">
        <v>-3.3082754835015514E-2</v>
      </c>
      <c r="AG14" s="38">
        <v>2.9738728148951833E-2</v>
      </c>
      <c r="AH14" s="38">
        <v>2.6620506736634429E-2</v>
      </c>
      <c r="AI14" s="38">
        <v>-4.5866403017001227E-2</v>
      </c>
      <c r="AJ14" s="38">
        <v>-4.3883593998398036E-2</v>
      </c>
      <c r="AK14" s="38">
        <v>-5.4074272137515887E-2</v>
      </c>
      <c r="AL14" s="38">
        <v>7.5132714676242815E-2</v>
      </c>
      <c r="AM14" s="38">
        <v>-4.3008162679617481E-3</v>
      </c>
      <c r="AN14" s="38">
        <v>1.2173748812487627E-2</v>
      </c>
      <c r="AO14" s="38">
        <v>2.1589045163705117E-2</v>
      </c>
      <c r="AP14" s="38">
        <v>-4.9648708836071854E-3</v>
      </c>
      <c r="AQ14" s="38">
        <v>-1.3384411937266947E-2</v>
      </c>
      <c r="AR14" s="38">
        <v>-2.7250206268895467E-2</v>
      </c>
      <c r="AS14" s="38">
        <v>-5.562459667424674E-2</v>
      </c>
      <c r="AT14" s="38">
        <v>6.6821333496253105E-2</v>
      </c>
      <c r="AU14" s="38">
        <v>3.7318035142511606E-2</v>
      </c>
      <c r="AV14" s="38">
        <v>4.2622765843842558E-2</v>
      </c>
      <c r="AW14" s="38">
        <v>-3.190687859301649E-2</v>
      </c>
      <c r="AX14" s="38">
        <v>-8.4058730573609158E-3</v>
      </c>
      <c r="AY14" s="38">
        <v>4.1145632840271833E-2</v>
      </c>
      <c r="AZ14" s="38">
        <v>-6.5503244453281179E-2</v>
      </c>
      <c r="BA14" s="38">
        <v>-8.9268818208520411E-4</v>
      </c>
      <c r="BB14" s="38">
        <v>-4.8786090026242006E-2</v>
      </c>
      <c r="BC14" s="38">
        <v>3.922885888222543E-2</v>
      </c>
      <c r="BD14" s="38">
        <v>1.9952642229723958E-2</v>
      </c>
      <c r="BE14" s="38">
        <v>-3.3075780564007368E-2</v>
      </c>
      <c r="BF14" s="38">
        <v>4.0011873530372173E-2</v>
      </c>
      <c r="BG14" s="38">
        <v>-7.0602901990856962E-2</v>
      </c>
      <c r="BH14" s="38">
        <v>-7.6056348461332079E-2</v>
      </c>
      <c r="BI14" s="38">
        <v>1.7309135001964907E-2</v>
      </c>
      <c r="BJ14" s="38">
        <v>-4.3699210158316723E-2</v>
      </c>
      <c r="BK14" s="38">
        <v>-5.4757556263131755E-3</v>
      </c>
      <c r="BL14" s="38">
        <v>2.0292708054265316E-3</v>
      </c>
      <c r="BM14" s="38">
        <v>2.1772041779423254E-2</v>
      </c>
      <c r="BN14" s="38">
        <v>-1.5648547272762551E-2</v>
      </c>
      <c r="BO14" s="38">
        <v>-0.14281030065881184</v>
      </c>
      <c r="BP14" s="38">
        <v>5.0387507635402205E-4</v>
      </c>
      <c r="BQ14" s="38">
        <v>2.3226492270909397E-2</v>
      </c>
      <c r="BR14" s="38">
        <v>4.6075521174396748E-2</v>
      </c>
      <c r="BS14" s="38">
        <v>1.5250342868084946E-2</v>
      </c>
      <c r="BT14" s="38">
        <v>2.637624903324259E-3</v>
      </c>
      <c r="BU14" s="38">
        <v>-5.5801779001663193E-2</v>
      </c>
      <c r="BV14" s="38">
        <v>3.15110344734627E-2</v>
      </c>
      <c r="BW14" s="38">
        <v>-4.4379935126828703E-2</v>
      </c>
      <c r="BX14" s="38">
        <v>-7.9050665648598868E-3</v>
      </c>
      <c r="BY14" s="38">
        <v>-3.6996307431221745E-2</v>
      </c>
      <c r="BZ14" s="38">
        <v>-7.7321944414258589E-3</v>
      </c>
      <c r="CA14" s="38">
        <v>2.6942443277111278E-2</v>
      </c>
      <c r="CB14" s="38">
        <v>4.1333756595979834E-2</v>
      </c>
      <c r="CC14" s="38">
        <v>6.7469748564302184E-2</v>
      </c>
      <c r="CD14" s="38">
        <v>-3.5857721586308053E-2</v>
      </c>
      <c r="CE14" s="38">
        <v>6.5387391924313337E-2</v>
      </c>
      <c r="CF14" s="38">
        <v>-2.5958833960471533E-2</v>
      </c>
      <c r="CG14" s="38">
        <v>-4.6364338966505075E-2</v>
      </c>
      <c r="CH14" s="38">
        <v>-9.0699386606614939E-3</v>
      </c>
      <c r="CI14" s="38">
        <v>2.4264510953455526E-2</v>
      </c>
      <c r="CJ14" s="38">
        <v>-6.6902603426352587E-3</v>
      </c>
      <c r="CK14" s="38">
        <v>-4.8342622272677743E-2</v>
      </c>
      <c r="CL14" s="38">
        <v>3.787979318314235E-2</v>
      </c>
      <c r="CM14" s="38">
        <v>-4.6722628620042748E-2</v>
      </c>
      <c r="CN14" s="38">
        <v>9.4792069990681904E-2</v>
      </c>
      <c r="CO14" s="38">
        <v>-7.3255300059680103E-2</v>
      </c>
      <c r="CP14" s="38">
        <v>-1.8109964225731367E-2</v>
      </c>
      <c r="CQ14" s="38">
        <v>-5.6773906989129277E-2</v>
      </c>
      <c r="CR14" s="38">
        <v>-8.273645137301075E-2</v>
      </c>
      <c r="CS14" s="38">
        <v>6.6175625910672407E-3</v>
      </c>
      <c r="CT14" s="38">
        <v>2.5210389215813464E-2</v>
      </c>
      <c r="CU14" s="38">
        <v>-7.01370789423469E-2</v>
      </c>
      <c r="CV14" s="38">
        <v>0.10815873853747598</v>
      </c>
      <c r="CW14" s="38">
        <v>4.1686012819666302E-2</v>
      </c>
      <c r="CX14" s="38">
        <v>-5.1857657257867638E-2</v>
      </c>
      <c r="CY14" s="38">
        <v>4.4480765615494425E-2</v>
      </c>
      <c r="CZ14" s="38">
        <v>-1.0581391260694464E-3</v>
      </c>
      <c r="DA14" s="38">
        <v>4.6776521559644679E-2</v>
      </c>
      <c r="DB14" s="38">
        <v>5.9503041533476561E-2</v>
      </c>
      <c r="DC14" s="38">
        <v>-3.9210293908640378E-2</v>
      </c>
      <c r="DD14" s="38">
        <v>-1.9989307666101953E-2</v>
      </c>
      <c r="DE14" s="38">
        <v>2.3312786969338369E-2</v>
      </c>
      <c r="DF14" s="38">
        <v>-1.727527198158383E-2</v>
      </c>
      <c r="DG14" s="38">
        <v>6.4328763559394028E-2</v>
      </c>
      <c r="DH14" s="38">
        <v>4.5716805822010563E-2</v>
      </c>
      <c r="DI14" s="38">
        <v>5.6202182636701126E-2</v>
      </c>
      <c r="DJ14" s="38">
        <v>4.4052951181117336E-2</v>
      </c>
      <c r="DK14" s="38">
        <v>-2.0213321116119256E-2</v>
      </c>
      <c r="DL14" s="38">
        <v>6.7290109032139458E-2</v>
      </c>
      <c r="DM14" s="38">
        <v>4.509150776653606E-2</v>
      </c>
      <c r="DN14" s="38">
        <v>-2.5848343495010546E-2</v>
      </c>
      <c r="DO14" s="38">
        <v>-2.5758285999421798E-2</v>
      </c>
      <c r="DP14" s="38">
        <v>-1.4576830709120346E-2</v>
      </c>
      <c r="DQ14" s="38">
        <v>-2.5349832697565487E-2</v>
      </c>
      <c r="DR14" s="38">
        <v>6.8266028978355306E-2</v>
      </c>
      <c r="DS14" s="38">
        <v>3.348750806977633E-2</v>
      </c>
      <c r="DT14" s="38">
        <v>7.7907655306084858E-2</v>
      </c>
      <c r="DU14" s="38">
        <v>1.7433991657787681E-2</v>
      </c>
      <c r="DV14" s="38">
        <v>-3.3361741600165577E-2</v>
      </c>
      <c r="DW14" s="38">
        <v>-1.7664099702310563E-2</v>
      </c>
      <c r="DX14" s="38">
        <v>-3.8164999722267216E-2</v>
      </c>
      <c r="DY14" s="38">
        <v>-4.2286815681209261E-2</v>
      </c>
      <c r="DZ14" s="38">
        <v>9.9828166306646787E-3</v>
      </c>
      <c r="EA14" s="38">
        <v>4.8277419102625797E-3</v>
      </c>
      <c r="EB14" s="38">
        <v>1.8541220742843905E-2</v>
      </c>
      <c r="EC14" s="38">
        <v>9.8316359595039607E-3</v>
      </c>
      <c r="ED14" s="39">
        <v>1.2779218280083184E-2</v>
      </c>
      <c r="EE14" s="40">
        <v>-2.3222924136097719E-2</v>
      </c>
      <c r="EF14" s="50">
        <v>1.951241769513672E-2</v>
      </c>
      <c r="EG14" s="4"/>
    </row>
    <row r="15" spans="1:137" ht="16">
      <c r="A15" s="4"/>
      <c r="B15" s="30" t="s">
        <v>257</v>
      </c>
      <c r="C15" s="40">
        <v>-5.49830205683828E-4</v>
      </c>
      <c r="D15" s="40">
        <v>7.2772006897929677E-3</v>
      </c>
      <c r="E15" s="40">
        <v>1.6901946304031388E-2</v>
      </c>
      <c r="F15" s="40">
        <v>-1.1187242574751691E-2</v>
      </c>
      <c r="G15" s="40">
        <v>-2.8651437856188199E-2</v>
      </c>
      <c r="H15" s="40">
        <v>-1.7145600716088258E-3</v>
      </c>
      <c r="I15" s="40">
        <v>-7.0230583345802525E-2</v>
      </c>
      <c r="J15" s="40">
        <v>1.8918721099943508E-2</v>
      </c>
      <c r="K15" s="40">
        <v>-1.5809706837666006E-2</v>
      </c>
      <c r="L15" s="40">
        <v>-2.2734646525232188E-2</v>
      </c>
      <c r="M15" s="40">
        <v>1.9028432362173688E-2</v>
      </c>
      <c r="N15" s="40">
        <v>6.5867285674935716E-2</v>
      </c>
      <c r="O15" s="40">
        <v>1.9884424146019666E-2</v>
      </c>
      <c r="P15" s="40">
        <v>-5.3364956292117141E-3</v>
      </c>
      <c r="Q15" s="40">
        <v>9.5075812032749216E-2</v>
      </c>
      <c r="R15" s="40">
        <v>-9.8580041287727432E-2</v>
      </c>
      <c r="S15" s="40">
        <v>5.7430576445184289E-2</v>
      </c>
      <c r="T15" s="40">
        <v>4.4725221223624219E-2</v>
      </c>
      <c r="U15" s="40">
        <v>-6.7300074772839141E-2</v>
      </c>
      <c r="V15" s="40">
        <v>-2.1534959962777808E-2</v>
      </c>
      <c r="W15" s="40">
        <v>1.8756648483415756E-2</v>
      </c>
      <c r="X15" s="40">
        <v>2.0596763176551968E-2</v>
      </c>
      <c r="Y15" s="40">
        <v>-3.4907177980568915E-2</v>
      </c>
      <c r="Z15" s="40">
        <v>5.3227850985659826E-3</v>
      </c>
      <c r="AA15" s="40">
        <v>-1.0729428582490574E-2</v>
      </c>
      <c r="AB15" s="40">
        <v>-4.3132894762007174E-3</v>
      </c>
      <c r="AC15" s="40">
        <v>-2.2587213045461178E-2</v>
      </c>
      <c r="AD15" s="40">
        <v>-8.9228843097406193E-3</v>
      </c>
      <c r="AE15" s="40">
        <v>-9.6076920830267601E-3</v>
      </c>
      <c r="AF15" s="40">
        <v>-7.6328144582402026E-3</v>
      </c>
      <c r="AG15" s="40">
        <v>2.4721841330179434E-2</v>
      </c>
      <c r="AH15" s="40">
        <v>-7.4628672636391094E-3</v>
      </c>
      <c r="AI15" s="40">
        <v>1.214044475663366E-2</v>
      </c>
      <c r="AJ15" s="40">
        <v>-2.5444784115802813E-2</v>
      </c>
      <c r="AK15" s="40">
        <v>-5.001035351876542E-2</v>
      </c>
      <c r="AL15" s="40">
        <v>7.2678069821912203E-2</v>
      </c>
      <c r="AM15" s="40">
        <v>-4.0703795221129456E-2</v>
      </c>
      <c r="AN15" s="40">
        <v>3.7374999759495209E-2</v>
      </c>
      <c r="AO15" s="40">
        <v>4.7655596533367678E-2</v>
      </c>
      <c r="AP15" s="40">
        <v>-2.752978334564889E-2</v>
      </c>
      <c r="AQ15" s="40">
        <v>-1.0221189053767862E-2</v>
      </c>
      <c r="AR15" s="40">
        <v>-4.850538896598891E-2</v>
      </c>
      <c r="AS15" s="40">
        <v>-3.1925447947510475E-2</v>
      </c>
      <c r="AT15" s="40">
        <v>1.7880939085966663E-2</v>
      </c>
      <c r="AU15" s="40">
        <v>9.0635711605464842E-4</v>
      </c>
      <c r="AV15" s="40">
        <v>-1.2530696480951835E-2</v>
      </c>
      <c r="AW15" s="40">
        <v>4.2548022359220096E-2</v>
      </c>
      <c r="AX15" s="40">
        <v>-2.6000709195808869E-2</v>
      </c>
      <c r="AY15" s="40">
        <v>-1.5553313097856186E-2</v>
      </c>
      <c r="AZ15" s="40">
        <v>-1.6624693960388605E-2</v>
      </c>
      <c r="BA15" s="40">
        <v>1.108434292906344E-2</v>
      </c>
      <c r="BB15" s="40">
        <v>-3.3470618973853131E-2</v>
      </c>
      <c r="BC15" s="40">
        <v>4.125602983471275E-2</v>
      </c>
      <c r="BD15" s="40">
        <v>3.0048183623920106E-2</v>
      </c>
      <c r="BE15" s="40">
        <v>-2.3365229114424974E-2</v>
      </c>
      <c r="BF15" s="40">
        <v>-4.3191808584885027E-2</v>
      </c>
      <c r="BG15" s="40">
        <v>-4.5074261416987754E-2</v>
      </c>
      <c r="BH15" s="40">
        <v>-5.8638955097199921E-2</v>
      </c>
      <c r="BI15" s="40">
        <v>1.1459137406828806E-2</v>
      </c>
      <c r="BJ15" s="40">
        <v>1.3265457677323636E-2</v>
      </c>
      <c r="BK15" s="40">
        <v>-6.7173347841010516E-3</v>
      </c>
      <c r="BL15" s="40">
        <v>2.3564592994934162E-2</v>
      </c>
      <c r="BM15" s="40">
        <v>1.4470114353520649E-2</v>
      </c>
      <c r="BN15" s="40">
        <v>-4.2319979468540769E-2</v>
      </c>
      <c r="BO15" s="40">
        <v>-0.11135322589421688</v>
      </c>
      <c r="BP15" s="40">
        <v>3.8323005216354844E-2</v>
      </c>
      <c r="BQ15" s="40">
        <v>3.0750204172787631E-2</v>
      </c>
      <c r="BR15" s="40">
        <v>3.9349961820597357E-2</v>
      </c>
      <c r="BS15" s="40">
        <v>-1.5502410236318298E-2</v>
      </c>
      <c r="BT15" s="40">
        <v>-9.5360181198336329E-3</v>
      </c>
      <c r="BU15" s="40">
        <v>-1.2382387175604031E-2</v>
      </c>
      <c r="BV15" s="40">
        <v>1.6121679644516211E-2</v>
      </c>
      <c r="BW15" s="40">
        <v>-4.0442817409004572E-2</v>
      </c>
      <c r="BX15" s="40">
        <v>-9.0743373557693498E-3</v>
      </c>
      <c r="BY15" s="40">
        <v>-3.2035668993953749E-2</v>
      </c>
      <c r="BZ15" s="40">
        <v>4.6341554036925359E-2</v>
      </c>
      <c r="CA15" s="40">
        <v>-9.1187006975938598E-3</v>
      </c>
      <c r="CB15" s="40">
        <v>1.664936406418777E-2</v>
      </c>
      <c r="CC15" s="40">
        <v>4.4010187007938149E-2</v>
      </c>
      <c r="CD15" s="40">
        <v>5.5991532715328703E-2</v>
      </c>
      <c r="CE15" s="40">
        <v>3.221234920607708E-2</v>
      </c>
      <c r="CF15" s="40">
        <v>-8.2982888926991669E-2</v>
      </c>
      <c r="CG15" s="40">
        <v>-2.4997802689844632E-2</v>
      </c>
      <c r="CH15" s="40">
        <v>-5.3528526729100495E-2</v>
      </c>
      <c r="CI15" s="40">
        <v>6.6094632410618054E-2</v>
      </c>
      <c r="CJ15" s="40">
        <v>3.5571420139841214E-2</v>
      </c>
      <c r="CK15" s="40">
        <v>1.7034967917570757E-2</v>
      </c>
      <c r="CL15" s="40">
        <v>-3.8621379381935508E-2</v>
      </c>
      <c r="CM15" s="40">
        <v>4.3880111604612998E-2</v>
      </c>
      <c r="CN15" s="40">
        <v>-5.0285564838095397E-2</v>
      </c>
      <c r="CO15" s="40">
        <v>1.4932004848608313E-2</v>
      </c>
      <c r="CP15" s="40">
        <v>-5.4661878796854031E-2</v>
      </c>
      <c r="CQ15" s="40">
        <v>-2.626252259398203E-2</v>
      </c>
      <c r="CR15" s="40">
        <v>1.0931687855795316E-3</v>
      </c>
      <c r="CS15" s="40">
        <v>2.2495604081981889E-2</v>
      </c>
      <c r="CT15" s="40">
        <v>3.3626071424438859E-2</v>
      </c>
      <c r="CU15" s="40">
        <v>-2.9927668103440264E-2</v>
      </c>
      <c r="CV15" s="40">
        <v>9.4178362001349519E-2</v>
      </c>
      <c r="CW15" s="40">
        <v>2.2797117973186742E-2</v>
      </c>
      <c r="CX15" s="40">
        <v>-5.6389917140587852E-2</v>
      </c>
      <c r="CY15" s="40">
        <v>-8.9975590047605501E-3</v>
      </c>
      <c r="CZ15" s="40">
        <v>-0.12954595737373947</v>
      </c>
      <c r="DA15" s="40">
        <v>5.6727121557170405E-2</v>
      </c>
      <c r="DB15" s="40">
        <v>-6.1427323648539631E-2</v>
      </c>
      <c r="DC15" s="40">
        <v>-4.2426214302403023E-2</v>
      </c>
      <c r="DD15" s="40">
        <v>-3.125404350674679E-3</v>
      </c>
      <c r="DE15" s="40">
        <v>3.985361120045066E-2</v>
      </c>
      <c r="DF15" s="40">
        <v>-6.6899378397593801E-3</v>
      </c>
      <c r="DG15" s="40">
        <v>7.0939565655221632E-3</v>
      </c>
      <c r="DH15" s="40">
        <v>1.415838007410427E-2</v>
      </c>
      <c r="DI15" s="40">
        <v>-5.7914176927489373E-3</v>
      </c>
      <c r="DJ15" s="40">
        <v>-5.4565470484482567E-3</v>
      </c>
      <c r="DK15" s="40">
        <v>-5.0583134404174289E-4</v>
      </c>
      <c r="DL15" s="40">
        <v>4.9071171031395645E-3</v>
      </c>
      <c r="DM15" s="40">
        <v>4.33444030698317E-2</v>
      </c>
      <c r="DN15" s="40">
        <v>2.8080106941028235E-3</v>
      </c>
      <c r="DO15" s="40">
        <v>-4.6174630830088895E-2</v>
      </c>
      <c r="DP15" s="40">
        <v>-4.0581954982299329E-2</v>
      </c>
      <c r="DQ15" s="40">
        <v>-1.8061157150478183E-2</v>
      </c>
      <c r="DR15" s="40">
        <v>2.5478671793366783E-2</v>
      </c>
      <c r="DS15" s="40">
        <v>3.0410292169024372E-3</v>
      </c>
      <c r="DT15" s="40">
        <v>5.81958778736456E-2</v>
      </c>
      <c r="DU15" s="40">
        <v>-2.2504968344624894E-3</v>
      </c>
      <c r="DV15" s="40">
        <v>-4.8376544701711523E-2</v>
      </c>
      <c r="DW15" s="40">
        <v>1.046250798346122E-2</v>
      </c>
      <c r="DX15" s="40">
        <v>-4.6380430632526538E-2</v>
      </c>
      <c r="DY15" s="40">
        <v>-5.5720008942169094E-2</v>
      </c>
      <c r="DZ15" s="40">
        <v>-1.0601379839641484E-5</v>
      </c>
      <c r="EA15" s="40">
        <v>1.8724239379515548E-3</v>
      </c>
      <c r="EB15" s="40">
        <v>5.4872087738074983E-2</v>
      </c>
      <c r="EC15" s="40">
        <v>-2.1973128091506245E-2</v>
      </c>
      <c r="ED15" s="41">
        <v>2.6373080101040135E-2</v>
      </c>
      <c r="EE15" s="40">
        <v>-3.6568802962306253E-2</v>
      </c>
      <c r="EF15" s="51">
        <v>1.9470479510597233E-3</v>
      </c>
    </row>
    <row r="16" spans="1:137" ht="16">
      <c r="A16" s="4"/>
    </row>
    <row r="17" spans="1:137" ht="16">
      <c r="A17" s="56" t="s">
        <v>259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7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4"/>
    </row>
    <row r="18" spans="1:137" ht="17">
      <c r="A18" s="35"/>
      <c r="B18" s="6" t="s">
        <v>1</v>
      </c>
      <c r="C18" s="52" t="s">
        <v>2</v>
      </c>
      <c r="D18" s="52" t="s">
        <v>3</v>
      </c>
      <c r="E18" s="52" t="s">
        <v>4</v>
      </c>
      <c r="F18" s="52" t="s">
        <v>5</v>
      </c>
      <c r="G18" s="52" t="s">
        <v>6</v>
      </c>
      <c r="H18" s="52" t="s">
        <v>7</v>
      </c>
      <c r="I18" s="52" t="s">
        <v>8</v>
      </c>
      <c r="J18" s="52" t="s">
        <v>9</v>
      </c>
      <c r="K18" s="52" t="s">
        <v>10</v>
      </c>
      <c r="L18" s="52" t="s">
        <v>11</v>
      </c>
      <c r="M18" s="52" t="s">
        <v>12</v>
      </c>
      <c r="N18" s="52" t="s">
        <v>13</v>
      </c>
      <c r="O18" s="52" t="s">
        <v>14</v>
      </c>
      <c r="P18" s="52" t="s">
        <v>15</v>
      </c>
      <c r="Q18" s="52" t="s">
        <v>16</v>
      </c>
      <c r="R18" s="52" t="s">
        <v>17</v>
      </c>
      <c r="S18" s="52" t="s">
        <v>18</v>
      </c>
      <c r="T18" s="52" t="s">
        <v>19</v>
      </c>
      <c r="U18" s="52" t="s">
        <v>20</v>
      </c>
      <c r="V18" s="52" t="s">
        <v>21</v>
      </c>
      <c r="W18" s="52" t="s">
        <v>22</v>
      </c>
      <c r="X18" s="52" t="s">
        <v>23</v>
      </c>
      <c r="Y18" s="52" t="s">
        <v>24</v>
      </c>
      <c r="Z18" s="52" t="s">
        <v>25</v>
      </c>
      <c r="AA18" s="52" t="s">
        <v>26</v>
      </c>
      <c r="AB18" s="52" t="s">
        <v>27</v>
      </c>
      <c r="AC18" s="52" t="s">
        <v>28</v>
      </c>
      <c r="AD18" s="52" t="s">
        <v>29</v>
      </c>
      <c r="AE18" s="52" t="s">
        <v>30</v>
      </c>
      <c r="AF18" s="52" t="s">
        <v>31</v>
      </c>
      <c r="AG18" s="52" t="s">
        <v>32</v>
      </c>
      <c r="AH18" s="52" t="s">
        <v>33</v>
      </c>
      <c r="AI18" s="52" t="s">
        <v>34</v>
      </c>
      <c r="AJ18" s="52" t="s">
        <v>35</v>
      </c>
      <c r="AK18" s="52" t="s">
        <v>36</v>
      </c>
      <c r="AL18" s="52" t="s">
        <v>37</v>
      </c>
      <c r="AM18" s="52" t="s">
        <v>38</v>
      </c>
      <c r="AN18" s="52" t="s">
        <v>39</v>
      </c>
      <c r="AO18" s="52" t="s">
        <v>40</v>
      </c>
      <c r="AP18" s="52" t="s">
        <v>41</v>
      </c>
      <c r="AQ18" s="52" t="s">
        <v>42</v>
      </c>
      <c r="AR18" s="52" t="s">
        <v>43</v>
      </c>
      <c r="AS18" s="52" t="s">
        <v>44</v>
      </c>
      <c r="AT18" s="52" t="s">
        <v>45</v>
      </c>
      <c r="AU18" s="52" t="s">
        <v>46</v>
      </c>
      <c r="AV18" s="52" t="s">
        <v>47</v>
      </c>
      <c r="AW18" s="52" t="s">
        <v>48</v>
      </c>
      <c r="AX18" s="52" t="s">
        <v>49</v>
      </c>
      <c r="AY18" s="52" t="s">
        <v>50</v>
      </c>
      <c r="AZ18" s="52" t="s">
        <v>51</v>
      </c>
      <c r="BA18" s="52" t="s">
        <v>52</v>
      </c>
      <c r="BB18" s="52" t="s">
        <v>53</v>
      </c>
      <c r="BC18" s="52" t="s">
        <v>54</v>
      </c>
      <c r="BD18" s="52" t="s">
        <v>55</v>
      </c>
      <c r="BE18" s="52" t="s">
        <v>56</v>
      </c>
      <c r="BF18" s="52" t="s">
        <v>57</v>
      </c>
      <c r="BG18" s="52" t="s">
        <v>58</v>
      </c>
      <c r="BH18" s="52" t="s">
        <v>59</v>
      </c>
      <c r="BI18" s="52" t="s">
        <v>60</v>
      </c>
      <c r="BJ18" s="52" t="s">
        <v>61</v>
      </c>
      <c r="BK18" s="52" t="s">
        <v>62</v>
      </c>
      <c r="BL18" s="52" t="s">
        <v>63</v>
      </c>
      <c r="BM18" s="52" t="s">
        <v>64</v>
      </c>
      <c r="BN18" s="52" t="s">
        <v>65</v>
      </c>
      <c r="BO18" s="52" t="s">
        <v>66</v>
      </c>
      <c r="BP18" s="52" t="s">
        <v>67</v>
      </c>
      <c r="BQ18" s="52" t="s">
        <v>68</v>
      </c>
      <c r="BR18" s="52" t="s">
        <v>69</v>
      </c>
      <c r="BS18" s="52" t="s">
        <v>70</v>
      </c>
      <c r="BT18" s="52" t="s">
        <v>71</v>
      </c>
      <c r="BU18" s="52" t="s">
        <v>72</v>
      </c>
      <c r="BV18" s="52" t="s">
        <v>73</v>
      </c>
      <c r="BW18" s="52" t="s">
        <v>74</v>
      </c>
      <c r="BX18" s="52" t="s">
        <v>75</v>
      </c>
      <c r="BY18" s="52" t="s">
        <v>76</v>
      </c>
      <c r="BZ18" s="52" t="s">
        <v>77</v>
      </c>
      <c r="CA18" s="52" t="s">
        <v>78</v>
      </c>
      <c r="CB18" s="52" t="s">
        <v>79</v>
      </c>
      <c r="CC18" s="52" t="s">
        <v>80</v>
      </c>
      <c r="CD18" s="52" t="s">
        <v>81</v>
      </c>
      <c r="CE18" s="52" t="s">
        <v>82</v>
      </c>
      <c r="CF18" s="52" t="s">
        <v>83</v>
      </c>
      <c r="CG18" s="52" t="s">
        <v>84</v>
      </c>
      <c r="CH18" s="52" t="s">
        <v>85</v>
      </c>
      <c r="CI18" s="52" t="s">
        <v>86</v>
      </c>
      <c r="CJ18" s="52" t="s">
        <v>87</v>
      </c>
      <c r="CK18" s="52" t="s">
        <v>88</v>
      </c>
      <c r="CL18" s="52" t="s">
        <v>89</v>
      </c>
      <c r="CM18" s="52" t="s">
        <v>90</v>
      </c>
      <c r="CN18" s="52" t="s">
        <v>91</v>
      </c>
      <c r="CO18" s="52" t="s">
        <v>92</v>
      </c>
      <c r="CP18" s="52" t="s">
        <v>93</v>
      </c>
      <c r="CQ18" s="52" t="s">
        <v>94</v>
      </c>
      <c r="CR18" s="52" t="s">
        <v>95</v>
      </c>
      <c r="CS18" s="52" t="s">
        <v>96</v>
      </c>
      <c r="CT18" s="52" t="s">
        <v>97</v>
      </c>
      <c r="CU18" s="52" t="s">
        <v>98</v>
      </c>
      <c r="CV18" s="52" t="s">
        <v>99</v>
      </c>
      <c r="CW18" s="52" t="s">
        <v>100</v>
      </c>
      <c r="CX18" s="52" t="s">
        <v>101</v>
      </c>
      <c r="CY18" s="52" t="s">
        <v>102</v>
      </c>
      <c r="CZ18" s="52" t="s">
        <v>103</v>
      </c>
      <c r="DA18" s="52" t="s">
        <v>104</v>
      </c>
      <c r="DB18" s="52" t="s">
        <v>105</v>
      </c>
      <c r="DC18" s="52" t="s">
        <v>106</v>
      </c>
      <c r="DD18" s="52" t="s">
        <v>107</v>
      </c>
      <c r="DE18" s="52" t="s">
        <v>108</v>
      </c>
      <c r="DF18" s="52" t="s">
        <v>109</v>
      </c>
      <c r="DG18" s="52" t="s">
        <v>110</v>
      </c>
      <c r="DH18" s="52" t="s">
        <v>111</v>
      </c>
      <c r="DI18" s="52" t="s">
        <v>112</v>
      </c>
      <c r="DJ18" s="52" t="s">
        <v>113</v>
      </c>
      <c r="DK18" s="52" t="s">
        <v>114</v>
      </c>
      <c r="DL18" s="52" t="s">
        <v>115</v>
      </c>
      <c r="DM18" s="52" t="s">
        <v>116</v>
      </c>
      <c r="DN18" s="52" t="s">
        <v>117</v>
      </c>
      <c r="DO18" s="52" t="s">
        <v>118</v>
      </c>
      <c r="DP18" s="52" t="s">
        <v>119</v>
      </c>
      <c r="DQ18" s="52" t="s">
        <v>120</v>
      </c>
      <c r="DR18" s="52" t="s">
        <v>121</v>
      </c>
      <c r="DS18" s="52" t="s">
        <v>122</v>
      </c>
      <c r="DT18" s="52" t="s">
        <v>123</v>
      </c>
      <c r="DU18" s="52" t="s">
        <v>124</v>
      </c>
      <c r="DV18" s="52" t="s">
        <v>125</v>
      </c>
      <c r="DW18" s="52" t="s">
        <v>126</v>
      </c>
      <c r="DX18" s="52" t="s">
        <v>127</v>
      </c>
      <c r="DY18" s="52" t="s">
        <v>128</v>
      </c>
      <c r="DZ18" s="52" t="s">
        <v>129</v>
      </c>
      <c r="EA18" s="52" t="s">
        <v>130</v>
      </c>
      <c r="EB18" s="52" t="s">
        <v>131</v>
      </c>
      <c r="EC18" s="52" t="s">
        <v>132</v>
      </c>
      <c r="ED18" s="53" t="s">
        <v>133</v>
      </c>
      <c r="EE18" s="52" t="s">
        <v>134</v>
      </c>
      <c r="EF18" s="52" t="s">
        <v>140</v>
      </c>
      <c r="EG18" s="4"/>
    </row>
    <row r="19" spans="1:137" ht="16">
      <c r="A19" s="35"/>
      <c r="B19" s="30" t="s">
        <v>253</v>
      </c>
      <c r="C19" s="36">
        <f>(C3-C11)^2</f>
        <v>2.5477915295172463E-2</v>
      </c>
      <c r="D19" s="36">
        <f t="shared" ref="D19:BO20" si="0">(D3-D11)^2</f>
        <v>4.1655406958765128E-5</v>
      </c>
      <c r="E19" s="36">
        <f t="shared" si="0"/>
        <v>3.6956206372763485E-2</v>
      </c>
      <c r="F19" s="36">
        <f t="shared" si="0"/>
        <v>4.9744673064936063E-3</v>
      </c>
      <c r="G19" s="36">
        <f t="shared" si="0"/>
        <v>7.9626135785078683E-5</v>
      </c>
      <c r="H19" s="36">
        <f t="shared" si="0"/>
        <v>6.4579550355483668E-3</v>
      </c>
      <c r="I19" s="36">
        <f t="shared" si="0"/>
        <v>7.7864898644162614E-3</v>
      </c>
      <c r="J19" s="36">
        <f t="shared" si="0"/>
        <v>9.5596931991814415E-3</v>
      </c>
      <c r="K19" s="36">
        <f t="shared" si="0"/>
        <v>2.2956498268515662E-3</v>
      </c>
      <c r="L19" s="36">
        <f t="shared" si="0"/>
        <v>6.4932943022905322E-3</v>
      </c>
      <c r="M19" s="36">
        <f t="shared" si="0"/>
        <v>5.6245636936209614E-5</v>
      </c>
      <c r="N19" s="36">
        <f t="shared" si="0"/>
        <v>3.198751315580891E-2</v>
      </c>
      <c r="O19" s="36">
        <f t="shared" si="0"/>
        <v>2.2546691938761126E-3</v>
      </c>
      <c r="P19" s="36">
        <f t="shared" si="0"/>
        <v>4.3890507347261768E-3</v>
      </c>
      <c r="Q19" s="36">
        <f t="shared" si="0"/>
        <v>3.5956779794231249E-3</v>
      </c>
      <c r="R19" s="36">
        <f t="shared" si="0"/>
        <v>1.6254553828817797E-2</v>
      </c>
      <c r="S19" s="36">
        <f t="shared" si="0"/>
        <v>2.0521009473976587E-2</v>
      </c>
      <c r="T19" s="36">
        <f t="shared" si="0"/>
        <v>0.1048059674886474</v>
      </c>
      <c r="U19" s="36">
        <f t="shared" si="0"/>
        <v>5.2935669541904205E-4</v>
      </c>
      <c r="V19" s="36">
        <f t="shared" si="0"/>
        <v>5.5718282781280536E-3</v>
      </c>
      <c r="W19" s="36">
        <f t="shared" si="0"/>
        <v>1.4932289773265239E-4</v>
      </c>
      <c r="X19" s="36">
        <f t="shared" si="0"/>
        <v>6.8328191907224157E-3</v>
      </c>
      <c r="Y19" s="36">
        <f t="shared" si="0"/>
        <v>3.0657338745425557E-2</v>
      </c>
      <c r="Z19" s="36">
        <f t="shared" si="0"/>
        <v>2.1142183117195966E-5</v>
      </c>
      <c r="AA19" s="36">
        <f t="shared" si="0"/>
        <v>9.2060847460286943E-4</v>
      </c>
      <c r="AB19" s="36">
        <f t="shared" si="0"/>
        <v>3.5060874322135134E-3</v>
      </c>
      <c r="AC19" s="36">
        <f t="shared" si="0"/>
        <v>3.2176663041479808E-3</v>
      </c>
      <c r="AD19" s="36">
        <f t="shared" si="0"/>
        <v>1.8925835461766686E-2</v>
      </c>
      <c r="AE19" s="36">
        <f t="shared" si="0"/>
        <v>8.0336430753012115E-3</v>
      </c>
      <c r="AF19" s="36">
        <f t="shared" si="0"/>
        <v>3.5826822378333327E-3</v>
      </c>
      <c r="AG19" s="36">
        <f t="shared" si="0"/>
        <v>6.8216526415008124E-4</v>
      </c>
      <c r="AH19" s="36">
        <f t="shared" si="0"/>
        <v>2.3640465103178044E-3</v>
      </c>
      <c r="AI19" s="36">
        <f t="shared" si="0"/>
        <v>1.1616666104121739E-5</v>
      </c>
      <c r="AJ19" s="36">
        <f t="shared" si="0"/>
        <v>4.6695718682873287E-4</v>
      </c>
      <c r="AK19" s="36">
        <f t="shared" si="0"/>
        <v>3.3903097087318847E-4</v>
      </c>
      <c r="AL19" s="36">
        <f t="shared" si="0"/>
        <v>1.0253148252334102E-2</v>
      </c>
      <c r="AM19" s="36">
        <f t="shared" si="0"/>
        <v>1.3131472591791751E-3</v>
      </c>
      <c r="AN19" s="36">
        <f t="shared" si="0"/>
        <v>6.0290126969897214E-3</v>
      </c>
      <c r="AO19" s="36">
        <f t="shared" si="0"/>
        <v>1.1455982874255396E-3</v>
      </c>
      <c r="AP19" s="36">
        <f t="shared" si="0"/>
        <v>1.8733985395525839E-2</v>
      </c>
      <c r="AQ19" s="36">
        <f t="shared" si="0"/>
        <v>5.17499045584112E-3</v>
      </c>
      <c r="AR19" s="36">
        <f t="shared" si="0"/>
        <v>2.3141951955993594E-3</v>
      </c>
      <c r="AS19" s="36">
        <f t="shared" si="0"/>
        <v>7.6423451875574596E-4</v>
      </c>
      <c r="AT19" s="36">
        <f t="shared" si="0"/>
        <v>3.6200862721184575E-4</v>
      </c>
      <c r="AU19" s="36">
        <f t="shared" si="0"/>
        <v>2.1070020522621579E-3</v>
      </c>
      <c r="AV19" s="36">
        <f t="shared" si="0"/>
        <v>6.1677442404036008E-3</v>
      </c>
      <c r="AW19" s="36">
        <f t="shared" si="0"/>
        <v>6.688449461113281E-4</v>
      </c>
      <c r="AX19" s="36">
        <f t="shared" si="0"/>
        <v>1.257702612422988E-4</v>
      </c>
      <c r="AY19" s="36">
        <f t="shared" si="0"/>
        <v>4.2332427827308713E-3</v>
      </c>
      <c r="AZ19" s="36">
        <f t="shared" si="0"/>
        <v>6.1279237153152036E-5</v>
      </c>
      <c r="BA19" s="36">
        <f t="shared" si="0"/>
        <v>1.8404718988688307E-3</v>
      </c>
      <c r="BB19" s="36">
        <f t="shared" si="0"/>
        <v>4.8212846334271097E-3</v>
      </c>
      <c r="BC19" s="36">
        <f t="shared" si="0"/>
        <v>4.1484960137998014E-3</v>
      </c>
      <c r="BD19" s="36">
        <f t="shared" si="0"/>
        <v>8.2892472115060848E-3</v>
      </c>
      <c r="BE19" s="36">
        <f t="shared" si="0"/>
        <v>1.3709697931541654E-2</v>
      </c>
      <c r="BF19" s="36">
        <f t="shared" si="0"/>
        <v>3.0313450295971598E-3</v>
      </c>
      <c r="BG19" s="36">
        <f t="shared" si="0"/>
        <v>2.8745393606970954E-2</v>
      </c>
      <c r="BH19" s="36">
        <f t="shared" si="0"/>
        <v>7.4722891274501976E-2</v>
      </c>
      <c r="BI19" s="36">
        <f t="shared" si="0"/>
        <v>8.9117367197865074E-2</v>
      </c>
      <c r="BJ19" s="36">
        <f t="shared" si="0"/>
        <v>7.1186697784451497E-3</v>
      </c>
      <c r="BK19" s="36">
        <f t="shared" si="0"/>
        <v>9.7751910746748884E-6</v>
      </c>
      <c r="BL19" s="36">
        <f t="shared" si="0"/>
        <v>9.3221886945359343E-3</v>
      </c>
      <c r="BM19" s="36">
        <f t="shared" si="0"/>
        <v>7.3194634308745782E-3</v>
      </c>
      <c r="BN19" s="36">
        <f t="shared" si="0"/>
        <v>7.9816955087133011E-3</v>
      </c>
      <c r="BO19" s="36">
        <f t="shared" si="0"/>
        <v>1.4577378060014348E-3</v>
      </c>
      <c r="BP19" s="36">
        <f t="shared" ref="BP19:EA22" si="1">(BP3-BP11)^2</f>
        <v>1.9915121338934937E-2</v>
      </c>
      <c r="BQ19" s="36">
        <f t="shared" si="1"/>
        <v>1.9565156413376833E-2</v>
      </c>
      <c r="BR19" s="36">
        <f t="shared" si="1"/>
        <v>2.9483136478758037E-2</v>
      </c>
      <c r="BS19" s="36">
        <f t="shared" si="1"/>
        <v>3.2293560398484965E-4</v>
      </c>
      <c r="BT19" s="36">
        <f t="shared" si="1"/>
        <v>3.4199110037987884E-3</v>
      </c>
      <c r="BU19" s="36">
        <f t="shared" si="1"/>
        <v>9.7001223737091895E-4</v>
      </c>
      <c r="BV19" s="36">
        <f t="shared" si="1"/>
        <v>1.020647155013922E-3</v>
      </c>
      <c r="BW19" s="36">
        <f t="shared" si="1"/>
        <v>6.831035643824126E-3</v>
      </c>
      <c r="BX19" s="36">
        <f t="shared" si="1"/>
        <v>9.2056374849705386E-3</v>
      </c>
      <c r="BY19" s="36">
        <f t="shared" si="1"/>
        <v>3.866094517233308E-2</v>
      </c>
      <c r="BZ19" s="36">
        <f t="shared" si="1"/>
        <v>1.4084774511974659E-3</v>
      </c>
      <c r="CA19" s="36">
        <f t="shared" si="1"/>
        <v>1.1505044864424713E-2</v>
      </c>
      <c r="CB19" s="36">
        <f t="shared" si="1"/>
        <v>3.2524036125609391E-3</v>
      </c>
      <c r="CC19" s="36">
        <f t="shared" si="1"/>
        <v>9.863871865414044E-3</v>
      </c>
      <c r="CD19" s="36">
        <f t="shared" si="1"/>
        <v>1.1447946041035531E-2</v>
      </c>
      <c r="CE19" s="36">
        <f t="shared" si="1"/>
        <v>1.4873946344850573E-3</v>
      </c>
      <c r="CF19" s="36">
        <f t="shared" si="1"/>
        <v>6.8961567923544092E-3</v>
      </c>
      <c r="CG19" s="36">
        <f t="shared" si="1"/>
        <v>9.4769473180382237E-3</v>
      </c>
      <c r="CH19" s="36">
        <f t="shared" si="1"/>
        <v>7.8375655239099464E-4</v>
      </c>
      <c r="CI19" s="36">
        <f t="shared" si="1"/>
        <v>3.2978146561815276E-3</v>
      </c>
      <c r="CJ19" s="36">
        <f t="shared" si="1"/>
        <v>4.6022948416367226E-2</v>
      </c>
      <c r="CK19" s="36">
        <f t="shared" si="1"/>
        <v>8.3375636476494576E-3</v>
      </c>
      <c r="CL19" s="36">
        <f t="shared" si="1"/>
        <v>3.5628866080375056E-2</v>
      </c>
      <c r="CM19" s="36">
        <f t="shared" si="1"/>
        <v>9.8085746645376463E-4</v>
      </c>
      <c r="CN19" s="36">
        <f t="shared" si="1"/>
        <v>0.10793201237508748</v>
      </c>
      <c r="CO19" s="36">
        <f t="shared" si="1"/>
        <v>8.596096633729719E-2</v>
      </c>
      <c r="CP19" s="36">
        <f t="shared" si="1"/>
        <v>6.3367614073054604E-4</v>
      </c>
      <c r="CQ19" s="36">
        <f t="shared" si="1"/>
        <v>1.9151342407418162E-4</v>
      </c>
      <c r="CR19" s="36">
        <f t="shared" si="1"/>
        <v>2.8616251452360404E-6</v>
      </c>
      <c r="CS19" s="36">
        <f t="shared" si="1"/>
        <v>1.8200314923489376E-3</v>
      </c>
      <c r="CT19" s="36">
        <f t="shared" si="1"/>
        <v>7.5121406116165522E-4</v>
      </c>
      <c r="CU19" s="36">
        <f t="shared" si="1"/>
        <v>9.560900286108559E-2</v>
      </c>
      <c r="CV19" s="36">
        <f t="shared" si="1"/>
        <v>4.1520531816304228E-4</v>
      </c>
      <c r="CW19" s="36">
        <f t="shared" si="1"/>
        <v>6.6252344126872521E-5</v>
      </c>
      <c r="CX19" s="36">
        <f t="shared" si="1"/>
        <v>7.7493003660595947E-3</v>
      </c>
      <c r="CY19" s="36">
        <f t="shared" si="1"/>
        <v>5.9991029557867059E-3</v>
      </c>
      <c r="CZ19" s="36">
        <f t="shared" si="1"/>
        <v>4.3199410904616709E-2</v>
      </c>
      <c r="DA19" s="36">
        <f t="shared" si="1"/>
        <v>5.202685006550687E-2</v>
      </c>
      <c r="DB19" s="36">
        <f t="shared" si="1"/>
        <v>3.2635807703722823E-3</v>
      </c>
      <c r="DC19" s="36">
        <f t="shared" si="1"/>
        <v>3.6265453011145366E-3</v>
      </c>
      <c r="DD19" s="36">
        <f t="shared" si="1"/>
        <v>1.7196598904261222E-2</v>
      </c>
      <c r="DE19" s="36">
        <f t="shared" si="1"/>
        <v>8.8599941788746833E-2</v>
      </c>
      <c r="DF19" s="36">
        <f t="shared" si="1"/>
        <v>2.1363268097040981E-3</v>
      </c>
      <c r="DG19" s="36">
        <f t="shared" si="1"/>
        <v>3.2193293359690463E-2</v>
      </c>
      <c r="DH19" s="36">
        <f t="shared" si="1"/>
        <v>3.5448118977462438E-3</v>
      </c>
      <c r="DI19" s="36">
        <f t="shared" si="1"/>
        <v>1.535947017655908E-2</v>
      </c>
      <c r="DJ19" s="36">
        <f t="shared" si="1"/>
        <v>6.9508403501972807E-3</v>
      </c>
      <c r="DK19" s="36">
        <f t="shared" si="1"/>
        <v>1.2155050006090594E-3</v>
      </c>
      <c r="DL19" s="36">
        <f t="shared" si="1"/>
        <v>7.0065236193205521E-3</v>
      </c>
      <c r="DM19" s="36">
        <f t="shared" si="1"/>
        <v>3.6774336493902312E-3</v>
      </c>
      <c r="DN19" s="36">
        <f t="shared" si="1"/>
        <v>6.2478153677305143E-6</v>
      </c>
      <c r="DO19" s="36">
        <f t="shared" si="1"/>
        <v>9.3024215903400858E-3</v>
      </c>
      <c r="DP19" s="36">
        <f t="shared" si="1"/>
        <v>2.3256512627540152E-2</v>
      </c>
      <c r="DQ19" s="36">
        <f t="shared" si="1"/>
        <v>2.6413195997895772E-5</v>
      </c>
      <c r="DR19" s="36">
        <f t="shared" si="1"/>
        <v>1.3103028714529251E-4</v>
      </c>
      <c r="DS19" s="36">
        <f t="shared" si="1"/>
        <v>6.0443160068332207E-3</v>
      </c>
      <c r="DT19" s="36">
        <f t="shared" si="1"/>
        <v>1.4700185539001195E-4</v>
      </c>
      <c r="DU19" s="36">
        <f t="shared" si="1"/>
        <v>3.3151708043503143E-3</v>
      </c>
      <c r="DV19" s="36">
        <f t="shared" si="1"/>
        <v>8.1184526433844569E-5</v>
      </c>
      <c r="DW19" s="36">
        <f t="shared" si="1"/>
        <v>1.3926904774064259E-2</v>
      </c>
      <c r="DX19" s="36">
        <f t="shared" si="1"/>
        <v>1.9966641913881471E-3</v>
      </c>
      <c r="DY19" s="36">
        <f t="shared" si="1"/>
        <v>4.9829520585352146E-3</v>
      </c>
      <c r="DZ19" s="36">
        <f t="shared" si="1"/>
        <v>4.1363492660264648E-3</v>
      </c>
      <c r="EA19" s="36">
        <f t="shared" si="1"/>
        <v>4.6349972523960295E-2</v>
      </c>
      <c r="EB19" s="36">
        <f t="shared" ref="EB19:EF21" si="2">(EB3-EB11)^2</f>
        <v>4.9557633528053502E-3</v>
      </c>
      <c r="EC19" s="36">
        <f t="shared" si="2"/>
        <v>1.1049286812040423E-2</v>
      </c>
      <c r="ED19" s="36">
        <f t="shared" si="2"/>
        <v>3.1906570152740723E-3</v>
      </c>
      <c r="EE19" s="36">
        <f t="shared" si="2"/>
        <v>9.3027300446034042E-4</v>
      </c>
      <c r="EF19" s="36">
        <f t="shared" si="2"/>
        <v>4.3907909057892076E-4</v>
      </c>
      <c r="EG19" s="4"/>
    </row>
    <row r="20" spans="1:137" ht="16">
      <c r="A20" s="35"/>
      <c r="B20" s="30" t="s">
        <v>254</v>
      </c>
      <c r="C20" s="36">
        <f t="shared" ref="C20:R23" si="3">(C4-C12)^2</f>
        <v>1.4615931748041377E-3</v>
      </c>
      <c r="D20" s="36">
        <f t="shared" si="3"/>
        <v>1.1047046702341806E-3</v>
      </c>
      <c r="E20" s="36">
        <f t="shared" si="3"/>
        <v>0.12321107388592235</v>
      </c>
      <c r="F20" s="36">
        <f t="shared" si="3"/>
        <v>9.460863233157199E-2</v>
      </c>
      <c r="G20" s="36">
        <f t="shared" si="3"/>
        <v>6.4143858148135446E-2</v>
      </c>
      <c r="H20" s="36">
        <f t="shared" si="3"/>
        <v>0.42836214395662264</v>
      </c>
      <c r="I20" s="36">
        <f t="shared" si="3"/>
        <v>0.46555680579257136</v>
      </c>
      <c r="J20" s="36">
        <f t="shared" si="3"/>
        <v>0.28258724562734044</v>
      </c>
      <c r="K20" s="36">
        <f t="shared" si="3"/>
        <v>0.80328119187867597</v>
      </c>
      <c r="L20" s="36">
        <f t="shared" si="3"/>
        <v>8.1311187616151498E-2</v>
      </c>
      <c r="M20" s="36">
        <f t="shared" si="3"/>
        <v>0.39097955109210991</v>
      </c>
      <c r="N20" s="36">
        <f t="shared" si="3"/>
        <v>0.25576132603286034</v>
      </c>
      <c r="O20" s="36">
        <f t="shared" si="3"/>
        <v>0.15452154444725463</v>
      </c>
      <c r="P20" s="36">
        <f t="shared" si="3"/>
        <v>1.1456664980368908E-2</v>
      </c>
      <c r="Q20" s="36">
        <f t="shared" si="3"/>
        <v>5.1810251071843116E-2</v>
      </c>
      <c r="R20" s="36">
        <f t="shared" si="3"/>
        <v>4.1318675776602358E-2</v>
      </c>
      <c r="S20" s="36">
        <f t="shared" si="0"/>
        <v>6.6476890238082349E-3</v>
      </c>
      <c r="T20" s="36">
        <f t="shared" si="0"/>
        <v>1.2066790286314341E-2</v>
      </c>
      <c r="U20" s="36">
        <f t="shared" si="0"/>
        <v>4.439246198678793E-2</v>
      </c>
      <c r="V20" s="36">
        <f t="shared" si="0"/>
        <v>9.5856464040298146E-3</v>
      </c>
      <c r="W20" s="36">
        <f t="shared" si="0"/>
        <v>8.8467467338314062E-3</v>
      </c>
      <c r="X20" s="36">
        <f t="shared" si="0"/>
        <v>4.1458209786822929E-2</v>
      </c>
      <c r="Y20" s="36">
        <f t="shared" si="0"/>
        <v>0.11954589065339059</v>
      </c>
      <c r="Z20" s="36">
        <f t="shared" si="0"/>
        <v>0.12763574891221441</v>
      </c>
      <c r="AA20" s="36">
        <f t="shared" si="0"/>
        <v>0.22336436178767197</v>
      </c>
      <c r="AB20" s="36">
        <f t="shared" si="0"/>
        <v>0.15934143264642789</v>
      </c>
      <c r="AC20" s="36">
        <f t="shared" si="0"/>
        <v>6.5044541832458724E-2</v>
      </c>
      <c r="AD20" s="36">
        <f t="shared" si="0"/>
        <v>2.0430601952916575E-2</v>
      </c>
      <c r="AE20" s="36">
        <f t="shared" si="0"/>
        <v>5.7773253494047903E-2</v>
      </c>
      <c r="AF20" s="36">
        <f t="shared" si="0"/>
        <v>2.3329563298050281E-3</v>
      </c>
      <c r="AG20" s="36">
        <f t="shared" si="0"/>
        <v>2.2117976166683862E-2</v>
      </c>
      <c r="AH20" s="36">
        <f t="shared" si="0"/>
        <v>4.3302786641451485E-2</v>
      </c>
      <c r="AI20" s="36">
        <f t="shared" si="0"/>
        <v>9.3518822818315986E-3</v>
      </c>
      <c r="AJ20" s="36">
        <f t="shared" si="0"/>
        <v>2.2785297068304683E-3</v>
      </c>
      <c r="AK20" s="36">
        <f t="shared" si="0"/>
        <v>3.4392537421365612E-3</v>
      </c>
      <c r="AL20" s="36">
        <f t="shared" si="0"/>
        <v>2.1262060796674325E-4</v>
      </c>
      <c r="AM20" s="36">
        <f t="shared" si="0"/>
        <v>2.3882217030710008E-2</v>
      </c>
      <c r="AN20" s="36">
        <f t="shared" si="0"/>
        <v>4.6428311161298683E-2</v>
      </c>
      <c r="AO20" s="36">
        <f t="shared" si="0"/>
        <v>0.10245880051688515</v>
      </c>
      <c r="AP20" s="36">
        <f t="shared" si="0"/>
        <v>8.1234372102861066E-2</v>
      </c>
      <c r="AQ20" s="36">
        <f t="shared" si="0"/>
        <v>0.11176064275095174</v>
      </c>
      <c r="AR20" s="36">
        <f t="shared" si="0"/>
        <v>0.11968110912129973</v>
      </c>
      <c r="AS20" s="36">
        <f t="shared" si="0"/>
        <v>8.3970731932023993E-2</v>
      </c>
      <c r="AT20" s="36">
        <f t="shared" si="0"/>
        <v>7.746514896421855E-2</v>
      </c>
      <c r="AU20" s="36">
        <f t="shared" si="0"/>
        <v>7.423194421142086E-4</v>
      </c>
      <c r="AV20" s="36">
        <f t="shared" si="0"/>
        <v>1.7953741302687259E-2</v>
      </c>
      <c r="AW20" s="36">
        <f t="shared" si="0"/>
        <v>2.0101259854891609E-2</v>
      </c>
      <c r="AX20" s="36">
        <f t="shared" si="0"/>
        <v>3.0198682288142984E-4</v>
      </c>
      <c r="AY20" s="36">
        <f t="shared" si="0"/>
        <v>5.1726279821065098E-3</v>
      </c>
      <c r="AZ20" s="36">
        <f t="shared" si="0"/>
        <v>0.10476162761298842</v>
      </c>
      <c r="BA20" s="36">
        <f t="shared" si="0"/>
        <v>5.4005687514312749E-2</v>
      </c>
      <c r="BB20" s="36">
        <f t="shared" si="0"/>
        <v>8.7905862604194704E-5</v>
      </c>
      <c r="BC20" s="36">
        <f t="shared" si="0"/>
        <v>2.9270422148160662E-2</v>
      </c>
      <c r="BD20" s="36">
        <f t="shared" si="0"/>
        <v>7.3901901230990746E-2</v>
      </c>
      <c r="BE20" s="36">
        <f t="shared" si="0"/>
        <v>5.4143616249784088E-3</v>
      </c>
      <c r="BF20" s="36">
        <f t="shared" si="0"/>
        <v>1.4503714274916073E-2</v>
      </c>
      <c r="BG20" s="36">
        <f t="shared" si="0"/>
        <v>3.7871953522518272E-2</v>
      </c>
      <c r="BH20" s="36">
        <f t="shared" si="0"/>
        <v>3.6482835037420107E-2</v>
      </c>
      <c r="BI20" s="36">
        <f t="shared" si="0"/>
        <v>0.1277173157432851</v>
      </c>
      <c r="BJ20" s="36">
        <f t="shared" si="0"/>
        <v>0.13115246069761713</v>
      </c>
      <c r="BK20" s="36">
        <f t="shared" si="0"/>
        <v>1.0509433036699954E-2</v>
      </c>
      <c r="BL20" s="36">
        <f t="shared" si="0"/>
        <v>3.9883979083251801E-3</v>
      </c>
      <c r="BM20" s="36">
        <f t="shared" si="0"/>
        <v>6.6747368226740536E-4</v>
      </c>
      <c r="BN20" s="36">
        <f t="shared" si="0"/>
        <v>9.4182913295128793E-3</v>
      </c>
      <c r="BO20" s="36">
        <f t="shared" si="0"/>
        <v>1.3931692225412832E-3</v>
      </c>
      <c r="BP20" s="36">
        <f t="shared" si="1"/>
        <v>3.5857366581747104E-2</v>
      </c>
      <c r="BQ20" s="36">
        <f t="shared" si="1"/>
        <v>2.7221377845042922E-3</v>
      </c>
      <c r="BR20" s="36">
        <f t="shared" si="1"/>
        <v>3.4931782524263975E-3</v>
      </c>
      <c r="BS20" s="36">
        <f t="shared" si="1"/>
        <v>8.5047746392048155E-3</v>
      </c>
      <c r="BT20" s="36">
        <f t="shared" si="1"/>
        <v>1.6282238871617501E-2</v>
      </c>
      <c r="BU20" s="36">
        <f t="shared" si="1"/>
        <v>1.7487485281243279E-2</v>
      </c>
      <c r="BV20" s="36">
        <f t="shared" si="1"/>
        <v>9.1673660451794918E-3</v>
      </c>
      <c r="BW20" s="36">
        <f t="shared" si="1"/>
        <v>4.6892719555101355E-3</v>
      </c>
      <c r="BX20" s="36">
        <f t="shared" si="1"/>
        <v>1.3796667758308879E-3</v>
      </c>
      <c r="BY20" s="36">
        <f t="shared" si="1"/>
        <v>3.4315725956526057E-3</v>
      </c>
      <c r="BZ20" s="36">
        <f t="shared" si="1"/>
        <v>1.1940980644380971E-2</v>
      </c>
      <c r="CA20" s="36">
        <f t="shared" si="1"/>
        <v>2.0466258631326183E-2</v>
      </c>
      <c r="CB20" s="36">
        <f t="shared" si="1"/>
        <v>0.14774375311385166</v>
      </c>
      <c r="CC20" s="36">
        <f t="shared" si="1"/>
        <v>5.366088676808823E-2</v>
      </c>
      <c r="CD20" s="36">
        <f t="shared" si="1"/>
        <v>3.9464885831394556E-2</v>
      </c>
      <c r="CE20" s="36">
        <f t="shared" si="1"/>
        <v>9.4312447347889128E-2</v>
      </c>
      <c r="CF20" s="36">
        <f t="shared" si="1"/>
        <v>2.6615075554993775E-5</v>
      </c>
      <c r="CG20" s="36">
        <f t="shared" si="1"/>
        <v>1.8065580806249801E-2</v>
      </c>
      <c r="CH20" s="36">
        <f t="shared" si="1"/>
        <v>2.6981333155312179E-2</v>
      </c>
      <c r="CI20" s="36">
        <f t="shared" si="1"/>
        <v>2.0328511937362081E-2</v>
      </c>
      <c r="CJ20" s="36">
        <f t="shared" si="1"/>
        <v>3.7285712074029754E-3</v>
      </c>
      <c r="CK20" s="36">
        <f t="shared" si="1"/>
        <v>6.6205320503738632E-2</v>
      </c>
      <c r="CL20" s="36">
        <f t="shared" si="1"/>
        <v>4.1761440497115269E-2</v>
      </c>
      <c r="CM20" s="36">
        <f t="shared" si="1"/>
        <v>0.13870967168557721</v>
      </c>
      <c r="CN20" s="36">
        <f t="shared" si="1"/>
        <v>1.2018275118087288E-3</v>
      </c>
      <c r="CO20" s="36">
        <f t="shared" si="1"/>
        <v>0.10471284989723811</v>
      </c>
      <c r="CP20" s="36">
        <f t="shared" si="1"/>
        <v>2.2615560842848201E-2</v>
      </c>
      <c r="CQ20" s="36">
        <f t="shared" si="1"/>
        <v>6.7293573487122366E-2</v>
      </c>
      <c r="CR20" s="36">
        <f t="shared" si="1"/>
        <v>0.10320579394703044</v>
      </c>
      <c r="CS20" s="36">
        <f t="shared" si="1"/>
        <v>2.2481820648989802E-2</v>
      </c>
      <c r="CT20" s="36">
        <f t="shared" si="1"/>
        <v>0.10739592143108573</v>
      </c>
      <c r="CU20" s="36">
        <f t="shared" si="1"/>
        <v>8.1628644530044134E-2</v>
      </c>
      <c r="CV20" s="36">
        <f t="shared" si="1"/>
        <v>4.401041746845516E-2</v>
      </c>
      <c r="CW20" s="36">
        <f t="shared" si="1"/>
        <v>8.2099875497990374E-2</v>
      </c>
      <c r="CX20" s="36">
        <f t="shared" si="1"/>
        <v>0.17422897422609157</v>
      </c>
      <c r="CY20" s="36">
        <f t="shared" si="1"/>
        <v>3.8939304385906738E-2</v>
      </c>
      <c r="CZ20" s="36">
        <f t="shared" si="1"/>
        <v>0.23459128831700601</v>
      </c>
      <c r="DA20" s="36">
        <f t="shared" si="1"/>
        <v>0.16491514598006715</v>
      </c>
      <c r="DB20" s="36">
        <f t="shared" si="1"/>
        <v>0.40311611046020468</v>
      </c>
      <c r="DC20" s="36">
        <f t="shared" si="1"/>
        <v>8.8879570417878404E-2</v>
      </c>
      <c r="DD20" s="36">
        <f t="shared" si="1"/>
        <v>1.4745936664243875E-2</v>
      </c>
      <c r="DE20" s="36">
        <f t="shared" si="1"/>
        <v>1.0213756027270266E-3</v>
      </c>
      <c r="DF20" s="36">
        <f t="shared" si="1"/>
        <v>6.062389717650464E-2</v>
      </c>
      <c r="DG20" s="36">
        <f t="shared" si="1"/>
        <v>3.2824258399174272E-2</v>
      </c>
      <c r="DH20" s="36">
        <f t="shared" si="1"/>
        <v>1.8740608471242506E-2</v>
      </c>
      <c r="DI20" s="36">
        <f t="shared" si="1"/>
        <v>4.4742246477453257E-2</v>
      </c>
      <c r="DJ20" s="36">
        <f t="shared" si="1"/>
        <v>8.4333991222980367E-2</v>
      </c>
      <c r="DK20" s="36">
        <f t="shared" si="1"/>
        <v>7.7124293814161025E-3</v>
      </c>
      <c r="DL20" s="36">
        <f t="shared" si="1"/>
        <v>5.1403072343269944E-4</v>
      </c>
      <c r="DM20" s="36">
        <f t="shared" si="1"/>
        <v>6.3832782192181886E-2</v>
      </c>
      <c r="DN20" s="36">
        <f t="shared" si="1"/>
        <v>2.9950053277518938E-4</v>
      </c>
      <c r="DO20" s="36">
        <f t="shared" si="1"/>
        <v>0.1604269523882367</v>
      </c>
      <c r="DP20" s="36">
        <f t="shared" si="1"/>
        <v>0.28417967748112927</v>
      </c>
      <c r="DQ20" s="36">
        <f t="shared" si="1"/>
        <v>0.14041792125094282</v>
      </c>
      <c r="DR20" s="36">
        <f t="shared" si="1"/>
        <v>0.12876559409654656</v>
      </c>
      <c r="DS20" s="36">
        <f t="shared" si="1"/>
        <v>0.18584964280288868</v>
      </c>
      <c r="DT20" s="36">
        <f t="shared" si="1"/>
        <v>0.10526333310954733</v>
      </c>
      <c r="DU20" s="36">
        <f t="shared" si="1"/>
        <v>3.8683253075897837E-4</v>
      </c>
      <c r="DV20" s="36">
        <f t="shared" si="1"/>
        <v>2.6023862674844432E-2</v>
      </c>
      <c r="DW20" s="36">
        <f t="shared" si="1"/>
        <v>0.10176238779857241</v>
      </c>
      <c r="DX20" s="36">
        <f t="shared" si="1"/>
        <v>5.9147366629842872E-2</v>
      </c>
      <c r="DY20" s="36">
        <f t="shared" si="1"/>
        <v>5.5361113163196168E-2</v>
      </c>
      <c r="DZ20" s="36">
        <f t="shared" si="1"/>
        <v>3.351909091087843E-2</v>
      </c>
      <c r="EA20" s="36">
        <f t="shared" si="1"/>
        <v>3.844570033354152E-2</v>
      </c>
      <c r="EB20" s="36">
        <f t="shared" si="2"/>
        <v>3.6693022199635869E-2</v>
      </c>
      <c r="EC20" s="36">
        <f t="shared" si="2"/>
        <v>1.0994666789842324E-2</v>
      </c>
      <c r="ED20" s="36">
        <f t="shared" si="2"/>
        <v>0.11035121984718642</v>
      </c>
      <c r="EE20" s="36">
        <f t="shared" si="2"/>
        <v>9.9113647737522792E-2</v>
      </c>
      <c r="EF20" s="36">
        <f t="shared" si="2"/>
        <v>0.23681978157692266</v>
      </c>
      <c r="EG20" s="4"/>
    </row>
    <row r="21" spans="1:137" ht="16">
      <c r="A21" s="35"/>
      <c r="B21" s="30" t="s">
        <v>255</v>
      </c>
      <c r="C21" s="36">
        <f t="shared" si="3"/>
        <v>5.3604013608895759E-4</v>
      </c>
      <c r="D21" s="36">
        <f t="shared" ref="D21:BO23" si="4">(D5-D13)^2</f>
        <v>3.3185070705732601E-2</v>
      </c>
      <c r="E21" s="36">
        <f t="shared" si="4"/>
        <v>8.1019390233875756E-3</v>
      </c>
      <c r="F21" s="36">
        <f t="shared" si="4"/>
        <v>1.6377117779136697E-4</v>
      </c>
      <c r="G21" s="36">
        <f t="shared" si="4"/>
        <v>3.1075440763748876E-2</v>
      </c>
      <c r="H21" s="36">
        <f t="shared" si="4"/>
        <v>0.14909725979763092</v>
      </c>
      <c r="I21" s="36">
        <f t="shared" si="4"/>
        <v>0.43467721694601419</v>
      </c>
      <c r="J21" s="36">
        <f t="shared" si="4"/>
        <v>0.19489467712249281</v>
      </c>
      <c r="K21" s="36">
        <f t="shared" si="4"/>
        <v>5.8313092077526593E-2</v>
      </c>
      <c r="L21" s="36">
        <f t="shared" si="4"/>
        <v>3.0966471416372036E-2</v>
      </c>
      <c r="M21" s="36">
        <f t="shared" si="4"/>
        <v>3.4740228633781817E-2</v>
      </c>
      <c r="N21" s="36">
        <f t="shared" si="4"/>
        <v>0.2265275901165294</v>
      </c>
      <c r="O21" s="36">
        <f t="shared" si="4"/>
        <v>3.2430707965597412E-3</v>
      </c>
      <c r="P21" s="36">
        <f t="shared" si="4"/>
        <v>5.3181174024761338E-3</v>
      </c>
      <c r="Q21" s="36">
        <f t="shared" si="4"/>
        <v>3.3345850781804349E-3</v>
      </c>
      <c r="R21" s="36">
        <f t="shared" si="4"/>
        <v>6.421015902229151E-4</v>
      </c>
      <c r="S21" s="36">
        <f t="shared" si="4"/>
        <v>5.7197241125779043E-3</v>
      </c>
      <c r="T21" s="36">
        <f t="shared" si="4"/>
        <v>5.8884191028564193E-3</v>
      </c>
      <c r="U21" s="36">
        <f t="shared" si="4"/>
        <v>0.30067739376939767</v>
      </c>
      <c r="V21" s="36">
        <f t="shared" si="4"/>
        <v>0.23604977779805161</v>
      </c>
      <c r="W21" s="36">
        <f t="shared" si="4"/>
        <v>0.18019387299601458</v>
      </c>
      <c r="X21" s="36">
        <f t="shared" si="4"/>
        <v>0.55385497794749128</v>
      </c>
      <c r="Y21" s="36">
        <f t="shared" si="4"/>
        <v>0.13049092206756921</v>
      </c>
      <c r="Z21" s="36">
        <f t="shared" si="4"/>
        <v>0.26483979303117333</v>
      </c>
      <c r="AA21" s="36">
        <f t="shared" si="4"/>
        <v>2.1990581460806676E-2</v>
      </c>
      <c r="AB21" s="36">
        <f t="shared" si="4"/>
        <v>8.0499956406681928E-7</v>
      </c>
      <c r="AC21" s="36">
        <f t="shared" si="4"/>
        <v>4.1381104074224899E-2</v>
      </c>
      <c r="AD21" s="36">
        <f t="shared" si="4"/>
        <v>2.0638094736956582E-2</v>
      </c>
      <c r="AE21" s="36">
        <f t="shared" si="4"/>
        <v>6.837094565974336E-2</v>
      </c>
      <c r="AF21" s="36">
        <f t="shared" si="4"/>
        <v>2.1800788615050936E-3</v>
      </c>
      <c r="AG21" s="36">
        <f t="shared" si="4"/>
        <v>1.5669470571773026E-2</v>
      </c>
      <c r="AH21" s="36">
        <f t="shared" si="4"/>
        <v>6.3996359224486469E-3</v>
      </c>
      <c r="AI21" s="36">
        <f t="shared" si="4"/>
        <v>5.219742445065316E-2</v>
      </c>
      <c r="AJ21" s="36">
        <f t="shared" si="4"/>
        <v>0.10325067960056078</v>
      </c>
      <c r="AK21" s="36">
        <f t="shared" si="4"/>
        <v>1.9743420652927261E-3</v>
      </c>
      <c r="AL21" s="36">
        <f t="shared" si="4"/>
        <v>3.6663242840450786E-3</v>
      </c>
      <c r="AM21" s="36">
        <f t="shared" si="4"/>
        <v>6.242371748832088E-2</v>
      </c>
      <c r="AN21" s="36">
        <f t="shared" si="4"/>
        <v>3.8001982189267536E-2</v>
      </c>
      <c r="AO21" s="36">
        <f t="shared" si="4"/>
        <v>4.5082094534591936E-2</v>
      </c>
      <c r="AP21" s="36">
        <f t="shared" si="4"/>
        <v>5.0803693704474101E-3</v>
      </c>
      <c r="AQ21" s="36">
        <f t="shared" si="4"/>
        <v>3.9252319743200537E-2</v>
      </c>
      <c r="AR21" s="36">
        <f t="shared" si="4"/>
        <v>2.7647626798094248E-2</v>
      </c>
      <c r="AS21" s="36">
        <f t="shared" si="4"/>
        <v>6.1534078533036607E-2</v>
      </c>
      <c r="AT21" s="36">
        <f t="shared" si="4"/>
        <v>4.6866195893196731E-2</v>
      </c>
      <c r="AU21" s="36">
        <f t="shared" si="4"/>
        <v>2.4831079351554387E-6</v>
      </c>
      <c r="AV21" s="36">
        <f t="shared" si="4"/>
        <v>7.6356212152197765E-3</v>
      </c>
      <c r="AW21" s="36">
        <f t="shared" si="4"/>
        <v>5.9965785366390377E-3</v>
      </c>
      <c r="AX21" s="36">
        <f t="shared" si="4"/>
        <v>9.8227311960264272E-3</v>
      </c>
      <c r="AY21" s="36">
        <f t="shared" si="4"/>
        <v>3.1237680813655522E-2</v>
      </c>
      <c r="AZ21" s="36">
        <f t="shared" si="4"/>
        <v>6.6926889224601507E-2</v>
      </c>
      <c r="BA21" s="36">
        <f t="shared" si="4"/>
        <v>4.4229662848657987E-2</v>
      </c>
      <c r="BB21" s="36">
        <f t="shared" si="4"/>
        <v>2.7270165357494682E-2</v>
      </c>
      <c r="BC21" s="36">
        <f t="shared" si="4"/>
        <v>7.4992741681110114E-2</v>
      </c>
      <c r="BD21" s="36">
        <f t="shared" si="4"/>
        <v>2.0215309919897579E-2</v>
      </c>
      <c r="BE21" s="36">
        <f t="shared" si="4"/>
        <v>6.5986397571760363E-2</v>
      </c>
      <c r="BF21" s="36">
        <f t="shared" si="4"/>
        <v>8.8852998675254882E-2</v>
      </c>
      <c r="BG21" s="36">
        <f t="shared" si="4"/>
        <v>9.4414329393854551E-2</v>
      </c>
      <c r="BH21" s="36">
        <f t="shared" si="4"/>
        <v>6.8300211209248396E-2</v>
      </c>
      <c r="BI21" s="36">
        <f t="shared" si="4"/>
        <v>1.5767893712118928E-2</v>
      </c>
      <c r="BJ21" s="36">
        <f t="shared" si="4"/>
        <v>1.4995278448031103E-3</v>
      </c>
      <c r="BK21" s="36">
        <f t="shared" si="4"/>
        <v>1.1810986975343463E-2</v>
      </c>
      <c r="BL21" s="36">
        <f t="shared" si="4"/>
        <v>7.136847128707921E-3</v>
      </c>
      <c r="BM21" s="36">
        <f t="shared" si="4"/>
        <v>0.1003292278581694</v>
      </c>
      <c r="BN21" s="36">
        <f t="shared" si="4"/>
        <v>0.10871056754583056</v>
      </c>
      <c r="BO21" s="36">
        <f t="shared" si="4"/>
        <v>8.4585123180751388E-3</v>
      </c>
      <c r="BP21" s="36">
        <f t="shared" si="1"/>
        <v>0.28955968137081783</v>
      </c>
      <c r="BQ21" s="36">
        <f t="shared" si="1"/>
        <v>3.8026608059097716E-2</v>
      </c>
      <c r="BR21" s="36">
        <f t="shared" si="1"/>
        <v>0.16747738734369252</v>
      </c>
      <c r="BS21" s="36">
        <f t="shared" si="1"/>
        <v>7.6018829715353939E-2</v>
      </c>
      <c r="BT21" s="36">
        <f t="shared" si="1"/>
        <v>6.4636846763882136E-2</v>
      </c>
      <c r="BU21" s="36">
        <f t="shared" si="1"/>
        <v>0.24509264048014345</v>
      </c>
      <c r="BV21" s="36">
        <f t="shared" si="1"/>
        <v>3.2021086238681599E-2</v>
      </c>
      <c r="BW21" s="36">
        <f t="shared" si="1"/>
        <v>0.11071049293845774</v>
      </c>
      <c r="BX21" s="36">
        <f t="shared" si="1"/>
        <v>5.3833423400758591E-2</v>
      </c>
      <c r="BY21" s="36">
        <f t="shared" si="1"/>
        <v>5.2049712174954944E-2</v>
      </c>
      <c r="BZ21" s="36">
        <f t="shared" si="1"/>
        <v>8.0779647483179007E-2</v>
      </c>
      <c r="CA21" s="36">
        <f t="shared" si="1"/>
        <v>0.14698792919843412</v>
      </c>
      <c r="CB21" s="36">
        <f t="shared" si="1"/>
        <v>0.20321719813479841</v>
      </c>
      <c r="CC21" s="36">
        <f t="shared" si="1"/>
        <v>6.0803160194982039E-2</v>
      </c>
      <c r="CD21" s="36">
        <f t="shared" si="1"/>
        <v>6.4919162176895941E-3</v>
      </c>
      <c r="CE21" s="36">
        <f t="shared" si="1"/>
        <v>1.2159015328589083E-2</v>
      </c>
      <c r="CF21" s="36">
        <f t="shared" si="1"/>
        <v>1.0232010872381694E-3</v>
      </c>
      <c r="CG21" s="36">
        <f t="shared" si="1"/>
        <v>0.14834701060478311</v>
      </c>
      <c r="CH21" s="36">
        <f t="shared" si="1"/>
        <v>7.8457375002085286E-2</v>
      </c>
      <c r="CI21" s="36">
        <f t="shared" si="1"/>
        <v>1.1696304356900659E-3</v>
      </c>
      <c r="CJ21" s="36">
        <f t="shared" si="1"/>
        <v>0.30043092325847037</v>
      </c>
      <c r="CK21" s="36">
        <f t="shared" si="1"/>
        <v>1.6309415479442403E-2</v>
      </c>
      <c r="CL21" s="36">
        <f t="shared" si="1"/>
        <v>7.7277671387825288E-3</v>
      </c>
      <c r="CM21" s="36">
        <f t="shared" si="1"/>
        <v>1.427554377492046E-3</v>
      </c>
      <c r="CN21" s="36">
        <f t="shared" si="1"/>
        <v>4.6189089209343561E-5</v>
      </c>
      <c r="CO21" s="36">
        <f t="shared" si="1"/>
        <v>0.40127592721880723</v>
      </c>
      <c r="CP21" s="36">
        <f t="shared" si="1"/>
        <v>0.33617242472830339</v>
      </c>
      <c r="CQ21" s="36">
        <f t="shared" si="1"/>
        <v>0.17010081115661702</v>
      </c>
      <c r="CR21" s="36">
        <f t="shared" si="1"/>
        <v>9.8727175641790121E-2</v>
      </c>
      <c r="CS21" s="36">
        <f t="shared" si="1"/>
        <v>2.6984629413155704E-2</v>
      </c>
      <c r="CT21" s="36">
        <f t="shared" si="1"/>
        <v>0.2227752696057535</v>
      </c>
      <c r="CU21" s="36">
        <f t="shared" si="1"/>
        <v>0.1618959999118961</v>
      </c>
      <c r="CV21" s="36">
        <f t="shared" si="1"/>
        <v>1.6934148330847904E-5</v>
      </c>
      <c r="CW21" s="36">
        <f t="shared" si="1"/>
        <v>4.3738439418522398E-4</v>
      </c>
      <c r="CX21" s="36">
        <f t="shared" si="1"/>
        <v>8.5533737557577354E-3</v>
      </c>
      <c r="CY21" s="36">
        <f t="shared" si="1"/>
        <v>3.5311935350170868E-3</v>
      </c>
      <c r="CZ21" s="36">
        <f t="shared" si="1"/>
        <v>6.2282340485949363E-3</v>
      </c>
      <c r="DA21" s="36">
        <f t="shared" si="1"/>
        <v>7.968254104329919E-3</v>
      </c>
      <c r="DB21" s="36">
        <f t="shared" si="1"/>
        <v>1.5569095838362313E-2</v>
      </c>
      <c r="DC21" s="36">
        <f t="shared" si="1"/>
        <v>1.7452115827023187E-2</v>
      </c>
      <c r="DD21" s="36">
        <f t="shared" si="1"/>
        <v>5.4402872069800226E-2</v>
      </c>
      <c r="DE21" s="36">
        <f t="shared" si="1"/>
        <v>3.1942493301935583E-2</v>
      </c>
      <c r="DF21" s="36">
        <f t="shared" si="1"/>
        <v>4.3204536607743163E-2</v>
      </c>
      <c r="DG21" s="36">
        <f t="shared" si="1"/>
        <v>6.7492855780042146E-3</v>
      </c>
      <c r="DH21" s="36">
        <f t="shared" si="1"/>
        <v>8.7642100692557665E-2</v>
      </c>
      <c r="DI21" s="36">
        <f t="shared" si="1"/>
        <v>0.11872312686326178</v>
      </c>
      <c r="DJ21" s="36">
        <f t="shared" si="1"/>
        <v>4.4061768919065172E-2</v>
      </c>
      <c r="DK21" s="36">
        <f t="shared" si="1"/>
        <v>1.0572438521325979E-2</v>
      </c>
      <c r="DL21" s="36">
        <f t="shared" si="1"/>
        <v>9.4769678827422068E-3</v>
      </c>
      <c r="DM21" s="36">
        <f t="shared" si="1"/>
        <v>2.8985951162443999E-2</v>
      </c>
      <c r="DN21" s="36">
        <f t="shared" si="1"/>
        <v>5.6448365448119354E-3</v>
      </c>
      <c r="DO21" s="36">
        <f t="shared" si="1"/>
        <v>1.131486273491655E-3</v>
      </c>
      <c r="DP21" s="36">
        <f t="shared" si="1"/>
        <v>3.4087339468845512E-2</v>
      </c>
      <c r="DQ21" s="36">
        <f t="shared" si="1"/>
        <v>0.40355762771164194</v>
      </c>
      <c r="DR21" s="36">
        <f t="shared" si="1"/>
        <v>7.8728148835395514E-2</v>
      </c>
      <c r="DS21" s="36">
        <f t="shared" si="1"/>
        <v>7.3843872905005978E-2</v>
      </c>
      <c r="DT21" s="36">
        <f t="shared" si="1"/>
        <v>3.6563918705665763E-2</v>
      </c>
      <c r="DU21" s="36">
        <f t="shared" si="1"/>
        <v>3.0019952882572764E-2</v>
      </c>
      <c r="DV21" s="36">
        <f t="shared" si="1"/>
        <v>0.15956088067079585</v>
      </c>
      <c r="DW21" s="36">
        <f t="shared" si="1"/>
        <v>9.7736920800623323E-2</v>
      </c>
      <c r="DX21" s="36">
        <f t="shared" si="1"/>
        <v>2.8102202170168421E-2</v>
      </c>
      <c r="DY21" s="36">
        <f t="shared" si="1"/>
        <v>1.9222193025407583E-4</v>
      </c>
      <c r="DZ21" s="36">
        <f t="shared" si="1"/>
        <v>9.2779879246904229E-3</v>
      </c>
      <c r="EA21" s="36">
        <f t="shared" si="1"/>
        <v>0.11223361566812178</v>
      </c>
      <c r="EB21" s="36">
        <f t="shared" si="2"/>
        <v>8.0690490257134122E-6</v>
      </c>
      <c r="EC21" s="36">
        <f t="shared" si="2"/>
        <v>1.2330088833065864E-2</v>
      </c>
      <c r="ED21" s="36">
        <f t="shared" si="2"/>
        <v>2.0046143802704636E-3</v>
      </c>
      <c r="EE21" s="36">
        <f t="shared" si="2"/>
        <v>4.2617596718689842E-6</v>
      </c>
      <c r="EF21" s="36">
        <f t="shared" si="2"/>
        <v>3.9537925395390812E-2</v>
      </c>
      <c r="EG21" s="4"/>
    </row>
    <row r="22" spans="1:137" ht="16">
      <c r="A22" s="4"/>
      <c r="B22" s="30" t="s">
        <v>256</v>
      </c>
      <c r="C22" s="36">
        <f t="shared" si="3"/>
        <v>4.4373446844203808E-3</v>
      </c>
      <c r="D22" s="36">
        <f t="shared" si="4"/>
        <v>2.9491693255969391E-2</v>
      </c>
      <c r="E22" s="36">
        <f t="shared" si="4"/>
        <v>1.1259358214205433E-2</v>
      </c>
      <c r="F22" s="36">
        <f t="shared" si="4"/>
        <v>0.1118775445143103</v>
      </c>
      <c r="G22" s="36">
        <f t="shared" si="4"/>
        <v>5.5770616991493618E-2</v>
      </c>
      <c r="H22" s="36">
        <f t="shared" si="4"/>
        <v>6.9613586179566964E-2</v>
      </c>
      <c r="I22" s="36">
        <f t="shared" si="4"/>
        <v>0.1778674187246608</v>
      </c>
      <c r="J22" s="36">
        <f t="shared" si="4"/>
        <v>0.14842405912874776</v>
      </c>
      <c r="K22" s="36">
        <f t="shared" si="4"/>
        <v>0.19881689887916318</v>
      </c>
      <c r="L22" s="36">
        <f t="shared" si="4"/>
        <v>5.0762090937680939E-4</v>
      </c>
      <c r="M22" s="36">
        <f t="shared" si="4"/>
        <v>1.315070026488539E-4</v>
      </c>
      <c r="N22" s="36">
        <f t="shared" si="4"/>
        <v>1.3482873401740086E-3</v>
      </c>
      <c r="O22" s="36">
        <f t="shared" si="4"/>
        <v>4.9454848222191324E-2</v>
      </c>
      <c r="P22" s="36">
        <f t="shared" si="4"/>
        <v>6.7007962280809741E-2</v>
      </c>
      <c r="Q22" s="36">
        <f t="shared" si="4"/>
        <v>4.118693676026814E-2</v>
      </c>
      <c r="R22" s="36">
        <f t="shared" si="4"/>
        <v>0.11322832148304425</v>
      </c>
      <c r="S22" s="36">
        <f t="shared" si="4"/>
        <v>2.5429832509362194E-2</v>
      </c>
      <c r="T22" s="36">
        <f t="shared" si="4"/>
        <v>6.6658441370113231E-2</v>
      </c>
      <c r="U22" s="36">
        <f t="shared" si="4"/>
        <v>2.8311280591056189E-4</v>
      </c>
      <c r="V22" s="36">
        <f t="shared" si="4"/>
        <v>1.4545307252582477E-3</v>
      </c>
      <c r="W22" s="36">
        <f t="shared" si="4"/>
        <v>9.2390611967479459E-3</v>
      </c>
      <c r="X22" s="36">
        <f t="shared" si="4"/>
        <v>2.3195600540191917E-5</v>
      </c>
      <c r="Y22" s="36">
        <f t="shared" si="4"/>
        <v>1.4872014439030651E-4</v>
      </c>
      <c r="Z22" s="36">
        <f t="shared" si="4"/>
        <v>5.4421386997294708E-4</v>
      </c>
      <c r="AA22" s="36">
        <f t="shared" si="4"/>
        <v>1.4809328151910606E-2</v>
      </c>
      <c r="AB22" s="36">
        <f t="shared" si="4"/>
        <v>1.4319718383221392E-2</v>
      </c>
      <c r="AC22" s="36">
        <f t="shared" si="4"/>
        <v>5.1217195970470466E-4</v>
      </c>
      <c r="AD22" s="36">
        <f t="shared" si="4"/>
        <v>3.330653221603485E-3</v>
      </c>
      <c r="AE22" s="36">
        <f t="shared" si="4"/>
        <v>6.5430214050495687E-5</v>
      </c>
      <c r="AF22" s="36">
        <f t="shared" si="4"/>
        <v>9.5076011590261534E-4</v>
      </c>
      <c r="AG22" s="36">
        <f t="shared" si="4"/>
        <v>1.2474921895872465E-3</v>
      </c>
      <c r="AH22" s="36">
        <f t="shared" si="4"/>
        <v>1.1091992216808262E-3</v>
      </c>
      <c r="AI22" s="36">
        <f t="shared" si="4"/>
        <v>1.9785507855513648E-3</v>
      </c>
      <c r="AJ22" s="36">
        <f t="shared" si="4"/>
        <v>1.8506156274840917E-3</v>
      </c>
      <c r="AK22" s="36">
        <f t="shared" si="4"/>
        <v>1.2218292944387664E-2</v>
      </c>
      <c r="AL22" s="36">
        <f t="shared" si="4"/>
        <v>1.1291581693606288E-5</v>
      </c>
      <c r="AM22" s="36">
        <f t="shared" si="4"/>
        <v>1.165719049071318E-2</v>
      </c>
      <c r="AN22" s="36">
        <f t="shared" si="4"/>
        <v>5.8390936082215315E-2</v>
      </c>
      <c r="AO22" s="36">
        <f t="shared" si="4"/>
        <v>2.6050712391567692E-2</v>
      </c>
      <c r="AP22" s="36">
        <f t="shared" si="4"/>
        <v>1.1096317656796896E-2</v>
      </c>
      <c r="AQ22" s="36">
        <f t="shared" si="4"/>
        <v>2.4096268106127132E-2</v>
      </c>
      <c r="AR22" s="36">
        <f t="shared" si="4"/>
        <v>1.2085228904173184E-2</v>
      </c>
      <c r="AS22" s="36">
        <f t="shared" si="4"/>
        <v>1.1608691269224767E-2</v>
      </c>
      <c r="AT22" s="36">
        <f t="shared" si="4"/>
        <v>5.7042845917494008E-3</v>
      </c>
      <c r="AU22" s="36">
        <f t="shared" si="4"/>
        <v>1.4029129235370507E-2</v>
      </c>
      <c r="AV22" s="36">
        <f t="shared" si="4"/>
        <v>1.046403615336927E-2</v>
      </c>
      <c r="AW22" s="36">
        <f t="shared" si="4"/>
        <v>4.721449504930509E-2</v>
      </c>
      <c r="AX22" s="36">
        <f t="shared" si="4"/>
        <v>2.1041887496414849E-2</v>
      </c>
      <c r="AY22" s="36">
        <f t="shared" si="4"/>
        <v>1.0986577499322426E-2</v>
      </c>
      <c r="AZ22" s="36">
        <f t="shared" si="4"/>
        <v>0.10925738476148017</v>
      </c>
      <c r="BA22" s="36">
        <f t="shared" si="4"/>
        <v>2.1802974622707322E-2</v>
      </c>
      <c r="BB22" s="36">
        <f t="shared" si="4"/>
        <v>2.7174234523601091E-3</v>
      </c>
      <c r="BC22" s="36">
        <f t="shared" si="4"/>
        <v>1.204268683042173E-2</v>
      </c>
      <c r="BD22" s="36">
        <f t="shared" si="4"/>
        <v>3.051909402078062E-3</v>
      </c>
      <c r="BE22" s="36">
        <f t="shared" si="4"/>
        <v>4.6694502053609959E-3</v>
      </c>
      <c r="BF22" s="36">
        <f t="shared" si="4"/>
        <v>1.467631341593812E-6</v>
      </c>
      <c r="BG22" s="36">
        <f t="shared" si="4"/>
        <v>1.540816373261954E-2</v>
      </c>
      <c r="BH22" s="36">
        <f t="shared" si="4"/>
        <v>6.5399174841156288E-2</v>
      </c>
      <c r="BI22" s="36">
        <f t="shared" si="4"/>
        <v>1.8923319349156784E-2</v>
      </c>
      <c r="BJ22" s="36">
        <f t="shared" si="4"/>
        <v>2.6489198061986224E-2</v>
      </c>
      <c r="BK22" s="36">
        <f t="shared" si="4"/>
        <v>1.8442460304912152E-2</v>
      </c>
      <c r="BL22" s="36">
        <f t="shared" si="4"/>
        <v>8.3359213679524528E-3</v>
      </c>
      <c r="BM22" s="36">
        <f t="shared" si="4"/>
        <v>3.4236518303590239E-3</v>
      </c>
      <c r="BN22" s="36">
        <f t="shared" si="4"/>
        <v>4.9844581285938161E-2</v>
      </c>
      <c r="BO22" s="36">
        <f t="shared" si="4"/>
        <v>0.1092282438077334</v>
      </c>
      <c r="BP22" s="36">
        <f t="shared" si="1"/>
        <v>1.6748847529098703E-2</v>
      </c>
      <c r="BQ22" s="36">
        <f t="shared" si="1"/>
        <v>5.6988250892596676E-3</v>
      </c>
      <c r="BR22" s="36">
        <f t="shared" si="1"/>
        <v>7.0841618262564321E-7</v>
      </c>
      <c r="BS22" s="36">
        <f t="shared" si="1"/>
        <v>1.5014453083757573E-2</v>
      </c>
      <c r="BT22" s="36">
        <f t="shared" si="1"/>
        <v>1.9649157424042911E-3</v>
      </c>
      <c r="BU22" s="36">
        <f t="shared" si="1"/>
        <v>1.8046587589333862E-2</v>
      </c>
      <c r="BV22" s="36">
        <f t="shared" si="1"/>
        <v>7.8835770081798137E-3</v>
      </c>
      <c r="BW22" s="36">
        <f t="shared" si="1"/>
        <v>1.0844194119489316E-2</v>
      </c>
      <c r="BX22" s="36">
        <f t="shared" si="1"/>
        <v>5.1056914564144504E-3</v>
      </c>
      <c r="BY22" s="36">
        <f t="shared" si="1"/>
        <v>9.2974964423767797E-4</v>
      </c>
      <c r="BZ22" s="36">
        <f t="shared" si="1"/>
        <v>1.9303850221072296E-3</v>
      </c>
      <c r="CA22" s="36">
        <f t="shared" si="1"/>
        <v>1.1263126323639064E-2</v>
      </c>
      <c r="CB22" s="36">
        <f t="shared" si="1"/>
        <v>2.3751383010417567E-2</v>
      </c>
      <c r="CC22" s="36">
        <f t="shared" si="1"/>
        <v>1.8095672853607275E-2</v>
      </c>
      <c r="CD22" s="36">
        <f t="shared" si="1"/>
        <v>9.5664365518456803E-4</v>
      </c>
      <c r="CE22" s="36">
        <f t="shared" si="1"/>
        <v>1.2533318420769829E-2</v>
      </c>
      <c r="CF22" s="36">
        <f t="shared" si="1"/>
        <v>8.7117769361486578E-3</v>
      </c>
      <c r="CG22" s="36">
        <f t="shared" si="1"/>
        <v>4.6085653193848623E-5</v>
      </c>
      <c r="CH22" s="36">
        <f t="shared" si="1"/>
        <v>6.979210498396996E-3</v>
      </c>
      <c r="CI22" s="36">
        <f t="shared" si="1"/>
        <v>1.776776539683303E-2</v>
      </c>
      <c r="CJ22" s="36">
        <f t="shared" si="1"/>
        <v>3.4694725856964557E-3</v>
      </c>
      <c r="CK22" s="36">
        <f t="shared" si="1"/>
        <v>1.6284622893806043E-3</v>
      </c>
      <c r="CL22" s="36">
        <f t="shared" si="1"/>
        <v>2.6721542369328236E-3</v>
      </c>
      <c r="CM22" s="36">
        <f t="shared" si="1"/>
        <v>1.2586439773597562E-2</v>
      </c>
      <c r="CN22" s="36">
        <f t="shared" si="1"/>
        <v>4.226795519366942E-3</v>
      </c>
      <c r="CO22" s="36">
        <f t="shared" si="1"/>
        <v>2.1246968662693367E-2</v>
      </c>
      <c r="CP22" s="36">
        <f t="shared" si="1"/>
        <v>2.5769661829107499E-5</v>
      </c>
      <c r="CQ22" s="36">
        <f t="shared" si="1"/>
        <v>4.4014505941900161E-3</v>
      </c>
      <c r="CR22" s="36">
        <f t="shared" si="1"/>
        <v>1.1563089024047023E-2</v>
      </c>
      <c r="CS22" s="36">
        <f t="shared" si="1"/>
        <v>1.7635426269475344E-3</v>
      </c>
      <c r="CT22" s="36">
        <f t="shared" si="1"/>
        <v>1.2732502493791572E-3</v>
      </c>
      <c r="CU22" s="36">
        <f t="shared" si="1"/>
        <v>1.0924158069734055E-2</v>
      </c>
      <c r="CV22" s="36">
        <f t="shared" si="1"/>
        <v>3.7996945843095718E-3</v>
      </c>
      <c r="CW22" s="36">
        <f t="shared" si="1"/>
        <v>2.6494584189050041E-2</v>
      </c>
      <c r="CX22" s="36">
        <f t="shared" si="1"/>
        <v>2.840471210815174E-2</v>
      </c>
      <c r="CY22" s="36">
        <f t="shared" si="1"/>
        <v>5.964644678115626E-4</v>
      </c>
      <c r="CZ22" s="36">
        <f t="shared" si="1"/>
        <v>1.7819831383114646E-7</v>
      </c>
      <c r="DA22" s="36">
        <f t="shared" si="1"/>
        <v>4.8897344895834447E-3</v>
      </c>
      <c r="DB22" s="36">
        <f t="shared" si="1"/>
        <v>6.3067633141035806E-2</v>
      </c>
      <c r="DC22" s="36">
        <f t="shared" si="1"/>
        <v>5.412205648788708E-2</v>
      </c>
      <c r="DD22" s="36">
        <f t="shared" si="1"/>
        <v>3.7290245260631627E-2</v>
      </c>
      <c r="DE22" s="36">
        <f t="shared" si="1"/>
        <v>3.4422089402717876E-2</v>
      </c>
      <c r="DF22" s="36">
        <f t="shared" si="1"/>
        <v>3.4127865302331577E-2</v>
      </c>
      <c r="DG22" s="36">
        <f t="shared" si="1"/>
        <v>5.6534536771423234E-2</v>
      </c>
      <c r="DH22" s="36">
        <f t="shared" si="1"/>
        <v>1.9984325220883249E-3</v>
      </c>
      <c r="DI22" s="36">
        <f t="shared" si="1"/>
        <v>4.0013122508185248E-4</v>
      </c>
      <c r="DJ22" s="36">
        <f t="shared" si="1"/>
        <v>5.7529521318408169E-4</v>
      </c>
      <c r="DK22" s="36">
        <f t="shared" si="1"/>
        <v>6.1224260434904415E-3</v>
      </c>
      <c r="DL22" s="36">
        <f t="shared" si="1"/>
        <v>3.3198466564620314E-3</v>
      </c>
      <c r="DM22" s="36">
        <f t="shared" si="1"/>
        <v>3.0799747904424021E-2</v>
      </c>
      <c r="DN22" s="36">
        <f t="shared" si="1"/>
        <v>7.0084284245004444E-2</v>
      </c>
      <c r="DO22" s="36">
        <f t="shared" si="1"/>
        <v>0.1241073126368991</v>
      </c>
      <c r="DP22" s="36">
        <f t="shared" si="1"/>
        <v>0.13840110781041773</v>
      </c>
      <c r="DQ22" s="36">
        <f t="shared" si="1"/>
        <v>0.13192599794416449</v>
      </c>
      <c r="DR22" s="36">
        <f t="shared" si="1"/>
        <v>8.4552781545202765E-2</v>
      </c>
      <c r="DS22" s="36">
        <f t="shared" si="1"/>
        <v>4.5062474785220387E-2</v>
      </c>
      <c r="DT22" s="36">
        <f t="shared" si="1"/>
        <v>5.405272319510291E-2</v>
      </c>
      <c r="DU22" s="36">
        <f t="shared" si="1"/>
        <v>6.2086014106655296E-3</v>
      </c>
      <c r="DV22" s="36">
        <f t="shared" si="1"/>
        <v>3.7625553678574909E-3</v>
      </c>
      <c r="DW22" s="36">
        <f t="shared" si="1"/>
        <v>2.0299275887465331E-4</v>
      </c>
      <c r="DX22" s="36">
        <f t="shared" si="1"/>
        <v>3.8080739249268113E-3</v>
      </c>
      <c r="DY22" s="36">
        <f t="shared" si="1"/>
        <v>2.0949154190670564E-3</v>
      </c>
      <c r="DZ22" s="36">
        <f t="shared" si="1"/>
        <v>3.2750177904903108E-4</v>
      </c>
      <c r="EA22" s="36">
        <f t="shared" ref="EA22:EF23" si="5">(EA6-EA14)^2</f>
        <v>4.3763868939320015E-5</v>
      </c>
      <c r="EB22" s="36">
        <f t="shared" si="5"/>
        <v>1.1843464588548548E-2</v>
      </c>
      <c r="EC22" s="36">
        <f t="shared" si="5"/>
        <v>3.9928070342953367E-3</v>
      </c>
      <c r="ED22" s="36">
        <f t="shared" si="5"/>
        <v>6.0870967795226098E-3</v>
      </c>
      <c r="EE22" s="36">
        <f t="shared" si="5"/>
        <v>3.3482350898110714E-4</v>
      </c>
      <c r="EF22" s="36">
        <f t="shared" si="5"/>
        <v>2.979013292262655E-3</v>
      </c>
      <c r="EG22" s="4"/>
    </row>
    <row r="23" spans="1:137" ht="16">
      <c r="A23" s="4"/>
      <c r="B23" s="30" t="s">
        <v>257</v>
      </c>
      <c r="C23" s="36">
        <f t="shared" si="3"/>
        <v>1.045984428714233E-3</v>
      </c>
      <c r="D23" s="36">
        <f t="shared" si="4"/>
        <v>1.7263525335752244E-2</v>
      </c>
      <c r="E23" s="36">
        <f t="shared" si="4"/>
        <v>4.0977682404571177E-2</v>
      </c>
      <c r="F23" s="36">
        <f t="shared" si="4"/>
        <v>0.25635780465611696</v>
      </c>
      <c r="G23" s="36">
        <f t="shared" si="4"/>
        <v>0.20072974847979194</v>
      </c>
      <c r="H23" s="36">
        <f t="shared" si="4"/>
        <v>0.20749210312008498</v>
      </c>
      <c r="I23" s="36">
        <f t="shared" si="4"/>
        <v>0.20996393013633066</v>
      </c>
      <c r="J23" s="36">
        <f t="shared" si="4"/>
        <v>0.20060175927732929</v>
      </c>
      <c r="K23" s="36">
        <f t="shared" si="4"/>
        <v>0.15745709126443103</v>
      </c>
      <c r="L23" s="36">
        <f t="shared" si="4"/>
        <v>3.4487605660241317E-4</v>
      </c>
      <c r="M23" s="36">
        <f t="shared" si="4"/>
        <v>2.0994969529421355E-3</v>
      </c>
      <c r="N23" s="36">
        <f t="shared" si="4"/>
        <v>2.9019321212261414E-2</v>
      </c>
      <c r="O23" s="36">
        <f t="shared" si="4"/>
        <v>5.918089590146113E-4</v>
      </c>
      <c r="P23" s="36">
        <f t="shared" si="4"/>
        <v>4.0504431039369241E-3</v>
      </c>
      <c r="Q23" s="36">
        <f t="shared" si="4"/>
        <v>2.68006794951695E-2</v>
      </c>
      <c r="R23" s="36">
        <f t="shared" si="4"/>
        <v>1.8960833348988078E-2</v>
      </c>
      <c r="S23" s="36">
        <f t="shared" si="4"/>
        <v>1.8594551487780032E-3</v>
      </c>
      <c r="T23" s="36">
        <f t="shared" si="4"/>
        <v>7.3391953256282399E-6</v>
      </c>
      <c r="U23" s="36">
        <f t="shared" si="4"/>
        <v>3.7758477425836531E-3</v>
      </c>
      <c r="V23" s="36">
        <f t="shared" si="4"/>
        <v>3.969234719109936E-3</v>
      </c>
      <c r="W23" s="36">
        <f t="shared" si="4"/>
        <v>5.2470698446976688E-2</v>
      </c>
      <c r="X23" s="36">
        <f t="shared" si="4"/>
        <v>0.10208388490615783</v>
      </c>
      <c r="Y23" s="36">
        <f t="shared" si="4"/>
        <v>6.3549188390132655E-2</v>
      </c>
      <c r="Z23" s="36">
        <f t="shared" si="4"/>
        <v>6.2126631298766069E-2</v>
      </c>
      <c r="AA23" s="36">
        <f t="shared" si="4"/>
        <v>6.5517766138611835E-2</v>
      </c>
      <c r="AB23" s="36">
        <f t="shared" si="4"/>
        <v>6.8739144785708264E-2</v>
      </c>
      <c r="AC23" s="36">
        <f t="shared" si="4"/>
        <v>4.8505847318169879E-3</v>
      </c>
      <c r="AD23" s="36">
        <f t="shared" si="4"/>
        <v>1.1208934265199148E-2</v>
      </c>
      <c r="AE23" s="36">
        <f t="shared" si="4"/>
        <v>1.2723887305763531E-2</v>
      </c>
      <c r="AF23" s="36">
        <f t="shared" si="4"/>
        <v>7.6754288735197363E-3</v>
      </c>
      <c r="AG23" s="36">
        <f t="shared" si="4"/>
        <v>1.0710240127031808E-2</v>
      </c>
      <c r="AH23" s="36">
        <f t="shared" si="4"/>
        <v>8.9960194500317905E-3</v>
      </c>
      <c r="AI23" s="36">
        <f t="shared" si="4"/>
        <v>4.8167470649701496E-3</v>
      </c>
      <c r="AJ23" s="36">
        <f t="shared" si="4"/>
        <v>1.5367254321161277E-3</v>
      </c>
      <c r="AK23" s="36">
        <f t="shared" si="4"/>
        <v>1.5616282891063368E-2</v>
      </c>
      <c r="AL23" s="36">
        <f t="shared" si="4"/>
        <v>1.9562742636648159E-4</v>
      </c>
      <c r="AM23" s="36">
        <f t="shared" si="4"/>
        <v>2.1216357577679848E-3</v>
      </c>
      <c r="AN23" s="36">
        <f t="shared" si="4"/>
        <v>6.6893567904735595E-4</v>
      </c>
      <c r="AO23" s="36">
        <f t="shared" si="4"/>
        <v>1.3415696164840369E-5</v>
      </c>
      <c r="AP23" s="36">
        <f t="shared" si="4"/>
        <v>1.7135930891670932E-3</v>
      </c>
      <c r="AQ23" s="36">
        <f t="shared" si="4"/>
        <v>7.6205840322110031E-4</v>
      </c>
      <c r="AR23" s="36">
        <f t="shared" si="4"/>
        <v>2.5548160919339809E-3</v>
      </c>
      <c r="AS23" s="36">
        <f t="shared" si="4"/>
        <v>2.8115157757803873E-2</v>
      </c>
      <c r="AT23" s="36">
        <f t="shared" si="4"/>
        <v>6.1432811830456251E-3</v>
      </c>
      <c r="AU23" s="36">
        <f t="shared" si="4"/>
        <v>1.1869246442254714E-2</v>
      </c>
      <c r="AV23" s="36">
        <f t="shared" si="4"/>
        <v>4.4329347911446241E-3</v>
      </c>
      <c r="AW23" s="36">
        <f t="shared" si="4"/>
        <v>2.3537569632138965E-3</v>
      </c>
      <c r="AX23" s="36">
        <f t="shared" si="4"/>
        <v>5.1097294664801686E-4</v>
      </c>
      <c r="AY23" s="36">
        <f t="shared" si="4"/>
        <v>3.096439502368696E-3</v>
      </c>
      <c r="AZ23" s="36">
        <f t="shared" si="4"/>
        <v>3.2966297334511121E-3</v>
      </c>
      <c r="BA23" s="36">
        <f t="shared" si="4"/>
        <v>2.126717436484174E-2</v>
      </c>
      <c r="BB23" s="36">
        <f t="shared" si="4"/>
        <v>2.2912592637539621E-2</v>
      </c>
      <c r="BC23" s="36">
        <f t="shared" si="4"/>
        <v>4.5442430544761325E-2</v>
      </c>
      <c r="BD23" s="36">
        <f t="shared" si="4"/>
        <v>4.8536245428778109E-2</v>
      </c>
      <c r="BE23" s="36">
        <f t="shared" si="4"/>
        <v>2.5530785115188255E-2</v>
      </c>
      <c r="BF23" s="36">
        <f t="shared" si="4"/>
        <v>5.4338041756726557E-3</v>
      </c>
      <c r="BG23" s="36">
        <f t="shared" si="4"/>
        <v>2.8349993996913674E-2</v>
      </c>
      <c r="BH23" s="36">
        <f t="shared" si="4"/>
        <v>4.5043769505887045E-2</v>
      </c>
      <c r="BI23" s="36">
        <f t="shared" si="4"/>
        <v>1.661320008373238E-2</v>
      </c>
      <c r="BJ23" s="36">
        <f t="shared" si="4"/>
        <v>4.9014170807814395E-2</v>
      </c>
      <c r="BK23" s="36">
        <f t="shared" si="4"/>
        <v>7.8215918119335412E-2</v>
      </c>
      <c r="BL23" s="36">
        <f t="shared" si="4"/>
        <v>7.0741346693803706E-2</v>
      </c>
      <c r="BM23" s="36">
        <f t="shared" si="4"/>
        <v>2.0214644414353181E-3</v>
      </c>
      <c r="BN23" s="36">
        <f t="shared" si="4"/>
        <v>2.8122838003311924E-2</v>
      </c>
      <c r="BO23" s="36">
        <f t="shared" si="4"/>
        <v>4.2335335608361731E-2</v>
      </c>
      <c r="BP23" s="36">
        <f t="shared" ref="BP23:EA23" si="6">(BP7-BP15)^2</f>
        <v>2.6243734229848542E-4</v>
      </c>
      <c r="BQ23" s="36">
        <f t="shared" si="6"/>
        <v>6.7867008270958685E-5</v>
      </c>
      <c r="BR23" s="36">
        <f t="shared" si="6"/>
        <v>3.3723941123657456E-7</v>
      </c>
      <c r="BS23" s="36">
        <f t="shared" si="6"/>
        <v>3.3822949912048648E-3</v>
      </c>
      <c r="BT23" s="36">
        <f t="shared" si="6"/>
        <v>2.1467649632209221E-3</v>
      </c>
      <c r="BU23" s="36">
        <f t="shared" si="6"/>
        <v>7.9631293939169418E-3</v>
      </c>
      <c r="BV23" s="36">
        <f t="shared" si="6"/>
        <v>5.0059832465136752E-3</v>
      </c>
      <c r="BW23" s="36">
        <f t="shared" si="6"/>
        <v>7.3626809392031691E-3</v>
      </c>
      <c r="BX23" s="36">
        <f t="shared" si="6"/>
        <v>1.8202966982347982E-3</v>
      </c>
      <c r="BY23" s="36">
        <f t="shared" si="6"/>
        <v>6.8684789400356785E-3</v>
      </c>
      <c r="BZ23" s="36">
        <f t="shared" si="6"/>
        <v>1.9301861883001747E-3</v>
      </c>
      <c r="CA23" s="36">
        <f t="shared" si="6"/>
        <v>1.0987842750075827E-2</v>
      </c>
      <c r="CB23" s="36">
        <f t="shared" si="6"/>
        <v>7.0181425766083633E-3</v>
      </c>
      <c r="CC23" s="36">
        <f t="shared" si="6"/>
        <v>8.1285195667506558E-3</v>
      </c>
      <c r="CD23" s="36">
        <f t="shared" si="6"/>
        <v>1.9109603109472971E-4</v>
      </c>
      <c r="CE23" s="36">
        <f t="shared" si="6"/>
        <v>4.5400781041204924E-4</v>
      </c>
      <c r="CF23" s="36">
        <f t="shared" si="6"/>
        <v>3.0123309836122603E-3</v>
      </c>
      <c r="CG23" s="36">
        <f t="shared" si="6"/>
        <v>2.8403510306966528E-2</v>
      </c>
      <c r="CH23" s="36">
        <f t="shared" si="6"/>
        <v>4.3572368163360561E-2</v>
      </c>
      <c r="CI23" s="36">
        <f t="shared" si="6"/>
        <v>0.18340202314464349</v>
      </c>
      <c r="CJ23" s="36">
        <f t="shared" si="6"/>
        <v>4.3246358220439388E-2</v>
      </c>
      <c r="CK23" s="36">
        <f t="shared" si="6"/>
        <v>6.6321772704616214E-2</v>
      </c>
      <c r="CL23" s="36">
        <f t="shared" si="6"/>
        <v>7.7188811599077461E-5</v>
      </c>
      <c r="CM23" s="36">
        <f t="shared" si="6"/>
        <v>2.1102816902702651E-5</v>
      </c>
      <c r="CN23" s="36">
        <f t="shared" si="6"/>
        <v>8.033949912608588E-3</v>
      </c>
      <c r="CO23" s="36">
        <f t="shared" si="6"/>
        <v>1.0297369280439487E-2</v>
      </c>
      <c r="CP23" s="36">
        <f t="shared" si="6"/>
        <v>6.8254944540446687E-3</v>
      </c>
      <c r="CQ23" s="36">
        <f t="shared" si="6"/>
        <v>2.0661221278242291E-2</v>
      </c>
      <c r="CR23" s="36">
        <f t="shared" si="6"/>
        <v>8.0955787529014139E-4</v>
      </c>
      <c r="CS23" s="36">
        <f t="shared" si="6"/>
        <v>1.3792060828788733E-4</v>
      </c>
      <c r="CT23" s="36">
        <f t="shared" si="6"/>
        <v>3.0531628001632494E-4</v>
      </c>
      <c r="CU23" s="36">
        <f t="shared" si="6"/>
        <v>1.9088696724879315E-2</v>
      </c>
      <c r="CV23" s="36">
        <f t="shared" si="6"/>
        <v>3.5126163320736345E-5</v>
      </c>
      <c r="CW23" s="36">
        <f t="shared" si="6"/>
        <v>3.5567794066139759E-3</v>
      </c>
      <c r="CX23" s="36">
        <f t="shared" si="6"/>
        <v>4.0343304757260209E-2</v>
      </c>
      <c r="CY23" s="36">
        <f t="shared" si="6"/>
        <v>5.969486118165058E-4</v>
      </c>
      <c r="CZ23" s="36">
        <f t="shared" si="6"/>
        <v>3.7344339926358742E-3</v>
      </c>
      <c r="DA23" s="36">
        <f t="shared" si="6"/>
        <v>9.5281550876978854E-3</v>
      </c>
      <c r="DB23" s="36">
        <f t="shared" si="6"/>
        <v>8.3017911257685833E-4</v>
      </c>
      <c r="DC23" s="36">
        <f t="shared" si="6"/>
        <v>9.2926955708635419E-4</v>
      </c>
      <c r="DD23" s="36">
        <f t="shared" si="6"/>
        <v>5.0376095494225415E-3</v>
      </c>
      <c r="DE23" s="36">
        <f t="shared" si="6"/>
        <v>6.0886471436279359E-3</v>
      </c>
      <c r="DF23" s="36">
        <f t="shared" si="6"/>
        <v>5.4282197969555308E-3</v>
      </c>
      <c r="DG23" s="36">
        <f t="shared" si="6"/>
        <v>8.4376677311445662E-3</v>
      </c>
      <c r="DH23" s="36">
        <f t="shared" si="6"/>
        <v>9.8617640102332269E-4</v>
      </c>
      <c r="DI23" s="36">
        <f t="shared" si="6"/>
        <v>4.4417024625521226E-4</v>
      </c>
      <c r="DJ23" s="36">
        <f t="shared" si="6"/>
        <v>6.5466635958141839E-3</v>
      </c>
      <c r="DK23" s="36">
        <f t="shared" si="6"/>
        <v>6.852389527542563E-3</v>
      </c>
      <c r="DL23" s="36">
        <f t="shared" si="6"/>
        <v>9.9612837001471471E-2</v>
      </c>
      <c r="DM23" s="36">
        <f t="shared" si="6"/>
        <v>0.28355649840505937</v>
      </c>
      <c r="DN23" s="36">
        <f t="shared" si="6"/>
        <v>0.38433246288146233</v>
      </c>
      <c r="DO23" s="36">
        <f t="shared" si="6"/>
        <v>0.35550697526467745</v>
      </c>
      <c r="DP23" s="36">
        <f t="shared" si="6"/>
        <v>0.22614332871849771</v>
      </c>
      <c r="DQ23" s="36">
        <f t="shared" si="6"/>
        <v>0.26754644389430698</v>
      </c>
      <c r="DR23" s="36">
        <f t="shared" si="6"/>
        <v>5.3773550610040417E-2</v>
      </c>
      <c r="DS23" s="36">
        <f t="shared" si="6"/>
        <v>1.5845707863234608E-3</v>
      </c>
      <c r="DT23" s="36">
        <f t="shared" si="6"/>
        <v>6.2999521158550375E-3</v>
      </c>
      <c r="DU23" s="36">
        <f t="shared" si="6"/>
        <v>1.1607604026371642E-2</v>
      </c>
      <c r="DV23" s="36">
        <f t="shared" si="6"/>
        <v>1.2595186808268646E-3</v>
      </c>
      <c r="DW23" s="36">
        <f t="shared" si="6"/>
        <v>3.4851953000049E-2</v>
      </c>
      <c r="DX23" s="36">
        <f t="shared" si="6"/>
        <v>4.163921792690993E-2</v>
      </c>
      <c r="DY23" s="36">
        <f t="shared" si="6"/>
        <v>9.1532850298746502E-3</v>
      </c>
      <c r="DZ23" s="36">
        <f t="shared" si="6"/>
        <v>1.3415939283844323E-2</v>
      </c>
      <c r="EA23" s="36">
        <f t="shared" si="6"/>
        <v>3.4246682165518147E-3</v>
      </c>
      <c r="EB23" s="36">
        <f t="shared" si="5"/>
        <v>4.250568071545519E-4</v>
      </c>
      <c r="EC23" s="36">
        <f t="shared" si="5"/>
        <v>2.0953296443956097E-5</v>
      </c>
      <c r="ED23" s="36">
        <f t="shared" si="5"/>
        <v>2.0236539459708139E-4</v>
      </c>
      <c r="EE23" s="36">
        <f t="shared" si="5"/>
        <v>7.4762094562190835E-3</v>
      </c>
      <c r="EF23" s="36">
        <f t="shared" si="5"/>
        <v>1.5768569783448695E-3</v>
      </c>
    </row>
    <row r="24" spans="1:137" ht="16">
      <c r="A24" s="4"/>
    </row>
    <row r="25" spans="1:137" ht="16">
      <c r="A25" s="56" t="s">
        <v>260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7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4"/>
    </row>
    <row r="26" spans="1:137" ht="17">
      <c r="A26" s="35"/>
      <c r="B26" s="6" t="s">
        <v>1</v>
      </c>
      <c r="C26" s="52" t="s">
        <v>2</v>
      </c>
      <c r="D26" s="52" t="s">
        <v>3</v>
      </c>
      <c r="E26" s="52" t="s">
        <v>4</v>
      </c>
      <c r="F26" s="52" t="s">
        <v>5</v>
      </c>
      <c r="G26" s="52" t="s">
        <v>6</v>
      </c>
      <c r="H26" s="52" t="s">
        <v>7</v>
      </c>
      <c r="I26" s="52" t="s">
        <v>8</v>
      </c>
      <c r="J26" s="52" t="s">
        <v>9</v>
      </c>
      <c r="K26" s="52" t="s">
        <v>10</v>
      </c>
      <c r="L26" s="52" t="s">
        <v>11</v>
      </c>
      <c r="M26" s="52" t="s">
        <v>12</v>
      </c>
      <c r="N26" s="52" t="s">
        <v>13</v>
      </c>
      <c r="O26" s="52" t="s">
        <v>14</v>
      </c>
      <c r="P26" s="52" t="s">
        <v>15</v>
      </c>
      <c r="Q26" s="52" t="s">
        <v>16</v>
      </c>
      <c r="R26" s="52" t="s">
        <v>17</v>
      </c>
      <c r="S26" s="52" t="s">
        <v>18</v>
      </c>
      <c r="T26" s="52" t="s">
        <v>19</v>
      </c>
      <c r="U26" s="52" t="s">
        <v>20</v>
      </c>
      <c r="V26" s="52" t="s">
        <v>21</v>
      </c>
      <c r="W26" s="52" t="s">
        <v>22</v>
      </c>
      <c r="X26" s="52" t="s">
        <v>23</v>
      </c>
      <c r="Y26" s="52" t="s">
        <v>24</v>
      </c>
      <c r="Z26" s="52" t="s">
        <v>25</v>
      </c>
      <c r="AA26" s="52" t="s">
        <v>26</v>
      </c>
      <c r="AB26" s="52" t="s">
        <v>27</v>
      </c>
      <c r="AC26" s="52" t="s">
        <v>28</v>
      </c>
      <c r="AD26" s="52" t="s">
        <v>29</v>
      </c>
      <c r="AE26" s="52" t="s">
        <v>30</v>
      </c>
      <c r="AF26" s="52" t="s">
        <v>31</v>
      </c>
      <c r="AG26" s="52" t="s">
        <v>32</v>
      </c>
      <c r="AH26" s="52" t="s">
        <v>33</v>
      </c>
      <c r="AI26" s="52" t="s">
        <v>34</v>
      </c>
      <c r="AJ26" s="52" t="s">
        <v>35</v>
      </c>
      <c r="AK26" s="52" t="s">
        <v>36</v>
      </c>
      <c r="AL26" s="52" t="s">
        <v>37</v>
      </c>
      <c r="AM26" s="52" t="s">
        <v>38</v>
      </c>
      <c r="AN26" s="52" t="s">
        <v>39</v>
      </c>
      <c r="AO26" s="52" t="s">
        <v>40</v>
      </c>
      <c r="AP26" s="52" t="s">
        <v>41</v>
      </c>
      <c r="AQ26" s="52" t="s">
        <v>42</v>
      </c>
      <c r="AR26" s="52" t="s">
        <v>43</v>
      </c>
      <c r="AS26" s="52" t="s">
        <v>44</v>
      </c>
      <c r="AT26" s="52" t="s">
        <v>45</v>
      </c>
      <c r="AU26" s="52" t="s">
        <v>46</v>
      </c>
      <c r="AV26" s="52" t="s">
        <v>47</v>
      </c>
      <c r="AW26" s="52" t="s">
        <v>48</v>
      </c>
      <c r="AX26" s="52" t="s">
        <v>49</v>
      </c>
      <c r="AY26" s="52" t="s">
        <v>50</v>
      </c>
      <c r="AZ26" s="52" t="s">
        <v>51</v>
      </c>
      <c r="BA26" s="52" t="s">
        <v>52</v>
      </c>
      <c r="BB26" s="52" t="s">
        <v>53</v>
      </c>
      <c r="BC26" s="52" t="s">
        <v>54</v>
      </c>
      <c r="BD26" s="52" t="s">
        <v>55</v>
      </c>
      <c r="BE26" s="52" t="s">
        <v>56</v>
      </c>
      <c r="BF26" s="52" t="s">
        <v>57</v>
      </c>
      <c r="BG26" s="52" t="s">
        <v>58</v>
      </c>
      <c r="BH26" s="52" t="s">
        <v>59</v>
      </c>
      <c r="BI26" s="52" t="s">
        <v>60</v>
      </c>
      <c r="BJ26" s="52" t="s">
        <v>61</v>
      </c>
      <c r="BK26" s="52" t="s">
        <v>62</v>
      </c>
      <c r="BL26" s="52" t="s">
        <v>63</v>
      </c>
      <c r="BM26" s="52" t="s">
        <v>64</v>
      </c>
      <c r="BN26" s="52" t="s">
        <v>65</v>
      </c>
      <c r="BO26" s="52" t="s">
        <v>66</v>
      </c>
      <c r="BP26" s="52" t="s">
        <v>67</v>
      </c>
      <c r="BQ26" s="52" t="s">
        <v>68</v>
      </c>
      <c r="BR26" s="52" t="s">
        <v>69</v>
      </c>
      <c r="BS26" s="52" t="s">
        <v>70</v>
      </c>
      <c r="BT26" s="52" t="s">
        <v>71</v>
      </c>
      <c r="BU26" s="52" t="s">
        <v>72</v>
      </c>
      <c r="BV26" s="52" t="s">
        <v>73</v>
      </c>
      <c r="BW26" s="52" t="s">
        <v>74</v>
      </c>
      <c r="BX26" s="52" t="s">
        <v>75</v>
      </c>
      <c r="BY26" s="52" t="s">
        <v>76</v>
      </c>
      <c r="BZ26" s="52" t="s">
        <v>77</v>
      </c>
      <c r="CA26" s="52" t="s">
        <v>78</v>
      </c>
      <c r="CB26" s="52" t="s">
        <v>79</v>
      </c>
      <c r="CC26" s="52" t="s">
        <v>80</v>
      </c>
      <c r="CD26" s="52" t="s">
        <v>81</v>
      </c>
      <c r="CE26" s="52" t="s">
        <v>82</v>
      </c>
      <c r="CF26" s="52" t="s">
        <v>83</v>
      </c>
      <c r="CG26" s="52" t="s">
        <v>84</v>
      </c>
      <c r="CH26" s="52" t="s">
        <v>85</v>
      </c>
      <c r="CI26" s="52" t="s">
        <v>86</v>
      </c>
      <c r="CJ26" s="52" t="s">
        <v>87</v>
      </c>
      <c r="CK26" s="52" t="s">
        <v>88</v>
      </c>
      <c r="CL26" s="52" t="s">
        <v>89</v>
      </c>
      <c r="CM26" s="52" t="s">
        <v>90</v>
      </c>
      <c r="CN26" s="52" t="s">
        <v>91</v>
      </c>
      <c r="CO26" s="52" t="s">
        <v>92</v>
      </c>
      <c r="CP26" s="52" t="s">
        <v>93</v>
      </c>
      <c r="CQ26" s="52" t="s">
        <v>94</v>
      </c>
      <c r="CR26" s="52" t="s">
        <v>95</v>
      </c>
      <c r="CS26" s="52" t="s">
        <v>96</v>
      </c>
      <c r="CT26" s="52" t="s">
        <v>97</v>
      </c>
      <c r="CU26" s="52" t="s">
        <v>98</v>
      </c>
      <c r="CV26" s="52" t="s">
        <v>99</v>
      </c>
      <c r="CW26" s="52" t="s">
        <v>100</v>
      </c>
      <c r="CX26" s="52" t="s">
        <v>101</v>
      </c>
      <c r="CY26" s="52" t="s">
        <v>102</v>
      </c>
      <c r="CZ26" s="52" t="s">
        <v>103</v>
      </c>
      <c r="DA26" s="52" t="s">
        <v>104</v>
      </c>
      <c r="DB26" s="52" t="s">
        <v>105</v>
      </c>
      <c r="DC26" s="52" t="s">
        <v>106</v>
      </c>
      <c r="DD26" s="52" t="s">
        <v>107</v>
      </c>
      <c r="DE26" s="52" t="s">
        <v>108</v>
      </c>
      <c r="DF26" s="52" t="s">
        <v>109</v>
      </c>
      <c r="DG26" s="52" t="s">
        <v>110</v>
      </c>
      <c r="DH26" s="52" t="s">
        <v>111</v>
      </c>
      <c r="DI26" s="52" t="s">
        <v>112</v>
      </c>
      <c r="DJ26" s="52" t="s">
        <v>113</v>
      </c>
      <c r="DK26" s="52" t="s">
        <v>114</v>
      </c>
      <c r="DL26" s="52" t="s">
        <v>115</v>
      </c>
      <c r="DM26" s="52" t="s">
        <v>116</v>
      </c>
      <c r="DN26" s="52" t="s">
        <v>117</v>
      </c>
      <c r="DO26" s="52" t="s">
        <v>118</v>
      </c>
      <c r="DP26" s="52" t="s">
        <v>119</v>
      </c>
      <c r="DQ26" s="52" t="s">
        <v>120</v>
      </c>
      <c r="DR26" s="52" t="s">
        <v>121</v>
      </c>
      <c r="DS26" s="52" t="s">
        <v>122</v>
      </c>
      <c r="DT26" s="52" t="s">
        <v>123</v>
      </c>
      <c r="DU26" s="52" t="s">
        <v>124</v>
      </c>
      <c r="DV26" s="52" t="s">
        <v>125</v>
      </c>
      <c r="DW26" s="52" t="s">
        <v>126</v>
      </c>
      <c r="DX26" s="52" t="s">
        <v>127</v>
      </c>
      <c r="DY26" s="52" t="s">
        <v>128</v>
      </c>
      <c r="DZ26" s="52" t="s">
        <v>129</v>
      </c>
      <c r="EA26" s="52" t="s">
        <v>130</v>
      </c>
      <c r="EB26" s="52" t="s">
        <v>131</v>
      </c>
      <c r="EC26" s="52" t="s">
        <v>132</v>
      </c>
      <c r="ED26" s="53" t="s">
        <v>133</v>
      </c>
      <c r="EE26" s="52" t="s">
        <v>134</v>
      </c>
      <c r="EF26" s="52" t="s">
        <v>140</v>
      </c>
      <c r="EG26" s="4"/>
    </row>
    <row r="27" spans="1:137" ht="16">
      <c r="A27" s="35"/>
      <c r="B27" s="30" t="s">
        <v>253</v>
      </c>
      <c r="C27" s="36">
        <f>C11^2</f>
        <v>1.5215715498223075E-3</v>
      </c>
      <c r="D27" s="36">
        <f t="shared" ref="D27:BO28" si="7">D11^2</f>
        <v>1.5315107721661971E-3</v>
      </c>
      <c r="E27" s="36">
        <f t="shared" si="7"/>
        <v>6.3478397018023908E-4</v>
      </c>
      <c r="F27" s="36">
        <f t="shared" si="7"/>
        <v>1.0362506008167709E-5</v>
      </c>
      <c r="G27" s="36">
        <f t="shared" si="7"/>
        <v>5.5616917038486856E-4</v>
      </c>
      <c r="H27" s="36">
        <f t="shared" si="7"/>
        <v>2.2576071861122775E-3</v>
      </c>
      <c r="I27" s="36">
        <f t="shared" si="7"/>
        <v>1.0798117488635614E-3</v>
      </c>
      <c r="J27" s="36">
        <f t="shared" si="7"/>
        <v>9.0614121283064553E-3</v>
      </c>
      <c r="K27" s="36">
        <f t="shared" si="7"/>
        <v>5.7867597733257128E-4</v>
      </c>
      <c r="L27" s="36">
        <f t="shared" si="7"/>
        <v>1.3207455002425537E-2</v>
      </c>
      <c r="M27" s="36">
        <f t="shared" si="7"/>
        <v>1.0617752872535658E-3</v>
      </c>
      <c r="N27" s="36">
        <f t="shared" si="7"/>
        <v>1.8847738586464154E-2</v>
      </c>
      <c r="O27" s="36">
        <f t="shared" si="7"/>
        <v>1.6469861320121892E-3</v>
      </c>
      <c r="P27" s="36">
        <f t="shared" si="7"/>
        <v>9.2845332698922431E-4</v>
      </c>
      <c r="Q27" s="36">
        <f t="shared" si="7"/>
        <v>7.0336133124652454E-5</v>
      </c>
      <c r="R27" s="36">
        <f t="shared" si="7"/>
        <v>6.7371703137886624E-3</v>
      </c>
      <c r="S27" s="36">
        <f t="shared" si="7"/>
        <v>2.6544731742234137E-2</v>
      </c>
      <c r="T27" s="36">
        <f t="shared" si="7"/>
        <v>4.7213457379416617E-2</v>
      </c>
      <c r="U27" s="36">
        <f t="shared" si="7"/>
        <v>3.0317072843939223E-3</v>
      </c>
      <c r="V27" s="36">
        <f t="shared" si="7"/>
        <v>8.0120930388518051E-3</v>
      </c>
      <c r="W27" s="36">
        <f t="shared" si="7"/>
        <v>1.1156608081585875E-2</v>
      </c>
      <c r="X27" s="36">
        <f t="shared" si="7"/>
        <v>1.4331619996364425E-2</v>
      </c>
      <c r="Y27" s="36">
        <f t="shared" si="7"/>
        <v>1.6310540524267565E-2</v>
      </c>
      <c r="Z27" s="36">
        <f t="shared" si="7"/>
        <v>1.6265927025085878E-3</v>
      </c>
      <c r="AA27" s="36">
        <f t="shared" si="7"/>
        <v>1.9685092113060714E-3</v>
      </c>
      <c r="AB27" s="36">
        <f t="shared" si="7"/>
        <v>1.7875519375513949E-3</v>
      </c>
      <c r="AC27" s="36">
        <f t="shared" si="7"/>
        <v>3.2513222852108576E-3</v>
      </c>
      <c r="AD27" s="36">
        <f t="shared" si="7"/>
        <v>4.7227688040055067E-3</v>
      </c>
      <c r="AE27" s="36">
        <f t="shared" si="7"/>
        <v>4.5379839596093596E-3</v>
      </c>
      <c r="AF27" s="36">
        <f t="shared" si="7"/>
        <v>3.3233435200638611E-4</v>
      </c>
      <c r="AG27" s="36">
        <f t="shared" si="7"/>
        <v>1.1675287874492405E-3</v>
      </c>
      <c r="AH27" s="36">
        <f t="shared" si="7"/>
        <v>7.5491967865496381E-3</v>
      </c>
      <c r="AI27" s="36">
        <f t="shared" si="7"/>
        <v>2.3612377750057536E-3</v>
      </c>
      <c r="AJ27" s="36">
        <f t="shared" si="7"/>
        <v>1.589221497585391E-4</v>
      </c>
      <c r="AK27" s="36">
        <f t="shared" si="7"/>
        <v>6.6179769159224863E-4</v>
      </c>
      <c r="AL27" s="36">
        <f t="shared" si="7"/>
        <v>1.8726662800582529E-2</v>
      </c>
      <c r="AM27" s="36">
        <f t="shared" si="7"/>
        <v>2.4319596473059467E-3</v>
      </c>
      <c r="AN27" s="36">
        <f t="shared" si="7"/>
        <v>5.4019785240128409E-3</v>
      </c>
      <c r="AO27" s="36">
        <f t="shared" si="7"/>
        <v>1.9218037157596292E-3</v>
      </c>
      <c r="AP27" s="36">
        <f t="shared" si="7"/>
        <v>2.0698733345902696E-2</v>
      </c>
      <c r="AQ27" s="36">
        <f t="shared" si="7"/>
        <v>3.4822311756747882E-3</v>
      </c>
      <c r="AR27" s="36">
        <f t="shared" si="7"/>
        <v>1.496655013822084E-3</v>
      </c>
      <c r="AS27" s="36">
        <f t="shared" si="7"/>
        <v>6.2791296635330088E-4</v>
      </c>
      <c r="AT27" s="36">
        <f t="shared" si="7"/>
        <v>7.0989042100381757E-3</v>
      </c>
      <c r="AU27" s="36">
        <f t="shared" si="7"/>
        <v>3.7217088659974995E-4</v>
      </c>
      <c r="AV27" s="36">
        <f t="shared" si="7"/>
        <v>7.5871933164512358E-3</v>
      </c>
      <c r="AW27" s="36">
        <f t="shared" si="7"/>
        <v>2.0056978059296786E-4</v>
      </c>
      <c r="AX27" s="36">
        <f t="shared" si="7"/>
        <v>1.8196415075749242E-3</v>
      </c>
      <c r="AY27" s="36">
        <f t="shared" si="7"/>
        <v>3.7281010019838616E-3</v>
      </c>
      <c r="AZ27" s="36">
        <f t="shared" si="7"/>
        <v>2.6812059299363389E-9</v>
      </c>
      <c r="BA27" s="36">
        <f t="shared" si="7"/>
        <v>1.3563233657598118E-3</v>
      </c>
      <c r="BB27" s="36">
        <f t="shared" si="7"/>
        <v>6.4699896064011123E-3</v>
      </c>
      <c r="BC27" s="36">
        <f t="shared" si="7"/>
        <v>1.4462236845087415E-3</v>
      </c>
      <c r="BD27" s="36">
        <f t="shared" si="7"/>
        <v>2.6590273766756837E-3</v>
      </c>
      <c r="BE27" s="36">
        <f t="shared" si="7"/>
        <v>7.3633745454963675E-3</v>
      </c>
      <c r="BF27" s="36">
        <f t="shared" si="7"/>
        <v>3.7366771702853695E-3</v>
      </c>
      <c r="BG27" s="36">
        <f t="shared" si="7"/>
        <v>1.1882602478547404E-2</v>
      </c>
      <c r="BH27" s="36">
        <f t="shared" si="7"/>
        <v>3.5334017062879551E-2</v>
      </c>
      <c r="BI27" s="36">
        <f t="shared" si="7"/>
        <v>5.4771054849990668E-2</v>
      </c>
      <c r="BJ27" s="36">
        <f t="shared" si="7"/>
        <v>6.1065784539688483E-3</v>
      </c>
      <c r="BK27" s="36">
        <f t="shared" si="7"/>
        <v>2.4519971284693125E-3</v>
      </c>
      <c r="BL27" s="36">
        <f t="shared" si="7"/>
        <v>1.1688270212956008E-2</v>
      </c>
      <c r="BM27" s="36">
        <f t="shared" si="7"/>
        <v>1.6806245140400886E-3</v>
      </c>
      <c r="BN27" s="36">
        <f t="shared" si="7"/>
        <v>8.4828675642825615E-3</v>
      </c>
      <c r="BO27" s="36">
        <f t="shared" si="7"/>
        <v>8.9210878337385576E-4</v>
      </c>
      <c r="BP27" s="36">
        <f t="shared" ref="BP27:EA30" si="8">BP11^2</f>
        <v>7.2693693995902033E-3</v>
      </c>
      <c r="BQ27" s="36">
        <f t="shared" si="8"/>
        <v>1.085115418804628E-2</v>
      </c>
      <c r="BR27" s="36">
        <f t="shared" si="8"/>
        <v>2.2408201712928556E-2</v>
      </c>
      <c r="BS27" s="36">
        <f t="shared" si="8"/>
        <v>3.3193653473295574E-3</v>
      </c>
      <c r="BT27" s="36">
        <f t="shared" si="8"/>
        <v>3.0139828553636121E-3</v>
      </c>
      <c r="BU27" s="36">
        <f t="shared" si="8"/>
        <v>1.6100934548610847E-3</v>
      </c>
      <c r="BV27" s="36">
        <f t="shared" si="8"/>
        <v>1.6720290728965408E-3</v>
      </c>
      <c r="BW27" s="36">
        <f t="shared" si="8"/>
        <v>4.3376202239658552E-5</v>
      </c>
      <c r="BX27" s="36">
        <f t="shared" si="8"/>
        <v>3.0562103571159334E-3</v>
      </c>
      <c r="BY27" s="36">
        <f t="shared" si="8"/>
        <v>1.8917397619367851E-2</v>
      </c>
      <c r="BZ27" s="36">
        <f t="shared" si="8"/>
        <v>4.1618322014324166E-3</v>
      </c>
      <c r="CA27" s="36">
        <f t="shared" si="8"/>
        <v>3.7107787145833912E-4</v>
      </c>
      <c r="CB27" s="36">
        <f t="shared" si="8"/>
        <v>4.7681938210980528E-3</v>
      </c>
      <c r="CC27" s="36">
        <f t="shared" si="8"/>
        <v>2.3460069480054483E-3</v>
      </c>
      <c r="CD27" s="36">
        <f t="shared" si="8"/>
        <v>6.6780005561452643E-3</v>
      </c>
      <c r="CE27" s="36">
        <f t="shared" si="8"/>
        <v>2.3484421930894256E-3</v>
      </c>
      <c r="CF27" s="36">
        <f t="shared" si="8"/>
        <v>3.4125616219891314E-3</v>
      </c>
      <c r="CG27" s="36">
        <f t="shared" si="8"/>
        <v>6.1783296866569741E-3</v>
      </c>
      <c r="CH27" s="36">
        <f t="shared" si="8"/>
        <v>4.8313804403398884E-3</v>
      </c>
      <c r="CI27" s="36">
        <f t="shared" si="8"/>
        <v>7.6120178216607772E-3</v>
      </c>
      <c r="CJ27" s="36">
        <f t="shared" si="8"/>
        <v>4.0749117825583984E-2</v>
      </c>
      <c r="CK27" s="36">
        <f t="shared" si="8"/>
        <v>1.8768594879866711E-3</v>
      </c>
      <c r="CL27" s="36">
        <f t="shared" si="8"/>
        <v>3.3151153003905101E-2</v>
      </c>
      <c r="CM27" s="36">
        <f t="shared" si="8"/>
        <v>6.3130970369428609E-5</v>
      </c>
      <c r="CN27" s="36">
        <f t="shared" si="8"/>
        <v>0.11520610592721951</v>
      </c>
      <c r="CO27" s="36">
        <f t="shared" si="8"/>
        <v>2.1528979544352757E-2</v>
      </c>
      <c r="CP27" s="36">
        <f t="shared" si="8"/>
        <v>2.0197356945037561E-3</v>
      </c>
      <c r="CQ27" s="36">
        <f t="shared" si="8"/>
        <v>1.5291212316533075E-5</v>
      </c>
      <c r="CR27" s="36">
        <f t="shared" si="8"/>
        <v>9.4145600922388242E-4</v>
      </c>
      <c r="CS27" s="36">
        <f t="shared" si="8"/>
        <v>2.6907428176335692E-3</v>
      </c>
      <c r="CT27" s="36">
        <f t="shared" si="8"/>
        <v>8.9110931173751922E-5</v>
      </c>
      <c r="CU27" s="36">
        <f t="shared" si="8"/>
        <v>7.7675328419801903E-2</v>
      </c>
      <c r="CV27" s="36">
        <f t="shared" si="8"/>
        <v>4.0027058326390813E-4</v>
      </c>
      <c r="CW27" s="36">
        <f t="shared" si="8"/>
        <v>1.5535261951986837E-6</v>
      </c>
      <c r="CX27" s="36">
        <f t="shared" si="8"/>
        <v>1.1623477773993167E-4</v>
      </c>
      <c r="CY27" s="36">
        <f t="shared" si="8"/>
        <v>5.6108572493287342E-3</v>
      </c>
      <c r="CZ27" s="36">
        <f t="shared" si="8"/>
        <v>3.4035781881320976E-2</v>
      </c>
      <c r="DA27" s="36">
        <f t="shared" si="8"/>
        <v>3.7050588143188908E-2</v>
      </c>
      <c r="DB27" s="36">
        <f t="shared" si="8"/>
        <v>3.7979800154720697E-3</v>
      </c>
      <c r="DC27" s="36">
        <f t="shared" si="8"/>
        <v>1.0740985465793681E-2</v>
      </c>
      <c r="DD27" s="36">
        <f t="shared" si="8"/>
        <v>2.8676363371397703E-3</v>
      </c>
      <c r="DE27" s="36">
        <f t="shared" si="8"/>
        <v>6.3558749010464669E-2</v>
      </c>
      <c r="DF27" s="36">
        <f t="shared" si="8"/>
        <v>7.584858564295019E-4</v>
      </c>
      <c r="DG27" s="36">
        <f t="shared" si="8"/>
        <v>2.7419672861932917E-2</v>
      </c>
      <c r="DH27" s="36">
        <f t="shared" si="8"/>
        <v>2.1521930786155886E-3</v>
      </c>
      <c r="DI27" s="36">
        <f t="shared" si="8"/>
        <v>3.0131145968944261E-5</v>
      </c>
      <c r="DJ27" s="36">
        <f t="shared" si="8"/>
        <v>1.7712272081367456E-2</v>
      </c>
      <c r="DK27" s="36">
        <f t="shared" si="8"/>
        <v>4.0629165468645386E-3</v>
      </c>
      <c r="DL27" s="36">
        <f t="shared" si="8"/>
        <v>4.9735575988865697E-3</v>
      </c>
      <c r="DM27" s="36">
        <f t="shared" si="8"/>
        <v>1.0849798941965017E-2</v>
      </c>
      <c r="DN27" s="36">
        <f t="shared" si="8"/>
        <v>3.3829247872723019E-3</v>
      </c>
      <c r="DO27" s="36">
        <f t="shared" si="8"/>
        <v>1.9279078003822179E-4</v>
      </c>
      <c r="DP27" s="36">
        <f t="shared" si="8"/>
        <v>3.1905408503019716E-3</v>
      </c>
      <c r="DQ27" s="36">
        <f t="shared" si="8"/>
        <v>2.1626921712934624E-4</v>
      </c>
      <c r="DR27" s="36">
        <f t="shared" si="8"/>
        <v>9.0158951098466772E-4</v>
      </c>
      <c r="DS27" s="36">
        <f t="shared" si="8"/>
        <v>2.6998977110478987E-3</v>
      </c>
      <c r="DT27" s="36">
        <f t="shared" si="8"/>
        <v>6.485759188885207E-4</v>
      </c>
      <c r="DU27" s="36">
        <f t="shared" si="8"/>
        <v>1.5093598171900071E-4</v>
      </c>
      <c r="DV27" s="36">
        <f t="shared" si="8"/>
        <v>1.8085348411545101E-4</v>
      </c>
      <c r="DW27" s="36">
        <f t="shared" si="8"/>
        <v>1.3862863165975015E-2</v>
      </c>
      <c r="DX27" s="36">
        <f t="shared" si="8"/>
        <v>1.1922027607662318E-2</v>
      </c>
      <c r="DY27" s="36">
        <f t="shared" si="8"/>
        <v>1.0951136135890554E-4</v>
      </c>
      <c r="DZ27" s="36">
        <f t="shared" si="8"/>
        <v>4.9194762376196513E-3</v>
      </c>
      <c r="EA27" s="36">
        <f t="shared" si="8"/>
        <v>3.9914662618353303E-2</v>
      </c>
      <c r="EB27" s="36">
        <f t="shared" ref="EB27:EF29" si="9">EB11^2</f>
        <v>1.0262114533891004E-2</v>
      </c>
      <c r="EC27" s="36">
        <f t="shared" si="9"/>
        <v>4.2644182297009612E-3</v>
      </c>
      <c r="ED27" s="36">
        <f t="shared" si="9"/>
        <v>3.9068185208911577E-3</v>
      </c>
      <c r="EE27" s="36">
        <f t="shared" si="9"/>
        <v>8.8141868622660868E-5</v>
      </c>
      <c r="EF27" s="36">
        <f t="shared" si="9"/>
        <v>5.6440867656843323E-3</v>
      </c>
      <c r="EG27" s="4"/>
    </row>
    <row r="28" spans="1:137" ht="16">
      <c r="A28" s="35"/>
      <c r="B28" s="30" t="s">
        <v>254</v>
      </c>
      <c r="C28" s="36">
        <f t="shared" ref="C28:R31" si="10">C12^2</f>
        <v>6.1300169090364023E-2</v>
      </c>
      <c r="D28" s="36">
        <f t="shared" si="10"/>
        <v>7.5456410721795972E-2</v>
      </c>
      <c r="E28" s="36">
        <f t="shared" si="10"/>
        <v>7.1653491215006608E-3</v>
      </c>
      <c r="F28" s="36">
        <f t="shared" si="10"/>
        <v>5.1277932467457823E-4</v>
      </c>
      <c r="G28" s="36">
        <f t="shared" si="10"/>
        <v>2.4681024790687124E-3</v>
      </c>
      <c r="H28" s="36">
        <f t="shared" si="10"/>
        <v>1.0152503674850528E-2</v>
      </c>
      <c r="I28" s="36">
        <f t="shared" si="10"/>
        <v>1.568185506319921E-4</v>
      </c>
      <c r="J28" s="36">
        <f t="shared" si="10"/>
        <v>6.1994443791691554E-3</v>
      </c>
      <c r="K28" s="36">
        <f t="shared" si="10"/>
        <v>1.1686210786418709E-3</v>
      </c>
      <c r="L28" s="36">
        <f t="shared" si="10"/>
        <v>7.8157618954765237E-3</v>
      </c>
      <c r="M28" s="36">
        <f t="shared" si="10"/>
        <v>9.384753841255295E-6</v>
      </c>
      <c r="N28" s="36">
        <f t="shared" si="10"/>
        <v>4.5036476574086326E-2</v>
      </c>
      <c r="O28" s="36">
        <f t="shared" si="10"/>
        <v>1.3546366286925624E-3</v>
      </c>
      <c r="P28" s="36">
        <f t="shared" si="10"/>
        <v>5.0457039774389721E-3</v>
      </c>
      <c r="Q28" s="36">
        <f t="shared" si="10"/>
        <v>5.0781490762883581E-3</v>
      </c>
      <c r="R28" s="36">
        <f t="shared" si="10"/>
        <v>4.6485286217124193E-4</v>
      </c>
      <c r="S28" s="36">
        <f t="shared" si="7"/>
        <v>1.0223486509543127E-2</v>
      </c>
      <c r="T28" s="36">
        <f t="shared" si="7"/>
        <v>1.8683781301546628E-3</v>
      </c>
      <c r="U28" s="36">
        <f t="shared" si="7"/>
        <v>2.2147242359019667E-4</v>
      </c>
      <c r="V28" s="36">
        <f t="shared" si="7"/>
        <v>4.0018583491306699E-5</v>
      </c>
      <c r="W28" s="36">
        <f t="shared" si="7"/>
        <v>2.0607457624597373E-2</v>
      </c>
      <c r="X28" s="36">
        <f t="shared" si="7"/>
        <v>4.1321976387742217E-3</v>
      </c>
      <c r="Y28" s="36">
        <f t="shared" si="7"/>
        <v>3.6230087920246964E-4</v>
      </c>
      <c r="Z28" s="36">
        <f t="shared" si="7"/>
        <v>4.2619770257246479E-4</v>
      </c>
      <c r="AA28" s="36">
        <f t="shared" si="7"/>
        <v>1.0929332099957007E-3</v>
      </c>
      <c r="AB28" s="36">
        <f t="shared" si="7"/>
        <v>3.7706753115437583E-4</v>
      </c>
      <c r="AC28" s="36">
        <f t="shared" si="7"/>
        <v>3.9849977723438457E-3</v>
      </c>
      <c r="AD28" s="36">
        <f t="shared" si="7"/>
        <v>4.3072591163810263E-3</v>
      </c>
      <c r="AE28" s="36">
        <f t="shared" si="7"/>
        <v>1.9042810256226231E-2</v>
      </c>
      <c r="AF28" s="36">
        <f t="shared" si="7"/>
        <v>1.0113906222416341E-2</v>
      </c>
      <c r="AG28" s="36">
        <f t="shared" si="7"/>
        <v>1.4416518828127469E-3</v>
      </c>
      <c r="AH28" s="36">
        <f t="shared" si="7"/>
        <v>2.1012632264048744E-3</v>
      </c>
      <c r="AI28" s="36">
        <f t="shared" si="7"/>
        <v>2.6044789051912999E-3</v>
      </c>
      <c r="AJ28" s="36">
        <f t="shared" si="7"/>
        <v>1.0371239511276646E-5</v>
      </c>
      <c r="AK28" s="36">
        <f t="shared" si="7"/>
        <v>2.3963921924093171E-7</v>
      </c>
      <c r="AL28" s="36">
        <f t="shared" si="7"/>
        <v>1.1330911354520039E-2</v>
      </c>
      <c r="AM28" s="36">
        <f t="shared" si="7"/>
        <v>1.883474509221127E-4</v>
      </c>
      <c r="AN28" s="36">
        <f t="shared" si="7"/>
        <v>1.4875389913204669E-2</v>
      </c>
      <c r="AO28" s="36">
        <f t="shared" si="7"/>
        <v>2.3609556394479764E-3</v>
      </c>
      <c r="AP28" s="36">
        <f t="shared" si="7"/>
        <v>3.6219815731516953E-6</v>
      </c>
      <c r="AQ28" s="36">
        <f t="shared" si="7"/>
        <v>8.4491867337224593E-4</v>
      </c>
      <c r="AR28" s="36">
        <f t="shared" si="7"/>
        <v>2.7705250060662671E-3</v>
      </c>
      <c r="AS28" s="36">
        <f t="shared" si="7"/>
        <v>1.6623611670017849E-4</v>
      </c>
      <c r="AT28" s="36">
        <f t="shared" si="7"/>
        <v>4.541735420018535E-6</v>
      </c>
      <c r="AU28" s="36">
        <f t="shared" si="7"/>
        <v>2.4144306160754265E-2</v>
      </c>
      <c r="AV28" s="36">
        <f t="shared" si="7"/>
        <v>1.6082764905029582E-4</v>
      </c>
      <c r="AW28" s="36">
        <f t="shared" si="7"/>
        <v>1.4261904564871037E-4</v>
      </c>
      <c r="AX28" s="36">
        <f t="shared" si="7"/>
        <v>1.8094742098652484E-5</v>
      </c>
      <c r="AY28" s="36">
        <f t="shared" si="7"/>
        <v>8.5854107590684829E-4</v>
      </c>
      <c r="AZ28" s="36">
        <f t="shared" si="7"/>
        <v>1.7990186561850662E-2</v>
      </c>
      <c r="BA28" s="36">
        <f t="shared" si="7"/>
        <v>1.8799571566061855E-2</v>
      </c>
      <c r="BB28" s="36">
        <f t="shared" si="7"/>
        <v>3.0788334943751427E-6</v>
      </c>
      <c r="BC28" s="36">
        <f t="shared" si="7"/>
        <v>6.3087002382422445E-4</v>
      </c>
      <c r="BD28" s="36">
        <f t="shared" si="7"/>
        <v>1.4304616064498009E-2</v>
      </c>
      <c r="BE28" s="36">
        <f t="shared" si="7"/>
        <v>1.8431225512955431E-2</v>
      </c>
      <c r="BF28" s="36">
        <f t="shared" si="7"/>
        <v>2.2175775080298639E-3</v>
      </c>
      <c r="BG28" s="36">
        <f t="shared" si="7"/>
        <v>6.7860478904543942E-4</v>
      </c>
      <c r="BH28" s="36">
        <f t="shared" si="7"/>
        <v>1.9143052038415641E-3</v>
      </c>
      <c r="BI28" s="36">
        <f t="shared" si="7"/>
        <v>6.6246296481045049E-3</v>
      </c>
      <c r="BJ28" s="36">
        <f t="shared" si="7"/>
        <v>1.0120525298453803E-2</v>
      </c>
      <c r="BK28" s="36">
        <f t="shared" si="7"/>
        <v>8.1884544049846235E-3</v>
      </c>
      <c r="BL28" s="36">
        <f t="shared" si="7"/>
        <v>9.5471475034238963E-4</v>
      </c>
      <c r="BM28" s="36">
        <f t="shared" si="7"/>
        <v>3.4591085480784899E-3</v>
      </c>
      <c r="BN28" s="36">
        <f t="shared" si="7"/>
        <v>6.617113024465748E-3</v>
      </c>
      <c r="BO28" s="36">
        <f t="shared" si="7"/>
        <v>5.9543089738482516E-5</v>
      </c>
      <c r="BP28" s="36">
        <f t="shared" si="8"/>
        <v>1.1392332566655691E-2</v>
      </c>
      <c r="BQ28" s="36">
        <f t="shared" si="8"/>
        <v>7.3746686174088762E-4</v>
      </c>
      <c r="BR28" s="36">
        <f t="shared" si="8"/>
        <v>2.962735792272784E-3</v>
      </c>
      <c r="BS28" s="36">
        <f t="shared" si="8"/>
        <v>4.6552343102339144E-3</v>
      </c>
      <c r="BT28" s="36">
        <f t="shared" si="8"/>
        <v>9.7243705233366149E-3</v>
      </c>
      <c r="BU28" s="36">
        <f t="shared" si="8"/>
        <v>1.6486185664536111E-2</v>
      </c>
      <c r="BV28" s="36">
        <f t="shared" si="8"/>
        <v>6.1469550603066659E-3</v>
      </c>
      <c r="BW28" s="36">
        <f t="shared" si="8"/>
        <v>1.4192843634773274E-2</v>
      </c>
      <c r="BX28" s="36">
        <f t="shared" si="8"/>
        <v>2.1986811101669893E-3</v>
      </c>
      <c r="BY28" s="36">
        <f t="shared" si="8"/>
        <v>1.034255309954589E-2</v>
      </c>
      <c r="BZ28" s="36">
        <f t="shared" si="8"/>
        <v>6.5946672658473903E-4</v>
      </c>
      <c r="CA28" s="36">
        <f t="shared" si="8"/>
        <v>6.9391882189381946E-3</v>
      </c>
      <c r="CB28" s="36">
        <f t="shared" si="8"/>
        <v>2.4909566624333357E-2</v>
      </c>
      <c r="CC28" s="36">
        <f t="shared" si="8"/>
        <v>5.0484679457919839E-3</v>
      </c>
      <c r="CD28" s="36">
        <f t="shared" si="8"/>
        <v>5.4575883396954768E-3</v>
      </c>
      <c r="CE28" s="36">
        <f t="shared" si="8"/>
        <v>5.6067832386980022E-2</v>
      </c>
      <c r="CF28" s="36">
        <f t="shared" si="8"/>
        <v>1.0645672168983563E-3</v>
      </c>
      <c r="CG28" s="36">
        <f t="shared" si="8"/>
        <v>1.8017920089221721E-4</v>
      </c>
      <c r="CH28" s="36">
        <f t="shared" si="8"/>
        <v>7.8213400438148902E-6</v>
      </c>
      <c r="CI28" s="36">
        <f t="shared" si="8"/>
        <v>2.2968727120364087E-3</v>
      </c>
      <c r="CJ28" s="36">
        <f t="shared" si="8"/>
        <v>1.0575629320283603E-5</v>
      </c>
      <c r="CK28" s="36">
        <f t="shared" si="8"/>
        <v>5.7317300865370067E-3</v>
      </c>
      <c r="CL28" s="36">
        <f t="shared" si="8"/>
        <v>1.9711163270756775E-3</v>
      </c>
      <c r="CM28" s="36">
        <f t="shared" si="8"/>
        <v>3.2036912913769394E-2</v>
      </c>
      <c r="CN28" s="36">
        <f t="shared" si="8"/>
        <v>3.3633349379620708E-3</v>
      </c>
      <c r="CO28" s="36">
        <f t="shared" si="8"/>
        <v>1.9429624982324575E-2</v>
      </c>
      <c r="CP28" s="36">
        <f t="shared" si="8"/>
        <v>4.1879885783785839E-3</v>
      </c>
      <c r="CQ28" s="36">
        <f t="shared" si="8"/>
        <v>3.2829051050147696E-2</v>
      </c>
      <c r="CR28" s="36">
        <f t="shared" si="8"/>
        <v>7.8559030529674386E-3</v>
      </c>
      <c r="CS28" s="36">
        <f t="shared" si="8"/>
        <v>6.411922743936203E-4</v>
      </c>
      <c r="CT28" s="36">
        <f t="shared" si="8"/>
        <v>1.2786876993597889E-2</v>
      </c>
      <c r="CU28" s="36">
        <f t="shared" si="8"/>
        <v>6.5544524509339751E-5</v>
      </c>
      <c r="CV28" s="36">
        <f t="shared" si="8"/>
        <v>2.0430588388809477E-3</v>
      </c>
      <c r="CW28" s="36">
        <f t="shared" si="8"/>
        <v>3.4740680595904648E-3</v>
      </c>
      <c r="CX28" s="36">
        <f t="shared" si="8"/>
        <v>1.160538698235747E-2</v>
      </c>
      <c r="CY28" s="36">
        <f t="shared" si="8"/>
        <v>9.3129254150261E-3</v>
      </c>
      <c r="CZ28" s="36">
        <f t="shared" si="8"/>
        <v>4.424895059465464E-2</v>
      </c>
      <c r="DA28" s="36">
        <f t="shared" si="8"/>
        <v>1.2091451728744079E-2</v>
      </c>
      <c r="DB28" s="36">
        <f t="shared" si="8"/>
        <v>3.6412452392839745E-2</v>
      </c>
      <c r="DC28" s="36">
        <f t="shared" si="8"/>
        <v>4.2961982124366043E-4</v>
      </c>
      <c r="DD28" s="36">
        <f t="shared" si="8"/>
        <v>7.5740634376350218E-3</v>
      </c>
      <c r="DE28" s="36">
        <f t="shared" si="8"/>
        <v>6.728033843953052E-3</v>
      </c>
      <c r="DF28" s="36">
        <f t="shared" si="8"/>
        <v>2.7847821251246123E-2</v>
      </c>
      <c r="DG28" s="36">
        <f t="shared" si="8"/>
        <v>4.9478702022008603E-2</v>
      </c>
      <c r="DH28" s="36">
        <f t="shared" si="8"/>
        <v>2.0821839571003448E-2</v>
      </c>
      <c r="DI28" s="36">
        <f t="shared" si="8"/>
        <v>1.4308932973192761E-2</v>
      </c>
      <c r="DJ28" s="36">
        <f t="shared" si="8"/>
        <v>1.0321085627255753E-2</v>
      </c>
      <c r="DK28" s="36">
        <f t="shared" si="8"/>
        <v>8.6220619337353931E-3</v>
      </c>
      <c r="DL28" s="36">
        <f t="shared" si="8"/>
        <v>1.8173586858343696E-3</v>
      </c>
      <c r="DM28" s="36">
        <f t="shared" si="8"/>
        <v>6.8445958863232442E-3</v>
      </c>
      <c r="DN28" s="36">
        <f t="shared" si="8"/>
        <v>9.6406849840983359E-4</v>
      </c>
      <c r="DO28" s="36">
        <f t="shared" si="8"/>
        <v>9.6318502978574808E-3</v>
      </c>
      <c r="DP28" s="36">
        <f t="shared" si="8"/>
        <v>1.7053455955604278E-2</v>
      </c>
      <c r="DQ28" s="36">
        <f t="shared" si="8"/>
        <v>2.3673789185478821E-3</v>
      </c>
      <c r="DR28" s="36">
        <f t="shared" si="8"/>
        <v>1.5407124335768466E-3</v>
      </c>
      <c r="DS28" s="36">
        <f t="shared" si="8"/>
        <v>2.5930725116640962E-2</v>
      </c>
      <c r="DT28" s="36">
        <f t="shared" si="8"/>
        <v>6.2226801681010647E-3</v>
      </c>
      <c r="DU28" s="36">
        <f t="shared" si="8"/>
        <v>2.6921313954919424E-2</v>
      </c>
      <c r="DV28" s="36">
        <f t="shared" si="8"/>
        <v>5.6328800675286651E-5</v>
      </c>
      <c r="DW28" s="36">
        <f t="shared" si="8"/>
        <v>1.0331756871656347E-2</v>
      </c>
      <c r="DX28" s="36">
        <f t="shared" si="8"/>
        <v>3.1405143826489668E-3</v>
      </c>
      <c r="DY28" s="36">
        <f t="shared" si="8"/>
        <v>1.137563878096463E-2</v>
      </c>
      <c r="DZ28" s="36">
        <f t="shared" si="8"/>
        <v>4.7867822305639905E-3</v>
      </c>
      <c r="EA28" s="36">
        <f t="shared" si="8"/>
        <v>1.59235773418211E-2</v>
      </c>
      <c r="EB28" s="36">
        <f t="shared" si="9"/>
        <v>4.1908944894200424E-3</v>
      </c>
      <c r="EC28" s="36">
        <f t="shared" si="9"/>
        <v>2.6446410296186275E-3</v>
      </c>
      <c r="ED28" s="36">
        <f t="shared" si="9"/>
        <v>1.1900242728375913E-3</v>
      </c>
      <c r="EE28" s="36">
        <f t="shared" si="9"/>
        <v>2.4862225023126495E-2</v>
      </c>
      <c r="EF28" s="36">
        <f t="shared" si="9"/>
        <v>5.9088827383375786E-2</v>
      </c>
      <c r="EG28" s="4"/>
    </row>
    <row r="29" spans="1:137" ht="16">
      <c r="A29" s="35"/>
      <c r="B29" s="30" t="s">
        <v>255</v>
      </c>
      <c r="C29" s="36">
        <f t="shared" si="10"/>
        <v>1.4027245176648351E-2</v>
      </c>
      <c r="D29" s="36">
        <f t="shared" ref="D29:BO31" si="11">D13^2</f>
        <v>8.0247115483735414E-3</v>
      </c>
      <c r="E29" s="36">
        <f t="shared" si="11"/>
        <v>5.5168707656311948E-4</v>
      </c>
      <c r="F29" s="36">
        <f t="shared" si="11"/>
        <v>2.9380017338362852E-5</v>
      </c>
      <c r="G29" s="36">
        <f t="shared" si="11"/>
        <v>2.0265627061898731E-2</v>
      </c>
      <c r="H29" s="36">
        <f t="shared" si="11"/>
        <v>1.1880324257529874E-3</v>
      </c>
      <c r="I29" s="36">
        <f t="shared" si="11"/>
        <v>1.7543366390794859E-3</v>
      </c>
      <c r="J29" s="36">
        <f t="shared" si="11"/>
        <v>6.1601891298036836E-5</v>
      </c>
      <c r="K29" s="36">
        <f t="shared" si="11"/>
        <v>2.1864604127985298E-4</v>
      </c>
      <c r="L29" s="36">
        <f t="shared" si="11"/>
        <v>1.2487441809339807E-3</v>
      </c>
      <c r="M29" s="36">
        <f t="shared" si="11"/>
        <v>4.0355635037460033E-4</v>
      </c>
      <c r="N29" s="36">
        <f t="shared" si="11"/>
        <v>2.1914885803333447E-2</v>
      </c>
      <c r="O29" s="36">
        <f t="shared" si="11"/>
        <v>1.6989362677212083E-3</v>
      </c>
      <c r="P29" s="36">
        <f t="shared" si="11"/>
        <v>2.0094858568730126E-5</v>
      </c>
      <c r="Q29" s="36">
        <f t="shared" si="11"/>
        <v>2.5979515759900764E-5</v>
      </c>
      <c r="R29" s="36">
        <f t="shared" si="11"/>
        <v>2.1191601533205543E-3</v>
      </c>
      <c r="S29" s="36">
        <f t="shared" si="11"/>
        <v>2.5674051084418814E-3</v>
      </c>
      <c r="T29" s="36">
        <f t="shared" si="11"/>
        <v>2.6758312497835099E-2</v>
      </c>
      <c r="U29" s="36">
        <f t="shared" si="11"/>
        <v>5.6434028536782375E-4</v>
      </c>
      <c r="V29" s="36">
        <f t="shared" si="11"/>
        <v>4.4025878330155643E-5</v>
      </c>
      <c r="W29" s="36">
        <f t="shared" si="11"/>
        <v>3.7215069335198693E-3</v>
      </c>
      <c r="X29" s="36">
        <f t="shared" si="11"/>
        <v>0.12010927560020923</v>
      </c>
      <c r="Y29" s="36">
        <f t="shared" si="11"/>
        <v>1.3084116995363234E-2</v>
      </c>
      <c r="Z29" s="36">
        <f t="shared" si="11"/>
        <v>4.8675163177663607E-2</v>
      </c>
      <c r="AA29" s="36">
        <f t="shared" si="11"/>
        <v>5.1283260274728555E-3</v>
      </c>
      <c r="AB29" s="36">
        <f t="shared" si="11"/>
        <v>2.9858439541343454E-4</v>
      </c>
      <c r="AC29" s="36">
        <f t="shared" si="11"/>
        <v>1.5235803305284389E-2</v>
      </c>
      <c r="AD29" s="36">
        <f t="shared" si="11"/>
        <v>1.6619214192766061E-3</v>
      </c>
      <c r="AE29" s="36">
        <f t="shared" si="11"/>
        <v>1.368470209652304E-2</v>
      </c>
      <c r="AF29" s="36">
        <f t="shared" si="11"/>
        <v>1.9968759468399148E-2</v>
      </c>
      <c r="AG29" s="36">
        <f t="shared" si="11"/>
        <v>1.1363863151005128E-3</v>
      </c>
      <c r="AH29" s="36">
        <f t="shared" si="11"/>
        <v>1.5697798707425008E-3</v>
      </c>
      <c r="AI29" s="36">
        <f t="shared" si="11"/>
        <v>1.5233158740105802E-3</v>
      </c>
      <c r="AJ29" s="36">
        <f t="shared" si="11"/>
        <v>1.6733217937930295E-3</v>
      </c>
      <c r="AK29" s="36">
        <f t="shared" si="11"/>
        <v>1.8860958929901354E-4</v>
      </c>
      <c r="AL29" s="36">
        <f t="shared" si="11"/>
        <v>1.1333477220986916E-2</v>
      </c>
      <c r="AM29" s="36">
        <f t="shared" si="11"/>
        <v>5.6046921104286598E-3</v>
      </c>
      <c r="AN29" s="36">
        <f t="shared" si="11"/>
        <v>4.5954475675617492E-3</v>
      </c>
      <c r="AO29" s="36">
        <f t="shared" si="11"/>
        <v>7.6454597976023458E-4</v>
      </c>
      <c r="AP29" s="36">
        <f t="shared" si="11"/>
        <v>1.6738323434005572E-4</v>
      </c>
      <c r="AQ29" s="36">
        <f t="shared" si="11"/>
        <v>4.7424306591759669E-6</v>
      </c>
      <c r="AR29" s="36">
        <f t="shared" si="11"/>
        <v>1.0917884377139692E-3</v>
      </c>
      <c r="AS29" s="36">
        <f t="shared" si="11"/>
        <v>6.744518735601575E-3</v>
      </c>
      <c r="AT29" s="36">
        <f t="shared" si="11"/>
        <v>3.8294095942130693E-2</v>
      </c>
      <c r="AU29" s="36">
        <f t="shared" si="11"/>
        <v>1.9129378123444767E-4</v>
      </c>
      <c r="AV29" s="36">
        <f t="shared" si="11"/>
        <v>1.014780315728391E-2</v>
      </c>
      <c r="AW29" s="36">
        <f t="shared" si="11"/>
        <v>7.3066102932897621E-3</v>
      </c>
      <c r="AX29" s="36">
        <f t="shared" si="11"/>
        <v>1.4522121647022762E-2</v>
      </c>
      <c r="AY29" s="36">
        <f t="shared" si="11"/>
        <v>2.00723933269502E-2</v>
      </c>
      <c r="AZ29" s="36">
        <f t="shared" si="11"/>
        <v>3.9053791379971113E-4</v>
      </c>
      <c r="BA29" s="36">
        <f t="shared" si="11"/>
        <v>3.8757463077489977E-4</v>
      </c>
      <c r="BB29" s="36">
        <f t="shared" si="11"/>
        <v>8.7634447210257673E-3</v>
      </c>
      <c r="BC29" s="36">
        <f t="shared" si="11"/>
        <v>6.1801538772076189E-3</v>
      </c>
      <c r="BD29" s="36">
        <f t="shared" si="11"/>
        <v>6.0822101699585542E-5</v>
      </c>
      <c r="BE29" s="36">
        <f t="shared" si="11"/>
        <v>1.1579558220785328E-2</v>
      </c>
      <c r="BF29" s="36">
        <f t="shared" si="11"/>
        <v>2.2620263348280368E-2</v>
      </c>
      <c r="BG29" s="36">
        <f t="shared" si="11"/>
        <v>1.5610968471972643E-2</v>
      </c>
      <c r="BH29" s="36">
        <f t="shared" si="11"/>
        <v>1.7979807949342543E-4</v>
      </c>
      <c r="BI29" s="36">
        <f t="shared" si="11"/>
        <v>2.2704398406579087E-2</v>
      </c>
      <c r="BJ29" s="36">
        <f t="shared" si="11"/>
        <v>2.9494057957142801E-3</v>
      </c>
      <c r="BK29" s="36">
        <f t="shared" si="11"/>
        <v>8.2554418416425544E-6</v>
      </c>
      <c r="BL29" s="36">
        <f t="shared" si="11"/>
        <v>4.4534025881228893E-2</v>
      </c>
      <c r="BM29" s="36">
        <f t="shared" si="11"/>
        <v>7.7910615046799404E-3</v>
      </c>
      <c r="BN29" s="36">
        <f t="shared" si="11"/>
        <v>1.9997113345371952E-3</v>
      </c>
      <c r="BO29" s="36">
        <f t="shared" si="11"/>
        <v>1.3147006200850379E-4</v>
      </c>
      <c r="BP29" s="36">
        <f t="shared" si="8"/>
        <v>2.5841444961460076E-2</v>
      </c>
      <c r="BQ29" s="36">
        <f t="shared" si="8"/>
        <v>2.8820102068507196E-5</v>
      </c>
      <c r="BR29" s="36">
        <f t="shared" si="8"/>
        <v>3.3074288067668607E-2</v>
      </c>
      <c r="BS29" s="36">
        <f t="shared" si="8"/>
        <v>1.8409037264234991E-5</v>
      </c>
      <c r="BT29" s="36">
        <f t="shared" si="8"/>
        <v>1.405766278203169E-5</v>
      </c>
      <c r="BU29" s="36">
        <f t="shared" si="8"/>
        <v>7.3209042758717001E-3</v>
      </c>
      <c r="BV29" s="36">
        <f t="shared" si="8"/>
        <v>1.003984600107807E-2</v>
      </c>
      <c r="BW29" s="36">
        <f t="shared" si="8"/>
        <v>8.2183207578613859E-3</v>
      </c>
      <c r="BX29" s="36">
        <f t="shared" si="8"/>
        <v>6.3535930495478641E-4</v>
      </c>
      <c r="BY29" s="36">
        <f t="shared" si="8"/>
        <v>3.3857846386027551E-3</v>
      </c>
      <c r="BZ29" s="36">
        <f t="shared" si="8"/>
        <v>1.0192756139497687E-3</v>
      </c>
      <c r="CA29" s="36">
        <f t="shared" si="8"/>
        <v>3.9850331226344068E-3</v>
      </c>
      <c r="CB29" s="36">
        <f t="shared" si="8"/>
        <v>4.0755006817503612E-3</v>
      </c>
      <c r="CC29" s="36">
        <f t="shared" si="8"/>
        <v>4.231879028484627E-3</v>
      </c>
      <c r="CD29" s="36">
        <f t="shared" si="8"/>
        <v>1.5571923258770044E-3</v>
      </c>
      <c r="CE29" s="36">
        <f t="shared" si="8"/>
        <v>7.1106436158231527E-3</v>
      </c>
      <c r="CF29" s="36">
        <f t="shared" si="8"/>
        <v>1.7046178306200048E-4</v>
      </c>
      <c r="CG29" s="36">
        <f t="shared" si="8"/>
        <v>9.4274613626999513E-4</v>
      </c>
      <c r="CH29" s="36">
        <f t="shared" si="8"/>
        <v>7.5624958991752408E-4</v>
      </c>
      <c r="CI29" s="36">
        <f t="shared" si="8"/>
        <v>3.1738039246569968E-2</v>
      </c>
      <c r="CJ29" s="36">
        <f t="shared" si="8"/>
        <v>7.5651447369452132E-2</v>
      </c>
      <c r="CK29" s="36">
        <f t="shared" si="8"/>
        <v>1.2247290265257104E-2</v>
      </c>
      <c r="CL29" s="36">
        <f t="shared" si="8"/>
        <v>2.4002217451126684E-2</v>
      </c>
      <c r="CM29" s="36">
        <f t="shared" si="8"/>
        <v>9.9378820014582093E-4</v>
      </c>
      <c r="CN29" s="36">
        <f t="shared" si="8"/>
        <v>9.1978063076709984E-2</v>
      </c>
      <c r="CO29" s="36">
        <f t="shared" si="8"/>
        <v>2.1563164342916202E-2</v>
      </c>
      <c r="CP29" s="36">
        <f t="shared" si="8"/>
        <v>3.3906992320324588E-5</v>
      </c>
      <c r="CQ29" s="36">
        <f t="shared" si="8"/>
        <v>3.9563380946137303E-2</v>
      </c>
      <c r="CR29" s="36">
        <f t="shared" si="8"/>
        <v>2.2207761087943874E-2</v>
      </c>
      <c r="CS29" s="36">
        <f t="shared" si="8"/>
        <v>3.2495228349003334E-5</v>
      </c>
      <c r="CT29" s="36">
        <f t="shared" si="8"/>
        <v>3.1218456276419775E-2</v>
      </c>
      <c r="CU29" s="36">
        <f t="shared" si="8"/>
        <v>7.6663166823660284E-2</v>
      </c>
      <c r="CV29" s="36">
        <f t="shared" si="8"/>
        <v>1.8991451084071904E-3</v>
      </c>
      <c r="CW29" s="36">
        <f t="shared" si="8"/>
        <v>8.2571707624508866E-3</v>
      </c>
      <c r="CX29" s="36">
        <f t="shared" si="8"/>
        <v>6.9286738311015745E-3</v>
      </c>
      <c r="CY29" s="36">
        <f t="shared" si="8"/>
        <v>6.6518951688457279E-3</v>
      </c>
      <c r="CZ29" s="36">
        <f t="shared" si="8"/>
        <v>5.344978899365847E-4</v>
      </c>
      <c r="DA29" s="36">
        <f t="shared" si="8"/>
        <v>7.1528606459524526E-3</v>
      </c>
      <c r="DB29" s="36">
        <f t="shared" si="8"/>
        <v>5.4229745534587976E-3</v>
      </c>
      <c r="DC29" s="36">
        <f t="shared" si="8"/>
        <v>2.5764504140200647E-4</v>
      </c>
      <c r="DD29" s="36">
        <f t="shared" si="8"/>
        <v>2.3961605431339742E-2</v>
      </c>
      <c r="DE29" s="36">
        <f t="shared" si="8"/>
        <v>2.0732774318627325E-2</v>
      </c>
      <c r="DF29" s="36">
        <f t="shared" si="8"/>
        <v>6.3713594036440098E-4</v>
      </c>
      <c r="DG29" s="36">
        <f t="shared" si="8"/>
        <v>3.5205001496278164E-2</v>
      </c>
      <c r="DH29" s="36">
        <f t="shared" si="8"/>
        <v>1.281531291108578E-3</v>
      </c>
      <c r="DI29" s="36">
        <f t="shared" si="8"/>
        <v>1.0229320491837307E-2</v>
      </c>
      <c r="DJ29" s="36">
        <f t="shared" si="8"/>
        <v>2.1989652210213033E-2</v>
      </c>
      <c r="DK29" s="36">
        <f t="shared" si="8"/>
        <v>1.8721134672111895E-4</v>
      </c>
      <c r="DL29" s="36">
        <f t="shared" si="8"/>
        <v>4.6371367876268206E-3</v>
      </c>
      <c r="DM29" s="36">
        <f t="shared" si="8"/>
        <v>7.7791718410376179E-4</v>
      </c>
      <c r="DN29" s="36">
        <f t="shared" si="8"/>
        <v>5.0439037846591074E-3</v>
      </c>
      <c r="DO29" s="36">
        <f t="shared" si="8"/>
        <v>6.8420686744450343E-3</v>
      </c>
      <c r="DP29" s="36">
        <f t="shared" si="8"/>
        <v>4.7786848345211887E-2</v>
      </c>
      <c r="DQ29" s="36">
        <f t="shared" si="8"/>
        <v>2.8905997303490659E-2</v>
      </c>
      <c r="DR29" s="36">
        <f t="shared" si="8"/>
        <v>6.5895641975783855E-4</v>
      </c>
      <c r="DS29" s="36">
        <f t="shared" si="8"/>
        <v>1.6088549920109198E-2</v>
      </c>
      <c r="DT29" s="36">
        <f t="shared" si="8"/>
        <v>6.6535136227239E-3</v>
      </c>
      <c r="DU29" s="36">
        <f t="shared" si="8"/>
        <v>7.0834368298377506E-4</v>
      </c>
      <c r="DV29" s="36">
        <f t="shared" si="8"/>
        <v>5.9036467435599695E-4</v>
      </c>
      <c r="DW29" s="36">
        <f t="shared" si="8"/>
        <v>2.3131934142418684E-4</v>
      </c>
      <c r="DX29" s="36">
        <f t="shared" si="8"/>
        <v>7.7315501880983453E-4</v>
      </c>
      <c r="DY29" s="36">
        <f t="shared" si="8"/>
        <v>9.2722798866259545E-3</v>
      </c>
      <c r="DZ29" s="36">
        <f t="shared" si="8"/>
        <v>1.4183117021691839E-3</v>
      </c>
      <c r="EA29" s="36">
        <f t="shared" si="8"/>
        <v>8.3078712526001006E-2</v>
      </c>
      <c r="EB29" s="36">
        <f t="shared" si="9"/>
        <v>2.7883606054118461E-2</v>
      </c>
      <c r="EC29" s="36">
        <f t="shared" si="9"/>
        <v>5.3255966862103899E-3</v>
      </c>
      <c r="ED29" s="36">
        <f t="shared" si="9"/>
        <v>1.1118704187004391E-4</v>
      </c>
      <c r="EE29" s="36">
        <f t="shared" si="9"/>
        <v>2.2781963624534511E-3</v>
      </c>
      <c r="EF29" s="36">
        <f t="shared" si="9"/>
        <v>3.3749697023803142E-2</v>
      </c>
      <c r="EG29" s="4"/>
    </row>
    <row r="30" spans="1:137" ht="16">
      <c r="A30" s="4"/>
      <c r="B30" s="30" t="s">
        <v>256</v>
      </c>
      <c r="C30" s="36">
        <f t="shared" si="10"/>
        <v>1.2827362821951808E-4</v>
      </c>
      <c r="D30" s="36">
        <f t="shared" si="11"/>
        <v>7.4411489892807893E-4</v>
      </c>
      <c r="E30" s="36">
        <f t="shared" si="11"/>
        <v>2.1546781643538002E-4</v>
      </c>
      <c r="F30" s="36">
        <f t="shared" si="11"/>
        <v>4.1905322266385915E-4</v>
      </c>
      <c r="G30" s="36">
        <f t="shared" si="11"/>
        <v>2.8634231029270817E-4</v>
      </c>
      <c r="H30" s="36">
        <f t="shared" si="11"/>
        <v>3.7211685363816788E-4</v>
      </c>
      <c r="I30" s="36">
        <f t="shared" si="11"/>
        <v>2.5311607648834402E-3</v>
      </c>
      <c r="J30" s="36">
        <f t="shared" si="11"/>
        <v>6.4341663713105761E-4</v>
      </c>
      <c r="K30" s="36">
        <f t="shared" si="11"/>
        <v>1.4584413494485228E-3</v>
      </c>
      <c r="L30" s="36">
        <f t="shared" si="11"/>
        <v>8.8150311892317389E-4</v>
      </c>
      <c r="M30" s="36">
        <f t="shared" si="11"/>
        <v>3.5466152600976199E-4</v>
      </c>
      <c r="N30" s="36">
        <f t="shared" si="11"/>
        <v>2.1894492786927997E-4</v>
      </c>
      <c r="O30" s="36">
        <f t="shared" si="11"/>
        <v>1.0161837214320288E-3</v>
      </c>
      <c r="P30" s="36">
        <f t="shared" si="11"/>
        <v>4.995501399792707E-5</v>
      </c>
      <c r="Q30" s="36">
        <f t="shared" si="11"/>
        <v>3.568083655365874E-4</v>
      </c>
      <c r="R30" s="36">
        <f t="shared" si="11"/>
        <v>8.2537107043875353E-3</v>
      </c>
      <c r="S30" s="36">
        <f t="shared" si="11"/>
        <v>3.4291014842342247E-3</v>
      </c>
      <c r="T30" s="36">
        <f t="shared" si="11"/>
        <v>8.5987820146400868E-4</v>
      </c>
      <c r="U30" s="36">
        <f t="shared" si="11"/>
        <v>3.0461405168966177E-3</v>
      </c>
      <c r="V30" s="36">
        <f t="shared" si="11"/>
        <v>1.435574412271557E-3</v>
      </c>
      <c r="W30" s="36">
        <f t="shared" si="11"/>
        <v>6.8689092315207931E-4</v>
      </c>
      <c r="X30" s="36">
        <f t="shared" si="11"/>
        <v>3.5698605673775471E-3</v>
      </c>
      <c r="Y30" s="36">
        <f t="shared" si="11"/>
        <v>8.6496046933642445E-4</v>
      </c>
      <c r="Z30" s="36">
        <f t="shared" si="11"/>
        <v>1.2449433570684833E-5</v>
      </c>
      <c r="AA30" s="36">
        <f t="shared" si="11"/>
        <v>2.4552314415882725E-3</v>
      </c>
      <c r="AB30" s="36">
        <f t="shared" si="11"/>
        <v>2.6227616510794602E-3</v>
      </c>
      <c r="AC30" s="36">
        <f t="shared" si="11"/>
        <v>9.9521508846140379E-5</v>
      </c>
      <c r="AD30" s="36">
        <f t="shared" si="11"/>
        <v>1.609387029594529E-3</v>
      </c>
      <c r="AE30" s="36">
        <f t="shared" si="11"/>
        <v>2.6904614961887208E-5</v>
      </c>
      <c r="AF30" s="36">
        <f t="shared" si="11"/>
        <v>1.0944686674737424E-3</v>
      </c>
      <c r="AG30" s="36">
        <f t="shared" si="11"/>
        <v>8.8439195191726007E-4</v>
      </c>
      <c r="AH30" s="36">
        <f t="shared" si="11"/>
        <v>7.0865137891519905E-4</v>
      </c>
      <c r="AI30" s="36">
        <f t="shared" si="11"/>
        <v>2.103726925717979E-3</v>
      </c>
      <c r="AJ30" s="36">
        <f t="shared" si="11"/>
        <v>1.9257698222162362E-3</v>
      </c>
      <c r="AK30" s="36">
        <f t="shared" si="11"/>
        <v>2.9240269072021269E-3</v>
      </c>
      <c r="AL30" s="36">
        <f t="shared" si="11"/>
        <v>5.644924814621712E-3</v>
      </c>
      <c r="AM30" s="36">
        <f t="shared" si="11"/>
        <v>1.8497020570764418E-5</v>
      </c>
      <c r="AN30" s="36">
        <f t="shared" si="11"/>
        <v>1.4820016014954391E-4</v>
      </c>
      <c r="AO30" s="36">
        <f t="shared" si="11"/>
        <v>4.6608687108049929E-4</v>
      </c>
      <c r="AP30" s="36">
        <f t="shared" si="11"/>
        <v>2.4649942890890393E-5</v>
      </c>
      <c r="AQ30" s="36">
        <f t="shared" si="11"/>
        <v>1.7914248290645395E-4</v>
      </c>
      <c r="AR30" s="36">
        <f t="shared" si="11"/>
        <v>7.4257374169734987E-4</v>
      </c>
      <c r="AS30" s="36">
        <f t="shared" si="11"/>
        <v>3.0940957551726213E-3</v>
      </c>
      <c r="AT30" s="36">
        <f t="shared" si="11"/>
        <v>4.4650906102174769E-3</v>
      </c>
      <c r="AU30" s="36">
        <f t="shared" si="11"/>
        <v>1.3926357468977313E-3</v>
      </c>
      <c r="AV30" s="36">
        <f t="shared" si="11"/>
        <v>1.8167001681790318E-3</v>
      </c>
      <c r="AW30" s="36">
        <f t="shared" si="11"/>
        <v>1.0180489015494938E-3</v>
      </c>
      <c r="AX30" s="36">
        <f t="shared" si="11"/>
        <v>7.0658701856466148E-5</v>
      </c>
      <c r="AY30" s="36">
        <f t="shared" si="11"/>
        <v>1.6929631018264559E-3</v>
      </c>
      <c r="AZ30" s="36">
        <f t="shared" si="11"/>
        <v>4.2906750339063117E-3</v>
      </c>
      <c r="BA30" s="36">
        <f t="shared" si="11"/>
        <v>7.9689219043458655E-7</v>
      </c>
      <c r="BB30" s="36">
        <f t="shared" si="11"/>
        <v>2.3800825800485898E-3</v>
      </c>
      <c r="BC30" s="36">
        <f t="shared" si="11"/>
        <v>1.538903369201557E-3</v>
      </c>
      <c r="BD30" s="36">
        <f t="shared" si="11"/>
        <v>3.9810793194736387E-4</v>
      </c>
      <c r="BE30" s="36">
        <f t="shared" si="11"/>
        <v>1.0940072599183676E-3</v>
      </c>
      <c r="BF30" s="36">
        <f t="shared" si="11"/>
        <v>1.6009500234104974E-3</v>
      </c>
      <c r="BG30" s="36">
        <f t="shared" si="11"/>
        <v>4.9847697695305539E-3</v>
      </c>
      <c r="BH30" s="36">
        <f t="shared" si="11"/>
        <v>5.7845681412715703E-3</v>
      </c>
      <c r="BI30" s="36">
        <f t="shared" si="11"/>
        <v>2.996061545162467E-4</v>
      </c>
      <c r="BJ30" s="36">
        <f t="shared" si="11"/>
        <v>1.9096209684607314E-3</v>
      </c>
      <c r="BK30" s="36">
        <f t="shared" si="11"/>
        <v>2.9983899679100398E-5</v>
      </c>
      <c r="BL30" s="36">
        <f t="shared" si="11"/>
        <v>4.1179400017564442E-6</v>
      </c>
      <c r="BM30" s="36">
        <f t="shared" si="11"/>
        <v>4.7402180324495171E-4</v>
      </c>
      <c r="BN30" s="36">
        <f t="shared" si="11"/>
        <v>2.4487703174788428E-4</v>
      </c>
      <c r="BO30" s="36">
        <f t="shared" si="11"/>
        <v>2.0394781974260232E-2</v>
      </c>
      <c r="BP30" s="36">
        <f t="shared" si="8"/>
        <v>2.5389009257077153E-7</v>
      </c>
      <c r="BQ30" s="36">
        <f t="shared" si="8"/>
        <v>5.3946994321061399E-4</v>
      </c>
      <c r="BR30" s="36">
        <f t="shared" si="8"/>
        <v>2.1229536514922832E-3</v>
      </c>
      <c r="BS30" s="36">
        <f t="shared" si="8"/>
        <v>2.3257295759414938E-4</v>
      </c>
      <c r="BT30" s="36">
        <f t="shared" si="8"/>
        <v>6.9570651306363066E-6</v>
      </c>
      <c r="BU30" s="36">
        <f t="shared" si="8"/>
        <v>3.1138385397504595E-3</v>
      </c>
      <c r="BV30" s="36">
        <f t="shared" si="8"/>
        <v>9.9294529358775465E-4</v>
      </c>
      <c r="BW30" s="36">
        <f t="shared" si="8"/>
        <v>1.969578641861524E-3</v>
      </c>
      <c r="BX30" s="36">
        <f t="shared" si="8"/>
        <v>6.2490077394865696E-5</v>
      </c>
      <c r="BY30" s="36">
        <f t="shared" si="8"/>
        <v>1.3687267635454734E-3</v>
      </c>
      <c r="BZ30" s="36">
        <f t="shared" si="8"/>
        <v>5.9786830880016949E-5</v>
      </c>
      <c r="CA30" s="36">
        <f t="shared" si="8"/>
        <v>7.2589524974035877E-4</v>
      </c>
      <c r="CB30" s="36">
        <f t="shared" si="8"/>
        <v>1.7084794343357065E-3</v>
      </c>
      <c r="CC30" s="36">
        <f t="shared" si="8"/>
        <v>4.5521669713301568E-3</v>
      </c>
      <c r="CD30" s="36">
        <f t="shared" si="8"/>
        <v>1.2857761973611825E-3</v>
      </c>
      <c r="CE30" s="36">
        <f t="shared" si="8"/>
        <v>4.2755110226637572E-3</v>
      </c>
      <c r="CF30" s="36">
        <f t="shared" si="8"/>
        <v>6.7386106058733017E-4</v>
      </c>
      <c r="CG30" s="36">
        <f t="shared" si="8"/>
        <v>2.1496519278009808E-3</v>
      </c>
      <c r="CH30" s="36">
        <f t="shared" si="8"/>
        <v>8.2263787308162019E-5</v>
      </c>
      <c r="CI30" s="36">
        <f t="shared" si="8"/>
        <v>5.8876649181036317E-4</v>
      </c>
      <c r="CJ30" s="36">
        <f t="shared" si="8"/>
        <v>4.4759583452238051E-5</v>
      </c>
      <c r="CK30" s="36">
        <f t="shared" si="8"/>
        <v>2.3370091281987981E-3</v>
      </c>
      <c r="CL30" s="36">
        <f t="shared" si="8"/>
        <v>1.4348787315976376E-3</v>
      </c>
      <c r="CM30" s="36">
        <f t="shared" si="8"/>
        <v>2.1830040251664376E-3</v>
      </c>
      <c r="CN30" s="36">
        <f t="shared" si="8"/>
        <v>8.9855365331183365E-3</v>
      </c>
      <c r="CO30" s="36">
        <f t="shared" si="8"/>
        <v>5.3663389868337675E-3</v>
      </c>
      <c r="CP30" s="36">
        <f t="shared" si="8"/>
        <v>3.279708042572699E-4</v>
      </c>
      <c r="CQ30" s="36">
        <f t="shared" si="8"/>
        <v>3.2232765148103022E-3</v>
      </c>
      <c r="CR30" s="36">
        <f t="shared" si="8"/>
        <v>6.8453203857985721E-3</v>
      </c>
      <c r="CS30" s="36">
        <f t="shared" si="8"/>
        <v>4.3792134646692576E-5</v>
      </c>
      <c r="CT30" s="36">
        <f t="shared" si="8"/>
        <v>6.3556372441280384E-4</v>
      </c>
      <c r="CU30" s="36">
        <f t="shared" si="8"/>
        <v>4.9192098425650012E-3</v>
      </c>
      <c r="CV30" s="36">
        <f t="shared" si="8"/>
        <v>1.1698312722018094E-2</v>
      </c>
      <c r="CW30" s="36">
        <f t="shared" si="8"/>
        <v>1.7377236648013833E-3</v>
      </c>
      <c r="CX30" s="36">
        <f t="shared" si="8"/>
        <v>2.6892166162744723E-3</v>
      </c>
      <c r="CY30" s="36">
        <f t="shared" si="8"/>
        <v>1.9785385097405512E-3</v>
      </c>
      <c r="CZ30" s="36">
        <f t="shared" si="8"/>
        <v>1.1196584101190117E-6</v>
      </c>
      <c r="DA30" s="36">
        <f t="shared" si="8"/>
        <v>2.1880429692199034E-3</v>
      </c>
      <c r="DB30" s="36">
        <f t="shared" si="8"/>
        <v>3.5406119517346368E-3</v>
      </c>
      <c r="DC30" s="36">
        <f t="shared" si="8"/>
        <v>1.5374471484019608E-3</v>
      </c>
      <c r="DD30" s="36">
        <f t="shared" si="8"/>
        <v>3.9957242097008231E-4</v>
      </c>
      <c r="DE30" s="36">
        <f t="shared" si="8"/>
        <v>5.4348603627775286E-4</v>
      </c>
      <c r="DF30" s="36">
        <f t="shared" si="8"/>
        <v>2.9843502203769529E-4</v>
      </c>
      <c r="DG30" s="36">
        <f t="shared" si="8"/>
        <v>4.1381898210804211E-3</v>
      </c>
      <c r="DH30" s="36">
        <f t="shared" si="8"/>
        <v>2.0900263345674189E-3</v>
      </c>
      <c r="DI30" s="36">
        <f t="shared" si="8"/>
        <v>3.1586853331291094E-3</v>
      </c>
      <c r="DJ30" s="36">
        <f t="shared" si="8"/>
        <v>1.9406625077659073E-3</v>
      </c>
      <c r="DK30" s="36">
        <f t="shared" si="8"/>
        <v>4.0857835054335258E-4</v>
      </c>
      <c r="DL30" s="36">
        <f t="shared" si="8"/>
        <v>4.527958773557216E-3</v>
      </c>
      <c r="DM30" s="36">
        <f t="shared" si="8"/>
        <v>2.0332440726595819E-3</v>
      </c>
      <c r="DN30" s="36">
        <f t="shared" si="8"/>
        <v>6.6813686143605395E-4</v>
      </c>
      <c r="DO30" s="36">
        <f t="shared" si="8"/>
        <v>6.6348929762800901E-4</v>
      </c>
      <c r="DP30" s="36">
        <f t="shared" si="8"/>
        <v>2.1248399352235398E-4</v>
      </c>
      <c r="DQ30" s="36">
        <f t="shared" si="8"/>
        <v>6.4261401779456032E-4</v>
      </c>
      <c r="DR30" s="36">
        <f t="shared" si="8"/>
        <v>4.6602507124736464E-3</v>
      </c>
      <c r="DS30" s="36">
        <f t="shared" si="8"/>
        <v>1.1214131967233348E-3</v>
      </c>
      <c r="DT30" s="36">
        <f t="shared" si="8"/>
        <v>6.0696027552917323E-3</v>
      </c>
      <c r="DU30" s="36">
        <f t="shared" si="8"/>
        <v>3.0394406512381048E-4</v>
      </c>
      <c r="DV30" s="36">
        <f t="shared" si="8"/>
        <v>1.1130058025962185E-3</v>
      </c>
      <c r="DW30" s="36">
        <f t="shared" si="8"/>
        <v>3.120204182931681E-4</v>
      </c>
      <c r="DX30" s="36">
        <f t="shared" si="8"/>
        <v>1.4565672038006567E-3</v>
      </c>
      <c r="DY30" s="36">
        <f t="shared" si="8"/>
        <v>1.7881747804565655E-3</v>
      </c>
      <c r="DZ30" s="36">
        <f t="shared" si="8"/>
        <v>9.9656627881475283E-5</v>
      </c>
      <c r="EA30" s="36">
        <f t="shared" ref="EA30:EF31" si="12">EA14^2</f>
        <v>2.3307091952105783E-5</v>
      </c>
      <c r="EB30" s="36">
        <f t="shared" si="12"/>
        <v>3.4377686663486506E-4</v>
      </c>
      <c r="EC30" s="36">
        <f t="shared" si="12"/>
        <v>9.6661065640211367E-5</v>
      </c>
      <c r="ED30" s="36">
        <f t="shared" si="12"/>
        <v>1.6330841985001221E-4</v>
      </c>
      <c r="EE30" s="36">
        <f t="shared" si="12"/>
        <v>5.3930420543095003E-4</v>
      </c>
      <c r="EF30" s="36">
        <f t="shared" si="12"/>
        <v>3.8073444430948458E-4</v>
      </c>
      <c r="EG30" s="4"/>
    </row>
    <row r="31" spans="1:137" ht="18" customHeight="1">
      <c r="B31" s="30" t="s">
        <v>257</v>
      </c>
      <c r="C31" s="36">
        <f t="shared" si="10"/>
        <v>3.023132550823206E-7</v>
      </c>
      <c r="D31" s="36">
        <f t="shared" si="11"/>
        <v>5.2957649879523244E-5</v>
      </c>
      <c r="E31" s="36">
        <f t="shared" si="11"/>
        <v>2.8567578886436027E-4</v>
      </c>
      <c r="F31" s="36">
        <f t="shared" si="11"/>
        <v>1.2515439642633684E-4</v>
      </c>
      <c r="G31" s="36">
        <f t="shared" si="11"/>
        <v>8.2090489122701418E-4</v>
      </c>
      <c r="H31" s="36">
        <f t="shared" si="11"/>
        <v>2.9397162391552617E-6</v>
      </c>
      <c r="I31" s="36">
        <f t="shared" si="11"/>
        <v>4.9323348370917145E-3</v>
      </c>
      <c r="J31" s="36">
        <f t="shared" si="11"/>
        <v>3.5791800805744771E-4</v>
      </c>
      <c r="K31" s="36">
        <f t="shared" si="11"/>
        <v>2.4994683029294325E-4</v>
      </c>
      <c r="L31" s="36">
        <f t="shared" si="11"/>
        <v>5.16864152627252E-4</v>
      </c>
      <c r="M31" s="36">
        <f t="shared" si="11"/>
        <v>3.6208123816181893E-4</v>
      </c>
      <c r="N31" s="36">
        <f t="shared" si="11"/>
        <v>4.3384993221835914E-3</v>
      </c>
      <c r="O31" s="36">
        <f t="shared" si="11"/>
        <v>3.9539032361880994E-4</v>
      </c>
      <c r="P31" s="36">
        <f t="shared" si="11"/>
        <v>2.8478185600595728E-5</v>
      </c>
      <c r="Q31" s="36">
        <f t="shared" si="11"/>
        <v>9.0394100336866606E-3</v>
      </c>
      <c r="R31" s="36">
        <f t="shared" si="11"/>
        <v>9.7180245402900458E-3</v>
      </c>
      <c r="S31" s="36">
        <f t="shared" si="11"/>
        <v>3.2982711108261566E-3</v>
      </c>
      <c r="T31" s="36">
        <f t="shared" si="11"/>
        <v>2.0003454135021264E-3</v>
      </c>
      <c r="U31" s="36">
        <f t="shared" si="11"/>
        <v>4.5293000644297393E-3</v>
      </c>
      <c r="V31" s="36">
        <f t="shared" si="11"/>
        <v>4.6375450059844316E-4</v>
      </c>
      <c r="W31" s="36">
        <f t="shared" si="11"/>
        <v>3.5181186233042256E-4</v>
      </c>
      <c r="X31" s="36">
        <f t="shared" si="11"/>
        <v>4.2422665335096712E-4</v>
      </c>
      <c r="Y31" s="36">
        <f t="shared" si="11"/>
        <v>1.2185110745671153E-3</v>
      </c>
      <c r="Z31" s="36">
        <f t="shared" si="11"/>
        <v>2.8332041205516076E-5</v>
      </c>
      <c r="AA31" s="36">
        <f t="shared" si="11"/>
        <v>1.1512063770676569E-4</v>
      </c>
      <c r="AB31" s="36">
        <f t="shared" si="11"/>
        <v>1.8604466105503861E-5</v>
      </c>
      <c r="AC31" s="36">
        <f t="shared" si="11"/>
        <v>5.1018219316105169E-4</v>
      </c>
      <c r="AD31" s="36">
        <f t="shared" si="11"/>
        <v>7.9617864405015333E-5</v>
      </c>
      <c r="AE31" s="36">
        <f t="shared" si="11"/>
        <v>9.2307747162255089E-5</v>
      </c>
      <c r="AF31" s="36">
        <f t="shared" si="11"/>
        <v>5.825985655392068E-5</v>
      </c>
      <c r="AG31" s="36">
        <f t="shared" si="11"/>
        <v>6.11169438754568E-4</v>
      </c>
      <c r="AH31" s="36">
        <f t="shared" si="11"/>
        <v>5.569438779469629E-5</v>
      </c>
      <c r="AI31" s="36">
        <f t="shared" si="11"/>
        <v>1.4739039888887374E-4</v>
      </c>
      <c r="AJ31" s="36">
        <f t="shared" si="11"/>
        <v>6.4743703869981121E-4</v>
      </c>
      <c r="AK31" s="36">
        <f t="shared" si="11"/>
        <v>2.5010354590718929E-3</v>
      </c>
      <c r="AL31" s="36">
        <f t="shared" si="11"/>
        <v>5.2821018330387456E-3</v>
      </c>
      <c r="AM31" s="36">
        <f t="shared" si="11"/>
        <v>1.6567989454036411E-3</v>
      </c>
      <c r="AN31" s="36">
        <f t="shared" si="11"/>
        <v>1.3968906070222669E-3</v>
      </c>
      <c r="AO31" s="36">
        <f t="shared" si="11"/>
        <v>2.2710558809511255E-3</v>
      </c>
      <c r="AP31" s="36">
        <f t="shared" si="11"/>
        <v>7.5788897105836704E-4</v>
      </c>
      <c r="AQ31" s="36">
        <f t="shared" si="11"/>
        <v>1.0447270567286396E-4</v>
      </c>
      <c r="AR31" s="36">
        <f t="shared" si="11"/>
        <v>2.3527727587418787E-3</v>
      </c>
      <c r="AS31" s="36">
        <f t="shared" si="11"/>
        <v>1.0192342266492009E-3</v>
      </c>
      <c r="AT31" s="36">
        <f t="shared" si="11"/>
        <v>3.1972798259605033E-4</v>
      </c>
      <c r="AU31" s="36">
        <f t="shared" si="11"/>
        <v>8.214832218228994E-7</v>
      </c>
      <c r="AV31" s="36">
        <f t="shared" si="11"/>
        <v>1.570183542977387E-4</v>
      </c>
      <c r="AW31" s="36">
        <f t="shared" si="11"/>
        <v>1.8103342066806932E-3</v>
      </c>
      <c r="AX31" s="36">
        <f t="shared" si="11"/>
        <v>6.760368786850199E-4</v>
      </c>
      <c r="AY31" s="36">
        <f t="shared" si="11"/>
        <v>2.4190554831994478E-4</v>
      </c>
      <c r="AZ31" s="36">
        <f t="shared" si="11"/>
        <v>2.7638044927658133E-4</v>
      </c>
      <c r="BA31" s="36">
        <f t="shared" si="11"/>
        <v>1.2286265816907868E-4</v>
      </c>
      <c r="BB31" s="36">
        <f t="shared" si="11"/>
        <v>1.1202823344928572E-3</v>
      </c>
      <c r="BC31" s="36">
        <f t="shared" si="11"/>
        <v>1.7020599977227086E-3</v>
      </c>
      <c r="BD31" s="36">
        <f t="shared" si="11"/>
        <v>9.0289333909682038E-4</v>
      </c>
      <c r="BE31" s="36">
        <f t="shared" si="11"/>
        <v>5.4593393156957242E-4</v>
      </c>
      <c r="BF31" s="36">
        <f t="shared" si="11"/>
        <v>1.865532328833348E-3</v>
      </c>
      <c r="BG31" s="36">
        <f t="shared" si="11"/>
        <v>2.031689042286951E-3</v>
      </c>
      <c r="BH31" s="36">
        <f t="shared" si="11"/>
        <v>3.4385270548914285E-3</v>
      </c>
      <c r="BI31" s="36">
        <f t="shared" si="11"/>
        <v>1.3131183010858322E-4</v>
      </c>
      <c r="BJ31" s="36">
        <f t="shared" si="11"/>
        <v>1.759723673888646E-4</v>
      </c>
      <c r="BK31" s="36">
        <f t="shared" si="11"/>
        <v>4.5122586601693922E-5</v>
      </c>
      <c r="BL31" s="36">
        <f t="shared" si="11"/>
        <v>5.5529004301690021E-4</v>
      </c>
      <c r="BM31" s="36">
        <f t="shared" si="11"/>
        <v>2.0938420940396432E-4</v>
      </c>
      <c r="BN31" s="36">
        <f t="shared" si="11"/>
        <v>1.7909806622177123E-3</v>
      </c>
      <c r="BO31" s="36">
        <f t="shared" si="11"/>
        <v>1.2399540917048493E-2</v>
      </c>
      <c r="BP31" s="36">
        <f t="shared" ref="BP31:EA31" si="13">BP15^2</f>
        <v>1.4686527288127606E-3</v>
      </c>
      <c r="BQ31" s="36">
        <f t="shared" si="13"/>
        <v>9.4557505666812585E-4</v>
      </c>
      <c r="BR31" s="36">
        <f t="shared" si="13"/>
        <v>1.5484194952824696E-3</v>
      </c>
      <c r="BS31" s="36">
        <f t="shared" si="13"/>
        <v>2.4032472313510633E-4</v>
      </c>
      <c r="BT31" s="36">
        <f t="shared" si="13"/>
        <v>9.0935641581795377E-5</v>
      </c>
      <c r="BU31" s="36">
        <f t="shared" si="13"/>
        <v>1.5332351216656317E-4</v>
      </c>
      <c r="BV31" s="36">
        <f t="shared" si="13"/>
        <v>2.5990855456040833E-4</v>
      </c>
      <c r="BW31" s="36">
        <f t="shared" si="13"/>
        <v>1.6356214799780834E-3</v>
      </c>
      <c r="BX31" s="36">
        <f t="shared" si="13"/>
        <v>8.2343598446311069E-5</v>
      </c>
      <c r="BY31" s="36">
        <f t="shared" si="13"/>
        <v>1.0262840878901697E-3</v>
      </c>
      <c r="BZ31" s="36">
        <f t="shared" si="13"/>
        <v>2.147539630557273E-3</v>
      </c>
      <c r="CA31" s="36">
        <f t="shared" si="13"/>
        <v>8.3150702412298751E-5</v>
      </c>
      <c r="CB31" s="36">
        <f t="shared" si="13"/>
        <v>2.7720132374186706E-4</v>
      </c>
      <c r="CC31" s="36">
        <f t="shared" si="13"/>
        <v>1.9368965604736879E-3</v>
      </c>
      <c r="CD31" s="36">
        <f t="shared" si="13"/>
        <v>3.1350517358117243E-3</v>
      </c>
      <c r="CE31" s="36">
        <f t="shared" si="13"/>
        <v>1.0376354413742547E-3</v>
      </c>
      <c r="CF31" s="36">
        <f t="shared" si="13"/>
        <v>6.8861598546694361E-3</v>
      </c>
      <c r="CG31" s="36">
        <f t="shared" si="13"/>
        <v>6.2489013932040354E-4</v>
      </c>
      <c r="CH31" s="36">
        <f t="shared" si="13"/>
        <v>2.8653031737880261E-3</v>
      </c>
      <c r="CI31" s="36">
        <f t="shared" si="13"/>
        <v>4.3685004334947227E-3</v>
      </c>
      <c r="CJ31" s="36">
        <f t="shared" si="13"/>
        <v>1.2653259307651011E-3</v>
      </c>
      <c r="CK31" s="36">
        <f t="shared" si="13"/>
        <v>2.9019013195266495E-4</v>
      </c>
      <c r="CL31" s="36">
        <f t="shared" si="13"/>
        <v>1.4916109453633932E-3</v>
      </c>
      <c r="CM31" s="36">
        <f t="shared" si="13"/>
        <v>1.9254641944332924E-3</v>
      </c>
      <c r="CN31" s="36">
        <f t="shared" si="13"/>
        <v>2.528638031086296E-3</v>
      </c>
      <c r="CO31" s="36">
        <f t="shared" si="13"/>
        <v>2.2296476879886217E-4</v>
      </c>
      <c r="CP31" s="36">
        <f t="shared" si="13"/>
        <v>2.9879209936019605E-3</v>
      </c>
      <c r="CQ31" s="36">
        <f t="shared" si="13"/>
        <v>6.8972009299941666E-4</v>
      </c>
      <c r="CR31" s="36">
        <f t="shared" si="13"/>
        <v>1.1950179937654278E-6</v>
      </c>
      <c r="CS31" s="36">
        <f t="shared" si="13"/>
        <v>5.0605220301328023E-4</v>
      </c>
      <c r="CT31" s="36">
        <f t="shared" si="13"/>
        <v>1.1307126794414637E-3</v>
      </c>
      <c r="CU31" s="36">
        <f t="shared" si="13"/>
        <v>8.9566531810967578E-4</v>
      </c>
      <c r="CV31" s="36">
        <f t="shared" si="13"/>
        <v>8.8695638692572343E-3</v>
      </c>
      <c r="CW31" s="36">
        <f t="shared" si="13"/>
        <v>5.19708587883394E-4</v>
      </c>
      <c r="CX31" s="36">
        <f t="shared" si="13"/>
        <v>3.1798227551223636E-3</v>
      </c>
      <c r="CY31" s="36">
        <f t="shared" si="13"/>
        <v>8.0956068044147657E-5</v>
      </c>
      <c r="CZ31" s="36">
        <f t="shared" si="13"/>
        <v>1.6782155071878725E-2</v>
      </c>
      <c r="DA31" s="36">
        <f t="shared" si="13"/>
        <v>3.2179663201619873E-3</v>
      </c>
      <c r="DB31" s="36">
        <f t="shared" si="13"/>
        <v>3.7733160906224363E-3</v>
      </c>
      <c r="DC31" s="36">
        <f t="shared" si="13"/>
        <v>1.7999836600334268E-3</v>
      </c>
      <c r="DD31" s="36">
        <f t="shared" si="13"/>
        <v>9.7681523552162119E-6</v>
      </c>
      <c r="DE31" s="36">
        <f t="shared" si="13"/>
        <v>1.5883103257166864E-3</v>
      </c>
      <c r="DF31" s="36">
        <f t="shared" si="13"/>
        <v>4.4755268299844399E-5</v>
      </c>
      <c r="DG31" s="36">
        <f t="shared" si="13"/>
        <v>5.0324219753515008E-5</v>
      </c>
      <c r="DH31" s="36">
        <f t="shared" si="13"/>
        <v>2.0045972632279282E-4</v>
      </c>
      <c r="DI31" s="36">
        <f t="shared" si="13"/>
        <v>3.3540518891885427E-5</v>
      </c>
      <c r="DJ31" s="36">
        <f t="shared" si="13"/>
        <v>2.977390569192938E-5</v>
      </c>
      <c r="DK31" s="36">
        <f t="shared" si="13"/>
        <v>2.5586534861507609E-7</v>
      </c>
      <c r="DL31" s="36">
        <f t="shared" si="13"/>
        <v>2.4079798263924832E-5</v>
      </c>
      <c r="DM31" s="36">
        <f t="shared" si="13"/>
        <v>1.8787372774800356E-3</v>
      </c>
      <c r="DN31" s="36">
        <f t="shared" si="13"/>
        <v>7.8849240581958208E-6</v>
      </c>
      <c r="DO31" s="36">
        <f t="shared" si="13"/>
        <v>2.1320965322949958E-3</v>
      </c>
      <c r="DP31" s="36">
        <f t="shared" si="13"/>
        <v>1.6468950701853692E-3</v>
      </c>
      <c r="DQ31" s="36">
        <f t="shared" si="13"/>
        <v>3.2620539761426919E-4</v>
      </c>
      <c r="DR31" s="36">
        <f t="shared" si="13"/>
        <v>6.4916271635410419E-4</v>
      </c>
      <c r="DS31" s="36">
        <f t="shared" si="13"/>
        <v>9.2478586980542498E-6</v>
      </c>
      <c r="DT31" s="36">
        <f t="shared" si="13"/>
        <v>3.3867602014842737E-3</v>
      </c>
      <c r="DU31" s="36">
        <f t="shared" si="13"/>
        <v>5.0647360019256855E-6</v>
      </c>
      <c r="DV31" s="36">
        <f t="shared" si="13"/>
        <v>2.3402900772766934E-3</v>
      </c>
      <c r="DW31" s="36">
        <f t="shared" si="13"/>
        <v>1.0946407330398976E-4</v>
      </c>
      <c r="DX31" s="36">
        <f t="shared" si="13"/>
        <v>2.1511443456586061E-3</v>
      </c>
      <c r="DY31" s="36">
        <f t="shared" si="13"/>
        <v>3.104719396515404E-3</v>
      </c>
      <c r="DZ31" s="36">
        <f t="shared" si="13"/>
        <v>1.1238925450435691E-10</v>
      </c>
      <c r="EA31" s="36">
        <f t="shared" si="13"/>
        <v>3.5059714034140078E-6</v>
      </c>
      <c r="EB31" s="36">
        <f t="shared" si="12"/>
        <v>3.0109460127349988E-3</v>
      </c>
      <c r="EC31" s="36">
        <f t="shared" si="12"/>
        <v>4.8281835812574085E-4</v>
      </c>
      <c r="ED31" s="36">
        <f t="shared" si="12"/>
        <v>6.9553935401587912E-4</v>
      </c>
      <c r="EE31" s="36">
        <f t="shared" si="12"/>
        <v>1.3372773500959787E-3</v>
      </c>
      <c r="EF31" s="36">
        <f t="shared" si="12"/>
        <v>3.7909957237258666E-6</v>
      </c>
      <c r="EG31" s="4"/>
    </row>
    <row r="32" spans="1:137" ht="16">
      <c r="A32" s="4"/>
    </row>
    <row r="33" spans="1:2" ht="16">
      <c r="A33" s="57"/>
      <c r="B33" s="42">
        <f>1-SUM(C19:EF23)/SUM(C27:EF31)</f>
        <v>-5.590470901293588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預測IC</vt:lpstr>
      <vt:lpstr>真實IC</vt:lpstr>
      <vt:lpstr>預測OLS勝率</vt:lpstr>
      <vt:lpstr>真實OLS勝率</vt:lpstr>
      <vt:lpstr>預測OLS累積報酬</vt:lpstr>
      <vt:lpstr>真實OLS累積報酬 </vt:lpstr>
      <vt:lpstr>預測ＯＬＳ再投資累積報酬</vt:lpstr>
      <vt:lpstr>真實OLS再投資累積報酬</vt:lpstr>
      <vt:lpstr>預測OLS夏普比率</vt:lpstr>
      <vt:lpstr>真實OLS夏普比率</vt:lpstr>
      <vt:lpstr>OLS樣本外R2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柏郡 黃</dc:creator>
  <cp:lastModifiedBy>黃柏郡</cp:lastModifiedBy>
  <dcterms:created xsi:type="dcterms:W3CDTF">2025-03-19T13:51:22Z</dcterms:created>
  <dcterms:modified xsi:type="dcterms:W3CDTF">2025-09-25T09:52:30Z</dcterms:modified>
</cp:coreProperties>
</file>