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3"/>
  <workbookPr/>
  <mc:AlternateContent xmlns:mc="http://schemas.openxmlformats.org/markup-compatibility/2006">
    <mc:Choice Requires="x15">
      <x15ac:absPath xmlns:x15ac="http://schemas.microsoft.com/office/spreadsheetml/2010/11/ac" url="/Users/Brian/Documents/Brian/Research project/"/>
    </mc:Choice>
  </mc:AlternateContent>
  <xr:revisionPtr revIDLastSave="0" documentId="13_ncr:1_{AB13A7A7-D686-0E46-BA1D-05CF7B83ADC2}" xr6:coauthVersionLast="47" xr6:coauthVersionMax="47" xr10:uidLastSave="{00000000-0000-0000-0000-000000000000}"/>
  <bookViews>
    <workbookView xWindow="540" yWindow="760" windowWidth="29400" windowHeight="16660" activeTab="1" xr2:uid="{00000000-000D-0000-FFFF-FFFF00000000}"/>
  </bookViews>
  <sheets>
    <sheet name="預測IC" sheetId="2" r:id="rId1"/>
    <sheet name="工作表1" sheetId="12" r:id="rId2"/>
    <sheet name="預測ＧＢＲＴ勝率" sheetId="4" r:id="rId3"/>
    <sheet name="預測ＧＢＲＴ累積報酬 " sheetId="6" r:id="rId4"/>
    <sheet name="ＧＢＲＴ再投資累積報酬" sheetId="8" r:id="rId5"/>
    <sheet name="預測ＧＢＲＴ夏普比率" sheetId="9" r:id="rId6"/>
    <sheet name="ＧＢＲＴ樣本外R2" sheetId="1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F31" i="11" l="1"/>
  <c r="EE31" i="11"/>
  <c r="ED31" i="11"/>
  <c r="EC31" i="11"/>
  <c r="EB31" i="11"/>
  <c r="EA31" i="11"/>
  <c r="DZ31" i="11"/>
  <c r="DY31" i="11"/>
  <c r="DX31" i="11"/>
  <c r="DW31" i="11"/>
  <c r="DV31" i="11"/>
  <c r="DU31" i="11"/>
  <c r="DT31" i="11"/>
  <c r="DS31" i="11"/>
  <c r="DR31" i="11"/>
  <c r="DQ31" i="11"/>
  <c r="DP31" i="11"/>
  <c r="DO31" i="11"/>
  <c r="DN31" i="11"/>
  <c r="DM31" i="11"/>
  <c r="DL31" i="11"/>
  <c r="DK31" i="11"/>
  <c r="DJ31" i="11"/>
  <c r="DI31" i="11"/>
  <c r="DH31" i="11"/>
  <c r="DG31" i="11"/>
  <c r="DF31" i="11"/>
  <c r="DE31" i="11"/>
  <c r="DD31" i="11"/>
  <c r="DC31" i="11"/>
  <c r="DB31" i="11"/>
  <c r="DA31" i="11"/>
  <c r="CZ31" i="11"/>
  <c r="CY31" i="11"/>
  <c r="CX31" i="11"/>
  <c r="CW31" i="11"/>
  <c r="CV31" i="11"/>
  <c r="CU31" i="11"/>
  <c r="CT31" i="11"/>
  <c r="CS31" i="11"/>
  <c r="CR31" i="11"/>
  <c r="CQ31" i="11"/>
  <c r="CP31" i="11"/>
  <c r="CO31" i="11"/>
  <c r="CN31" i="11"/>
  <c r="CM31" i="11"/>
  <c r="CL31" i="11"/>
  <c r="CK31" i="11"/>
  <c r="CJ31" i="11"/>
  <c r="CI31" i="11"/>
  <c r="CH31" i="11"/>
  <c r="CG31" i="11"/>
  <c r="CF31" i="11"/>
  <c r="CE31" i="11"/>
  <c r="CD31" i="11"/>
  <c r="CC31" i="11"/>
  <c r="CB31" i="11"/>
  <c r="CA31" i="11"/>
  <c r="BZ31" i="11"/>
  <c r="BY31" i="11"/>
  <c r="BX31" i="11"/>
  <c r="BW31" i="11"/>
  <c r="BV31" i="11"/>
  <c r="BU31" i="11"/>
  <c r="BT31" i="11"/>
  <c r="BS31" i="11"/>
  <c r="BR31" i="11"/>
  <c r="BQ31" i="11"/>
  <c r="BP31" i="11"/>
  <c r="BO31" i="11"/>
  <c r="BN31" i="11"/>
  <c r="BM31" i="11"/>
  <c r="BL31" i="11"/>
  <c r="BK31" i="11"/>
  <c r="BJ31" i="11"/>
  <c r="BI31" i="11"/>
  <c r="BH31" i="11"/>
  <c r="BG31" i="11"/>
  <c r="BF31" i="11"/>
  <c r="BE31" i="11"/>
  <c r="BD31" i="11"/>
  <c r="BC31" i="11"/>
  <c r="BB31" i="11"/>
  <c r="BA31" i="11"/>
  <c r="AZ31" i="11"/>
  <c r="AY31" i="11"/>
  <c r="AX31" i="11"/>
  <c r="AW31" i="11"/>
  <c r="AV31" i="11"/>
  <c r="AU31" i="11"/>
  <c r="AT31" i="11"/>
  <c r="AS31" i="11"/>
  <c r="AR31" i="11"/>
  <c r="AQ31" i="11"/>
  <c r="AP31" i="11"/>
  <c r="AO31" i="11"/>
  <c r="AN31" i="11"/>
  <c r="AM31" i="11"/>
  <c r="AL31" i="11"/>
  <c r="AK31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EF30" i="11"/>
  <c r="EE30" i="11"/>
  <c r="ED30" i="11"/>
  <c r="EC30" i="11"/>
  <c r="EB30" i="11"/>
  <c r="EA30" i="11"/>
  <c r="DZ30" i="11"/>
  <c r="DY30" i="11"/>
  <c r="DX30" i="11"/>
  <c r="DW30" i="11"/>
  <c r="DV30" i="11"/>
  <c r="DU30" i="11"/>
  <c r="DT30" i="11"/>
  <c r="DS30" i="11"/>
  <c r="DR30" i="11"/>
  <c r="DQ30" i="11"/>
  <c r="DP30" i="11"/>
  <c r="DO30" i="11"/>
  <c r="DN30" i="11"/>
  <c r="DM30" i="11"/>
  <c r="DL30" i="11"/>
  <c r="DK30" i="11"/>
  <c r="DJ30" i="11"/>
  <c r="DI30" i="11"/>
  <c r="DH30" i="11"/>
  <c r="DG30" i="11"/>
  <c r="DF30" i="11"/>
  <c r="DE30" i="11"/>
  <c r="DD30" i="11"/>
  <c r="DC30" i="11"/>
  <c r="DB30" i="11"/>
  <c r="DA30" i="11"/>
  <c r="CZ30" i="11"/>
  <c r="CY30" i="11"/>
  <c r="CX30" i="11"/>
  <c r="CW30" i="11"/>
  <c r="CV30" i="11"/>
  <c r="CU30" i="11"/>
  <c r="CT30" i="11"/>
  <c r="CS30" i="11"/>
  <c r="CR30" i="11"/>
  <c r="CQ30" i="11"/>
  <c r="CP30" i="11"/>
  <c r="CO30" i="11"/>
  <c r="CN30" i="11"/>
  <c r="CM30" i="11"/>
  <c r="CL30" i="11"/>
  <c r="CK30" i="11"/>
  <c r="CJ30" i="11"/>
  <c r="CI30" i="11"/>
  <c r="CH30" i="11"/>
  <c r="CG30" i="11"/>
  <c r="CF30" i="11"/>
  <c r="CE30" i="11"/>
  <c r="CD30" i="11"/>
  <c r="CC30" i="11"/>
  <c r="CB30" i="11"/>
  <c r="CA30" i="11"/>
  <c r="BZ30" i="11"/>
  <c r="BY30" i="11"/>
  <c r="BX30" i="11"/>
  <c r="BW30" i="11"/>
  <c r="BV30" i="11"/>
  <c r="BU30" i="11"/>
  <c r="BT30" i="11"/>
  <c r="BS30" i="11"/>
  <c r="BR30" i="11"/>
  <c r="BQ30" i="11"/>
  <c r="BP30" i="11"/>
  <c r="BO30" i="11"/>
  <c r="BN30" i="11"/>
  <c r="BM30" i="11"/>
  <c r="BL30" i="11"/>
  <c r="BK30" i="11"/>
  <c r="BJ30" i="11"/>
  <c r="BI30" i="11"/>
  <c r="BH30" i="11"/>
  <c r="BG30" i="11"/>
  <c r="BF30" i="11"/>
  <c r="BE30" i="11"/>
  <c r="BD30" i="11"/>
  <c r="BC30" i="11"/>
  <c r="BB30" i="11"/>
  <c r="BA30" i="11"/>
  <c r="AZ30" i="11"/>
  <c r="AY30" i="11"/>
  <c r="AX30" i="11"/>
  <c r="AW30" i="11"/>
  <c r="AV30" i="11"/>
  <c r="AU30" i="11"/>
  <c r="AT30" i="11"/>
  <c r="AS30" i="11"/>
  <c r="AR30" i="11"/>
  <c r="AQ30" i="11"/>
  <c r="AP30" i="11"/>
  <c r="AO30" i="11"/>
  <c r="AN30" i="11"/>
  <c r="AM30" i="11"/>
  <c r="AL30" i="11"/>
  <c r="AK30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EF29" i="11"/>
  <c r="EE29" i="11"/>
  <c r="ED29" i="11"/>
  <c r="EC29" i="11"/>
  <c r="EB29" i="11"/>
  <c r="EA29" i="11"/>
  <c r="DZ29" i="11"/>
  <c r="DY29" i="11"/>
  <c r="DX29" i="11"/>
  <c r="DW29" i="11"/>
  <c r="DV29" i="11"/>
  <c r="DU29" i="11"/>
  <c r="DT29" i="11"/>
  <c r="DS29" i="11"/>
  <c r="DR29" i="11"/>
  <c r="DQ29" i="11"/>
  <c r="DP29" i="11"/>
  <c r="DO29" i="11"/>
  <c r="DN29" i="11"/>
  <c r="DM29" i="11"/>
  <c r="DL29" i="11"/>
  <c r="DK29" i="11"/>
  <c r="DJ29" i="11"/>
  <c r="DI29" i="11"/>
  <c r="DH29" i="11"/>
  <c r="DG29" i="11"/>
  <c r="DF29" i="11"/>
  <c r="DE29" i="11"/>
  <c r="DD29" i="11"/>
  <c r="DC29" i="11"/>
  <c r="DB29" i="11"/>
  <c r="DA29" i="11"/>
  <c r="CZ29" i="11"/>
  <c r="CY29" i="11"/>
  <c r="CX29" i="11"/>
  <c r="CW29" i="11"/>
  <c r="CV29" i="11"/>
  <c r="CU29" i="11"/>
  <c r="CT29" i="11"/>
  <c r="CS29" i="11"/>
  <c r="CR29" i="11"/>
  <c r="CQ29" i="11"/>
  <c r="CP29" i="11"/>
  <c r="CO29" i="11"/>
  <c r="CN29" i="11"/>
  <c r="CM29" i="11"/>
  <c r="CL29" i="11"/>
  <c r="CK29" i="11"/>
  <c r="CJ29" i="11"/>
  <c r="CI29" i="11"/>
  <c r="CH29" i="11"/>
  <c r="CG29" i="11"/>
  <c r="CF29" i="11"/>
  <c r="CE29" i="11"/>
  <c r="CD29" i="11"/>
  <c r="CC29" i="11"/>
  <c r="CB29" i="11"/>
  <c r="CA29" i="11"/>
  <c r="BZ29" i="11"/>
  <c r="BY29" i="11"/>
  <c r="BX29" i="11"/>
  <c r="BW29" i="11"/>
  <c r="BV29" i="11"/>
  <c r="BU29" i="11"/>
  <c r="BT29" i="11"/>
  <c r="BS29" i="11"/>
  <c r="BR29" i="11"/>
  <c r="BQ29" i="11"/>
  <c r="BP29" i="11"/>
  <c r="BO29" i="11"/>
  <c r="BN29" i="11"/>
  <c r="BM29" i="11"/>
  <c r="BL29" i="11"/>
  <c r="BK29" i="11"/>
  <c r="BJ29" i="11"/>
  <c r="BI29" i="11"/>
  <c r="BH29" i="11"/>
  <c r="BG29" i="11"/>
  <c r="BF29" i="11"/>
  <c r="BE29" i="11"/>
  <c r="BD29" i="11"/>
  <c r="BC29" i="11"/>
  <c r="BB29" i="11"/>
  <c r="BA29" i="11"/>
  <c r="AZ29" i="11"/>
  <c r="AY29" i="11"/>
  <c r="AX29" i="11"/>
  <c r="AW29" i="11"/>
  <c r="AV29" i="11"/>
  <c r="AU29" i="11"/>
  <c r="AT29" i="11"/>
  <c r="AS29" i="11"/>
  <c r="AR29" i="11"/>
  <c r="AQ29" i="11"/>
  <c r="AP29" i="11"/>
  <c r="AO29" i="11"/>
  <c r="AN29" i="11"/>
  <c r="AM29" i="11"/>
  <c r="AL29" i="11"/>
  <c r="AK29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EF28" i="11"/>
  <c r="EE28" i="11"/>
  <c r="ED28" i="11"/>
  <c r="EC28" i="11"/>
  <c r="EB28" i="11"/>
  <c r="EA28" i="11"/>
  <c r="DZ28" i="11"/>
  <c r="DY28" i="11"/>
  <c r="DX28" i="11"/>
  <c r="DW28" i="11"/>
  <c r="DV28" i="11"/>
  <c r="DU28" i="11"/>
  <c r="DT28" i="11"/>
  <c r="DS28" i="11"/>
  <c r="DR28" i="11"/>
  <c r="DQ28" i="11"/>
  <c r="DP28" i="11"/>
  <c r="DO28" i="11"/>
  <c r="DN28" i="11"/>
  <c r="DM28" i="11"/>
  <c r="DL28" i="11"/>
  <c r="DK28" i="11"/>
  <c r="DJ28" i="11"/>
  <c r="DI28" i="11"/>
  <c r="DH28" i="11"/>
  <c r="DG28" i="11"/>
  <c r="DF28" i="11"/>
  <c r="DE28" i="11"/>
  <c r="DD28" i="11"/>
  <c r="DC28" i="11"/>
  <c r="DB28" i="11"/>
  <c r="DA28" i="11"/>
  <c r="CZ28" i="11"/>
  <c r="CY28" i="11"/>
  <c r="CX28" i="11"/>
  <c r="CW28" i="11"/>
  <c r="CV28" i="11"/>
  <c r="CU28" i="11"/>
  <c r="CT28" i="11"/>
  <c r="CS28" i="11"/>
  <c r="CR28" i="11"/>
  <c r="CQ28" i="11"/>
  <c r="CP28" i="11"/>
  <c r="CO28" i="11"/>
  <c r="CN28" i="11"/>
  <c r="CM28" i="11"/>
  <c r="CL28" i="11"/>
  <c r="CK28" i="11"/>
  <c r="CJ28" i="11"/>
  <c r="CI28" i="11"/>
  <c r="CH28" i="11"/>
  <c r="CG28" i="11"/>
  <c r="CF28" i="11"/>
  <c r="CE28" i="11"/>
  <c r="CD28" i="11"/>
  <c r="CC28" i="11"/>
  <c r="CB28" i="11"/>
  <c r="CA28" i="11"/>
  <c r="BZ28" i="11"/>
  <c r="BY28" i="11"/>
  <c r="BX28" i="11"/>
  <c r="BW28" i="11"/>
  <c r="BV28" i="11"/>
  <c r="BU28" i="11"/>
  <c r="BT28" i="11"/>
  <c r="BS28" i="11"/>
  <c r="BR28" i="11"/>
  <c r="BQ28" i="11"/>
  <c r="BP28" i="11"/>
  <c r="BO28" i="11"/>
  <c r="BN28" i="11"/>
  <c r="BM28" i="11"/>
  <c r="BL28" i="11"/>
  <c r="BK28" i="11"/>
  <c r="BJ28" i="11"/>
  <c r="BI28" i="11"/>
  <c r="BH28" i="11"/>
  <c r="BG28" i="11"/>
  <c r="BF28" i="11"/>
  <c r="BE28" i="11"/>
  <c r="BD28" i="11"/>
  <c r="BC28" i="11"/>
  <c r="BB28" i="11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EF27" i="11"/>
  <c r="EE27" i="11"/>
  <c r="ED27" i="11"/>
  <c r="EC27" i="11"/>
  <c r="EB27" i="11"/>
  <c r="EA27" i="11"/>
  <c r="DZ27" i="11"/>
  <c r="DY27" i="11"/>
  <c r="DX27" i="11"/>
  <c r="DW27" i="11"/>
  <c r="DV27" i="11"/>
  <c r="DU27" i="11"/>
  <c r="DT27" i="11"/>
  <c r="DS27" i="11"/>
  <c r="DR27" i="11"/>
  <c r="DQ27" i="11"/>
  <c r="DP27" i="11"/>
  <c r="DO27" i="11"/>
  <c r="DN27" i="11"/>
  <c r="DM27" i="11"/>
  <c r="DL27" i="11"/>
  <c r="DK27" i="11"/>
  <c r="DJ27" i="11"/>
  <c r="DI27" i="11"/>
  <c r="DH27" i="11"/>
  <c r="DG27" i="11"/>
  <c r="DF27" i="11"/>
  <c r="DE27" i="11"/>
  <c r="DD27" i="11"/>
  <c r="DC27" i="11"/>
  <c r="DB27" i="11"/>
  <c r="DA27" i="11"/>
  <c r="CZ27" i="11"/>
  <c r="CY27" i="11"/>
  <c r="CX27" i="11"/>
  <c r="CW27" i="11"/>
  <c r="CV27" i="11"/>
  <c r="CU27" i="11"/>
  <c r="CT27" i="11"/>
  <c r="CS27" i="11"/>
  <c r="CR27" i="11"/>
  <c r="CQ27" i="11"/>
  <c r="CP27" i="11"/>
  <c r="CO27" i="11"/>
  <c r="CN27" i="11"/>
  <c r="CM27" i="11"/>
  <c r="CL27" i="11"/>
  <c r="CK27" i="11"/>
  <c r="CJ27" i="11"/>
  <c r="CI27" i="11"/>
  <c r="CH27" i="11"/>
  <c r="CG27" i="11"/>
  <c r="CF27" i="11"/>
  <c r="CE27" i="11"/>
  <c r="CD27" i="11"/>
  <c r="CC27" i="11"/>
  <c r="CB27" i="11"/>
  <c r="CA27" i="11"/>
  <c r="BZ27" i="11"/>
  <c r="BY27" i="11"/>
  <c r="BX27" i="11"/>
  <c r="BW27" i="11"/>
  <c r="BV27" i="11"/>
  <c r="BU27" i="11"/>
  <c r="BT27" i="11"/>
  <c r="BS27" i="11"/>
  <c r="BR27" i="11"/>
  <c r="BQ27" i="11"/>
  <c r="BP27" i="11"/>
  <c r="BO27" i="11"/>
  <c r="BN27" i="11"/>
  <c r="BM27" i="11"/>
  <c r="BL27" i="11"/>
  <c r="BK27" i="11"/>
  <c r="BJ27" i="11"/>
  <c r="BI27" i="11"/>
  <c r="BH27" i="11"/>
  <c r="BG27" i="11"/>
  <c r="BF27" i="11"/>
  <c r="BE27" i="11"/>
  <c r="BD27" i="11"/>
  <c r="BC27" i="11"/>
  <c r="BB27" i="11"/>
  <c r="BA27" i="11"/>
  <c r="AZ27" i="11"/>
  <c r="AY27" i="11"/>
  <c r="AX27" i="11"/>
  <c r="AW27" i="11"/>
  <c r="AV27" i="11"/>
  <c r="AU27" i="11"/>
  <c r="AT27" i="11"/>
  <c r="AS27" i="11"/>
  <c r="AR27" i="11"/>
  <c r="AQ27" i="11"/>
  <c r="AP27" i="11"/>
  <c r="AO27" i="11"/>
  <c r="AN27" i="11"/>
  <c r="AM27" i="11"/>
  <c r="AL27" i="11"/>
  <c r="AK27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EF23" i="11"/>
  <c r="EE23" i="11"/>
  <c r="ED23" i="11"/>
  <c r="EC23" i="11"/>
  <c r="EB23" i="11"/>
  <c r="EA23" i="11"/>
  <c r="DZ23" i="11"/>
  <c r="DY23" i="11"/>
  <c r="DX23" i="11"/>
  <c r="DW23" i="11"/>
  <c r="DV23" i="11"/>
  <c r="DU23" i="11"/>
  <c r="DT23" i="11"/>
  <c r="DS23" i="11"/>
  <c r="DR23" i="11"/>
  <c r="DQ23" i="11"/>
  <c r="DP23" i="11"/>
  <c r="DO23" i="11"/>
  <c r="DN23" i="11"/>
  <c r="DM23" i="11"/>
  <c r="DL23" i="11"/>
  <c r="DK23" i="11"/>
  <c r="DJ23" i="11"/>
  <c r="DI23" i="11"/>
  <c r="DH23" i="11"/>
  <c r="DG23" i="11"/>
  <c r="DF23" i="11"/>
  <c r="DE23" i="11"/>
  <c r="DD23" i="11"/>
  <c r="DC23" i="11"/>
  <c r="DB23" i="11"/>
  <c r="DA23" i="11"/>
  <c r="CZ23" i="11"/>
  <c r="CY23" i="11"/>
  <c r="CX23" i="11"/>
  <c r="CW23" i="11"/>
  <c r="CV23" i="11"/>
  <c r="CU23" i="11"/>
  <c r="CT23" i="11"/>
  <c r="CS23" i="11"/>
  <c r="CR23" i="11"/>
  <c r="CQ23" i="11"/>
  <c r="CP23" i="11"/>
  <c r="CO23" i="11"/>
  <c r="CN23" i="11"/>
  <c r="CM23" i="11"/>
  <c r="CL23" i="11"/>
  <c r="CK23" i="11"/>
  <c r="CJ23" i="11"/>
  <c r="CI23" i="11"/>
  <c r="CH23" i="11"/>
  <c r="CG23" i="11"/>
  <c r="CF23" i="11"/>
  <c r="CE23" i="11"/>
  <c r="CD23" i="11"/>
  <c r="CC23" i="11"/>
  <c r="CB23" i="11"/>
  <c r="CA23" i="11"/>
  <c r="BZ23" i="11"/>
  <c r="BY23" i="11"/>
  <c r="BX23" i="11"/>
  <c r="BW23" i="11"/>
  <c r="BV23" i="11"/>
  <c r="BU23" i="11"/>
  <c r="BT23" i="11"/>
  <c r="BS23" i="11"/>
  <c r="BR23" i="11"/>
  <c r="BQ23" i="11"/>
  <c r="BP23" i="11"/>
  <c r="BO23" i="11"/>
  <c r="BN23" i="11"/>
  <c r="BM23" i="11"/>
  <c r="BL23" i="11"/>
  <c r="BK23" i="11"/>
  <c r="BJ23" i="11"/>
  <c r="BI23" i="11"/>
  <c r="BH23" i="11"/>
  <c r="BG23" i="11"/>
  <c r="BF23" i="11"/>
  <c r="BE23" i="11"/>
  <c r="BD23" i="11"/>
  <c r="BC23" i="11"/>
  <c r="BB23" i="11"/>
  <c r="BA23" i="11"/>
  <c r="AZ23" i="11"/>
  <c r="AY23" i="11"/>
  <c r="AX23" i="11"/>
  <c r="AW23" i="11"/>
  <c r="AV23" i="11"/>
  <c r="AU23" i="11"/>
  <c r="AT23" i="11"/>
  <c r="AS23" i="11"/>
  <c r="AR23" i="11"/>
  <c r="AQ23" i="11"/>
  <c r="AP23" i="11"/>
  <c r="AO23" i="11"/>
  <c r="AN23" i="11"/>
  <c r="AM23" i="11"/>
  <c r="AL23" i="11"/>
  <c r="AK23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EF22" i="11"/>
  <c r="EE22" i="11"/>
  <c r="ED22" i="11"/>
  <c r="EC22" i="11"/>
  <c r="EB22" i="11"/>
  <c r="EA22" i="11"/>
  <c r="DZ22" i="11"/>
  <c r="DY22" i="11"/>
  <c r="DX22" i="11"/>
  <c r="DW22" i="11"/>
  <c r="DV22" i="11"/>
  <c r="DU22" i="11"/>
  <c r="DT22" i="11"/>
  <c r="DS22" i="11"/>
  <c r="DR22" i="11"/>
  <c r="DQ22" i="11"/>
  <c r="DP22" i="11"/>
  <c r="DO22" i="11"/>
  <c r="DN22" i="11"/>
  <c r="DM22" i="11"/>
  <c r="DL22" i="11"/>
  <c r="DK22" i="11"/>
  <c r="DJ22" i="11"/>
  <c r="DI22" i="11"/>
  <c r="DH22" i="11"/>
  <c r="DG22" i="11"/>
  <c r="DF22" i="11"/>
  <c r="DE22" i="11"/>
  <c r="DD22" i="11"/>
  <c r="DC22" i="11"/>
  <c r="DB22" i="11"/>
  <c r="DA22" i="11"/>
  <c r="CZ22" i="11"/>
  <c r="CY22" i="11"/>
  <c r="CX22" i="11"/>
  <c r="CW22" i="11"/>
  <c r="CV22" i="11"/>
  <c r="CU22" i="11"/>
  <c r="CT22" i="11"/>
  <c r="CS22" i="11"/>
  <c r="CR22" i="11"/>
  <c r="CQ22" i="11"/>
  <c r="CP22" i="11"/>
  <c r="CO22" i="11"/>
  <c r="CN22" i="11"/>
  <c r="CM22" i="11"/>
  <c r="CL22" i="11"/>
  <c r="CK22" i="11"/>
  <c r="CJ22" i="11"/>
  <c r="CI22" i="11"/>
  <c r="CH22" i="11"/>
  <c r="CG22" i="11"/>
  <c r="CF22" i="11"/>
  <c r="CE22" i="11"/>
  <c r="CD22" i="11"/>
  <c r="CC22" i="11"/>
  <c r="CB22" i="11"/>
  <c r="CA22" i="11"/>
  <c r="BZ22" i="11"/>
  <c r="BY22" i="11"/>
  <c r="BX22" i="11"/>
  <c r="BW22" i="11"/>
  <c r="BV22" i="11"/>
  <c r="BU22" i="11"/>
  <c r="BT22" i="11"/>
  <c r="BS22" i="11"/>
  <c r="BR22" i="11"/>
  <c r="BQ22" i="11"/>
  <c r="BP22" i="11"/>
  <c r="BO22" i="11"/>
  <c r="BN22" i="11"/>
  <c r="BM22" i="11"/>
  <c r="BL22" i="11"/>
  <c r="BK22" i="11"/>
  <c r="BJ22" i="11"/>
  <c r="BI22" i="11"/>
  <c r="BH22" i="11"/>
  <c r="BG22" i="11"/>
  <c r="BF22" i="11"/>
  <c r="BE22" i="11"/>
  <c r="BD22" i="11"/>
  <c r="BC22" i="11"/>
  <c r="BB22" i="11"/>
  <c r="BA22" i="11"/>
  <c r="AZ22" i="11"/>
  <c r="AY22" i="11"/>
  <c r="AX22" i="11"/>
  <c r="AW22" i="11"/>
  <c r="AV22" i="11"/>
  <c r="AU22" i="11"/>
  <c r="AT22" i="11"/>
  <c r="AS22" i="11"/>
  <c r="AR22" i="11"/>
  <c r="AQ22" i="11"/>
  <c r="AP22" i="11"/>
  <c r="AO22" i="11"/>
  <c r="AN22" i="11"/>
  <c r="AM22" i="11"/>
  <c r="AL22" i="11"/>
  <c r="AK22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EF21" i="11"/>
  <c r="EE21" i="11"/>
  <c r="ED21" i="11"/>
  <c r="EC21" i="11"/>
  <c r="EB21" i="11"/>
  <c r="EA21" i="11"/>
  <c r="DZ21" i="11"/>
  <c r="DY21" i="11"/>
  <c r="DX21" i="11"/>
  <c r="DW21" i="11"/>
  <c r="DV21" i="11"/>
  <c r="DU21" i="11"/>
  <c r="DT21" i="11"/>
  <c r="DS21" i="11"/>
  <c r="DR21" i="11"/>
  <c r="DQ21" i="11"/>
  <c r="DP21" i="11"/>
  <c r="DO21" i="11"/>
  <c r="DN21" i="11"/>
  <c r="DM21" i="11"/>
  <c r="DL21" i="11"/>
  <c r="DK21" i="11"/>
  <c r="DJ21" i="11"/>
  <c r="DI21" i="11"/>
  <c r="DH21" i="11"/>
  <c r="DG21" i="11"/>
  <c r="DF21" i="11"/>
  <c r="DE21" i="11"/>
  <c r="DD21" i="11"/>
  <c r="DC21" i="11"/>
  <c r="DB21" i="11"/>
  <c r="DA21" i="11"/>
  <c r="CZ21" i="11"/>
  <c r="CY21" i="11"/>
  <c r="CX21" i="11"/>
  <c r="CW21" i="11"/>
  <c r="CV21" i="11"/>
  <c r="CU21" i="11"/>
  <c r="CT21" i="11"/>
  <c r="CS21" i="11"/>
  <c r="CR21" i="11"/>
  <c r="CQ21" i="11"/>
  <c r="CP21" i="11"/>
  <c r="CO21" i="11"/>
  <c r="CN21" i="11"/>
  <c r="CM21" i="11"/>
  <c r="CL21" i="11"/>
  <c r="CK21" i="11"/>
  <c r="CJ21" i="11"/>
  <c r="CI21" i="11"/>
  <c r="CH21" i="11"/>
  <c r="CG21" i="11"/>
  <c r="CF21" i="11"/>
  <c r="CE21" i="11"/>
  <c r="CD21" i="11"/>
  <c r="CC21" i="11"/>
  <c r="CB21" i="11"/>
  <c r="CA21" i="11"/>
  <c r="BZ21" i="11"/>
  <c r="BY21" i="11"/>
  <c r="BX21" i="11"/>
  <c r="BW21" i="11"/>
  <c r="BV21" i="11"/>
  <c r="BU21" i="11"/>
  <c r="BT21" i="11"/>
  <c r="BS21" i="11"/>
  <c r="BR21" i="11"/>
  <c r="BQ21" i="11"/>
  <c r="BP21" i="11"/>
  <c r="BO21" i="11"/>
  <c r="BN21" i="11"/>
  <c r="BM21" i="11"/>
  <c r="BL21" i="11"/>
  <c r="BK21" i="11"/>
  <c r="BJ21" i="11"/>
  <c r="BI21" i="11"/>
  <c r="BH21" i="11"/>
  <c r="BG21" i="11"/>
  <c r="BF21" i="11"/>
  <c r="BE21" i="11"/>
  <c r="BD21" i="11"/>
  <c r="BC21" i="11"/>
  <c r="BB21" i="11"/>
  <c r="BA21" i="11"/>
  <c r="AZ21" i="11"/>
  <c r="AY21" i="11"/>
  <c r="AX21" i="11"/>
  <c r="AW21" i="11"/>
  <c r="AV21" i="11"/>
  <c r="AU21" i="11"/>
  <c r="AT21" i="11"/>
  <c r="AS21" i="11"/>
  <c r="AR21" i="11"/>
  <c r="AQ21" i="11"/>
  <c r="AP21" i="11"/>
  <c r="AO21" i="11"/>
  <c r="AN21" i="11"/>
  <c r="AM21" i="11"/>
  <c r="AL21" i="11"/>
  <c r="AK21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EF20" i="11"/>
  <c r="EE20" i="11"/>
  <c r="ED20" i="11"/>
  <c r="EC20" i="11"/>
  <c r="EB20" i="11"/>
  <c r="EA20" i="11"/>
  <c r="DZ20" i="11"/>
  <c r="DY20" i="11"/>
  <c r="DX20" i="11"/>
  <c r="DW20" i="11"/>
  <c r="DV20" i="11"/>
  <c r="DU20" i="11"/>
  <c r="DT20" i="11"/>
  <c r="DS20" i="11"/>
  <c r="DR20" i="11"/>
  <c r="DQ20" i="11"/>
  <c r="DP20" i="11"/>
  <c r="DO20" i="11"/>
  <c r="DN20" i="11"/>
  <c r="DM20" i="11"/>
  <c r="DL20" i="11"/>
  <c r="DK20" i="11"/>
  <c r="DJ20" i="11"/>
  <c r="DI20" i="11"/>
  <c r="DH20" i="11"/>
  <c r="DG20" i="11"/>
  <c r="DF20" i="11"/>
  <c r="DE20" i="11"/>
  <c r="DD20" i="11"/>
  <c r="DC20" i="11"/>
  <c r="DB20" i="11"/>
  <c r="DA20" i="11"/>
  <c r="CZ20" i="11"/>
  <c r="CY20" i="11"/>
  <c r="CX20" i="11"/>
  <c r="CW20" i="11"/>
  <c r="CV20" i="11"/>
  <c r="CU20" i="11"/>
  <c r="CT20" i="11"/>
  <c r="CS20" i="11"/>
  <c r="CR20" i="11"/>
  <c r="CQ20" i="11"/>
  <c r="CP20" i="11"/>
  <c r="CO20" i="11"/>
  <c r="CN20" i="11"/>
  <c r="CM20" i="11"/>
  <c r="CL20" i="11"/>
  <c r="CK20" i="11"/>
  <c r="CJ20" i="11"/>
  <c r="CI20" i="11"/>
  <c r="CH20" i="11"/>
  <c r="CG20" i="11"/>
  <c r="CF20" i="11"/>
  <c r="CE20" i="11"/>
  <c r="CD20" i="11"/>
  <c r="CC20" i="11"/>
  <c r="CB20" i="11"/>
  <c r="CA20" i="11"/>
  <c r="BZ20" i="11"/>
  <c r="BY20" i="11"/>
  <c r="BX20" i="11"/>
  <c r="BW20" i="11"/>
  <c r="BV20" i="11"/>
  <c r="BU20" i="11"/>
  <c r="BT20" i="11"/>
  <c r="BS20" i="11"/>
  <c r="BR20" i="11"/>
  <c r="BQ20" i="11"/>
  <c r="BP20" i="11"/>
  <c r="BO20" i="11"/>
  <c r="BN20" i="11"/>
  <c r="BM20" i="11"/>
  <c r="BL20" i="11"/>
  <c r="BK20" i="11"/>
  <c r="BJ20" i="11"/>
  <c r="BI20" i="11"/>
  <c r="BH20" i="11"/>
  <c r="BG20" i="11"/>
  <c r="BF20" i="11"/>
  <c r="BE20" i="11"/>
  <c r="BD20" i="11"/>
  <c r="BC20" i="11"/>
  <c r="BB20" i="11"/>
  <c r="BA20" i="11"/>
  <c r="AZ20" i="11"/>
  <c r="AY20" i="11"/>
  <c r="AX20" i="11"/>
  <c r="AW20" i="11"/>
  <c r="AV20" i="11"/>
  <c r="AU20" i="11"/>
  <c r="AT20" i="11"/>
  <c r="AS20" i="11"/>
  <c r="AR20" i="11"/>
  <c r="AQ20" i="11"/>
  <c r="AP20" i="11"/>
  <c r="AO20" i="11"/>
  <c r="AN20" i="11"/>
  <c r="AM20" i="11"/>
  <c r="AL20" i="11"/>
  <c r="AK20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EF19" i="11"/>
  <c r="EE19" i="11"/>
  <c r="ED19" i="11"/>
  <c r="EC19" i="11"/>
  <c r="EB19" i="11"/>
  <c r="EA19" i="11"/>
  <c r="DZ19" i="11"/>
  <c r="DY19" i="11"/>
  <c r="DX19" i="11"/>
  <c r="DW19" i="11"/>
  <c r="DV19" i="11"/>
  <c r="DU19" i="11"/>
  <c r="DT19" i="11"/>
  <c r="DS19" i="11"/>
  <c r="DR19" i="11"/>
  <c r="DQ19" i="11"/>
  <c r="DP19" i="11"/>
  <c r="DO19" i="11"/>
  <c r="DN19" i="11"/>
  <c r="DM19" i="11"/>
  <c r="DL19" i="11"/>
  <c r="DK19" i="11"/>
  <c r="DJ19" i="11"/>
  <c r="DI19" i="11"/>
  <c r="DH19" i="11"/>
  <c r="DG19" i="11"/>
  <c r="DF19" i="11"/>
  <c r="DE19" i="11"/>
  <c r="DD19" i="11"/>
  <c r="DC19" i="11"/>
  <c r="DB19" i="11"/>
  <c r="DA19" i="11"/>
  <c r="CZ19" i="11"/>
  <c r="CY19" i="11"/>
  <c r="CX19" i="11"/>
  <c r="CW19" i="11"/>
  <c r="CV19" i="11"/>
  <c r="CU19" i="11"/>
  <c r="CT19" i="11"/>
  <c r="CS19" i="11"/>
  <c r="CR19" i="11"/>
  <c r="CQ19" i="11"/>
  <c r="CP19" i="11"/>
  <c r="CO19" i="11"/>
  <c r="CN19" i="11"/>
  <c r="CM19" i="11"/>
  <c r="CL19" i="11"/>
  <c r="CK19" i="11"/>
  <c r="CJ19" i="11"/>
  <c r="CI19" i="11"/>
  <c r="CH19" i="11"/>
  <c r="CG19" i="11"/>
  <c r="CF19" i="11"/>
  <c r="CE19" i="11"/>
  <c r="CD19" i="11"/>
  <c r="CC19" i="11"/>
  <c r="CB19" i="11"/>
  <c r="CA19" i="11"/>
  <c r="BZ19" i="11"/>
  <c r="BY19" i="11"/>
  <c r="BX19" i="11"/>
  <c r="BW19" i="11"/>
  <c r="BV19" i="11"/>
  <c r="BU19" i="11"/>
  <c r="BT19" i="11"/>
  <c r="BS19" i="11"/>
  <c r="BR19" i="11"/>
  <c r="BQ19" i="11"/>
  <c r="BP19" i="11"/>
  <c r="BO19" i="11"/>
  <c r="BN19" i="11"/>
  <c r="BM19" i="11"/>
  <c r="BL19" i="11"/>
  <c r="BK19" i="11"/>
  <c r="BJ19" i="11"/>
  <c r="BI19" i="11"/>
  <c r="BH19" i="11"/>
  <c r="BG19" i="11"/>
  <c r="BF19" i="11"/>
  <c r="BE19" i="11"/>
  <c r="BD19" i="11"/>
  <c r="BC19" i="11"/>
  <c r="BB19" i="11"/>
  <c r="BA19" i="11"/>
  <c r="AZ19" i="11"/>
  <c r="AY19" i="11"/>
  <c r="AX19" i="11"/>
  <c r="AW19" i="11"/>
  <c r="AV19" i="11"/>
  <c r="AU19" i="11"/>
  <c r="AT19" i="11"/>
  <c r="AS19" i="11"/>
  <c r="AR19" i="11"/>
  <c r="AQ19" i="11"/>
  <c r="AP19" i="11"/>
  <c r="AO19" i="11"/>
  <c r="AN19" i="11"/>
  <c r="AM19" i="11"/>
  <c r="AL19" i="11"/>
  <c r="AK19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EH27" i="9"/>
  <c r="EG27" i="9"/>
  <c r="EI27" i="9" s="1"/>
  <c r="EH26" i="9"/>
  <c r="EG26" i="9"/>
  <c r="EI26" i="9" s="1"/>
  <c r="EH25" i="9"/>
  <c r="EG25" i="9"/>
  <c r="EH24" i="9"/>
  <c r="EG24" i="9"/>
  <c r="EI24" i="9" s="1"/>
  <c r="EH23" i="9"/>
  <c r="EG23" i="9"/>
  <c r="EI23" i="9" s="1"/>
  <c r="EH22" i="9"/>
  <c r="EG22" i="9"/>
  <c r="EH21" i="9"/>
  <c r="EG21" i="9"/>
  <c r="EH20" i="9"/>
  <c r="EG20" i="9"/>
  <c r="EI20" i="9" s="1"/>
  <c r="EH19" i="9"/>
  <c r="EG19" i="9"/>
  <c r="EH18" i="9"/>
  <c r="EG18" i="9"/>
  <c r="EH17" i="9"/>
  <c r="EG17" i="9"/>
  <c r="EH16" i="9"/>
  <c r="EG16" i="9"/>
  <c r="EI16" i="9" s="1"/>
  <c r="EH15" i="9"/>
  <c r="EG15" i="9"/>
  <c r="EH14" i="9"/>
  <c r="EG14" i="9"/>
  <c r="EG18" i="8" a="1"/>
  <c r="EG18" i="8" s="1"/>
  <c r="EF18" i="8" a="1"/>
  <c r="EF18" i="8" s="1"/>
  <c r="EE18" i="8" a="1"/>
  <c r="EE18" i="8" s="1"/>
  <c r="ED18" i="8" a="1"/>
  <c r="ED18" i="8" s="1"/>
  <c r="EC18" i="8" a="1"/>
  <c r="EC18" i="8" s="1"/>
  <c r="EB18" i="8" a="1"/>
  <c r="EB18" i="8" s="1"/>
  <c r="EA18" i="8" a="1"/>
  <c r="EA18" i="8" s="1"/>
  <c r="DZ18" i="8" a="1"/>
  <c r="DZ18" i="8" s="1"/>
  <c r="DY18" i="8" a="1"/>
  <c r="DY18" i="8" s="1"/>
  <c r="DX18" i="8" a="1"/>
  <c r="DX18" i="8" s="1"/>
  <c r="DW18" i="8" a="1"/>
  <c r="DW18" i="8" s="1"/>
  <c r="DV18" i="8" a="1"/>
  <c r="DV18" i="8" s="1"/>
  <c r="DU18" i="8" a="1"/>
  <c r="DU18" i="8" s="1"/>
  <c r="DT18" i="8" a="1"/>
  <c r="DT18" i="8" s="1"/>
  <c r="DS18" i="8" a="1"/>
  <c r="DS18" i="8" s="1"/>
  <c r="DR18" i="8" a="1"/>
  <c r="DR18" i="8" s="1"/>
  <c r="DQ18" i="8" a="1"/>
  <c r="DQ18" i="8" s="1"/>
  <c r="DP18" i="8" a="1"/>
  <c r="DP18" i="8" s="1"/>
  <c r="DO18" i="8" a="1"/>
  <c r="DO18" i="8" s="1"/>
  <c r="DN18" i="8" a="1"/>
  <c r="DN18" i="8" s="1"/>
  <c r="DM18" i="8" a="1"/>
  <c r="DM18" i="8" s="1"/>
  <c r="DL18" i="8" a="1"/>
  <c r="DL18" i="8" s="1"/>
  <c r="DK18" i="8" a="1"/>
  <c r="DK18" i="8" s="1"/>
  <c r="DJ18" i="8" a="1"/>
  <c r="DJ18" i="8" s="1"/>
  <c r="DI18" i="8" a="1"/>
  <c r="DI18" i="8" s="1"/>
  <c r="DH18" i="8" a="1"/>
  <c r="DH18" i="8" s="1"/>
  <c r="DG18" i="8" a="1"/>
  <c r="DG18" i="8" s="1"/>
  <c r="DF18" i="8" a="1"/>
  <c r="DF18" i="8" s="1"/>
  <c r="DE18" i="8" a="1"/>
  <c r="DE18" i="8" s="1"/>
  <c r="DD18" i="8" a="1"/>
  <c r="DD18" i="8" s="1"/>
  <c r="DC18" i="8" a="1"/>
  <c r="DC18" i="8" s="1"/>
  <c r="DB18" i="8" a="1"/>
  <c r="DB18" i="8" s="1"/>
  <c r="DA18" i="8" a="1"/>
  <c r="DA18" i="8" s="1"/>
  <c r="CZ18" i="8" a="1"/>
  <c r="CZ18" i="8" s="1"/>
  <c r="CY18" i="8" a="1"/>
  <c r="CY18" i="8" s="1"/>
  <c r="CX18" i="8" a="1"/>
  <c r="CX18" i="8" s="1"/>
  <c r="CW18" i="8" a="1"/>
  <c r="CW18" i="8" s="1"/>
  <c r="CV18" i="8" a="1"/>
  <c r="CV18" i="8" s="1"/>
  <c r="CU18" i="8" a="1"/>
  <c r="CU18" i="8" s="1"/>
  <c r="CT18" i="8" a="1"/>
  <c r="CT18" i="8" s="1"/>
  <c r="CS18" i="8" a="1"/>
  <c r="CS18" i="8" s="1"/>
  <c r="CR18" i="8" a="1"/>
  <c r="CR18" i="8" s="1"/>
  <c r="CQ18" i="8" a="1"/>
  <c r="CQ18" i="8" s="1"/>
  <c r="CP18" i="8" a="1"/>
  <c r="CP18" i="8" s="1"/>
  <c r="CO18" i="8" a="1"/>
  <c r="CO18" i="8" s="1"/>
  <c r="CN18" i="8" a="1"/>
  <c r="CN18" i="8" s="1"/>
  <c r="CM18" i="8" a="1"/>
  <c r="CM18" i="8" s="1"/>
  <c r="CL18" i="8" a="1"/>
  <c r="CK18" i="8" a="1"/>
  <c r="CK18" i="8" s="1"/>
  <c r="CJ18" i="8" a="1"/>
  <c r="CJ18" i="8" s="1"/>
  <c r="CI18" i="8" a="1"/>
  <c r="CI18" i="8" s="1"/>
  <c r="CH18" i="8" a="1"/>
  <c r="CH18" i="8" s="1"/>
  <c r="CG18" i="8" a="1"/>
  <c r="CG18" i="8" s="1"/>
  <c r="CF18" i="8" a="1"/>
  <c r="CF18" i="8" s="1"/>
  <c r="CE18" i="8" a="1"/>
  <c r="CE18" i="8" s="1"/>
  <c r="CD18" i="8" a="1"/>
  <c r="CD18" i="8" s="1"/>
  <c r="CC18" i="8" a="1"/>
  <c r="CC18" i="8" s="1"/>
  <c r="CB18" i="8" a="1"/>
  <c r="CB18" i="8" s="1"/>
  <c r="CA18" i="8" a="1"/>
  <c r="CA18" i="8" s="1"/>
  <c r="BZ18" i="8" a="1"/>
  <c r="BZ18" i="8" s="1"/>
  <c r="BY18" i="8" a="1"/>
  <c r="BY18" i="8" s="1"/>
  <c r="BX18" i="8" a="1"/>
  <c r="BX18" i="8" s="1"/>
  <c r="BW18" i="8" a="1"/>
  <c r="BW18" i="8" s="1"/>
  <c r="BV18" i="8" a="1"/>
  <c r="BV18" i="8" s="1"/>
  <c r="BU18" i="8" a="1"/>
  <c r="BU18" i="8" s="1"/>
  <c r="BT18" i="8" a="1"/>
  <c r="BT18" i="8" s="1"/>
  <c r="BS18" i="8" a="1"/>
  <c r="BS18" i="8" s="1"/>
  <c r="BR18" i="8" a="1"/>
  <c r="BR18" i="8" s="1"/>
  <c r="BQ18" i="8" a="1"/>
  <c r="BQ18" i="8" s="1"/>
  <c r="BP18" i="8" a="1"/>
  <c r="BP18" i="8" s="1"/>
  <c r="BO18" i="8" a="1"/>
  <c r="BO18" i="8" s="1"/>
  <c r="BN18" i="8" a="1"/>
  <c r="BN18" i="8" s="1"/>
  <c r="BM18" i="8" a="1"/>
  <c r="BM18" i="8" s="1"/>
  <c r="BL18" i="8" a="1"/>
  <c r="BL18" i="8" s="1"/>
  <c r="BK18" i="8" a="1"/>
  <c r="BK18" i="8" s="1"/>
  <c r="BJ18" i="8" a="1"/>
  <c r="BJ18" i="8" s="1"/>
  <c r="BI18" i="8" a="1"/>
  <c r="BI18" i="8" s="1"/>
  <c r="BH18" i="8" a="1"/>
  <c r="BH18" i="8" s="1"/>
  <c r="BG18" i="8" a="1"/>
  <c r="BG18" i="8" s="1"/>
  <c r="BF18" i="8" a="1"/>
  <c r="BF18" i="8" s="1"/>
  <c r="BE18" i="8" a="1"/>
  <c r="BE18" i="8" s="1"/>
  <c r="BD18" i="8" a="1"/>
  <c r="BD18" i="8" s="1"/>
  <c r="BC18" i="8" a="1"/>
  <c r="BC18" i="8" s="1"/>
  <c r="BB18" i="8" a="1"/>
  <c r="BB18" i="8" s="1"/>
  <c r="BA18" i="8" a="1"/>
  <c r="BA18" i="8" s="1"/>
  <c r="AZ18" i="8" a="1"/>
  <c r="AZ18" i="8" s="1"/>
  <c r="AY18" i="8" a="1"/>
  <c r="AY18" i="8" s="1"/>
  <c r="AX18" i="8" a="1"/>
  <c r="AX18" i="8" s="1"/>
  <c r="AW18" i="8" a="1"/>
  <c r="AW18" i="8" s="1"/>
  <c r="AV18" i="8" a="1"/>
  <c r="AV18" i="8" s="1"/>
  <c r="AU18" i="8" a="1"/>
  <c r="AU18" i="8" s="1"/>
  <c r="AT18" i="8" a="1"/>
  <c r="AT18" i="8" s="1"/>
  <c r="AS18" i="8" a="1"/>
  <c r="AS18" i="8" s="1"/>
  <c r="AR18" i="8" a="1"/>
  <c r="AR18" i="8" s="1"/>
  <c r="AQ18" i="8" a="1"/>
  <c r="AQ18" i="8" s="1"/>
  <c r="AP18" i="8" a="1"/>
  <c r="AP18" i="8" s="1"/>
  <c r="AO18" i="8" a="1"/>
  <c r="AO18" i="8" s="1"/>
  <c r="AN18" i="8" a="1"/>
  <c r="AN18" i="8" s="1"/>
  <c r="AM18" i="8" a="1"/>
  <c r="AM18" i="8" s="1"/>
  <c r="AL18" i="8" a="1"/>
  <c r="AL18" i="8" s="1"/>
  <c r="AK18" i="8" a="1"/>
  <c r="AK18" i="8" s="1"/>
  <c r="AJ18" i="8" a="1"/>
  <c r="AJ18" i="8" s="1"/>
  <c r="AI18" i="8" a="1"/>
  <c r="AI18" i="8" s="1"/>
  <c r="AH18" i="8" a="1"/>
  <c r="AH18" i="8" s="1"/>
  <c r="AG18" i="8" a="1"/>
  <c r="AG18" i="8" s="1"/>
  <c r="AF18" i="8" a="1"/>
  <c r="AF18" i="8" s="1"/>
  <c r="AE18" i="8" a="1"/>
  <c r="AE18" i="8" s="1"/>
  <c r="AD18" i="8" a="1"/>
  <c r="AD18" i="8" s="1"/>
  <c r="AC18" i="8" a="1"/>
  <c r="AC18" i="8" s="1"/>
  <c r="AB18" i="8" a="1"/>
  <c r="AA18" i="8" a="1"/>
  <c r="AA18" i="8" s="1"/>
  <c r="Z18" i="8" a="1"/>
  <c r="Z18" i="8" s="1"/>
  <c r="Y18" i="8" a="1"/>
  <c r="Y18" i="8" s="1"/>
  <c r="X18" i="8" a="1"/>
  <c r="X18" i="8" s="1"/>
  <c r="W18" i="8" a="1"/>
  <c r="W18" i="8" s="1"/>
  <c r="V18" i="8" a="1"/>
  <c r="V18" i="8" s="1"/>
  <c r="U18" i="8" a="1"/>
  <c r="U18" i="8" s="1"/>
  <c r="T18" i="8" a="1"/>
  <c r="T18" i="8" s="1"/>
  <c r="S18" i="8" a="1"/>
  <c r="S18" i="8" s="1"/>
  <c r="R18" i="8" a="1"/>
  <c r="R18" i="8" s="1"/>
  <c r="Q18" i="8" a="1"/>
  <c r="Q18" i="8" s="1"/>
  <c r="P18" i="8" a="1"/>
  <c r="P18" i="8" s="1"/>
  <c r="O18" i="8" a="1"/>
  <c r="O18" i="8" s="1"/>
  <c r="N18" i="8" a="1"/>
  <c r="N18" i="8" s="1"/>
  <c r="M18" i="8" a="1"/>
  <c r="M18" i="8" s="1"/>
  <c r="L18" i="8" a="1"/>
  <c r="L18" i="8" s="1"/>
  <c r="K18" i="8" a="1"/>
  <c r="K18" i="8" s="1"/>
  <c r="J18" i="8" a="1"/>
  <c r="J18" i="8" s="1"/>
  <c r="I18" i="8" a="1"/>
  <c r="I18" i="8" s="1"/>
  <c r="H18" i="8" a="1"/>
  <c r="H18" i="8" s="1"/>
  <c r="G18" i="8" a="1"/>
  <c r="G18" i="8" s="1"/>
  <c r="F18" i="8" a="1"/>
  <c r="F18" i="8" s="1"/>
  <c r="E18" i="8" a="1"/>
  <c r="E18" i="8" s="1"/>
  <c r="D18" i="8" a="1"/>
  <c r="D18" i="8" s="1"/>
  <c r="EG17" i="8" a="1"/>
  <c r="EG17" i="8" s="1"/>
  <c r="EF17" i="8" a="1"/>
  <c r="EF17" i="8" s="1"/>
  <c r="EE17" i="8" a="1"/>
  <c r="EE17" i="8" s="1"/>
  <c r="ED17" i="8" a="1"/>
  <c r="ED17" i="8" s="1"/>
  <c r="EC17" i="8" a="1"/>
  <c r="EC17" i="8" s="1"/>
  <c r="EB17" i="8" a="1"/>
  <c r="EB17" i="8" s="1"/>
  <c r="EA17" i="8" a="1"/>
  <c r="EA17" i="8" s="1"/>
  <c r="DZ17" i="8" a="1"/>
  <c r="DZ17" i="8" s="1"/>
  <c r="DY17" i="8" a="1"/>
  <c r="DY17" i="8" s="1"/>
  <c r="DX17" i="8" a="1"/>
  <c r="DX17" i="8" s="1"/>
  <c r="DW17" i="8" a="1"/>
  <c r="DW17" i="8" s="1"/>
  <c r="DV17" i="8" a="1"/>
  <c r="DV17" i="8" s="1"/>
  <c r="DU17" i="8" a="1"/>
  <c r="DU17" i="8" s="1"/>
  <c r="DT17" i="8" a="1"/>
  <c r="DT17" i="8" s="1"/>
  <c r="DS17" i="8" a="1"/>
  <c r="DS17" i="8" s="1"/>
  <c r="DR17" i="8" a="1"/>
  <c r="DR17" i="8" s="1"/>
  <c r="DQ17" i="8" a="1"/>
  <c r="DQ17" i="8" s="1"/>
  <c r="DP17" i="8" a="1"/>
  <c r="DP17" i="8" s="1"/>
  <c r="DO17" i="8" a="1"/>
  <c r="DO17" i="8" s="1"/>
  <c r="DN17" i="8" a="1"/>
  <c r="DN17" i="8" s="1"/>
  <c r="DM17" i="8" a="1"/>
  <c r="DM17" i="8" s="1"/>
  <c r="DL17" i="8" a="1"/>
  <c r="DL17" i="8" s="1"/>
  <c r="DK17" i="8" a="1"/>
  <c r="DK17" i="8" s="1"/>
  <c r="DJ17" i="8" a="1"/>
  <c r="DJ17" i="8" s="1"/>
  <c r="DI17" i="8" a="1"/>
  <c r="DI17" i="8" s="1"/>
  <c r="DH17" i="8" a="1"/>
  <c r="DH17" i="8" s="1"/>
  <c r="DG17" i="8" a="1"/>
  <c r="DG17" i="8" s="1"/>
  <c r="DF17" i="8" a="1"/>
  <c r="DF17" i="8" s="1"/>
  <c r="DE17" i="8" a="1"/>
  <c r="DE17" i="8" s="1"/>
  <c r="DD17" i="8" a="1"/>
  <c r="DD17" i="8" s="1"/>
  <c r="DC17" i="8" a="1"/>
  <c r="DC17" i="8" s="1"/>
  <c r="DB17" i="8" a="1"/>
  <c r="DB17" i="8" s="1"/>
  <c r="DA17" i="8" a="1"/>
  <c r="DA17" i="8" s="1"/>
  <c r="CZ17" i="8" a="1"/>
  <c r="CZ17" i="8" s="1"/>
  <c r="CY17" i="8" a="1"/>
  <c r="CY17" i="8" s="1"/>
  <c r="CX17" i="8" a="1"/>
  <c r="CX17" i="8" s="1"/>
  <c r="CW17" i="8" a="1"/>
  <c r="CW17" i="8" s="1"/>
  <c r="CV17" i="8" a="1"/>
  <c r="CV17" i="8" s="1"/>
  <c r="CU17" i="8" a="1"/>
  <c r="CU17" i="8" s="1"/>
  <c r="CT17" i="8" a="1"/>
  <c r="CT17" i="8" s="1"/>
  <c r="CS17" i="8" a="1"/>
  <c r="CS17" i="8" s="1"/>
  <c r="CR17" i="8" a="1"/>
  <c r="CR17" i="8" s="1"/>
  <c r="CQ17" i="8" a="1"/>
  <c r="CQ17" i="8" s="1"/>
  <c r="CP17" i="8" a="1"/>
  <c r="CP17" i="8" s="1"/>
  <c r="CO17" i="8" a="1"/>
  <c r="CO17" i="8" s="1"/>
  <c r="CN17" i="8" a="1"/>
  <c r="CN17" i="8" s="1"/>
  <c r="CM17" i="8" a="1"/>
  <c r="CM17" i="8" s="1"/>
  <c r="CL17" i="8" a="1"/>
  <c r="CL17" i="8" s="1"/>
  <c r="CK17" i="8" a="1"/>
  <c r="CK17" i="8" s="1"/>
  <c r="CJ17" i="8" a="1"/>
  <c r="CJ17" i="8" s="1"/>
  <c r="CI17" i="8" a="1"/>
  <c r="CI17" i="8" s="1"/>
  <c r="CH17" i="8" a="1"/>
  <c r="CH17" i="8" s="1"/>
  <c r="CG17" i="8" a="1"/>
  <c r="CG17" i="8" s="1"/>
  <c r="CF17" i="8" a="1"/>
  <c r="CF17" i="8" s="1"/>
  <c r="CE17" i="8" a="1"/>
  <c r="CE17" i="8" s="1"/>
  <c r="CD17" i="8" a="1"/>
  <c r="CD17" i="8" s="1"/>
  <c r="CC17" i="8" a="1"/>
  <c r="CC17" i="8" s="1"/>
  <c r="CB17" i="8" a="1"/>
  <c r="CB17" i="8" s="1"/>
  <c r="CA17" i="8" a="1"/>
  <c r="CA17" i="8" s="1"/>
  <c r="BZ17" i="8" a="1"/>
  <c r="BZ17" i="8" s="1"/>
  <c r="BY17" i="8" a="1"/>
  <c r="BY17" i="8" s="1"/>
  <c r="BX17" i="8" a="1"/>
  <c r="BX17" i="8" s="1"/>
  <c r="BW17" i="8" a="1"/>
  <c r="BW17" i="8" s="1"/>
  <c r="BV17" i="8" a="1"/>
  <c r="BV17" i="8" s="1"/>
  <c r="BU17" i="8" a="1"/>
  <c r="BU17" i="8" s="1"/>
  <c r="BT17" i="8" a="1"/>
  <c r="BT17" i="8" s="1"/>
  <c r="BS17" i="8" a="1"/>
  <c r="BS17" i="8" s="1"/>
  <c r="BR17" i="8" a="1"/>
  <c r="BR17" i="8" s="1"/>
  <c r="BQ17" i="8" a="1"/>
  <c r="BQ17" i="8" s="1"/>
  <c r="BP17" i="8" a="1"/>
  <c r="BP17" i="8" s="1"/>
  <c r="BO17" i="8" a="1"/>
  <c r="BO17" i="8" s="1"/>
  <c r="BN17" i="8" a="1"/>
  <c r="BN17" i="8" s="1"/>
  <c r="BM17" i="8" a="1"/>
  <c r="BM17" i="8" s="1"/>
  <c r="BL17" i="8" a="1"/>
  <c r="BL17" i="8" s="1"/>
  <c r="BK17" i="8" a="1"/>
  <c r="BK17" i="8" s="1"/>
  <c r="BJ17" i="8" a="1"/>
  <c r="BJ17" i="8" s="1"/>
  <c r="BI17" i="8" a="1"/>
  <c r="BI17" i="8" s="1"/>
  <c r="BH17" i="8" a="1"/>
  <c r="BH17" i="8" s="1"/>
  <c r="BG17" i="8" a="1"/>
  <c r="BG17" i="8" s="1"/>
  <c r="BF17" i="8" a="1"/>
  <c r="BF17" i="8" s="1"/>
  <c r="BE17" i="8" a="1"/>
  <c r="BE17" i="8" s="1"/>
  <c r="BD17" i="8" a="1"/>
  <c r="BD17" i="8" s="1"/>
  <c r="BC17" i="8" a="1"/>
  <c r="BC17" i="8" s="1"/>
  <c r="BB17" i="8" a="1"/>
  <c r="BB17" i="8" s="1"/>
  <c r="BA17" i="8" a="1"/>
  <c r="BA17" i="8" s="1"/>
  <c r="AZ17" i="8" a="1"/>
  <c r="AZ17" i="8" s="1"/>
  <c r="AY17" i="8" a="1"/>
  <c r="AY17" i="8" s="1"/>
  <c r="AX17" i="8" a="1"/>
  <c r="AX17" i="8" s="1"/>
  <c r="AW17" i="8" a="1"/>
  <c r="AW17" i="8" s="1"/>
  <c r="AV17" i="8" a="1"/>
  <c r="AV17" i="8" s="1"/>
  <c r="AU17" i="8" a="1"/>
  <c r="AU17" i="8" s="1"/>
  <c r="AT17" i="8" a="1"/>
  <c r="AT17" i="8" s="1"/>
  <c r="AS17" i="8" a="1"/>
  <c r="AS17" i="8" s="1"/>
  <c r="AR17" i="8" a="1"/>
  <c r="AR17" i="8" s="1"/>
  <c r="AQ17" i="8" a="1"/>
  <c r="AQ17" i="8" s="1"/>
  <c r="AP17" i="8" a="1"/>
  <c r="AP17" i="8" s="1"/>
  <c r="AO17" i="8" a="1"/>
  <c r="AO17" i="8" s="1"/>
  <c r="AN17" i="8" a="1"/>
  <c r="AN17" i="8" s="1"/>
  <c r="AM17" i="8" a="1"/>
  <c r="AM17" i="8" s="1"/>
  <c r="AL17" i="8" a="1"/>
  <c r="AL17" i="8" s="1"/>
  <c r="AK17" i="8" a="1"/>
  <c r="AK17" i="8" s="1"/>
  <c r="AJ17" i="8" a="1"/>
  <c r="AJ17" i="8" s="1"/>
  <c r="AI17" i="8" a="1"/>
  <c r="AI17" i="8" s="1"/>
  <c r="AH17" i="8" a="1"/>
  <c r="AH17" i="8" s="1"/>
  <c r="AG17" i="8" a="1"/>
  <c r="AG17" i="8" s="1"/>
  <c r="AF17" i="8" a="1"/>
  <c r="AF17" i="8" s="1"/>
  <c r="AE17" i="8" a="1"/>
  <c r="AE17" i="8" s="1"/>
  <c r="AD17" i="8" a="1"/>
  <c r="AD17" i="8" s="1"/>
  <c r="AC17" i="8" a="1"/>
  <c r="AC17" i="8" s="1"/>
  <c r="AB17" i="8" a="1"/>
  <c r="AB17" i="8" s="1"/>
  <c r="AA17" i="8" a="1"/>
  <c r="AA17" i="8" s="1"/>
  <c r="Z17" i="8" a="1"/>
  <c r="Z17" i="8" s="1"/>
  <c r="Y17" i="8" a="1"/>
  <c r="Y17" i="8" s="1"/>
  <c r="X17" i="8" a="1"/>
  <c r="X17" i="8" s="1"/>
  <c r="W17" i="8" a="1"/>
  <c r="W17" i="8" s="1"/>
  <c r="V17" i="8" a="1"/>
  <c r="V17" i="8" s="1"/>
  <c r="U17" i="8" a="1"/>
  <c r="U17" i="8" s="1"/>
  <c r="T17" i="8" a="1"/>
  <c r="T17" i="8" s="1"/>
  <c r="S17" i="8" a="1"/>
  <c r="S17" i="8" s="1"/>
  <c r="R17" i="8" a="1"/>
  <c r="R17" i="8" s="1"/>
  <c r="Q17" i="8" a="1"/>
  <c r="Q17" i="8" s="1"/>
  <c r="P17" i="8" a="1"/>
  <c r="P17" i="8" s="1"/>
  <c r="O17" i="8" a="1"/>
  <c r="O17" i="8" s="1"/>
  <c r="N17" i="8" a="1"/>
  <c r="N17" i="8" s="1"/>
  <c r="M17" i="8" a="1"/>
  <c r="M17" i="8" s="1"/>
  <c r="L17" i="8" a="1"/>
  <c r="L17" i="8" s="1"/>
  <c r="K17" i="8" a="1"/>
  <c r="K17" i="8" s="1"/>
  <c r="J17" i="8" a="1"/>
  <c r="J17" i="8" s="1"/>
  <c r="I17" i="8" a="1"/>
  <c r="I17" i="8" s="1"/>
  <c r="H17" i="8" a="1"/>
  <c r="H17" i="8" s="1"/>
  <c r="G17" i="8" a="1"/>
  <c r="G17" i="8" s="1"/>
  <c r="F17" i="8" a="1"/>
  <c r="F17" i="8" s="1"/>
  <c r="E17" i="8" a="1"/>
  <c r="E17" i="8" s="1"/>
  <c r="D17" i="8" a="1"/>
  <c r="D17" i="8" s="1"/>
  <c r="EG16" i="8" a="1"/>
  <c r="EG16" i="8" s="1"/>
  <c r="EF16" i="8" a="1"/>
  <c r="EF16" i="8" s="1"/>
  <c r="EE16" i="8" a="1"/>
  <c r="EE16" i="8" s="1"/>
  <c r="ED16" i="8" a="1"/>
  <c r="ED16" i="8" s="1"/>
  <c r="EC16" i="8" a="1"/>
  <c r="EC16" i="8" s="1"/>
  <c r="EB16" i="8" a="1"/>
  <c r="EB16" i="8" s="1"/>
  <c r="EA16" i="8" a="1"/>
  <c r="EA16" i="8" s="1"/>
  <c r="DZ16" i="8" a="1"/>
  <c r="DZ16" i="8" s="1"/>
  <c r="DY16" i="8" a="1"/>
  <c r="DY16" i="8" s="1"/>
  <c r="DX16" i="8" a="1"/>
  <c r="DX16" i="8" s="1"/>
  <c r="DW16" i="8" a="1"/>
  <c r="DW16" i="8" s="1"/>
  <c r="DV16" i="8" a="1"/>
  <c r="DV16" i="8" s="1"/>
  <c r="DU16" i="8" a="1"/>
  <c r="DU16" i="8" s="1"/>
  <c r="DT16" i="8" a="1"/>
  <c r="DT16" i="8" s="1"/>
  <c r="DS16" i="8" a="1"/>
  <c r="DS16" i="8" s="1"/>
  <c r="DR16" i="8" a="1"/>
  <c r="DR16" i="8" s="1"/>
  <c r="DQ16" i="8" a="1"/>
  <c r="DQ16" i="8" s="1"/>
  <c r="DP16" i="8" a="1"/>
  <c r="DP16" i="8" s="1"/>
  <c r="DO16" i="8" a="1"/>
  <c r="DO16" i="8" s="1"/>
  <c r="DN16" i="8" a="1"/>
  <c r="DN16" i="8" s="1"/>
  <c r="DM16" i="8" a="1"/>
  <c r="DM16" i="8" s="1"/>
  <c r="DL16" i="8" a="1"/>
  <c r="DL16" i="8" s="1"/>
  <c r="DK16" i="8" a="1"/>
  <c r="DK16" i="8" s="1"/>
  <c r="DJ16" i="8" a="1"/>
  <c r="DJ16" i="8" s="1"/>
  <c r="DI16" i="8" a="1"/>
  <c r="DI16" i="8" s="1"/>
  <c r="DH16" i="8" a="1"/>
  <c r="DH16" i="8" s="1"/>
  <c r="DG16" i="8" a="1"/>
  <c r="DG16" i="8" s="1"/>
  <c r="DF16" i="8" a="1"/>
  <c r="DF16" i="8" s="1"/>
  <c r="DE16" i="8" a="1"/>
  <c r="DE16" i="8" s="1"/>
  <c r="DD16" i="8" a="1"/>
  <c r="DD16" i="8" s="1"/>
  <c r="DC16" i="8" a="1"/>
  <c r="DC16" i="8" s="1"/>
  <c r="DB16" i="8" a="1"/>
  <c r="DB16" i="8" s="1"/>
  <c r="DA16" i="8" a="1"/>
  <c r="DA16" i="8" s="1"/>
  <c r="CZ16" i="8" a="1"/>
  <c r="CZ16" i="8" s="1"/>
  <c r="CY16" i="8" a="1"/>
  <c r="CY16" i="8" s="1"/>
  <c r="CX16" i="8" a="1"/>
  <c r="CX16" i="8" s="1"/>
  <c r="CW16" i="8" a="1"/>
  <c r="CW16" i="8" s="1"/>
  <c r="CV16" i="8" a="1"/>
  <c r="CV16" i="8" s="1"/>
  <c r="CU16" i="8" a="1"/>
  <c r="CU16" i="8" s="1"/>
  <c r="CT16" i="8" a="1"/>
  <c r="CT16" i="8" s="1"/>
  <c r="CS16" i="8" a="1"/>
  <c r="CS16" i="8" s="1"/>
  <c r="CR16" i="8" a="1"/>
  <c r="CR16" i="8" s="1"/>
  <c r="CQ16" i="8" a="1"/>
  <c r="CQ16" i="8" s="1"/>
  <c r="CP16" i="8" a="1"/>
  <c r="CP16" i="8" s="1"/>
  <c r="CO16" i="8" a="1"/>
  <c r="CO16" i="8" s="1"/>
  <c r="CN16" i="8" a="1"/>
  <c r="CN16" i="8" s="1"/>
  <c r="CM16" i="8" a="1"/>
  <c r="CM16" i="8" s="1"/>
  <c r="CL16" i="8" a="1"/>
  <c r="CL16" i="8" s="1"/>
  <c r="CK16" i="8" a="1"/>
  <c r="CK16" i="8" s="1"/>
  <c r="CJ16" i="8" a="1"/>
  <c r="CJ16" i="8" s="1"/>
  <c r="CI16" i="8" a="1"/>
  <c r="CI16" i="8" s="1"/>
  <c r="CH16" i="8" a="1"/>
  <c r="CH16" i="8" s="1"/>
  <c r="CG16" i="8" a="1"/>
  <c r="CG16" i="8" s="1"/>
  <c r="CF16" i="8" a="1"/>
  <c r="CF16" i="8" s="1"/>
  <c r="CE16" i="8" a="1"/>
  <c r="CE16" i="8" s="1"/>
  <c r="CD16" i="8" a="1"/>
  <c r="CD16" i="8" s="1"/>
  <c r="CC16" i="8" a="1"/>
  <c r="CC16" i="8" s="1"/>
  <c r="CB16" i="8" a="1"/>
  <c r="CB16" i="8" s="1"/>
  <c r="CA16" i="8" a="1"/>
  <c r="CA16" i="8" s="1"/>
  <c r="BZ16" i="8" a="1"/>
  <c r="BZ16" i="8" s="1"/>
  <c r="BY16" i="8" a="1"/>
  <c r="BY16" i="8" s="1"/>
  <c r="BX16" i="8" a="1"/>
  <c r="BX16" i="8" s="1"/>
  <c r="BW16" i="8" a="1"/>
  <c r="BW16" i="8" s="1"/>
  <c r="BV16" i="8" a="1"/>
  <c r="BV16" i="8" s="1"/>
  <c r="BU16" i="8" a="1"/>
  <c r="BU16" i="8" s="1"/>
  <c r="BT16" i="8" a="1"/>
  <c r="BT16" i="8" s="1"/>
  <c r="BS16" i="8" a="1"/>
  <c r="BS16" i="8" s="1"/>
  <c r="BR16" i="8" a="1"/>
  <c r="BR16" i="8" s="1"/>
  <c r="BQ16" i="8" a="1"/>
  <c r="BQ16" i="8" s="1"/>
  <c r="BP16" i="8" a="1"/>
  <c r="BP16" i="8" s="1"/>
  <c r="BO16" i="8" a="1"/>
  <c r="BO16" i="8" s="1"/>
  <c r="BN16" i="8" a="1"/>
  <c r="BN16" i="8" s="1"/>
  <c r="BM16" i="8" a="1"/>
  <c r="BM16" i="8" s="1"/>
  <c r="BL16" i="8" a="1"/>
  <c r="BL16" i="8" s="1"/>
  <c r="BK16" i="8" a="1"/>
  <c r="BK16" i="8" s="1"/>
  <c r="BJ16" i="8" a="1"/>
  <c r="BJ16" i="8" s="1"/>
  <c r="BI16" i="8" a="1"/>
  <c r="BI16" i="8" s="1"/>
  <c r="BH16" i="8" a="1"/>
  <c r="BH16" i="8" s="1"/>
  <c r="BG16" i="8" a="1"/>
  <c r="BG16" i="8" s="1"/>
  <c r="BF16" i="8" a="1"/>
  <c r="BF16" i="8" s="1"/>
  <c r="BE16" i="8" a="1"/>
  <c r="BE16" i="8" s="1"/>
  <c r="BD16" i="8" a="1"/>
  <c r="BD16" i="8" s="1"/>
  <c r="BC16" i="8" a="1"/>
  <c r="BC16" i="8" s="1"/>
  <c r="BB16" i="8" a="1"/>
  <c r="BB16" i="8" s="1"/>
  <c r="BA16" i="8" a="1"/>
  <c r="BA16" i="8" s="1"/>
  <c r="AZ16" i="8" a="1"/>
  <c r="AZ16" i="8" s="1"/>
  <c r="AY16" i="8" a="1"/>
  <c r="AY16" i="8" s="1"/>
  <c r="AX16" i="8" a="1"/>
  <c r="AX16" i="8" s="1"/>
  <c r="AW16" i="8" a="1"/>
  <c r="AW16" i="8" s="1"/>
  <c r="AV16" i="8" a="1"/>
  <c r="AV16" i="8" s="1"/>
  <c r="AU16" i="8" a="1"/>
  <c r="AU16" i="8" s="1"/>
  <c r="AT16" i="8" a="1"/>
  <c r="AT16" i="8" s="1"/>
  <c r="AS16" i="8" a="1"/>
  <c r="AS16" i="8" s="1"/>
  <c r="AR16" i="8" a="1"/>
  <c r="AR16" i="8" s="1"/>
  <c r="AQ16" i="8" a="1"/>
  <c r="AQ16" i="8" s="1"/>
  <c r="AP16" i="8" a="1"/>
  <c r="AP16" i="8" s="1"/>
  <c r="AO16" i="8" a="1"/>
  <c r="AO16" i="8" s="1"/>
  <c r="AN16" i="8" a="1"/>
  <c r="AN16" i="8" s="1"/>
  <c r="AM16" i="8" a="1"/>
  <c r="AM16" i="8" s="1"/>
  <c r="AL16" i="8" a="1"/>
  <c r="AL16" i="8" s="1"/>
  <c r="AK16" i="8" a="1"/>
  <c r="AK16" i="8" s="1"/>
  <c r="AJ16" i="8" a="1"/>
  <c r="AJ16" i="8" s="1"/>
  <c r="AI16" i="8" a="1"/>
  <c r="AI16" i="8" s="1"/>
  <c r="AH16" i="8" a="1"/>
  <c r="AH16" i="8" s="1"/>
  <c r="AG16" i="8" a="1"/>
  <c r="AG16" i="8" s="1"/>
  <c r="AF16" i="8" a="1"/>
  <c r="AF16" i="8" s="1"/>
  <c r="AE16" i="8" a="1"/>
  <c r="AE16" i="8" s="1"/>
  <c r="AD16" i="8" a="1"/>
  <c r="AD16" i="8" s="1"/>
  <c r="AC16" i="8" a="1"/>
  <c r="AC16" i="8" s="1"/>
  <c r="AB16" i="8" a="1"/>
  <c r="AB16" i="8" s="1"/>
  <c r="AA16" i="8" a="1"/>
  <c r="AA16" i="8" s="1"/>
  <c r="Z16" i="8" a="1"/>
  <c r="Z16" i="8" s="1"/>
  <c r="Y16" i="8" a="1"/>
  <c r="Y16" i="8" s="1"/>
  <c r="X16" i="8" a="1"/>
  <c r="X16" i="8" s="1"/>
  <c r="W16" i="8" a="1"/>
  <c r="W16" i="8" s="1"/>
  <c r="V16" i="8" a="1"/>
  <c r="V16" i="8" s="1"/>
  <c r="U16" i="8" a="1"/>
  <c r="U16" i="8" s="1"/>
  <c r="T16" i="8" a="1"/>
  <c r="T16" i="8" s="1"/>
  <c r="S16" i="8" a="1"/>
  <c r="S16" i="8" s="1"/>
  <c r="R16" i="8" a="1"/>
  <c r="R16" i="8" s="1"/>
  <c r="Q16" i="8" a="1"/>
  <c r="Q16" i="8" s="1"/>
  <c r="P16" i="8" a="1"/>
  <c r="P16" i="8" s="1"/>
  <c r="O16" i="8" a="1"/>
  <c r="O16" i="8" s="1"/>
  <c r="N16" i="8" a="1"/>
  <c r="N16" i="8" s="1"/>
  <c r="M16" i="8" a="1"/>
  <c r="M16" i="8" s="1"/>
  <c r="L16" i="8" a="1"/>
  <c r="L16" i="8" s="1"/>
  <c r="K16" i="8" a="1"/>
  <c r="K16" i="8" s="1"/>
  <c r="J16" i="8" a="1"/>
  <c r="J16" i="8" s="1"/>
  <c r="I16" i="8" a="1"/>
  <c r="I16" i="8" s="1"/>
  <c r="H16" i="8" a="1"/>
  <c r="H16" i="8" s="1"/>
  <c r="G16" i="8" a="1"/>
  <c r="G16" i="8" s="1"/>
  <c r="F16" i="8" a="1"/>
  <c r="F16" i="8" s="1"/>
  <c r="E16" i="8" a="1"/>
  <c r="E16" i="8" s="1"/>
  <c r="D16" i="8" a="1"/>
  <c r="D16" i="8" s="1"/>
  <c r="EG15" i="8" a="1"/>
  <c r="EG15" i="8" s="1"/>
  <c r="EF15" i="8" a="1"/>
  <c r="EF15" i="8" s="1"/>
  <c r="EE15" i="8" a="1"/>
  <c r="EE15" i="8" s="1"/>
  <c r="ED15" i="8" a="1"/>
  <c r="ED15" i="8" s="1"/>
  <c r="EC15" i="8" a="1"/>
  <c r="EC15" i="8" s="1"/>
  <c r="EB15" i="8" a="1"/>
  <c r="EB15" i="8" s="1"/>
  <c r="EA15" i="8" a="1"/>
  <c r="EA15" i="8" s="1"/>
  <c r="DZ15" i="8" a="1"/>
  <c r="DZ15" i="8" s="1"/>
  <c r="DY15" i="8" a="1"/>
  <c r="DY15" i="8" s="1"/>
  <c r="DX15" i="8" a="1"/>
  <c r="DX15" i="8" s="1"/>
  <c r="DW15" i="8" a="1"/>
  <c r="DW15" i="8" s="1"/>
  <c r="DV15" i="8" a="1"/>
  <c r="DV15" i="8" s="1"/>
  <c r="DU15" i="8" a="1"/>
  <c r="DU15" i="8" s="1"/>
  <c r="DT15" i="8" a="1"/>
  <c r="DT15" i="8" s="1"/>
  <c r="DS15" i="8" a="1"/>
  <c r="DS15" i="8" s="1"/>
  <c r="DR15" i="8" a="1"/>
  <c r="DR15" i="8" s="1"/>
  <c r="DQ15" i="8" a="1"/>
  <c r="DQ15" i="8" s="1"/>
  <c r="DP15" i="8" a="1"/>
  <c r="DP15" i="8" s="1"/>
  <c r="DO15" i="8" a="1"/>
  <c r="DO15" i="8" s="1"/>
  <c r="DN15" i="8" a="1"/>
  <c r="DN15" i="8" s="1"/>
  <c r="DM15" i="8" a="1"/>
  <c r="DM15" i="8" s="1"/>
  <c r="DL15" i="8" a="1"/>
  <c r="DL15" i="8" s="1"/>
  <c r="DK15" i="8" a="1"/>
  <c r="DK15" i="8" s="1"/>
  <c r="DJ15" i="8" a="1"/>
  <c r="DJ15" i="8" s="1"/>
  <c r="DI15" i="8" a="1"/>
  <c r="DI15" i="8" s="1"/>
  <c r="DH15" i="8" a="1"/>
  <c r="DH15" i="8" s="1"/>
  <c r="DG15" i="8" a="1"/>
  <c r="DG15" i="8" s="1"/>
  <c r="DF15" i="8" a="1"/>
  <c r="DF15" i="8" s="1"/>
  <c r="DE15" i="8" a="1"/>
  <c r="DE15" i="8" s="1"/>
  <c r="DD15" i="8" a="1"/>
  <c r="DD15" i="8" s="1"/>
  <c r="DC15" i="8" a="1"/>
  <c r="DC15" i="8" s="1"/>
  <c r="DB15" i="8" a="1"/>
  <c r="DB15" i="8" s="1"/>
  <c r="DA15" i="8" a="1"/>
  <c r="DA15" i="8" s="1"/>
  <c r="CZ15" i="8" a="1"/>
  <c r="CZ15" i="8" s="1"/>
  <c r="CY15" i="8" a="1"/>
  <c r="CY15" i="8" s="1"/>
  <c r="CX15" i="8" a="1"/>
  <c r="CX15" i="8" s="1"/>
  <c r="CW15" i="8" a="1"/>
  <c r="CW15" i="8" s="1"/>
  <c r="CV15" i="8" a="1"/>
  <c r="CV15" i="8" s="1"/>
  <c r="CU15" i="8" a="1"/>
  <c r="CU15" i="8" s="1"/>
  <c r="CT15" i="8" a="1"/>
  <c r="CT15" i="8" s="1"/>
  <c r="CS15" i="8" a="1"/>
  <c r="CS15" i="8" s="1"/>
  <c r="CR15" i="8" a="1"/>
  <c r="CR15" i="8" s="1"/>
  <c r="CQ15" i="8" a="1"/>
  <c r="CQ15" i="8" s="1"/>
  <c r="CP15" i="8" a="1"/>
  <c r="CP15" i="8" s="1"/>
  <c r="CO15" i="8" a="1"/>
  <c r="CO15" i="8" s="1"/>
  <c r="CN15" i="8" a="1"/>
  <c r="CN15" i="8" s="1"/>
  <c r="CM15" i="8" a="1"/>
  <c r="CM15" i="8" s="1"/>
  <c r="CL15" i="8" a="1"/>
  <c r="CL15" i="8" s="1"/>
  <c r="CK15" i="8" a="1"/>
  <c r="CK15" i="8" s="1"/>
  <c r="CJ15" i="8" a="1"/>
  <c r="CJ15" i="8" s="1"/>
  <c r="CI15" i="8" a="1"/>
  <c r="CI15" i="8" s="1"/>
  <c r="CH15" i="8" a="1"/>
  <c r="CH15" i="8" s="1"/>
  <c r="CG15" i="8" a="1"/>
  <c r="CG15" i="8" s="1"/>
  <c r="CF15" i="8" a="1"/>
  <c r="CF15" i="8" s="1"/>
  <c r="CE15" i="8" a="1"/>
  <c r="CE15" i="8" s="1"/>
  <c r="CD15" i="8" a="1"/>
  <c r="CD15" i="8" s="1"/>
  <c r="CC15" i="8" a="1"/>
  <c r="CC15" i="8" s="1"/>
  <c r="CB15" i="8" a="1"/>
  <c r="CB15" i="8" s="1"/>
  <c r="CA15" i="8" a="1"/>
  <c r="CA15" i="8" s="1"/>
  <c r="BZ15" i="8" a="1"/>
  <c r="BZ15" i="8" s="1"/>
  <c r="BY15" i="8" a="1"/>
  <c r="BY15" i="8" s="1"/>
  <c r="BX15" i="8" a="1"/>
  <c r="BX15" i="8" s="1"/>
  <c r="BW15" i="8" a="1"/>
  <c r="BW15" i="8" s="1"/>
  <c r="BV15" i="8" a="1"/>
  <c r="BV15" i="8" s="1"/>
  <c r="BU15" i="8" a="1"/>
  <c r="BU15" i="8" s="1"/>
  <c r="BT15" i="8" a="1"/>
  <c r="BT15" i="8" s="1"/>
  <c r="BS15" i="8" a="1"/>
  <c r="BS15" i="8" s="1"/>
  <c r="BR15" i="8" a="1"/>
  <c r="BR15" i="8" s="1"/>
  <c r="BQ15" i="8" a="1"/>
  <c r="BQ15" i="8" s="1"/>
  <c r="BP15" i="8" a="1"/>
  <c r="BP15" i="8" s="1"/>
  <c r="BO15" i="8" a="1"/>
  <c r="BO15" i="8" s="1"/>
  <c r="BN15" i="8" a="1"/>
  <c r="BN15" i="8" s="1"/>
  <c r="BM15" i="8" a="1"/>
  <c r="BM15" i="8" s="1"/>
  <c r="BL15" i="8" a="1"/>
  <c r="BL15" i="8" s="1"/>
  <c r="BK15" i="8" a="1"/>
  <c r="BK15" i="8" s="1"/>
  <c r="BJ15" i="8" a="1"/>
  <c r="BJ15" i="8" s="1"/>
  <c r="BI15" i="8" a="1"/>
  <c r="BI15" i="8" s="1"/>
  <c r="BH15" i="8" a="1"/>
  <c r="BH15" i="8" s="1"/>
  <c r="BG15" i="8" a="1"/>
  <c r="BG15" i="8" s="1"/>
  <c r="BF15" i="8" a="1"/>
  <c r="BF15" i="8" s="1"/>
  <c r="BE15" i="8" a="1"/>
  <c r="BE15" i="8" s="1"/>
  <c r="BD15" i="8" a="1"/>
  <c r="BD15" i="8" s="1"/>
  <c r="BC15" i="8" a="1"/>
  <c r="BC15" i="8" s="1"/>
  <c r="BB15" i="8" a="1"/>
  <c r="BB15" i="8" s="1"/>
  <c r="BA15" i="8" a="1"/>
  <c r="BA15" i="8" s="1"/>
  <c r="AZ15" i="8" a="1"/>
  <c r="AZ15" i="8" s="1"/>
  <c r="AY15" i="8" a="1"/>
  <c r="AY15" i="8" s="1"/>
  <c r="AX15" i="8" a="1"/>
  <c r="AX15" i="8" s="1"/>
  <c r="AW15" i="8" a="1"/>
  <c r="AW15" i="8" s="1"/>
  <c r="AV15" i="8" a="1"/>
  <c r="AV15" i="8" s="1"/>
  <c r="AU15" i="8" a="1"/>
  <c r="AU15" i="8" s="1"/>
  <c r="AT15" i="8" a="1"/>
  <c r="AT15" i="8" s="1"/>
  <c r="AS15" i="8" a="1"/>
  <c r="AS15" i="8" s="1"/>
  <c r="AR15" i="8" a="1"/>
  <c r="AR15" i="8" s="1"/>
  <c r="AQ15" i="8" a="1"/>
  <c r="AQ15" i="8" s="1"/>
  <c r="AP15" i="8" a="1"/>
  <c r="AP15" i="8" s="1"/>
  <c r="AO15" i="8" a="1"/>
  <c r="AO15" i="8" s="1"/>
  <c r="AN15" i="8" a="1"/>
  <c r="AN15" i="8" s="1"/>
  <c r="AM15" i="8" a="1"/>
  <c r="AM15" i="8" s="1"/>
  <c r="AL15" i="8" a="1"/>
  <c r="AL15" i="8" s="1"/>
  <c r="AK15" i="8" a="1"/>
  <c r="AK15" i="8" s="1"/>
  <c r="AJ15" i="8" a="1"/>
  <c r="AJ15" i="8" s="1"/>
  <c r="AI15" i="8" a="1"/>
  <c r="AI15" i="8" s="1"/>
  <c r="AH15" i="8" a="1"/>
  <c r="AH15" i="8" s="1"/>
  <c r="AG15" i="8" a="1"/>
  <c r="AG15" i="8" s="1"/>
  <c r="AF15" i="8" a="1"/>
  <c r="AF15" i="8" s="1"/>
  <c r="AE15" i="8" a="1"/>
  <c r="AE15" i="8" s="1"/>
  <c r="AD15" i="8" a="1"/>
  <c r="AD15" i="8" s="1"/>
  <c r="AC15" i="8" a="1"/>
  <c r="AC15" i="8" s="1"/>
  <c r="AB15" i="8" a="1"/>
  <c r="AB15" i="8" s="1"/>
  <c r="AA15" i="8" a="1"/>
  <c r="AA15" i="8" s="1"/>
  <c r="Z15" i="8" a="1"/>
  <c r="Z15" i="8" s="1"/>
  <c r="Y15" i="8" a="1"/>
  <c r="Y15" i="8" s="1"/>
  <c r="X15" i="8" a="1"/>
  <c r="X15" i="8" s="1"/>
  <c r="W15" i="8" a="1"/>
  <c r="W15" i="8" s="1"/>
  <c r="V15" i="8" a="1"/>
  <c r="V15" i="8" s="1"/>
  <c r="U15" i="8" a="1"/>
  <c r="U15" i="8" s="1"/>
  <c r="T15" i="8" a="1"/>
  <c r="T15" i="8" s="1"/>
  <c r="S15" i="8" a="1"/>
  <c r="S15" i="8" s="1"/>
  <c r="R15" i="8" a="1"/>
  <c r="R15" i="8" s="1"/>
  <c r="Q15" i="8" a="1"/>
  <c r="Q15" i="8" s="1"/>
  <c r="P15" i="8" a="1"/>
  <c r="P15" i="8" s="1"/>
  <c r="O15" i="8" a="1"/>
  <c r="O15" i="8" s="1"/>
  <c r="N15" i="8" a="1"/>
  <c r="N15" i="8" s="1"/>
  <c r="M15" i="8" a="1"/>
  <c r="M15" i="8" s="1"/>
  <c r="L15" i="8" a="1"/>
  <c r="L15" i="8" s="1"/>
  <c r="K15" i="8" a="1"/>
  <c r="K15" i="8" s="1"/>
  <c r="J15" i="8" a="1"/>
  <c r="J15" i="8" s="1"/>
  <c r="I15" i="8" a="1"/>
  <c r="I15" i="8" s="1"/>
  <c r="H15" i="8" a="1"/>
  <c r="H15" i="8" s="1"/>
  <c r="G15" i="8" a="1"/>
  <c r="G15" i="8" s="1"/>
  <c r="F15" i="8" a="1"/>
  <c r="F15" i="8" s="1"/>
  <c r="E15" i="8" a="1"/>
  <c r="E15" i="8" s="1"/>
  <c r="D15" i="8" a="1"/>
  <c r="D15" i="8" s="1"/>
  <c r="EG14" i="8" a="1"/>
  <c r="EG14" i="8" s="1"/>
  <c r="EF14" i="8" a="1"/>
  <c r="EF14" i="8" s="1"/>
  <c r="EE14" i="8" a="1"/>
  <c r="EE14" i="8" s="1"/>
  <c r="ED14" i="8" a="1"/>
  <c r="ED14" i="8" s="1"/>
  <c r="EC14" i="8" a="1"/>
  <c r="EC14" i="8" s="1"/>
  <c r="EB14" i="8" a="1"/>
  <c r="EB14" i="8" s="1"/>
  <c r="EA14" i="8" a="1"/>
  <c r="EA14" i="8" s="1"/>
  <c r="DZ14" i="8" a="1"/>
  <c r="DZ14" i="8" s="1"/>
  <c r="DY14" i="8" a="1"/>
  <c r="DY14" i="8" s="1"/>
  <c r="DX14" i="8" a="1"/>
  <c r="DX14" i="8" s="1"/>
  <c r="DW14" i="8" a="1"/>
  <c r="DW14" i="8" s="1"/>
  <c r="DV14" i="8" a="1"/>
  <c r="DV14" i="8" s="1"/>
  <c r="DU14" i="8" a="1"/>
  <c r="DU14" i="8" s="1"/>
  <c r="DT14" i="8" a="1"/>
  <c r="DT14" i="8" s="1"/>
  <c r="DS14" i="8" a="1"/>
  <c r="DS14" i="8" s="1"/>
  <c r="DR14" i="8" a="1"/>
  <c r="DR14" i="8" s="1"/>
  <c r="DQ14" i="8" a="1"/>
  <c r="DQ14" i="8" s="1"/>
  <c r="DP14" i="8" a="1"/>
  <c r="DP14" i="8" s="1"/>
  <c r="DO14" i="8" a="1"/>
  <c r="DO14" i="8" s="1"/>
  <c r="DN14" i="8" a="1"/>
  <c r="DN14" i="8" s="1"/>
  <c r="DM14" i="8" a="1"/>
  <c r="DM14" i="8" s="1"/>
  <c r="DL14" i="8" a="1"/>
  <c r="DL14" i="8" s="1"/>
  <c r="DK14" i="8" a="1"/>
  <c r="DK14" i="8" s="1"/>
  <c r="DJ14" i="8" a="1"/>
  <c r="DJ14" i="8" s="1"/>
  <c r="DI14" i="8" a="1"/>
  <c r="DI14" i="8" s="1"/>
  <c r="DH14" i="8" a="1"/>
  <c r="DH14" i="8" s="1"/>
  <c r="DG14" i="8" a="1"/>
  <c r="DG14" i="8" s="1"/>
  <c r="DF14" i="8" a="1"/>
  <c r="DF14" i="8" s="1"/>
  <c r="DE14" i="8" a="1"/>
  <c r="DE14" i="8" s="1"/>
  <c r="DD14" i="8" a="1"/>
  <c r="DD14" i="8" s="1"/>
  <c r="DC14" i="8" a="1"/>
  <c r="DC14" i="8" s="1"/>
  <c r="DB14" i="8" a="1"/>
  <c r="DB14" i="8" s="1"/>
  <c r="DA14" i="8" a="1"/>
  <c r="DA14" i="8" s="1"/>
  <c r="CZ14" i="8" a="1"/>
  <c r="CZ14" i="8" s="1"/>
  <c r="CY14" i="8" a="1"/>
  <c r="CY14" i="8" s="1"/>
  <c r="CX14" i="8" a="1"/>
  <c r="CX14" i="8" s="1"/>
  <c r="CW14" i="8" a="1"/>
  <c r="CW14" i="8" s="1"/>
  <c r="CV14" i="8" a="1"/>
  <c r="CV14" i="8" s="1"/>
  <c r="CU14" i="8" a="1"/>
  <c r="CU14" i="8" s="1"/>
  <c r="CT14" i="8" a="1"/>
  <c r="CT14" i="8" s="1"/>
  <c r="CS14" i="8" a="1"/>
  <c r="CS14" i="8" s="1"/>
  <c r="CR14" i="8" a="1"/>
  <c r="CR14" i="8" s="1"/>
  <c r="CQ14" i="8" a="1"/>
  <c r="CQ14" i="8" s="1"/>
  <c r="CP14" i="8" a="1"/>
  <c r="CP14" i="8" s="1"/>
  <c r="CO14" i="8" a="1"/>
  <c r="CO14" i="8" s="1"/>
  <c r="CN14" i="8" a="1"/>
  <c r="CN14" i="8" s="1"/>
  <c r="CM14" i="8" a="1"/>
  <c r="CM14" i="8" s="1"/>
  <c r="CL14" i="8" a="1"/>
  <c r="CL14" i="8" s="1"/>
  <c r="CK14" i="8" a="1"/>
  <c r="CK14" i="8" s="1"/>
  <c r="CJ14" i="8" a="1"/>
  <c r="CJ14" i="8" s="1"/>
  <c r="CI14" i="8" a="1"/>
  <c r="CI14" i="8" s="1"/>
  <c r="CH14" i="8" a="1"/>
  <c r="CH14" i="8" s="1"/>
  <c r="CG14" i="8" a="1"/>
  <c r="CG14" i="8" s="1"/>
  <c r="CF14" i="8" a="1"/>
  <c r="CF14" i="8" s="1"/>
  <c r="CE14" i="8" a="1"/>
  <c r="CE14" i="8" s="1"/>
  <c r="CD14" i="8" a="1"/>
  <c r="CD14" i="8" s="1"/>
  <c r="CC14" i="8" a="1"/>
  <c r="CC14" i="8" s="1"/>
  <c r="CB14" i="8" a="1"/>
  <c r="CB14" i="8" s="1"/>
  <c r="CA14" i="8" a="1"/>
  <c r="CA14" i="8" s="1"/>
  <c r="BZ14" i="8" a="1"/>
  <c r="BZ14" i="8" s="1"/>
  <c r="BY14" i="8" a="1"/>
  <c r="BY14" i="8" s="1"/>
  <c r="BX14" i="8" a="1"/>
  <c r="BX14" i="8" s="1"/>
  <c r="BW14" i="8" a="1"/>
  <c r="BW14" i="8" s="1"/>
  <c r="BV14" i="8" a="1"/>
  <c r="BV14" i="8" s="1"/>
  <c r="BU14" i="8" a="1"/>
  <c r="BU14" i="8" s="1"/>
  <c r="BT14" i="8" a="1"/>
  <c r="BT14" i="8" s="1"/>
  <c r="BS14" i="8" a="1"/>
  <c r="BS14" i="8" s="1"/>
  <c r="BR14" i="8" a="1"/>
  <c r="BR14" i="8" s="1"/>
  <c r="BQ14" i="8" a="1"/>
  <c r="BQ14" i="8" s="1"/>
  <c r="BP14" i="8" a="1"/>
  <c r="BP14" i="8" s="1"/>
  <c r="BO14" i="8" a="1"/>
  <c r="BO14" i="8" s="1"/>
  <c r="BN14" i="8" a="1"/>
  <c r="BN14" i="8" s="1"/>
  <c r="BM14" i="8" a="1"/>
  <c r="BM14" i="8" s="1"/>
  <c r="BL14" i="8" a="1"/>
  <c r="BL14" i="8" s="1"/>
  <c r="BK14" i="8" a="1"/>
  <c r="BK14" i="8" s="1"/>
  <c r="BJ14" i="8" a="1"/>
  <c r="BJ14" i="8" s="1"/>
  <c r="BI14" i="8" a="1"/>
  <c r="BI14" i="8" s="1"/>
  <c r="BH14" i="8" a="1"/>
  <c r="BH14" i="8" s="1"/>
  <c r="BG14" i="8" a="1"/>
  <c r="BG14" i="8" s="1"/>
  <c r="BF14" i="8" a="1"/>
  <c r="BF14" i="8" s="1"/>
  <c r="BE14" i="8" a="1"/>
  <c r="BE14" i="8" s="1"/>
  <c r="BD14" i="8" a="1"/>
  <c r="BD14" i="8" s="1"/>
  <c r="BC14" i="8" a="1"/>
  <c r="BC14" i="8" s="1"/>
  <c r="BB14" i="8" a="1"/>
  <c r="BB14" i="8" s="1"/>
  <c r="BA14" i="8" a="1"/>
  <c r="BA14" i="8" s="1"/>
  <c r="AZ14" i="8" a="1"/>
  <c r="AZ14" i="8" s="1"/>
  <c r="AY14" i="8" a="1"/>
  <c r="AY14" i="8" s="1"/>
  <c r="AX14" i="8" a="1"/>
  <c r="AX14" i="8" s="1"/>
  <c r="AW14" i="8" a="1"/>
  <c r="AW14" i="8" s="1"/>
  <c r="AV14" i="8" a="1"/>
  <c r="AV14" i="8" s="1"/>
  <c r="AU14" i="8" a="1"/>
  <c r="AU14" i="8" s="1"/>
  <c r="AT14" i="8" a="1"/>
  <c r="AT14" i="8" s="1"/>
  <c r="AS14" i="8" a="1"/>
  <c r="AS14" i="8" s="1"/>
  <c r="AR14" i="8" a="1"/>
  <c r="AR14" i="8" s="1"/>
  <c r="AQ14" i="8" a="1"/>
  <c r="AQ14" i="8" s="1"/>
  <c r="AP14" i="8" a="1"/>
  <c r="AP14" i="8" s="1"/>
  <c r="AO14" i="8" a="1"/>
  <c r="AO14" i="8" s="1"/>
  <c r="AN14" i="8" a="1"/>
  <c r="AN14" i="8" s="1"/>
  <c r="AM14" i="8" a="1"/>
  <c r="AM14" i="8" s="1"/>
  <c r="AL14" i="8" a="1"/>
  <c r="AL14" i="8" s="1"/>
  <c r="AK14" i="8" a="1"/>
  <c r="AK14" i="8" s="1"/>
  <c r="AJ14" i="8" a="1"/>
  <c r="AJ14" i="8" s="1"/>
  <c r="AI14" i="8" a="1"/>
  <c r="AI14" i="8" s="1"/>
  <c r="AH14" i="8" a="1"/>
  <c r="AH14" i="8" s="1"/>
  <c r="AG14" i="8" a="1"/>
  <c r="AG14" i="8" s="1"/>
  <c r="AF14" i="8" a="1"/>
  <c r="AF14" i="8" s="1"/>
  <c r="AE14" i="8" a="1"/>
  <c r="AE14" i="8" s="1"/>
  <c r="AD14" i="8" a="1"/>
  <c r="AD14" i="8" s="1"/>
  <c r="AC14" i="8" a="1"/>
  <c r="AC14" i="8" s="1"/>
  <c r="AB14" i="8" a="1"/>
  <c r="AB14" i="8" s="1"/>
  <c r="AA14" i="8" a="1"/>
  <c r="AA14" i="8" s="1"/>
  <c r="Z14" i="8" a="1"/>
  <c r="Z14" i="8" s="1"/>
  <c r="Y14" i="8" a="1"/>
  <c r="Y14" i="8" s="1"/>
  <c r="X14" i="8" a="1"/>
  <c r="X14" i="8" s="1"/>
  <c r="W14" i="8" a="1"/>
  <c r="W14" i="8" s="1"/>
  <c r="V14" i="8" a="1"/>
  <c r="V14" i="8" s="1"/>
  <c r="U14" i="8" a="1"/>
  <c r="U14" i="8" s="1"/>
  <c r="T14" i="8" a="1"/>
  <c r="T14" i="8" s="1"/>
  <c r="S14" i="8" a="1"/>
  <c r="S14" i="8" s="1"/>
  <c r="R14" i="8" a="1"/>
  <c r="R14" i="8" s="1"/>
  <c r="Q14" i="8" a="1"/>
  <c r="Q14" i="8" s="1"/>
  <c r="P14" i="8" a="1"/>
  <c r="P14" i="8" s="1"/>
  <c r="O14" i="8" a="1"/>
  <c r="O14" i="8" s="1"/>
  <c r="N14" i="8" a="1"/>
  <c r="N14" i="8" s="1"/>
  <c r="M14" i="8" a="1"/>
  <c r="M14" i="8" s="1"/>
  <c r="L14" i="8" a="1"/>
  <c r="L14" i="8" s="1"/>
  <c r="K14" i="8" a="1"/>
  <c r="K14" i="8" s="1"/>
  <c r="J14" i="8" a="1"/>
  <c r="J14" i="8" s="1"/>
  <c r="I14" i="8" a="1"/>
  <c r="I14" i="8" s="1"/>
  <c r="H14" i="8" a="1"/>
  <c r="H14" i="8" s="1"/>
  <c r="G14" i="8" a="1"/>
  <c r="G14" i="8" s="1"/>
  <c r="F14" i="8" a="1"/>
  <c r="F14" i="8" s="1"/>
  <c r="E14" i="8" a="1"/>
  <c r="E14" i="8" s="1"/>
  <c r="D14" i="8" a="1"/>
  <c r="D14" i="8" s="1"/>
  <c r="EG13" i="8" a="1"/>
  <c r="EG13" i="8" s="1"/>
  <c r="EF13" i="8" a="1"/>
  <c r="EF13" i="8" s="1"/>
  <c r="EE13" i="8" a="1"/>
  <c r="EE13" i="8" s="1"/>
  <c r="ED13" i="8" a="1"/>
  <c r="ED13" i="8" s="1"/>
  <c r="EC13" i="8" a="1"/>
  <c r="EC13" i="8" s="1"/>
  <c r="EB13" i="8" a="1"/>
  <c r="EB13" i="8" s="1"/>
  <c r="EA13" i="8" a="1"/>
  <c r="EA13" i="8" s="1"/>
  <c r="DZ13" i="8" a="1"/>
  <c r="DZ13" i="8" s="1"/>
  <c r="DY13" i="8" a="1"/>
  <c r="DY13" i="8" s="1"/>
  <c r="DX13" i="8" a="1"/>
  <c r="DX13" i="8" s="1"/>
  <c r="DW13" i="8" a="1"/>
  <c r="DW13" i="8" s="1"/>
  <c r="DV13" i="8" a="1"/>
  <c r="DV13" i="8" s="1"/>
  <c r="DU13" i="8" a="1"/>
  <c r="DU13" i="8" s="1"/>
  <c r="DT13" i="8" a="1"/>
  <c r="DT13" i="8" s="1"/>
  <c r="DS13" i="8" a="1"/>
  <c r="DS13" i="8" s="1"/>
  <c r="DR13" i="8" a="1"/>
  <c r="DR13" i="8" s="1"/>
  <c r="DQ13" i="8" a="1"/>
  <c r="DQ13" i="8" s="1"/>
  <c r="DP13" i="8" a="1"/>
  <c r="DP13" i="8" s="1"/>
  <c r="DO13" i="8" a="1"/>
  <c r="DO13" i="8" s="1"/>
  <c r="DN13" i="8" a="1"/>
  <c r="DN13" i="8" s="1"/>
  <c r="DM13" i="8" a="1"/>
  <c r="DM13" i="8" s="1"/>
  <c r="DL13" i="8" a="1"/>
  <c r="DL13" i="8" s="1"/>
  <c r="DK13" i="8" a="1"/>
  <c r="DK13" i="8" s="1"/>
  <c r="DJ13" i="8" a="1"/>
  <c r="DJ13" i="8" s="1"/>
  <c r="DI13" i="8" a="1"/>
  <c r="DI13" i="8" s="1"/>
  <c r="DH13" i="8" a="1"/>
  <c r="DH13" i="8" s="1"/>
  <c r="DG13" i="8" a="1"/>
  <c r="DG13" i="8" s="1"/>
  <c r="DF13" i="8" a="1"/>
  <c r="DF13" i="8" s="1"/>
  <c r="DE13" i="8" a="1"/>
  <c r="DE13" i="8" s="1"/>
  <c r="DD13" i="8" a="1"/>
  <c r="DD13" i="8" s="1"/>
  <c r="DC13" i="8" a="1"/>
  <c r="DC13" i="8" s="1"/>
  <c r="DB13" i="8" a="1"/>
  <c r="DB13" i="8" s="1"/>
  <c r="DA13" i="8" a="1"/>
  <c r="DA13" i="8" s="1"/>
  <c r="CZ13" i="8" a="1"/>
  <c r="CZ13" i="8" s="1"/>
  <c r="CY13" i="8" a="1"/>
  <c r="CY13" i="8" s="1"/>
  <c r="CX13" i="8" a="1"/>
  <c r="CX13" i="8" s="1"/>
  <c r="CW13" i="8" a="1"/>
  <c r="CW13" i="8" s="1"/>
  <c r="CV13" i="8" a="1"/>
  <c r="CV13" i="8" s="1"/>
  <c r="CU13" i="8" a="1"/>
  <c r="CU13" i="8" s="1"/>
  <c r="CT13" i="8" a="1"/>
  <c r="CT13" i="8" s="1"/>
  <c r="CS13" i="8" a="1"/>
  <c r="CS13" i="8" s="1"/>
  <c r="CR13" i="8" a="1"/>
  <c r="CR13" i="8" s="1"/>
  <c r="CQ13" i="8" a="1"/>
  <c r="CQ13" i="8" s="1"/>
  <c r="CP13" i="8" a="1"/>
  <c r="CP13" i="8" s="1"/>
  <c r="CO13" i="8" a="1"/>
  <c r="CO13" i="8"/>
  <c r="CN13" i="8" a="1"/>
  <c r="CN13" i="8" s="1"/>
  <c r="CM13" i="8" a="1"/>
  <c r="CM13" i="8" s="1"/>
  <c r="CL13" i="8" a="1"/>
  <c r="CL13" i="8" s="1"/>
  <c r="CK13" i="8" a="1"/>
  <c r="CK13" i="8" s="1"/>
  <c r="CJ13" i="8" a="1"/>
  <c r="CJ13" i="8" s="1"/>
  <c r="CI13" i="8" a="1"/>
  <c r="CI13" i="8" s="1"/>
  <c r="CH13" i="8" a="1"/>
  <c r="CH13" i="8" s="1"/>
  <c r="CG13" i="8" a="1"/>
  <c r="CG13" i="8" s="1"/>
  <c r="CF13" i="8" a="1"/>
  <c r="CF13" i="8" s="1"/>
  <c r="CE13" i="8" a="1"/>
  <c r="CE13" i="8" s="1"/>
  <c r="CD13" i="8" a="1"/>
  <c r="CD13" i="8" s="1"/>
  <c r="CC13" i="8" a="1"/>
  <c r="CC13" i="8" s="1"/>
  <c r="CB13" i="8" a="1"/>
  <c r="CB13" i="8" s="1"/>
  <c r="CA13" i="8" a="1"/>
  <c r="CA13" i="8" s="1"/>
  <c r="BZ13" i="8" a="1"/>
  <c r="BZ13" i="8" s="1"/>
  <c r="BY13" i="8" a="1"/>
  <c r="BY13" i="8" s="1"/>
  <c r="BX13" i="8" a="1"/>
  <c r="BX13" i="8" s="1"/>
  <c r="BW13" i="8" a="1"/>
  <c r="BW13" i="8" s="1"/>
  <c r="BV13" i="8" a="1"/>
  <c r="BV13" i="8" s="1"/>
  <c r="BU13" i="8" a="1"/>
  <c r="BU13" i="8" s="1"/>
  <c r="BT13" i="8" a="1"/>
  <c r="BT13" i="8" s="1"/>
  <c r="BS13" i="8" a="1"/>
  <c r="BS13" i="8" s="1"/>
  <c r="BR13" i="8" a="1"/>
  <c r="BR13" i="8" s="1"/>
  <c r="BQ13" i="8" a="1"/>
  <c r="BQ13" i="8" s="1"/>
  <c r="BP13" i="8" a="1"/>
  <c r="BP13" i="8" s="1"/>
  <c r="BO13" i="8" a="1"/>
  <c r="BO13" i="8" s="1"/>
  <c r="BN13" i="8" a="1"/>
  <c r="BN13" i="8" s="1"/>
  <c r="BM13" i="8" a="1"/>
  <c r="BM13" i="8" s="1"/>
  <c r="BL13" i="8" a="1"/>
  <c r="BL13" i="8" s="1"/>
  <c r="BK13" i="8" a="1"/>
  <c r="BK13" i="8" s="1"/>
  <c r="BJ13" i="8" a="1"/>
  <c r="BJ13" i="8" s="1"/>
  <c r="BI13" i="8" a="1"/>
  <c r="BI13" i="8" s="1"/>
  <c r="BH13" i="8" a="1"/>
  <c r="BH13" i="8" s="1"/>
  <c r="BG13" i="8" a="1"/>
  <c r="BG13" i="8" s="1"/>
  <c r="BF13" i="8" a="1"/>
  <c r="BF13" i="8" s="1"/>
  <c r="BE13" i="8" a="1"/>
  <c r="BE13" i="8" s="1"/>
  <c r="BD13" i="8" a="1"/>
  <c r="BD13" i="8" s="1"/>
  <c r="BC13" i="8" a="1"/>
  <c r="BC13" i="8" s="1"/>
  <c r="BB13" i="8" a="1"/>
  <c r="BB13" i="8" s="1"/>
  <c r="BA13" i="8" a="1"/>
  <c r="BA13" i="8" s="1"/>
  <c r="AZ13" i="8" a="1"/>
  <c r="AZ13" i="8" s="1"/>
  <c r="AY13" i="8" a="1"/>
  <c r="AY13" i="8" s="1"/>
  <c r="AX13" i="8" a="1"/>
  <c r="AX13" i="8" s="1"/>
  <c r="AW13" i="8" a="1"/>
  <c r="AW13" i="8" s="1"/>
  <c r="AV13" i="8" a="1"/>
  <c r="AV13" i="8" s="1"/>
  <c r="AU13" i="8" a="1"/>
  <c r="AU13" i="8" s="1"/>
  <c r="AT13" i="8" a="1"/>
  <c r="AT13" i="8" s="1"/>
  <c r="AS13" i="8" a="1"/>
  <c r="AS13" i="8" s="1"/>
  <c r="AR13" i="8" a="1"/>
  <c r="AR13" i="8" s="1"/>
  <c r="AQ13" i="8" a="1"/>
  <c r="AQ13" i="8" s="1"/>
  <c r="AP13" i="8" a="1"/>
  <c r="AP13" i="8" s="1"/>
  <c r="AO13" i="8" a="1"/>
  <c r="AO13" i="8" s="1"/>
  <c r="AN13" i="8" a="1"/>
  <c r="AN13" i="8" s="1"/>
  <c r="AM13" i="8" a="1"/>
  <c r="AM13" i="8" s="1"/>
  <c r="AL13" i="8" a="1"/>
  <c r="AL13" i="8" s="1"/>
  <c r="AK13" i="8" a="1"/>
  <c r="AK13" i="8" s="1"/>
  <c r="AJ13" i="8" a="1"/>
  <c r="AJ13" i="8" s="1"/>
  <c r="AI13" i="8" a="1"/>
  <c r="AI13" i="8" s="1"/>
  <c r="AH13" i="8" a="1"/>
  <c r="AH13" i="8" s="1"/>
  <c r="AG13" i="8" a="1"/>
  <c r="AG13" i="8" s="1"/>
  <c r="AF13" i="8" a="1"/>
  <c r="AF13" i="8" s="1"/>
  <c r="AE13" i="8" a="1"/>
  <c r="AE13" i="8" s="1"/>
  <c r="AD13" i="8" a="1"/>
  <c r="AD13" i="8" s="1"/>
  <c r="AC13" i="8" a="1"/>
  <c r="AC13" i="8" s="1"/>
  <c r="AB13" i="8" a="1"/>
  <c r="AB13" i="8" s="1"/>
  <c r="AA13" i="8" a="1"/>
  <c r="AA13" i="8" s="1"/>
  <c r="Z13" i="8" a="1"/>
  <c r="Z13" i="8" s="1"/>
  <c r="Y13" i="8" a="1"/>
  <c r="Y13" i="8" s="1"/>
  <c r="X13" i="8" a="1"/>
  <c r="X13" i="8" s="1"/>
  <c r="W13" i="8" a="1"/>
  <c r="W13" i="8" s="1"/>
  <c r="V13" i="8" a="1"/>
  <c r="V13" i="8" s="1"/>
  <c r="U13" i="8" a="1"/>
  <c r="U13" i="8" s="1"/>
  <c r="T13" i="8" a="1"/>
  <c r="T13" i="8" s="1"/>
  <c r="S13" i="8" a="1"/>
  <c r="S13" i="8" s="1"/>
  <c r="R13" i="8" a="1"/>
  <c r="R13" i="8" s="1"/>
  <c r="Q13" i="8" a="1"/>
  <c r="Q13" i="8" s="1"/>
  <c r="P13" i="8" a="1"/>
  <c r="P13" i="8" s="1"/>
  <c r="O13" i="8" a="1"/>
  <c r="O13" i="8" s="1"/>
  <c r="N13" i="8" a="1"/>
  <c r="N13" i="8" s="1"/>
  <c r="M13" i="8" a="1"/>
  <c r="M13" i="8" s="1"/>
  <c r="L13" i="8" a="1"/>
  <c r="L13" i="8" s="1"/>
  <c r="K13" i="8" a="1"/>
  <c r="K13" i="8" s="1"/>
  <c r="J13" i="8" a="1"/>
  <c r="J13" i="8" s="1"/>
  <c r="I13" i="8" a="1"/>
  <c r="I13" i="8" s="1"/>
  <c r="H13" i="8" a="1"/>
  <c r="H13" i="8" s="1"/>
  <c r="G13" i="8" a="1"/>
  <c r="G13" i="8" s="1"/>
  <c r="F13" i="8" a="1"/>
  <c r="F13" i="8" s="1"/>
  <c r="E13" i="8" a="1"/>
  <c r="E13" i="8" s="1"/>
  <c r="D13" i="8" a="1"/>
  <c r="D13" i="8" s="1"/>
  <c r="EG12" i="8" a="1"/>
  <c r="EG12" i="8" s="1"/>
  <c r="EF12" i="8" a="1"/>
  <c r="EF12" i="8" s="1"/>
  <c r="EE12" i="8" a="1"/>
  <c r="EE12" i="8" s="1"/>
  <c r="ED12" i="8" a="1"/>
  <c r="ED12" i="8" s="1"/>
  <c r="EC12" i="8" a="1"/>
  <c r="EC12" i="8" s="1"/>
  <c r="EB12" i="8" a="1"/>
  <c r="EB12" i="8" s="1"/>
  <c r="EA12" i="8" a="1"/>
  <c r="EA12" i="8" s="1"/>
  <c r="DZ12" i="8" a="1"/>
  <c r="DZ12" i="8" s="1"/>
  <c r="DY12" i="8" a="1"/>
  <c r="DY12" i="8" s="1"/>
  <c r="DX12" i="8" a="1"/>
  <c r="DX12" i="8" s="1"/>
  <c r="DW12" i="8" a="1"/>
  <c r="DW12" i="8" s="1"/>
  <c r="DV12" i="8" a="1"/>
  <c r="DV12" i="8" s="1"/>
  <c r="DU12" i="8" a="1"/>
  <c r="DU12" i="8" s="1"/>
  <c r="DT12" i="8" a="1"/>
  <c r="DT12" i="8" s="1"/>
  <c r="DS12" i="8" a="1"/>
  <c r="DS12" i="8" s="1"/>
  <c r="DR12" i="8" a="1"/>
  <c r="DR12" i="8" s="1"/>
  <c r="DQ12" i="8" a="1"/>
  <c r="DQ12" i="8" s="1"/>
  <c r="DP12" i="8" a="1"/>
  <c r="DP12" i="8" s="1"/>
  <c r="DO12" i="8" a="1"/>
  <c r="DO12" i="8" s="1"/>
  <c r="DN12" i="8" a="1"/>
  <c r="DN12" i="8" s="1"/>
  <c r="DM12" i="8" a="1"/>
  <c r="DM12" i="8" s="1"/>
  <c r="DL12" i="8" a="1"/>
  <c r="DL12" i="8" s="1"/>
  <c r="DK12" i="8" a="1"/>
  <c r="DK12" i="8" s="1"/>
  <c r="DJ12" i="8" a="1"/>
  <c r="DJ12" i="8" s="1"/>
  <c r="DI12" i="8" a="1"/>
  <c r="DI12" i="8" s="1"/>
  <c r="DH12" i="8" a="1"/>
  <c r="DH12" i="8" s="1"/>
  <c r="DG12" i="8" a="1"/>
  <c r="DG12" i="8" s="1"/>
  <c r="DF12" i="8" a="1"/>
  <c r="DF12" i="8" s="1"/>
  <c r="DE12" i="8" a="1"/>
  <c r="DE12" i="8" s="1"/>
  <c r="DD12" i="8" a="1"/>
  <c r="DD12" i="8" s="1"/>
  <c r="DC12" i="8" a="1"/>
  <c r="DC12" i="8" s="1"/>
  <c r="DB12" i="8" a="1"/>
  <c r="DB12" i="8" s="1"/>
  <c r="DA12" i="8" a="1"/>
  <c r="DA12" i="8" s="1"/>
  <c r="CZ12" i="8" a="1"/>
  <c r="CZ12" i="8" s="1"/>
  <c r="CY12" i="8" a="1"/>
  <c r="CY12" i="8" s="1"/>
  <c r="CX12" i="8" a="1"/>
  <c r="CX12" i="8" s="1"/>
  <c r="CW12" i="8" a="1"/>
  <c r="CW12" i="8" s="1"/>
  <c r="CV12" i="8" a="1"/>
  <c r="CV12" i="8" s="1"/>
  <c r="CU12" i="8" a="1"/>
  <c r="CU12" i="8" s="1"/>
  <c r="CT12" i="8" a="1"/>
  <c r="CT12" i="8" s="1"/>
  <c r="CS12" i="8" a="1"/>
  <c r="CS12" i="8" s="1"/>
  <c r="CR12" i="8" a="1"/>
  <c r="CR12" i="8" s="1"/>
  <c r="CQ12" i="8" a="1"/>
  <c r="CQ12" i="8" s="1"/>
  <c r="CP12" i="8" a="1"/>
  <c r="CP12" i="8" s="1"/>
  <c r="CO12" i="8" a="1"/>
  <c r="CO12" i="8" s="1"/>
  <c r="CN12" i="8" a="1"/>
  <c r="CN12" i="8" s="1"/>
  <c r="CM12" i="8" a="1"/>
  <c r="CM12" i="8" s="1"/>
  <c r="CL12" i="8" a="1"/>
  <c r="CL12" i="8" s="1"/>
  <c r="CK12" i="8" a="1"/>
  <c r="CK12" i="8" s="1"/>
  <c r="CJ12" i="8" a="1"/>
  <c r="CJ12" i="8" s="1"/>
  <c r="CI12" i="8" a="1"/>
  <c r="CI12" i="8" s="1"/>
  <c r="CH12" i="8" a="1"/>
  <c r="CH12" i="8" s="1"/>
  <c r="CG12" i="8" a="1"/>
  <c r="CG12" i="8" s="1"/>
  <c r="CF12" i="8" a="1"/>
  <c r="CF12" i="8" s="1"/>
  <c r="CE12" i="8" a="1"/>
  <c r="CE12" i="8" s="1"/>
  <c r="CD12" i="8" a="1"/>
  <c r="CD12" i="8" s="1"/>
  <c r="CC12" i="8" a="1"/>
  <c r="CC12" i="8" s="1"/>
  <c r="CB12" i="8" a="1"/>
  <c r="CB12" i="8" s="1"/>
  <c r="CA12" i="8" a="1"/>
  <c r="CA12" i="8" s="1"/>
  <c r="BZ12" i="8" a="1"/>
  <c r="BZ12" i="8" s="1"/>
  <c r="BY12" i="8" a="1"/>
  <c r="BY12" i="8" s="1"/>
  <c r="BX12" i="8" a="1"/>
  <c r="BX12" i="8" s="1"/>
  <c r="BW12" i="8" a="1"/>
  <c r="BW12" i="8" s="1"/>
  <c r="BV12" i="8" a="1"/>
  <c r="BV12" i="8" s="1"/>
  <c r="BU12" i="8" a="1"/>
  <c r="BU12" i="8" s="1"/>
  <c r="BT12" i="8" a="1"/>
  <c r="BT12" i="8" s="1"/>
  <c r="BS12" i="8" a="1"/>
  <c r="BS12" i="8" s="1"/>
  <c r="BR12" i="8" a="1"/>
  <c r="BR12" i="8" s="1"/>
  <c r="BQ12" i="8" a="1"/>
  <c r="BQ12" i="8" s="1"/>
  <c r="BP12" i="8" a="1"/>
  <c r="BP12" i="8" s="1"/>
  <c r="BO12" i="8" a="1"/>
  <c r="BO12" i="8" s="1"/>
  <c r="BN12" i="8" a="1"/>
  <c r="BN12" i="8" s="1"/>
  <c r="BM12" i="8" a="1"/>
  <c r="BM12" i="8" s="1"/>
  <c r="BL12" i="8" a="1"/>
  <c r="BL12" i="8" s="1"/>
  <c r="BK12" i="8" a="1"/>
  <c r="BK12" i="8" s="1"/>
  <c r="BJ12" i="8" a="1"/>
  <c r="BJ12" i="8" s="1"/>
  <c r="BI12" i="8" a="1"/>
  <c r="BI12" i="8" s="1"/>
  <c r="BH12" i="8" a="1"/>
  <c r="BH12" i="8" s="1"/>
  <c r="BG12" i="8" a="1"/>
  <c r="BG12" i="8" s="1"/>
  <c r="BF12" i="8" a="1"/>
  <c r="BF12" i="8" s="1"/>
  <c r="BE12" i="8" a="1"/>
  <c r="BE12" i="8" s="1"/>
  <c r="BD12" i="8" a="1"/>
  <c r="BD12" i="8" s="1"/>
  <c r="BC12" i="8" a="1"/>
  <c r="BC12" i="8" s="1"/>
  <c r="BB12" i="8" a="1"/>
  <c r="BB12" i="8" s="1"/>
  <c r="BA12" i="8" a="1"/>
  <c r="BA12" i="8" s="1"/>
  <c r="AZ12" i="8" a="1"/>
  <c r="AZ12" i="8" s="1"/>
  <c r="AY12" i="8" a="1"/>
  <c r="AY12" i="8" s="1"/>
  <c r="AX12" i="8" a="1"/>
  <c r="AX12" i="8" s="1"/>
  <c r="AW12" i="8" a="1"/>
  <c r="AW12" i="8" s="1"/>
  <c r="AV12" i="8" a="1"/>
  <c r="AV12" i="8" s="1"/>
  <c r="AU12" i="8" a="1"/>
  <c r="AU12" i="8" s="1"/>
  <c r="AT12" i="8" a="1"/>
  <c r="AT12" i="8" s="1"/>
  <c r="AS12" i="8" a="1"/>
  <c r="AS12" i="8" s="1"/>
  <c r="AR12" i="8" a="1"/>
  <c r="AR12" i="8" s="1"/>
  <c r="AQ12" i="8" a="1"/>
  <c r="AQ12" i="8" s="1"/>
  <c r="AP12" i="8" a="1"/>
  <c r="AP12" i="8" s="1"/>
  <c r="AO12" i="8" a="1"/>
  <c r="AO12" i="8" s="1"/>
  <c r="AN12" i="8" a="1"/>
  <c r="AN12" i="8" s="1"/>
  <c r="AM12" i="8" a="1"/>
  <c r="AM12" i="8" s="1"/>
  <c r="AL12" i="8" a="1"/>
  <c r="AL12" i="8" s="1"/>
  <c r="AK12" i="8" a="1"/>
  <c r="AK12" i="8" s="1"/>
  <c r="AJ12" i="8" a="1"/>
  <c r="AJ12" i="8" s="1"/>
  <c r="AI12" i="8" a="1"/>
  <c r="AI12" i="8" s="1"/>
  <c r="AH12" i="8" a="1"/>
  <c r="AH12" i="8" s="1"/>
  <c r="AG12" i="8" a="1"/>
  <c r="AG12" i="8" s="1"/>
  <c r="AF12" i="8" a="1"/>
  <c r="AF12" i="8" s="1"/>
  <c r="AE12" i="8" a="1"/>
  <c r="AE12" i="8" s="1"/>
  <c r="AD12" i="8" a="1"/>
  <c r="AD12" i="8" s="1"/>
  <c r="AC12" i="8" a="1"/>
  <c r="AC12" i="8" s="1"/>
  <c r="AB12" i="8" a="1"/>
  <c r="AB12" i="8" s="1"/>
  <c r="AA12" i="8" a="1"/>
  <c r="AA12" i="8" s="1"/>
  <c r="Z12" i="8" a="1"/>
  <c r="Z12" i="8" s="1"/>
  <c r="Y12" i="8" a="1"/>
  <c r="Y12" i="8" s="1"/>
  <c r="X12" i="8" a="1"/>
  <c r="X12" i="8" s="1"/>
  <c r="W12" i="8" a="1"/>
  <c r="W12" i="8" s="1"/>
  <c r="V12" i="8" a="1"/>
  <c r="V12" i="8" s="1"/>
  <c r="U12" i="8" a="1"/>
  <c r="U12" i="8" s="1"/>
  <c r="T12" i="8" a="1"/>
  <c r="T12" i="8" s="1"/>
  <c r="S12" i="8" a="1"/>
  <c r="S12" i="8" s="1"/>
  <c r="R12" i="8" a="1"/>
  <c r="R12" i="8" s="1"/>
  <c r="Q12" i="8" a="1"/>
  <c r="Q12" i="8" s="1"/>
  <c r="P12" i="8" a="1"/>
  <c r="P12" i="8" s="1"/>
  <c r="O12" i="8" a="1"/>
  <c r="O12" i="8" s="1"/>
  <c r="N12" i="8" a="1"/>
  <c r="N12" i="8" s="1"/>
  <c r="M12" i="8" a="1"/>
  <c r="M12" i="8" s="1"/>
  <c r="L12" i="8" a="1"/>
  <c r="L12" i="8" s="1"/>
  <c r="K12" i="8" a="1"/>
  <c r="K12" i="8" s="1"/>
  <c r="J12" i="8" a="1"/>
  <c r="J12" i="8" s="1"/>
  <c r="I12" i="8" a="1"/>
  <c r="I12" i="8" s="1"/>
  <c r="H12" i="8" a="1"/>
  <c r="H12" i="8" s="1"/>
  <c r="G12" i="8" a="1"/>
  <c r="G12" i="8" s="1"/>
  <c r="F12" i="8" a="1"/>
  <c r="F12" i="8" s="1"/>
  <c r="E12" i="8" a="1"/>
  <c r="E12" i="8" s="1"/>
  <c r="D12" i="8" a="1"/>
  <c r="D12" i="8" s="1"/>
  <c r="EG11" i="8" a="1"/>
  <c r="EG11" i="8" s="1"/>
  <c r="EF11" i="8" a="1"/>
  <c r="EF11" i="8" s="1"/>
  <c r="EE11" i="8" a="1"/>
  <c r="EE11" i="8" s="1"/>
  <c r="ED11" i="8" a="1"/>
  <c r="ED11" i="8" s="1"/>
  <c r="EC11" i="8" a="1"/>
  <c r="EC11" i="8" s="1"/>
  <c r="EB11" i="8" a="1"/>
  <c r="EB11" i="8" s="1"/>
  <c r="EA11" i="8" a="1"/>
  <c r="EA11" i="8" s="1"/>
  <c r="DZ11" i="8" a="1"/>
  <c r="DZ11" i="8" s="1"/>
  <c r="DY11" i="8" a="1"/>
  <c r="DY11" i="8" s="1"/>
  <c r="DX11" i="8" a="1"/>
  <c r="DX11" i="8" s="1"/>
  <c r="DW11" i="8" a="1"/>
  <c r="DW11" i="8" s="1"/>
  <c r="DV11" i="8" a="1"/>
  <c r="DV11" i="8" s="1"/>
  <c r="DU11" i="8" a="1"/>
  <c r="DU11" i="8" s="1"/>
  <c r="DT11" i="8" a="1"/>
  <c r="DT11" i="8" s="1"/>
  <c r="DS11" i="8" a="1"/>
  <c r="DS11" i="8" s="1"/>
  <c r="DR11" i="8" a="1"/>
  <c r="DR11" i="8" s="1"/>
  <c r="DQ11" i="8" a="1"/>
  <c r="DQ11" i="8" s="1"/>
  <c r="DP11" i="8" a="1"/>
  <c r="DP11" i="8" s="1"/>
  <c r="DO11" i="8" a="1"/>
  <c r="DO11" i="8" s="1"/>
  <c r="DN11" i="8" a="1"/>
  <c r="DN11" i="8" s="1"/>
  <c r="DM11" i="8" a="1"/>
  <c r="DM11" i="8" s="1"/>
  <c r="DL11" i="8" a="1"/>
  <c r="DL11" i="8" s="1"/>
  <c r="DK11" i="8" a="1"/>
  <c r="DK11" i="8" s="1"/>
  <c r="DJ11" i="8" a="1"/>
  <c r="DJ11" i="8" s="1"/>
  <c r="DI11" i="8" a="1"/>
  <c r="DI11" i="8" s="1"/>
  <c r="DH11" i="8" a="1"/>
  <c r="DH11" i="8" s="1"/>
  <c r="DG11" i="8" a="1"/>
  <c r="DG11" i="8" s="1"/>
  <c r="DF11" i="8" a="1"/>
  <c r="DF11" i="8" s="1"/>
  <c r="DE11" i="8" a="1"/>
  <c r="DE11" i="8" s="1"/>
  <c r="DD11" i="8" a="1"/>
  <c r="DD11" i="8" s="1"/>
  <c r="DC11" i="8" a="1"/>
  <c r="DC11" i="8" s="1"/>
  <c r="DB11" i="8" a="1"/>
  <c r="DB11" i="8" s="1"/>
  <c r="DA11" i="8" a="1"/>
  <c r="DA11" i="8" s="1"/>
  <c r="CZ11" i="8" a="1"/>
  <c r="CZ11" i="8" s="1"/>
  <c r="CY11" i="8" a="1"/>
  <c r="CY11" i="8" s="1"/>
  <c r="CX11" i="8" a="1"/>
  <c r="CX11" i="8" s="1"/>
  <c r="CW11" i="8" a="1"/>
  <c r="CW11" i="8" s="1"/>
  <c r="CV11" i="8" a="1"/>
  <c r="CV11" i="8" s="1"/>
  <c r="CU11" i="8" a="1"/>
  <c r="CU11" i="8" s="1"/>
  <c r="CT11" i="8" a="1"/>
  <c r="CT11" i="8" s="1"/>
  <c r="CS11" i="8" a="1"/>
  <c r="CS11" i="8" s="1"/>
  <c r="CR11" i="8" a="1"/>
  <c r="CR11" i="8" s="1"/>
  <c r="CQ11" i="8" a="1"/>
  <c r="CQ11" i="8" s="1"/>
  <c r="CP11" i="8" a="1"/>
  <c r="CP11" i="8" s="1"/>
  <c r="CO11" i="8" a="1"/>
  <c r="CO11" i="8" s="1"/>
  <c r="CN11" i="8" a="1"/>
  <c r="CN11" i="8" s="1"/>
  <c r="CM11" i="8" a="1"/>
  <c r="CM11" i="8" s="1"/>
  <c r="CL11" i="8" a="1"/>
  <c r="CL11" i="8" s="1"/>
  <c r="CK11" i="8" a="1"/>
  <c r="CK11" i="8" s="1"/>
  <c r="CJ11" i="8" a="1"/>
  <c r="CJ11" i="8" s="1"/>
  <c r="CI11" i="8" a="1"/>
  <c r="CI11" i="8" s="1"/>
  <c r="CH11" i="8" a="1"/>
  <c r="CH11" i="8" s="1"/>
  <c r="CG11" i="8" a="1"/>
  <c r="CG11" i="8" s="1"/>
  <c r="CF11" i="8" a="1"/>
  <c r="CF11" i="8" s="1"/>
  <c r="CE11" i="8" a="1"/>
  <c r="CE11" i="8" s="1"/>
  <c r="CD11" i="8" a="1"/>
  <c r="CD11" i="8" s="1"/>
  <c r="CC11" i="8" a="1"/>
  <c r="CC11" i="8" s="1"/>
  <c r="CB11" i="8" a="1"/>
  <c r="CB11" i="8" s="1"/>
  <c r="CA11" i="8" a="1"/>
  <c r="CA11" i="8" s="1"/>
  <c r="BZ11" i="8" a="1"/>
  <c r="BZ11" i="8" s="1"/>
  <c r="BY11" i="8" a="1"/>
  <c r="BY11" i="8" s="1"/>
  <c r="BX11" i="8" a="1"/>
  <c r="BX11" i="8" s="1"/>
  <c r="BW11" i="8" a="1"/>
  <c r="BW11" i="8" s="1"/>
  <c r="BV11" i="8" a="1"/>
  <c r="BV11" i="8" s="1"/>
  <c r="BU11" i="8" a="1"/>
  <c r="BU11" i="8" s="1"/>
  <c r="BT11" i="8" a="1"/>
  <c r="BT11" i="8" s="1"/>
  <c r="BS11" i="8" a="1"/>
  <c r="BS11" i="8" s="1"/>
  <c r="BR11" i="8" a="1"/>
  <c r="BR11" i="8" s="1"/>
  <c r="BQ11" i="8" a="1"/>
  <c r="BQ11" i="8" s="1"/>
  <c r="BP11" i="8" a="1"/>
  <c r="BP11" i="8" s="1"/>
  <c r="BO11" i="8" a="1"/>
  <c r="BO11" i="8" s="1"/>
  <c r="BN11" i="8" a="1"/>
  <c r="BN11" i="8" s="1"/>
  <c r="BM11" i="8" a="1"/>
  <c r="BM11" i="8" s="1"/>
  <c r="BL11" i="8" a="1"/>
  <c r="BL11" i="8" s="1"/>
  <c r="BK11" i="8" a="1"/>
  <c r="BK11" i="8" s="1"/>
  <c r="BJ11" i="8" a="1"/>
  <c r="BJ11" i="8" s="1"/>
  <c r="BI11" i="8" a="1"/>
  <c r="BI11" i="8" s="1"/>
  <c r="BH11" i="8" a="1"/>
  <c r="BH11" i="8" s="1"/>
  <c r="BG11" i="8" a="1"/>
  <c r="BG11" i="8" s="1"/>
  <c r="BF11" i="8" a="1"/>
  <c r="BF11" i="8" s="1"/>
  <c r="BE11" i="8" a="1"/>
  <c r="BE11" i="8" s="1"/>
  <c r="BD11" i="8" a="1"/>
  <c r="BD11" i="8" s="1"/>
  <c r="BC11" i="8" a="1"/>
  <c r="BC11" i="8" s="1"/>
  <c r="BB11" i="8" a="1"/>
  <c r="BB11" i="8" s="1"/>
  <c r="BA11" i="8" a="1"/>
  <c r="BA11" i="8" s="1"/>
  <c r="AZ11" i="8" a="1"/>
  <c r="AZ11" i="8" s="1"/>
  <c r="AY11" i="8" a="1"/>
  <c r="AY11" i="8" s="1"/>
  <c r="AX11" i="8" a="1"/>
  <c r="AX11" i="8" s="1"/>
  <c r="AW11" i="8" a="1"/>
  <c r="AW11" i="8" s="1"/>
  <c r="AV11" i="8" a="1"/>
  <c r="AV11" i="8" s="1"/>
  <c r="AU11" i="8" a="1"/>
  <c r="AU11" i="8" s="1"/>
  <c r="AT11" i="8" a="1"/>
  <c r="AT11" i="8" s="1"/>
  <c r="AS11" i="8" a="1"/>
  <c r="AS11" i="8" s="1"/>
  <c r="AR11" i="8" a="1"/>
  <c r="AR11" i="8" s="1"/>
  <c r="AQ11" i="8" a="1"/>
  <c r="AQ11" i="8" s="1"/>
  <c r="AP11" i="8" a="1"/>
  <c r="AP11" i="8" s="1"/>
  <c r="AO11" i="8" a="1"/>
  <c r="AO11" i="8" s="1"/>
  <c r="AN11" i="8" a="1"/>
  <c r="AN11" i="8" s="1"/>
  <c r="AM11" i="8" a="1"/>
  <c r="AM11" i="8" s="1"/>
  <c r="AL11" i="8" a="1"/>
  <c r="AL11" i="8" s="1"/>
  <c r="AK11" i="8" a="1"/>
  <c r="AK11" i="8" s="1"/>
  <c r="AJ11" i="8" a="1"/>
  <c r="AJ11" i="8" s="1"/>
  <c r="AI11" i="8" a="1"/>
  <c r="AI11" i="8" s="1"/>
  <c r="AH11" i="8" a="1"/>
  <c r="AH11" i="8" s="1"/>
  <c r="AG11" i="8" a="1"/>
  <c r="AG11" i="8" s="1"/>
  <c r="AF11" i="8" a="1"/>
  <c r="AF11" i="8" s="1"/>
  <c r="AE11" i="8" a="1"/>
  <c r="AE11" i="8" s="1"/>
  <c r="AD11" i="8" a="1"/>
  <c r="AD11" i="8" s="1"/>
  <c r="AC11" i="8" a="1"/>
  <c r="AC11" i="8" s="1"/>
  <c r="AB11" i="8" a="1"/>
  <c r="AB11" i="8" s="1"/>
  <c r="AA11" i="8" a="1"/>
  <c r="AA11" i="8" s="1"/>
  <c r="Z11" i="8" a="1"/>
  <c r="Z11" i="8" s="1"/>
  <c r="Y11" i="8" a="1"/>
  <c r="Y11" i="8" s="1"/>
  <c r="X11" i="8" a="1"/>
  <c r="X11" i="8" s="1"/>
  <c r="W11" i="8" a="1"/>
  <c r="W11" i="8" s="1"/>
  <c r="V11" i="8" a="1"/>
  <c r="V11" i="8" s="1"/>
  <c r="U11" i="8" a="1"/>
  <c r="U11" i="8" s="1"/>
  <c r="T11" i="8" a="1"/>
  <c r="T11" i="8" s="1"/>
  <c r="S11" i="8" a="1"/>
  <c r="S11" i="8" s="1"/>
  <c r="R11" i="8" a="1"/>
  <c r="R11" i="8" s="1"/>
  <c r="Q11" i="8" a="1"/>
  <c r="Q11" i="8" s="1"/>
  <c r="P11" i="8" a="1"/>
  <c r="P11" i="8" s="1"/>
  <c r="O11" i="8" a="1"/>
  <c r="O11" i="8" s="1"/>
  <c r="N11" i="8" a="1"/>
  <c r="N11" i="8" s="1"/>
  <c r="M11" i="8" a="1"/>
  <c r="M11" i="8" s="1"/>
  <c r="L11" i="8" a="1"/>
  <c r="L11" i="8" s="1"/>
  <c r="K11" i="8" a="1"/>
  <c r="K11" i="8" s="1"/>
  <c r="J11" i="8" a="1"/>
  <c r="J11" i="8" s="1"/>
  <c r="I11" i="8" a="1"/>
  <c r="I11" i="8" s="1"/>
  <c r="H11" i="8" a="1"/>
  <c r="H11" i="8" s="1"/>
  <c r="G11" i="8" a="1"/>
  <c r="G11" i="8" s="1"/>
  <c r="F11" i="8" a="1"/>
  <c r="F11" i="8" s="1"/>
  <c r="E11" i="8" a="1"/>
  <c r="E11" i="8" s="1"/>
  <c r="D11" i="8" a="1"/>
  <c r="D11" i="8" s="1"/>
  <c r="EG10" i="8" a="1"/>
  <c r="EG10" i="8" s="1"/>
  <c r="EF10" i="8" a="1"/>
  <c r="EF10" i="8" s="1"/>
  <c r="EE10" i="8" a="1"/>
  <c r="EE10" i="8" s="1"/>
  <c r="ED10" i="8" a="1"/>
  <c r="ED10" i="8" s="1"/>
  <c r="EC10" i="8" a="1"/>
  <c r="EC10" i="8" s="1"/>
  <c r="EB10" i="8" a="1"/>
  <c r="EB10" i="8" s="1"/>
  <c r="EA10" i="8" a="1"/>
  <c r="EA10" i="8" s="1"/>
  <c r="DZ10" i="8" a="1"/>
  <c r="DZ10" i="8" s="1"/>
  <c r="DY10" i="8" a="1"/>
  <c r="DY10" i="8" s="1"/>
  <c r="DX10" i="8" a="1"/>
  <c r="DX10" i="8" s="1"/>
  <c r="DW10" i="8" a="1"/>
  <c r="DW10" i="8" s="1"/>
  <c r="DV10" i="8" a="1"/>
  <c r="DV10" i="8" s="1"/>
  <c r="DU10" i="8" a="1"/>
  <c r="DU10" i="8" s="1"/>
  <c r="DT10" i="8" a="1"/>
  <c r="DT10" i="8" s="1"/>
  <c r="DS10" i="8" a="1"/>
  <c r="DS10" i="8" s="1"/>
  <c r="DR10" i="8" a="1"/>
  <c r="DR10" i="8" s="1"/>
  <c r="DQ10" i="8" a="1"/>
  <c r="DQ10" i="8" s="1"/>
  <c r="DP10" i="8" a="1"/>
  <c r="DP10" i="8" s="1"/>
  <c r="DO10" i="8" a="1"/>
  <c r="DO10" i="8" s="1"/>
  <c r="DN10" i="8" a="1"/>
  <c r="DN10" i="8" s="1"/>
  <c r="DM10" i="8" a="1"/>
  <c r="DM10" i="8" s="1"/>
  <c r="DL10" i="8" a="1"/>
  <c r="DL10" i="8" s="1"/>
  <c r="DK10" i="8" a="1"/>
  <c r="DK10" i="8" s="1"/>
  <c r="DJ10" i="8" a="1"/>
  <c r="DJ10" i="8" s="1"/>
  <c r="DI10" i="8" a="1"/>
  <c r="DI10" i="8" s="1"/>
  <c r="DH10" i="8" a="1"/>
  <c r="DH10" i="8" s="1"/>
  <c r="DG10" i="8" a="1"/>
  <c r="DG10" i="8" s="1"/>
  <c r="DF10" i="8" a="1"/>
  <c r="DF10" i="8" s="1"/>
  <c r="DE10" i="8" a="1"/>
  <c r="DE10" i="8" s="1"/>
  <c r="DD10" i="8" a="1"/>
  <c r="DD10" i="8" s="1"/>
  <c r="DC10" i="8" a="1"/>
  <c r="DC10" i="8" s="1"/>
  <c r="DB10" i="8" a="1"/>
  <c r="DB10" i="8" s="1"/>
  <c r="DA10" i="8" a="1"/>
  <c r="DA10" i="8" s="1"/>
  <c r="CZ10" i="8" a="1"/>
  <c r="CZ10" i="8" s="1"/>
  <c r="CY10" i="8" a="1"/>
  <c r="CY10" i="8" s="1"/>
  <c r="CX10" i="8" a="1"/>
  <c r="CX10" i="8" s="1"/>
  <c r="CW10" i="8" a="1"/>
  <c r="CW10" i="8" s="1"/>
  <c r="CV10" i="8" a="1"/>
  <c r="CV10" i="8" s="1"/>
  <c r="CU10" i="8" a="1"/>
  <c r="CU10" i="8" s="1"/>
  <c r="CT10" i="8" a="1"/>
  <c r="CT10" i="8" s="1"/>
  <c r="CS10" i="8" a="1"/>
  <c r="CS10" i="8" s="1"/>
  <c r="CR10" i="8" a="1"/>
  <c r="CR10" i="8" s="1"/>
  <c r="CQ10" i="8" a="1"/>
  <c r="CQ10" i="8" s="1"/>
  <c r="CP10" i="8" a="1"/>
  <c r="CP10" i="8" s="1"/>
  <c r="CO10" i="8" a="1"/>
  <c r="CO10" i="8" s="1"/>
  <c r="CN10" i="8" a="1"/>
  <c r="CN10" i="8" s="1"/>
  <c r="CM10" i="8" a="1"/>
  <c r="CM10" i="8"/>
  <c r="CL10" i="8" a="1"/>
  <c r="CL10" i="8"/>
  <c r="CK10" i="8" a="1"/>
  <c r="CK10" i="8"/>
  <c r="CJ10" i="8" a="1"/>
  <c r="CJ10" i="8"/>
  <c r="CI10" i="8" a="1"/>
  <c r="CI10" i="8"/>
  <c r="CH10" i="8" a="1"/>
  <c r="CH10" i="8"/>
  <c r="CG10" i="8" a="1"/>
  <c r="CG10" i="8"/>
  <c r="CF10" i="8" a="1"/>
  <c r="CF10" i="8"/>
  <c r="CE10" i="8" a="1"/>
  <c r="CE10" i="8"/>
  <c r="CD10" i="8" a="1"/>
  <c r="CD10" i="8"/>
  <c r="CC10" i="8" a="1"/>
  <c r="CC10" i="8"/>
  <c r="CB10" i="8" a="1"/>
  <c r="CB10" i="8"/>
  <c r="CA10" i="8" a="1"/>
  <c r="CA10" i="8"/>
  <c r="BZ10" i="8" a="1"/>
  <c r="BZ10" i="8"/>
  <c r="BY10" i="8" a="1"/>
  <c r="BY10" i="8"/>
  <c r="BX10" i="8" a="1"/>
  <c r="BX10" i="8"/>
  <c r="BW10" i="8" a="1"/>
  <c r="BW10" i="8"/>
  <c r="BV10" i="8" a="1"/>
  <c r="BV10" i="8"/>
  <c r="BU10" i="8" a="1"/>
  <c r="BU10" i="8"/>
  <c r="BT10" i="8" a="1"/>
  <c r="BT10" i="8"/>
  <c r="BS10" i="8" a="1"/>
  <c r="BS10" i="8"/>
  <c r="BR10" i="8" a="1"/>
  <c r="BR10" i="8"/>
  <c r="BQ10" i="8" a="1"/>
  <c r="BQ10" i="8"/>
  <c r="BP10" i="8" a="1"/>
  <c r="BP10" i="8"/>
  <c r="BO10" i="8" a="1"/>
  <c r="BO10" i="8"/>
  <c r="BN10" i="8" a="1"/>
  <c r="BN10" i="8"/>
  <c r="BM10" i="8" a="1"/>
  <c r="BM10" i="8"/>
  <c r="BL10" i="8" a="1"/>
  <c r="BL10" i="8"/>
  <c r="BK10" i="8" a="1"/>
  <c r="BK10" i="8"/>
  <c r="BJ10" i="8" a="1"/>
  <c r="BJ10" i="8"/>
  <c r="BI10" i="8" a="1"/>
  <c r="BI10" i="8"/>
  <c r="BH10" i="8" a="1"/>
  <c r="BH10" i="8"/>
  <c r="BG10" i="8" a="1"/>
  <c r="BG10" i="8"/>
  <c r="BF10" i="8" a="1"/>
  <c r="BF10" i="8"/>
  <c r="BE10" i="8" a="1"/>
  <c r="BE10" i="8"/>
  <c r="BD10" i="8" a="1"/>
  <c r="BD10" i="8"/>
  <c r="BC10" i="8" a="1"/>
  <c r="BC10" i="8"/>
  <c r="BB10" i="8" a="1"/>
  <c r="BB10" i="8"/>
  <c r="BA10" i="8" a="1"/>
  <c r="BA10" i="8"/>
  <c r="AZ10" i="8" a="1"/>
  <c r="AZ10" i="8"/>
  <c r="AY10" i="8" a="1"/>
  <c r="AY10" i="8"/>
  <c r="AX10" i="8" a="1"/>
  <c r="AX10" i="8"/>
  <c r="AW10" i="8" a="1"/>
  <c r="AW10" i="8"/>
  <c r="AV10" i="8" a="1"/>
  <c r="AV10" i="8"/>
  <c r="AU10" i="8" a="1"/>
  <c r="AU10" i="8"/>
  <c r="AT10" i="8" a="1"/>
  <c r="AT10" i="8"/>
  <c r="AS10" i="8" a="1"/>
  <c r="AS10" i="8"/>
  <c r="AR10" i="8" a="1"/>
  <c r="AR10" i="8"/>
  <c r="AQ10" i="8" a="1"/>
  <c r="AQ10" i="8"/>
  <c r="AP10" i="8" a="1"/>
  <c r="AP10" i="8"/>
  <c r="AO10" i="8" a="1"/>
  <c r="AO10" i="8"/>
  <c r="AN10" i="8" a="1"/>
  <c r="AN10" i="8"/>
  <c r="AM10" i="8" a="1"/>
  <c r="AM10" i="8"/>
  <c r="AL10" i="8" a="1"/>
  <c r="AL10" i="8"/>
  <c r="AK10" i="8" a="1"/>
  <c r="AK10" i="8"/>
  <c r="AJ10" i="8" a="1"/>
  <c r="AJ10" i="8"/>
  <c r="AI10" i="8" a="1"/>
  <c r="AI10" i="8"/>
  <c r="AH10" i="8" a="1"/>
  <c r="AH10" i="8"/>
  <c r="AG10" i="8" a="1"/>
  <c r="AG10" i="8"/>
  <c r="AF10" i="8" a="1"/>
  <c r="AF10" i="8"/>
  <c r="AE10" i="8" a="1"/>
  <c r="AE10" i="8"/>
  <c r="AD10" i="8" a="1"/>
  <c r="AD10" i="8"/>
  <c r="AC10" i="8" a="1"/>
  <c r="AC10" i="8"/>
  <c r="AB10" i="8" a="1"/>
  <c r="AB10" i="8"/>
  <c r="AA10" i="8" a="1"/>
  <c r="AA10" i="8"/>
  <c r="Z10" i="8" a="1"/>
  <c r="Z10" i="8"/>
  <c r="Y10" i="8" a="1"/>
  <c r="Y10" i="8"/>
  <c r="X10" i="8" a="1"/>
  <c r="X10" i="8"/>
  <c r="W10" i="8" a="1"/>
  <c r="W10" i="8"/>
  <c r="V10" i="8" a="1"/>
  <c r="V10" i="8"/>
  <c r="U10" i="8" a="1"/>
  <c r="U10" i="8"/>
  <c r="T10" i="8" a="1"/>
  <c r="T10" i="8"/>
  <c r="S10" i="8" a="1"/>
  <c r="S10" i="8"/>
  <c r="R10" i="8" a="1"/>
  <c r="R10" i="8"/>
  <c r="Q10" i="8" a="1"/>
  <c r="Q10" i="8"/>
  <c r="P10" i="8" a="1"/>
  <c r="P10" i="8"/>
  <c r="O10" i="8" a="1"/>
  <c r="O10" i="8"/>
  <c r="N10" i="8" a="1"/>
  <c r="N10" i="8"/>
  <c r="M10" i="8" a="1"/>
  <c r="M10" i="8"/>
  <c r="L10" i="8" a="1"/>
  <c r="L10" i="8"/>
  <c r="K10" i="8" a="1"/>
  <c r="K10" i="8"/>
  <c r="J10" i="8" a="1"/>
  <c r="J10" i="8"/>
  <c r="I10" i="8" a="1"/>
  <c r="I10" i="8"/>
  <c r="H10" i="8" a="1"/>
  <c r="H10" i="8"/>
  <c r="G10" i="8" a="1"/>
  <c r="G10" i="8"/>
  <c r="F10" i="8" a="1"/>
  <c r="F10" i="8"/>
  <c r="E10" i="8" a="1"/>
  <c r="E10" i="8"/>
  <c r="D10" i="8" a="1"/>
  <c r="D10" i="8"/>
  <c r="EG9" i="8" a="1"/>
  <c r="EG9" i="8"/>
  <c r="EF9" i="8" a="1"/>
  <c r="EF9" i="8"/>
  <c r="EE9" i="8" a="1"/>
  <c r="EE9" i="8"/>
  <c r="ED9" i="8" a="1"/>
  <c r="ED9" i="8"/>
  <c r="EC9" i="8" a="1"/>
  <c r="EC9" i="8"/>
  <c r="EB9" i="8" a="1"/>
  <c r="EB9" i="8"/>
  <c r="EA9" i="8" a="1"/>
  <c r="EA9" i="8"/>
  <c r="DZ9" i="8" a="1"/>
  <c r="DZ9" i="8"/>
  <c r="DY9" i="8" a="1"/>
  <c r="DY9" i="8"/>
  <c r="DX9" i="8" a="1"/>
  <c r="DX9" i="8"/>
  <c r="DW9" i="8" a="1"/>
  <c r="DW9" i="8"/>
  <c r="DV9" i="8" a="1"/>
  <c r="DV9" i="8"/>
  <c r="DU9" i="8" a="1"/>
  <c r="DU9" i="8"/>
  <c r="DT9" i="8" a="1"/>
  <c r="DT9" i="8"/>
  <c r="DS9" i="8" a="1"/>
  <c r="DS9" i="8"/>
  <c r="DR9" i="8" a="1"/>
  <c r="DR9" i="8"/>
  <c r="DQ9" i="8" a="1"/>
  <c r="DQ9" i="8"/>
  <c r="DP9" i="8" a="1"/>
  <c r="DP9" i="8"/>
  <c r="DO9" i="8" a="1"/>
  <c r="DO9" i="8"/>
  <c r="DN9" i="8" a="1"/>
  <c r="DN9" i="8"/>
  <c r="DM9" i="8" a="1"/>
  <c r="DM9" i="8"/>
  <c r="DL9" i="8" a="1"/>
  <c r="DL9" i="8"/>
  <c r="DK9" i="8" a="1"/>
  <c r="DK9" i="8"/>
  <c r="DJ9" i="8" a="1"/>
  <c r="DJ9" i="8"/>
  <c r="DI9" i="8" a="1"/>
  <c r="DI9" i="8"/>
  <c r="DH9" i="8" a="1"/>
  <c r="DH9" i="8"/>
  <c r="DG9" i="8" a="1"/>
  <c r="DG9" i="8"/>
  <c r="DF9" i="8" a="1"/>
  <c r="DF9" i="8"/>
  <c r="DE9" i="8" a="1"/>
  <c r="DE9" i="8"/>
  <c r="DD9" i="8" a="1"/>
  <c r="DD9" i="8"/>
  <c r="DC9" i="8" a="1"/>
  <c r="DC9" i="8"/>
  <c r="DB9" i="8" a="1"/>
  <c r="DB9" i="8"/>
  <c r="DA9" i="8" a="1"/>
  <c r="DA9" i="8"/>
  <c r="CZ9" i="8" a="1"/>
  <c r="CZ9" i="8"/>
  <c r="CY9" i="8" a="1"/>
  <c r="CY9" i="8"/>
  <c r="CX9" i="8" a="1"/>
  <c r="CX9" i="8"/>
  <c r="CW9" i="8" a="1"/>
  <c r="CW9" i="8"/>
  <c r="CV9" i="8" a="1"/>
  <c r="CV9" i="8"/>
  <c r="CU9" i="8" a="1"/>
  <c r="CU9" i="8"/>
  <c r="CT9" i="8" a="1"/>
  <c r="CT9" i="8"/>
  <c r="CS9" i="8" a="1"/>
  <c r="CS9" i="8"/>
  <c r="CR9" i="8" a="1"/>
  <c r="CR9" i="8"/>
  <c r="CQ9" i="8" a="1"/>
  <c r="CQ9" i="8" s="1"/>
  <c r="CP9" i="8" a="1"/>
  <c r="CP9" i="8" s="1"/>
  <c r="CO9" i="8" a="1"/>
  <c r="CO9" i="8" s="1"/>
  <c r="CN9" i="8" a="1"/>
  <c r="CN9" i="8" s="1"/>
  <c r="CM9" i="8" a="1"/>
  <c r="CM9" i="8" s="1"/>
  <c r="CL9" i="8" a="1"/>
  <c r="CL9" i="8" s="1"/>
  <c r="CK9" i="8" a="1"/>
  <c r="CK9" i="8" s="1"/>
  <c r="CJ9" i="8" a="1"/>
  <c r="CJ9" i="8" s="1"/>
  <c r="CI9" i="8" a="1"/>
  <c r="CI9" i="8" s="1"/>
  <c r="CH9" i="8" a="1"/>
  <c r="CH9" i="8" s="1"/>
  <c r="CG9" i="8" a="1"/>
  <c r="CG9" i="8" s="1"/>
  <c r="CF9" i="8" a="1"/>
  <c r="CF9" i="8" s="1"/>
  <c r="CE9" i="8" a="1"/>
  <c r="CE9" i="8" s="1"/>
  <c r="CD9" i="8" a="1"/>
  <c r="CD9" i="8" s="1"/>
  <c r="CC9" i="8" a="1"/>
  <c r="CC9" i="8" s="1"/>
  <c r="CB9" i="8" a="1"/>
  <c r="CB9" i="8" s="1"/>
  <c r="CA9" i="8" a="1"/>
  <c r="CA9" i="8" s="1"/>
  <c r="BZ9" i="8" a="1"/>
  <c r="BZ9" i="8" s="1"/>
  <c r="BY9" i="8" a="1"/>
  <c r="BY9" i="8" s="1"/>
  <c r="BX9" i="8" a="1"/>
  <c r="BX9" i="8" s="1"/>
  <c r="BW9" i="8" a="1"/>
  <c r="BW9" i="8" s="1"/>
  <c r="BV9" i="8" a="1"/>
  <c r="BV9" i="8" s="1"/>
  <c r="BU9" i="8" a="1"/>
  <c r="BU9" i="8" s="1"/>
  <c r="BT9" i="8" a="1"/>
  <c r="BT9" i="8" s="1"/>
  <c r="BS9" i="8" a="1"/>
  <c r="BS9" i="8" s="1"/>
  <c r="BR9" i="8" a="1"/>
  <c r="BR9" i="8" s="1"/>
  <c r="BQ9" i="8" a="1"/>
  <c r="BQ9" i="8" s="1"/>
  <c r="BP9" i="8" a="1"/>
  <c r="BP9" i="8" s="1"/>
  <c r="BO9" i="8" a="1"/>
  <c r="BO9" i="8" s="1"/>
  <c r="BN9" i="8" a="1"/>
  <c r="BN9" i="8" s="1"/>
  <c r="BM9" i="8" a="1"/>
  <c r="BM9" i="8" s="1"/>
  <c r="BL9" i="8" a="1"/>
  <c r="BL9" i="8" s="1"/>
  <c r="BK9" i="8" a="1"/>
  <c r="BK9" i="8" s="1"/>
  <c r="BJ9" i="8" a="1"/>
  <c r="BJ9" i="8" s="1"/>
  <c r="BI9" i="8" a="1"/>
  <c r="BI9" i="8" s="1"/>
  <c r="BH9" i="8" a="1"/>
  <c r="BH9" i="8" s="1"/>
  <c r="BG9" i="8" a="1"/>
  <c r="BG9" i="8" s="1"/>
  <c r="BF9" i="8" a="1"/>
  <c r="BF9" i="8" s="1"/>
  <c r="BE9" i="8" a="1"/>
  <c r="BE9" i="8" s="1"/>
  <c r="BD9" i="8" a="1"/>
  <c r="BD9" i="8" s="1"/>
  <c r="BC9" i="8" a="1"/>
  <c r="BC9" i="8" s="1"/>
  <c r="BB9" i="8" a="1"/>
  <c r="BB9" i="8" s="1"/>
  <c r="BA9" i="8" a="1"/>
  <c r="BA9" i="8" s="1"/>
  <c r="AZ9" i="8" a="1"/>
  <c r="AZ9" i="8" s="1"/>
  <c r="AY9" i="8" a="1"/>
  <c r="AY9" i="8" s="1"/>
  <c r="AX9" i="8" a="1"/>
  <c r="AX9" i="8" s="1"/>
  <c r="AW9" i="8" a="1"/>
  <c r="AW9" i="8" s="1"/>
  <c r="AV9" i="8" a="1"/>
  <c r="AV9" i="8" s="1"/>
  <c r="AU9" i="8" a="1"/>
  <c r="AU9" i="8" s="1"/>
  <c r="AT9" i="8" a="1"/>
  <c r="AT9" i="8" s="1"/>
  <c r="AS9" i="8" a="1"/>
  <c r="AS9" i="8" s="1"/>
  <c r="AR9" i="8" a="1"/>
  <c r="AR9" i="8" s="1"/>
  <c r="AQ9" i="8" a="1"/>
  <c r="AQ9" i="8" s="1"/>
  <c r="AP9" i="8" a="1"/>
  <c r="AP9" i="8" s="1"/>
  <c r="AO9" i="8" a="1"/>
  <c r="AO9" i="8" s="1"/>
  <c r="AN9" i="8" a="1"/>
  <c r="AN9" i="8" s="1"/>
  <c r="AM9" i="8" a="1"/>
  <c r="AM9" i="8" s="1"/>
  <c r="AL9" i="8" a="1"/>
  <c r="AL9" i="8" s="1"/>
  <c r="AK9" i="8" a="1"/>
  <c r="AK9" i="8" s="1"/>
  <c r="AJ9" i="8" a="1"/>
  <c r="AJ9" i="8" s="1"/>
  <c r="AI9" i="8" a="1"/>
  <c r="AI9" i="8" s="1"/>
  <c r="AH9" i="8" a="1"/>
  <c r="AH9" i="8" s="1"/>
  <c r="AG9" i="8" a="1"/>
  <c r="AG9" i="8" s="1"/>
  <c r="AF9" i="8" a="1"/>
  <c r="AF9" i="8" s="1"/>
  <c r="AE9" i="8" a="1"/>
  <c r="AE9" i="8" s="1"/>
  <c r="AD9" i="8" a="1"/>
  <c r="AD9" i="8" s="1"/>
  <c r="AC9" i="8" a="1"/>
  <c r="AC9" i="8" s="1"/>
  <c r="AB9" i="8" a="1"/>
  <c r="AB9" i="8" s="1"/>
  <c r="AA9" i="8" a="1"/>
  <c r="AA9" i="8" s="1"/>
  <c r="Z9" i="8" a="1"/>
  <c r="Z9" i="8" s="1"/>
  <c r="Y9" i="8" a="1"/>
  <c r="Y9" i="8" s="1"/>
  <c r="X9" i="8" a="1"/>
  <c r="X9" i="8" s="1"/>
  <c r="W9" i="8" a="1"/>
  <c r="W9" i="8" s="1"/>
  <c r="V9" i="8" a="1"/>
  <c r="V9" i="8" s="1"/>
  <c r="U9" i="8" a="1"/>
  <c r="U9" i="8" s="1"/>
  <c r="T9" i="8" a="1"/>
  <c r="T9" i="8" s="1"/>
  <c r="S9" i="8" a="1"/>
  <c r="S9" i="8" s="1"/>
  <c r="R9" i="8" a="1"/>
  <c r="R9" i="8" s="1"/>
  <c r="Q9" i="8" a="1"/>
  <c r="Q9" i="8" s="1"/>
  <c r="P9" i="8" a="1"/>
  <c r="P9" i="8" s="1"/>
  <c r="O9" i="8" a="1"/>
  <c r="O9" i="8" s="1"/>
  <c r="N9" i="8" a="1"/>
  <c r="N9" i="8" s="1"/>
  <c r="M9" i="8" a="1"/>
  <c r="M9" i="8" s="1"/>
  <c r="L9" i="8" a="1"/>
  <c r="L9" i="8" s="1"/>
  <c r="K9" i="8" a="1"/>
  <c r="K9" i="8" s="1"/>
  <c r="J9" i="8" a="1"/>
  <c r="J9" i="8" s="1"/>
  <c r="I9" i="8" a="1"/>
  <c r="I9" i="8" s="1"/>
  <c r="H9" i="8" a="1"/>
  <c r="H9" i="8" s="1"/>
  <c r="G9" i="8" a="1"/>
  <c r="G9" i="8" s="1"/>
  <c r="F9" i="8" a="1"/>
  <c r="F9" i="8" s="1"/>
  <c r="E9" i="8" a="1"/>
  <c r="E9" i="8" s="1"/>
  <c r="D9" i="8" a="1"/>
  <c r="D9" i="8" s="1"/>
  <c r="EG8" i="8" a="1"/>
  <c r="EG8" i="8" s="1"/>
  <c r="EF8" i="8" a="1"/>
  <c r="EF8" i="8" s="1"/>
  <c r="EE8" i="8" a="1"/>
  <c r="EE8" i="8" s="1"/>
  <c r="ED8" i="8" a="1"/>
  <c r="ED8" i="8" s="1"/>
  <c r="EC8" i="8" a="1"/>
  <c r="EC8" i="8" s="1"/>
  <c r="EB8" i="8" a="1"/>
  <c r="EB8" i="8" s="1"/>
  <c r="EA8" i="8" a="1"/>
  <c r="EA8" i="8" s="1"/>
  <c r="DZ8" i="8" a="1"/>
  <c r="DZ8" i="8" s="1"/>
  <c r="DY8" i="8" a="1"/>
  <c r="DY8" i="8" s="1"/>
  <c r="DX8" i="8" a="1"/>
  <c r="DX8" i="8" s="1"/>
  <c r="DW8" i="8" a="1"/>
  <c r="DW8" i="8" s="1"/>
  <c r="DV8" i="8" a="1"/>
  <c r="DV8" i="8" s="1"/>
  <c r="DU8" i="8" a="1"/>
  <c r="DU8" i="8" s="1"/>
  <c r="DT8" i="8" a="1"/>
  <c r="DT8" i="8" s="1"/>
  <c r="DS8" i="8" a="1"/>
  <c r="DS8" i="8" s="1"/>
  <c r="DR8" i="8" a="1"/>
  <c r="DR8" i="8" s="1"/>
  <c r="DQ8" i="8" a="1"/>
  <c r="DQ8" i="8" s="1"/>
  <c r="DP8" i="8" a="1"/>
  <c r="DP8" i="8" s="1"/>
  <c r="DO8" i="8" a="1"/>
  <c r="DO8" i="8" s="1"/>
  <c r="DN8" i="8" a="1"/>
  <c r="DN8" i="8" s="1"/>
  <c r="DM8" i="8" a="1"/>
  <c r="DM8" i="8" s="1"/>
  <c r="DL8" i="8" a="1"/>
  <c r="DL8" i="8" s="1"/>
  <c r="DK8" i="8" a="1"/>
  <c r="DK8" i="8" s="1"/>
  <c r="DJ8" i="8" a="1"/>
  <c r="DJ8" i="8" s="1"/>
  <c r="DI8" i="8" a="1"/>
  <c r="DI8" i="8" s="1"/>
  <c r="DH8" i="8" a="1"/>
  <c r="DH8" i="8" s="1"/>
  <c r="DG8" i="8" a="1"/>
  <c r="DG8" i="8" s="1"/>
  <c r="DF8" i="8" a="1"/>
  <c r="DF8" i="8" s="1"/>
  <c r="DE8" i="8" a="1"/>
  <c r="DE8" i="8" s="1"/>
  <c r="DD8" i="8" a="1"/>
  <c r="DD8" i="8" s="1"/>
  <c r="DC8" i="8" a="1"/>
  <c r="DC8" i="8" s="1"/>
  <c r="DB8" i="8" a="1"/>
  <c r="DB8" i="8" s="1"/>
  <c r="DA8" i="8" a="1"/>
  <c r="DA8" i="8" s="1"/>
  <c r="CZ8" i="8" a="1"/>
  <c r="CZ8" i="8" s="1"/>
  <c r="CY8" i="8" a="1"/>
  <c r="CY8" i="8" s="1"/>
  <c r="CX8" i="8" a="1"/>
  <c r="CX8" i="8" s="1"/>
  <c r="CW8" i="8" a="1"/>
  <c r="CW8" i="8" s="1"/>
  <c r="CV8" i="8" a="1"/>
  <c r="CV8" i="8" s="1"/>
  <c r="CU8" i="8" a="1"/>
  <c r="CU8" i="8" s="1"/>
  <c r="CT8" i="8" a="1"/>
  <c r="CT8" i="8" s="1"/>
  <c r="CS8" i="8" a="1"/>
  <c r="CS8" i="8" s="1"/>
  <c r="CR8" i="8" a="1"/>
  <c r="CR8" i="8" s="1"/>
  <c r="CQ8" i="8" a="1"/>
  <c r="CQ8" i="8" s="1"/>
  <c r="CP8" i="8" a="1"/>
  <c r="CP8" i="8" s="1"/>
  <c r="CO8" i="8" a="1"/>
  <c r="CO8" i="8" s="1"/>
  <c r="CN8" i="8" a="1"/>
  <c r="CN8" i="8" s="1"/>
  <c r="CM8" i="8" a="1"/>
  <c r="CM8" i="8" s="1"/>
  <c r="CL8" i="8" a="1"/>
  <c r="CL8" i="8" s="1"/>
  <c r="CK8" i="8" a="1"/>
  <c r="CK8" i="8" s="1"/>
  <c r="CJ8" i="8" a="1"/>
  <c r="CJ8" i="8" s="1"/>
  <c r="CI8" i="8" a="1"/>
  <c r="CI8" i="8" s="1"/>
  <c r="CH8" i="8" a="1"/>
  <c r="CH8" i="8" s="1"/>
  <c r="CG8" i="8" a="1"/>
  <c r="CG8" i="8" s="1"/>
  <c r="CF8" i="8" a="1"/>
  <c r="CF8" i="8" s="1"/>
  <c r="CE8" i="8" a="1"/>
  <c r="CE8" i="8" s="1"/>
  <c r="CD8" i="8" a="1"/>
  <c r="CD8" i="8" s="1"/>
  <c r="CC8" i="8" a="1"/>
  <c r="CC8" i="8" s="1"/>
  <c r="CB8" i="8" a="1"/>
  <c r="CB8" i="8" s="1"/>
  <c r="CA8" i="8" a="1"/>
  <c r="CA8" i="8" s="1"/>
  <c r="BZ8" i="8" a="1"/>
  <c r="BZ8" i="8" s="1"/>
  <c r="BY8" i="8" a="1"/>
  <c r="BY8" i="8" s="1"/>
  <c r="BX8" i="8" a="1"/>
  <c r="BX8" i="8" s="1"/>
  <c r="BW8" i="8" a="1"/>
  <c r="BW8" i="8" s="1"/>
  <c r="BV8" i="8" a="1"/>
  <c r="BV8" i="8" s="1"/>
  <c r="BU8" i="8" a="1"/>
  <c r="BU8" i="8" s="1"/>
  <c r="BT8" i="8" a="1"/>
  <c r="BT8" i="8" s="1"/>
  <c r="BS8" i="8" a="1"/>
  <c r="BS8" i="8" s="1"/>
  <c r="BR8" i="8" a="1"/>
  <c r="BR8" i="8" s="1"/>
  <c r="BQ8" i="8" a="1"/>
  <c r="BQ8" i="8" s="1"/>
  <c r="BP8" i="8" a="1"/>
  <c r="BP8" i="8" s="1"/>
  <c r="BO8" i="8" a="1"/>
  <c r="BO8" i="8" s="1"/>
  <c r="BN8" i="8" a="1"/>
  <c r="BN8" i="8" s="1"/>
  <c r="BM8" i="8" a="1"/>
  <c r="BM8" i="8" s="1"/>
  <c r="BL8" i="8" a="1"/>
  <c r="BL8" i="8" s="1"/>
  <c r="BK8" i="8" a="1"/>
  <c r="BK8" i="8" s="1"/>
  <c r="BJ8" i="8" a="1"/>
  <c r="BJ8" i="8" s="1"/>
  <c r="BI8" i="8" a="1"/>
  <c r="BI8" i="8" s="1"/>
  <c r="BH8" i="8" a="1"/>
  <c r="BH8" i="8" s="1"/>
  <c r="BG8" i="8" a="1"/>
  <c r="BG8" i="8" s="1"/>
  <c r="BF8" i="8" a="1"/>
  <c r="BF8" i="8" s="1"/>
  <c r="BE8" i="8" a="1"/>
  <c r="BE8" i="8" s="1"/>
  <c r="BD8" i="8" a="1"/>
  <c r="BD8" i="8" s="1"/>
  <c r="BC8" i="8" a="1"/>
  <c r="BC8" i="8" s="1"/>
  <c r="BB8" i="8" a="1"/>
  <c r="BB8" i="8" s="1"/>
  <c r="BA8" i="8" a="1"/>
  <c r="BA8" i="8" s="1"/>
  <c r="AZ8" i="8" a="1"/>
  <c r="AZ8" i="8" s="1"/>
  <c r="AY8" i="8" a="1"/>
  <c r="AY8" i="8" s="1"/>
  <c r="AX8" i="8" a="1"/>
  <c r="AX8" i="8" s="1"/>
  <c r="AW8" i="8" a="1"/>
  <c r="AW8" i="8" s="1"/>
  <c r="AV8" i="8" a="1"/>
  <c r="AV8" i="8" s="1"/>
  <c r="AU8" i="8" a="1"/>
  <c r="AU8" i="8" s="1"/>
  <c r="AT8" i="8" a="1"/>
  <c r="AT8" i="8" s="1"/>
  <c r="AS8" i="8" a="1"/>
  <c r="AS8" i="8" s="1"/>
  <c r="AR8" i="8" a="1"/>
  <c r="AR8" i="8" s="1"/>
  <c r="AQ8" i="8" a="1"/>
  <c r="AQ8" i="8" s="1"/>
  <c r="AP8" i="8" a="1"/>
  <c r="AP8" i="8" s="1"/>
  <c r="AO8" i="8" a="1"/>
  <c r="AO8" i="8" s="1"/>
  <c r="AN8" i="8" a="1"/>
  <c r="AN8" i="8" s="1"/>
  <c r="AM8" i="8" a="1"/>
  <c r="AM8" i="8" s="1"/>
  <c r="AL8" i="8" a="1"/>
  <c r="AL8" i="8" s="1"/>
  <c r="AK8" i="8" a="1"/>
  <c r="AK8" i="8" s="1"/>
  <c r="AJ8" i="8" a="1"/>
  <c r="AJ8" i="8" s="1"/>
  <c r="AI8" i="8" a="1"/>
  <c r="AI8" i="8" s="1"/>
  <c r="AH8" i="8" a="1"/>
  <c r="AH8" i="8" s="1"/>
  <c r="AG8" i="8" a="1"/>
  <c r="AG8" i="8" s="1"/>
  <c r="AF8" i="8" a="1"/>
  <c r="AF8" i="8" s="1"/>
  <c r="AE8" i="8" a="1"/>
  <c r="AE8" i="8" s="1"/>
  <c r="AD8" i="8" a="1"/>
  <c r="AD8" i="8" s="1"/>
  <c r="AC8" i="8" a="1"/>
  <c r="AC8" i="8" s="1"/>
  <c r="AB8" i="8" a="1"/>
  <c r="AB8" i="8" s="1"/>
  <c r="AA8" i="8" a="1"/>
  <c r="AA8" i="8" s="1"/>
  <c r="Z8" i="8" a="1"/>
  <c r="Z8" i="8" s="1"/>
  <c r="Y8" i="8" a="1"/>
  <c r="Y8" i="8" s="1"/>
  <c r="X8" i="8" a="1"/>
  <c r="X8" i="8" s="1"/>
  <c r="W8" i="8" a="1"/>
  <c r="W8" i="8" s="1"/>
  <c r="V8" i="8" a="1"/>
  <c r="V8" i="8" s="1"/>
  <c r="U8" i="8" a="1"/>
  <c r="U8" i="8" s="1"/>
  <c r="T8" i="8" a="1"/>
  <c r="T8" i="8" s="1"/>
  <c r="S8" i="8" a="1"/>
  <c r="S8" i="8" s="1"/>
  <c r="R8" i="8" a="1"/>
  <c r="R8" i="8" s="1"/>
  <c r="Q8" i="8" a="1"/>
  <c r="Q8" i="8" s="1"/>
  <c r="P8" i="8" a="1"/>
  <c r="P8" i="8" s="1"/>
  <c r="O8" i="8" a="1"/>
  <c r="O8" i="8" s="1"/>
  <c r="N8" i="8" a="1"/>
  <c r="N8" i="8" s="1"/>
  <c r="M8" i="8" a="1"/>
  <c r="M8" i="8" s="1"/>
  <c r="L8" i="8" a="1"/>
  <c r="L8" i="8" s="1"/>
  <c r="K8" i="8" a="1"/>
  <c r="K8" i="8" s="1"/>
  <c r="J8" i="8" a="1"/>
  <c r="J8" i="8" s="1"/>
  <c r="I8" i="8" a="1"/>
  <c r="I8" i="8" s="1"/>
  <c r="H8" i="8" a="1"/>
  <c r="H8" i="8" s="1"/>
  <c r="G8" i="8" a="1"/>
  <c r="G8" i="8" s="1"/>
  <c r="F8" i="8" a="1"/>
  <c r="F8" i="8" s="1"/>
  <c r="E8" i="8" a="1"/>
  <c r="E8" i="8" s="1"/>
  <c r="D8" i="8" a="1"/>
  <c r="D8" i="8" s="1"/>
  <c r="EG7" i="8" a="1"/>
  <c r="EG7" i="8" s="1"/>
  <c r="EF7" i="8" a="1"/>
  <c r="EF7" i="8" s="1"/>
  <c r="EE7" i="8" a="1"/>
  <c r="EE7" i="8" s="1"/>
  <c r="ED7" i="8" a="1"/>
  <c r="ED7" i="8" s="1"/>
  <c r="EC7" i="8" a="1"/>
  <c r="EC7" i="8" s="1"/>
  <c r="EB7" i="8" a="1"/>
  <c r="EB7" i="8" s="1"/>
  <c r="EA7" i="8" a="1"/>
  <c r="EA7" i="8" s="1"/>
  <c r="DZ7" i="8" a="1"/>
  <c r="DZ7" i="8" s="1"/>
  <c r="DY7" i="8" a="1"/>
  <c r="DY7" i="8" s="1"/>
  <c r="DX7" i="8" a="1"/>
  <c r="DX7" i="8" s="1"/>
  <c r="DW7" i="8" a="1"/>
  <c r="DW7" i="8" s="1"/>
  <c r="DV7" i="8" a="1"/>
  <c r="DV7" i="8" s="1"/>
  <c r="DU7" i="8" a="1"/>
  <c r="DU7" i="8" s="1"/>
  <c r="DT7" i="8" a="1"/>
  <c r="DT7" i="8" s="1"/>
  <c r="DS7" i="8" a="1"/>
  <c r="DS7" i="8" s="1"/>
  <c r="DR7" i="8" a="1"/>
  <c r="DR7" i="8" s="1"/>
  <c r="DQ7" i="8" a="1"/>
  <c r="DQ7" i="8" s="1"/>
  <c r="DP7" i="8" a="1"/>
  <c r="DP7" i="8" s="1"/>
  <c r="DO7" i="8" a="1"/>
  <c r="DO7" i="8" s="1"/>
  <c r="DN7" i="8" a="1"/>
  <c r="DN7" i="8" s="1"/>
  <c r="DM7" i="8" a="1"/>
  <c r="DM7" i="8" s="1"/>
  <c r="DL7" i="8" a="1"/>
  <c r="DL7" i="8" s="1"/>
  <c r="DK7" i="8" a="1"/>
  <c r="DK7" i="8" s="1"/>
  <c r="DJ7" i="8" a="1"/>
  <c r="DJ7" i="8" s="1"/>
  <c r="DI7" i="8" a="1"/>
  <c r="DI7" i="8" s="1"/>
  <c r="DH7" i="8" a="1"/>
  <c r="DH7" i="8" s="1"/>
  <c r="DG7" i="8" a="1"/>
  <c r="DG7" i="8" s="1"/>
  <c r="DF7" i="8" a="1"/>
  <c r="DF7" i="8" s="1"/>
  <c r="DE7" i="8" a="1"/>
  <c r="DE7" i="8" s="1"/>
  <c r="DD7" i="8" a="1"/>
  <c r="DD7" i="8" s="1"/>
  <c r="DC7" i="8" a="1"/>
  <c r="DC7" i="8" s="1"/>
  <c r="DB7" i="8" a="1"/>
  <c r="DB7" i="8" s="1"/>
  <c r="DA7" i="8" a="1"/>
  <c r="DA7" i="8" s="1"/>
  <c r="CZ7" i="8" a="1"/>
  <c r="CZ7" i="8" s="1"/>
  <c r="CY7" i="8" a="1"/>
  <c r="CY7" i="8" s="1"/>
  <c r="CX7" i="8" a="1"/>
  <c r="CX7" i="8" s="1"/>
  <c r="CW7" i="8" a="1"/>
  <c r="CW7" i="8" s="1"/>
  <c r="CV7" i="8" a="1"/>
  <c r="CV7" i="8" s="1"/>
  <c r="CU7" i="8" a="1"/>
  <c r="CU7" i="8" s="1"/>
  <c r="CT7" i="8" a="1"/>
  <c r="CT7" i="8" s="1"/>
  <c r="CS7" i="8" a="1"/>
  <c r="CS7" i="8" s="1"/>
  <c r="CR7" i="8" a="1"/>
  <c r="CR7" i="8" s="1"/>
  <c r="CQ7" i="8" a="1"/>
  <c r="CQ7" i="8" s="1"/>
  <c r="CP7" i="8" a="1"/>
  <c r="CP7" i="8" s="1"/>
  <c r="CO7" i="8" a="1"/>
  <c r="CO7" i="8" s="1"/>
  <c r="CN7" i="8" a="1"/>
  <c r="CN7" i="8" s="1"/>
  <c r="CM7" i="8" a="1"/>
  <c r="CM7" i="8" s="1"/>
  <c r="CL7" i="8" a="1"/>
  <c r="CL7" i="8" s="1"/>
  <c r="CK7" i="8" a="1"/>
  <c r="CK7" i="8" s="1"/>
  <c r="CJ7" i="8" a="1"/>
  <c r="CJ7" i="8" s="1"/>
  <c r="CI7" i="8" a="1"/>
  <c r="CI7" i="8" s="1"/>
  <c r="CH7" i="8" a="1"/>
  <c r="CH7" i="8" s="1"/>
  <c r="CG7" i="8" a="1"/>
  <c r="CG7" i="8" s="1"/>
  <c r="CF7" i="8" a="1"/>
  <c r="CF7" i="8" s="1"/>
  <c r="CE7" i="8" a="1"/>
  <c r="CE7" i="8" s="1"/>
  <c r="CD7" i="8" a="1"/>
  <c r="CD7" i="8" s="1"/>
  <c r="CC7" i="8" a="1"/>
  <c r="CC7" i="8" s="1"/>
  <c r="CB7" i="8" a="1"/>
  <c r="CB7" i="8" s="1"/>
  <c r="CA7" i="8" a="1"/>
  <c r="CA7" i="8" s="1"/>
  <c r="BZ7" i="8" a="1"/>
  <c r="BZ7" i="8" s="1"/>
  <c r="BY7" i="8" a="1"/>
  <c r="BY7" i="8" s="1"/>
  <c r="BX7" i="8" a="1"/>
  <c r="BX7" i="8" s="1"/>
  <c r="BW7" i="8" a="1"/>
  <c r="BW7" i="8" s="1"/>
  <c r="BV7" i="8" a="1"/>
  <c r="BV7" i="8" s="1"/>
  <c r="BU7" i="8" a="1"/>
  <c r="BU7" i="8" s="1"/>
  <c r="BT7" i="8" a="1"/>
  <c r="BT7" i="8" s="1"/>
  <c r="BS7" i="8" a="1"/>
  <c r="BS7" i="8" s="1"/>
  <c r="BR7" i="8" a="1"/>
  <c r="BR7" i="8" s="1"/>
  <c r="BQ7" i="8" a="1"/>
  <c r="BQ7" i="8" s="1"/>
  <c r="BP7" i="8" a="1"/>
  <c r="BP7" i="8" s="1"/>
  <c r="BO7" i="8" a="1"/>
  <c r="BO7" i="8" s="1"/>
  <c r="BN7" i="8" a="1"/>
  <c r="BN7" i="8" s="1"/>
  <c r="BM7" i="8" a="1"/>
  <c r="BM7" i="8" s="1"/>
  <c r="BL7" i="8" a="1"/>
  <c r="BL7" i="8" s="1"/>
  <c r="BK7" i="8" a="1"/>
  <c r="BK7" i="8" s="1"/>
  <c r="BJ7" i="8" a="1"/>
  <c r="BJ7" i="8" s="1"/>
  <c r="BI7" i="8" a="1"/>
  <c r="BI7" i="8" s="1"/>
  <c r="BH7" i="8" a="1"/>
  <c r="BH7" i="8" s="1"/>
  <c r="BG7" i="8" a="1"/>
  <c r="BG7" i="8" s="1"/>
  <c r="BF7" i="8" a="1"/>
  <c r="BF7" i="8" s="1"/>
  <c r="BE7" i="8" a="1"/>
  <c r="BE7" i="8" s="1"/>
  <c r="BD7" i="8" a="1"/>
  <c r="BD7" i="8" s="1"/>
  <c r="BC7" i="8" a="1"/>
  <c r="BC7" i="8" s="1"/>
  <c r="BB7" i="8" a="1"/>
  <c r="BB7" i="8" s="1"/>
  <c r="BA7" i="8" a="1"/>
  <c r="BA7" i="8" s="1"/>
  <c r="AZ7" i="8" a="1"/>
  <c r="AZ7" i="8" s="1"/>
  <c r="AY7" i="8" a="1"/>
  <c r="AY7" i="8" s="1"/>
  <c r="AX7" i="8" a="1"/>
  <c r="AX7" i="8" s="1"/>
  <c r="AW7" i="8" a="1"/>
  <c r="AW7" i="8" s="1"/>
  <c r="AV7" i="8" a="1"/>
  <c r="AV7" i="8" s="1"/>
  <c r="AU7" i="8" a="1"/>
  <c r="AU7" i="8" s="1"/>
  <c r="AT7" i="8" a="1"/>
  <c r="AT7" i="8" s="1"/>
  <c r="AS7" i="8" a="1"/>
  <c r="AS7" i="8" s="1"/>
  <c r="AR7" i="8" a="1"/>
  <c r="AR7" i="8" s="1"/>
  <c r="AQ7" i="8" a="1"/>
  <c r="AQ7" i="8" s="1"/>
  <c r="AP7" i="8" a="1"/>
  <c r="AP7" i="8" s="1"/>
  <c r="AO7" i="8" a="1"/>
  <c r="AO7" i="8" s="1"/>
  <c r="AN7" i="8" a="1"/>
  <c r="AN7" i="8" s="1"/>
  <c r="AM7" i="8" a="1"/>
  <c r="AM7" i="8" s="1"/>
  <c r="AL7" i="8" a="1"/>
  <c r="AL7" i="8" s="1"/>
  <c r="AK7" i="8" a="1"/>
  <c r="AK7" i="8" s="1"/>
  <c r="AJ7" i="8" a="1"/>
  <c r="AJ7" i="8" s="1"/>
  <c r="AI7" i="8" a="1"/>
  <c r="AI7" i="8" s="1"/>
  <c r="AH7" i="8" a="1"/>
  <c r="AH7" i="8" s="1"/>
  <c r="AG7" i="8" a="1"/>
  <c r="AG7" i="8" s="1"/>
  <c r="AF7" i="8" a="1"/>
  <c r="AF7" i="8" s="1"/>
  <c r="AE7" i="8" a="1"/>
  <c r="AE7" i="8" s="1"/>
  <c r="AD7" i="8" a="1"/>
  <c r="AD7" i="8" s="1"/>
  <c r="AC7" i="8" a="1"/>
  <c r="AC7" i="8" s="1"/>
  <c r="AB7" i="8" a="1"/>
  <c r="AB7" i="8" s="1"/>
  <c r="AA7" i="8" a="1"/>
  <c r="AA7" i="8" s="1"/>
  <c r="Z7" i="8" a="1"/>
  <c r="Z7" i="8" s="1"/>
  <c r="Y7" i="8" a="1"/>
  <c r="Y7" i="8" s="1"/>
  <c r="X7" i="8" a="1"/>
  <c r="X7" i="8" s="1"/>
  <c r="W7" i="8" a="1"/>
  <c r="W7" i="8" s="1"/>
  <c r="V7" i="8" a="1"/>
  <c r="V7" i="8" s="1"/>
  <c r="U7" i="8" a="1"/>
  <c r="U7" i="8" s="1"/>
  <c r="T7" i="8" a="1"/>
  <c r="T7" i="8" s="1"/>
  <c r="S7" i="8" a="1"/>
  <c r="S7" i="8" s="1"/>
  <c r="R7" i="8" a="1"/>
  <c r="R7" i="8" s="1"/>
  <c r="Q7" i="8" a="1"/>
  <c r="Q7" i="8" s="1"/>
  <c r="P7" i="8" a="1"/>
  <c r="P7" i="8" s="1"/>
  <c r="O7" i="8" a="1"/>
  <c r="O7" i="8" s="1"/>
  <c r="N7" i="8" a="1"/>
  <c r="N7" i="8" s="1"/>
  <c r="M7" i="8" a="1"/>
  <c r="M7" i="8" s="1"/>
  <c r="L7" i="8" a="1"/>
  <c r="L7" i="8" s="1"/>
  <c r="K7" i="8" a="1"/>
  <c r="K7" i="8" s="1"/>
  <c r="J7" i="8" a="1"/>
  <c r="J7" i="8" s="1"/>
  <c r="I7" i="8" a="1"/>
  <c r="I7" i="8" s="1"/>
  <c r="H7" i="8" a="1"/>
  <c r="H7" i="8" s="1"/>
  <c r="G7" i="8" a="1"/>
  <c r="G7" i="8" s="1"/>
  <c r="F7" i="8" a="1"/>
  <c r="F7" i="8" s="1"/>
  <c r="E7" i="8" a="1"/>
  <c r="E7" i="8" s="1"/>
  <c r="D7" i="8" a="1"/>
  <c r="D7" i="8" s="1"/>
  <c r="EG6" i="8" a="1"/>
  <c r="EG6" i="8" s="1"/>
  <c r="EF6" i="8" a="1"/>
  <c r="EF6" i="8" s="1"/>
  <c r="EE6" i="8" a="1"/>
  <c r="EE6" i="8" s="1"/>
  <c r="ED6" i="8" a="1"/>
  <c r="ED6" i="8" s="1"/>
  <c r="EC6" i="8" a="1"/>
  <c r="EC6" i="8" s="1"/>
  <c r="EB6" i="8" a="1"/>
  <c r="EB6" i="8" s="1"/>
  <c r="EA6" i="8" a="1"/>
  <c r="EA6" i="8" s="1"/>
  <c r="DZ6" i="8" a="1"/>
  <c r="DZ6" i="8" s="1"/>
  <c r="DY6" i="8" a="1"/>
  <c r="DY6" i="8" s="1"/>
  <c r="DX6" i="8" a="1"/>
  <c r="DX6" i="8" s="1"/>
  <c r="DW6" i="8" a="1"/>
  <c r="DW6" i="8" s="1"/>
  <c r="DV6" i="8" a="1"/>
  <c r="DV6" i="8" s="1"/>
  <c r="DU6" i="8" a="1"/>
  <c r="DU6" i="8" s="1"/>
  <c r="DT6" i="8" a="1"/>
  <c r="DT6" i="8" s="1"/>
  <c r="DS6" i="8" a="1"/>
  <c r="DS6" i="8" s="1"/>
  <c r="DR6" i="8" a="1"/>
  <c r="DR6" i="8" s="1"/>
  <c r="DQ6" i="8" a="1"/>
  <c r="DQ6" i="8" s="1"/>
  <c r="DP6" i="8" a="1"/>
  <c r="DP6" i="8" s="1"/>
  <c r="DO6" i="8" a="1"/>
  <c r="DO6" i="8" s="1"/>
  <c r="DN6" i="8" a="1"/>
  <c r="DN6" i="8" s="1"/>
  <c r="DM6" i="8" a="1"/>
  <c r="DM6" i="8" s="1"/>
  <c r="DL6" i="8" a="1"/>
  <c r="DL6" i="8" s="1"/>
  <c r="DK6" i="8" a="1"/>
  <c r="DK6" i="8" s="1"/>
  <c r="DJ6" i="8" a="1"/>
  <c r="DJ6" i="8" s="1"/>
  <c r="DI6" i="8" a="1"/>
  <c r="DI6" i="8" s="1"/>
  <c r="DH6" i="8" a="1"/>
  <c r="DH6" i="8" s="1"/>
  <c r="DG6" i="8" a="1"/>
  <c r="DG6" i="8" s="1"/>
  <c r="DF6" i="8" a="1"/>
  <c r="DF6" i="8" s="1"/>
  <c r="DE6" i="8" a="1"/>
  <c r="DE6" i="8" s="1"/>
  <c r="DD6" i="8" a="1"/>
  <c r="DD6" i="8" s="1"/>
  <c r="DC6" i="8" a="1"/>
  <c r="DC6" i="8" s="1"/>
  <c r="DB6" i="8" a="1"/>
  <c r="DB6" i="8" s="1"/>
  <c r="DA6" i="8" a="1"/>
  <c r="DA6" i="8" s="1"/>
  <c r="CZ6" i="8" a="1"/>
  <c r="CZ6" i="8" s="1"/>
  <c r="CY6" i="8" a="1"/>
  <c r="CY6" i="8" s="1"/>
  <c r="CX6" i="8" a="1"/>
  <c r="CX6" i="8" s="1"/>
  <c r="CW6" i="8" a="1"/>
  <c r="CW6" i="8" s="1"/>
  <c r="CV6" i="8" a="1"/>
  <c r="CV6" i="8" s="1"/>
  <c r="CU6" i="8" a="1"/>
  <c r="CU6" i="8" s="1"/>
  <c r="CT6" i="8" a="1"/>
  <c r="CT6" i="8" s="1"/>
  <c r="CS6" i="8" a="1"/>
  <c r="CS6" i="8" s="1"/>
  <c r="CR6" i="8" a="1"/>
  <c r="CR6" i="8" s="1"/>
  <c r="CQ6" i="8" a="1"/>
  <c r="CQ6" i="8" s="1"/>
  <c r="CP6" i="8" a="1"/>
  <c r="CP6" i="8" s="1"/>
  <c r="CO6" i="8" a="1"/>
  <c r="CO6" i="8" s="1"/>
  <c r="CN6" i="8" a="1"/>
  <c r="CN6" i="8" s="1"/>
  <c r="CM6" i="8" a="1"/>
  <c r="CM6" i="8" s="1"/>
  <c r="CL6" i="8" a="1"/>
  <c r="CL6" i="8" s="1"/>
  <c r="CK6" i="8" a="1"/>
  <c r="CK6" i="8" s="1"/>
  <c r="CJ6" i="8" a="1"/>
  <c r="CJ6" i="8" s="1"/>
  <c r="CI6" i="8" a="1"/>
  <c r="CI6" i="8" s="1"/>
  <c r="CH6" i="8" a="1"/>
  <c r="CH6" i="8" s="1"/>
  <c r="CG6" i="8" a="1"/>
  <c r="CG6" i="8" s="1"/>
  <c r="CF6" i="8" a="1"/>
  <c r="CF6" i="8" s="1"/>
  <c r="CE6" i="8" a="1"/>
  <c r="CE6" i="8" s="1"/>
  <c r="CD6" i="8" a="1"/>
  <c r="CD6" i="8" s="1"/>
  <c r="CC6" i="8" a="1"/>
  <c r="CC6" i="8" s="1"/>
  <c r="CB6" i="8" a="1"/>
  <c r="CB6" i="8" s="1"/>
  <c r="CA6" i="8" a="1"/>
  <c r="CA6" i="8" s="1"/>
  <c r="BZ6" i="8" a="1"/>
  <c r="BZ6" i="8" s="1"/>
  <c r="BY6" i="8" a="1"/>
  <c r="BY6" i="8" s="1"/>
  <c r="BX6" i="8" a="1"/>
  <c r="BX6" i="8" s="1"/>
  <c r="BW6" i="8" a="1"/>
  <c r="BW6" i="8" s="1"/>
  <c r="BV6" i="8" a="1"/>
  <c r="BV6" i="8" s="1"/>
  <c r="BU6" i="8" a="1"/>
  <c r="BU6" i="8" s="1"/>
  <c r="BT6" i="8" a="1"/>
  <c r="BT6" i="8" s="1"/>
  <c r="BS6" i="8" a="1"/>
  <c r="BS6" i="8" s="1"/>
  <c r="BR6" i="8" a="1"/>
  <c r="BR6" i="8" s="1"/>
  <c r="BQ6" i="8" a="1"/>
  <c r="BQ6" i="8" s="1"/>
  <c r="BP6" i="8" a="1"/>
  <c r="BP6" i="8" s="1"/>
  <c r="BO6" i="8" a="1"/>
  <c r="BO6" i="8" s="1"/>
  <c r="BN6" i="8" a="1"/>
  <c r="BN6" i="8" s="1"/>
  <c r="BM6" i="8" a="1"/>
  <c r="BM6" i="8" s="1"/>
  <c r="BL6" i="8" a="1"/>
  <c r="BL6" i="8" s="1"/>
  <c r="BK6" i="8" a="1"/>
  <c r="BK6" i="8" s="1"/>
  <c r="BJ6" i="8" a="1"/>
  <c r="BJ6" i="8" s="1"/>
  <c r="BI6" i="8" a="1"/>
  <c r="BI6" i="8" s="1"/>
  <c r="BH6" i="8" a="1"/>
  <c r="BH6" i="8" s="1"/>
  <c r="BG6" i="8" a="1"/>
  <c r="BG6" i="8" s="1"/>
  <c r="BF6" i="8" a="1"/>
  <c r="BF6" i="8" s="1"/>
  <c r="BE6" i="8" a="1"/>
  <c r="BE6" i="8" s="1"/>
  <c r="BD6" i="8" a="1"/>
  <c r="BD6" i="8" s="1"/>
  <c r="BC6" i="8" a="1"/>
  <c r="BC6" i="8" s="1"/>
  <c r="BB6" i="8" a="1"/>
  <c r="BB6" i="8" s="1"/>
  <c r="BA6" i="8" a="1"/>
  <c r="BA6" i="8" s="1"/>
  <c r="AZ6" i="8" a="1"/>
  <c r="AZ6" i="8" s="1"/>
  <c r="AY6" i="8" a="1"/>
  <c r="AY6" i="8" s="1"/>
  <c r="AX6" i="8" a="1"/>
  <c r="AX6" i="8" s="1"/>
  <c r="AW6" i="8" a="1"/>
  <c r="AW6" i="8" s="1"/>
  <c r="AV6" i="8" a="1"/>
  <c r="AV6" i="8" s="1"/>
  <c r="AU6" i="8" a="1"/>
  <c r="AU6" i="8" s="1"/>
  <c r="AT6" i="8" a="1"/>
  <c r="AT6" i="8" s="1"/>
  <c r="AS6" i="8" a="1"/>
  <c r="AS6" i="8" s="1"/>
  <c r="AR6" i="8" a="1"/>
  <c r="AR6" i="8" s="1"/>
  <c r="AQ6" i="8" a="1"/>
  <c r="AQ6" i="8" s="1"/>
  <c r="AP6" i="8" a="1"/>
  <c r="AP6" i="8" s="1"/>
  <c r="AO6" i="8" a="1"/>
  <c r="AO6" i="8" s="1"/>
  <c r="AN6" i="8" a="1"/>
  <c r="AN6" i="8" s="1"/>
  <c r="AM6" i="8" a="1"/>
  <c r="AM6" i="8" s="1"/>
  <c r="AL6" i="8" a="1"/>
  <c r="AL6" i="8" s="1"/>
  <c r="AK6" i="8" a="1"/>
  <c r="AK6" i="8" s="1"/>
  <c r="AJ6" i="8" a="1"/>
  <c r="AJ6" i="8" s="1"/>
  <c r="AI6" i="8" a="1"/>
  <c r="AI6" i="8" s="1"/>
  <c r="AH6" i="8" a="1"/>
  <c r="AH6" i="8" s="1"/>
  <c r="AG6" i="8" a="1"/>
  <c r="AG6" i="8" s="1"/>
  <c r="AF6" i="8" a="1"/>
  <c r="AF6" i="8" s="1"/>
  <c r="AE6" i="8" a="1"/>
  <c r="AE6" i="8" s="1"/>
  <c r="AD6" i="8" a="1"/>
  <c r="AD6" i="8" s="1"/>
  <c r="AC6" i="8" a="1"/>
  <c r="AC6" i="8" s="1"/>
  <c r="AB6" i="8" a="1"/>
  <c r="AB6" i="8" s="1"/>
  <c r="AA6" i="8" a="1"/>
  <c r="AA6" i="8" s="1"/>
  <c r="Z6" i="8" a="1"/>
  <c r="Z6" i="8" s="1"/>
  <c r="Y6" i="8" a="1"/>
  <c r="Y6" i="8" s="1"/>
  <c r="X6" i="8" a="1"/>
  <c r="X6" i="8" s="1"/>
  <c r="W6" i="8" a="1"/>
  <c r="W6" i="8" s="1"/>
  <c r="V6" i="8" a="1"/>
  <c r="V6" i="8" s="1"/>
  <c r="U6" i="8" a="1"/>
  <c r="U6" i="8" s="1"/>
  <c r="T6" i="8" a="1"/>
  <c r="T6" i="8" s="1"/>
  <c r="S6" i="8" a="1"/>
  <c r="S6" i="8" s="1"/>
  <c r="R6" i="8" a="1"/>
  <c r="R6" i="8" s="1"/>
  <c r="Q6" i="8" a="1"/>
  <c r="Q6" i="8" s="1"/>
  <c r="P6" i="8" a="1"/>
  <c r="P6" i="8" s="1"/>
  <c r="O6" i="8" a="1"/>
  <c r="O6" i="8" s="1"/>
  <c r="N6" i="8" a="1"/>
  <c r="N6" i="8" s="1"/>
  <c r="M6" i="8" a="1"/>
  <c r="M6" i="8" s="1"/>
  <c r="L6" i="8" a="1"/>
  <c r="L6" i="8" s="1"/>
  <c r="K6" i="8" a="1"/>
  <c r="K6" i="8" s="1"/>
  <c r="J6" i="8" a="1"/>
  <c r="J6" i="8" s="1"/>
  <c r="I6" i="8" a="1"/>
  <c r="I6" i="8" s="1"/>
  <c r="H6" i="8" a="1"/>
  <c r="H6" i="8" s="1"/>
  <c r="G6" i="8" a="1"/>
  <c r="G6" i="8" s="1"/>
  <c r="F6" i="8" a="1"/>
  <c r="F6" i="8" s="1"/>
  <c r="E6" i="8" a="1"/>
  <c r="E6" i="8" s="1"/>
  <c r="D6" i="8" a="1"/>
  <c r="D6" i="8" s="1"/>
  <c r="EG5" i="8" a="1"/>
  <c r="EG5" i="8" s="1"/>
  <c r="EF5" i="8" a="1"/>
  <c r="EF5" i="8" s="1"/>
  <c r="EE5" i="8" a="1"/>
  <c r="EE5" i="8" s="1"/>
  <c r="ED5" i="8" a="1"/>
  <c r="ED5" i="8" s="1"/>
  <c r="EC5" i="8" a="1"/>
  <c r="EC5" i="8" s="1"/>
  <c r="EB5" i="8" a="1"/>
  <c r="EB5" i="8" s="1"/>
  <c r="EA5" i="8" a="1"/>
  <c r="EA5" i="8" s="1"/>
  <c r="DZ5" i="8" a="1"/>
  <c r="DZ5" i="8" s="1"/>
  <c r="DY5" i="8" a="1"/>
  <c r="DY5" i="8" s="1"/>
  <c r="DX5" i="8" a="1"/>
  <c r="DX5" i="8" s="1"/>
  <c r="DW5" i="8" a="1"/>
  <c r="DW5" i="8" s="1"/>
  <c r="DV5" i="8" a="1"/>
  <c r="DV5" i="8" s="1"/>
  <c r="DU5" i="8" a="1"/>
  <c r="DU5" i="8" s="1"/>
  <c r="DT5" i="8" a="1"/>
  <c r="DT5" i="8" s="1"/>
  <c r="DS5" i="8" a="1"/>
  <c r="DS5" i="8" s="1"/>
  <c r="DR5" i="8" a="1"/>
  <c r="DR5" i="8" s="1"/>
  <c r="DQ5" i="8" a="1"/>
  <c r="DQ5" i="8" s="1"/>
  <c r="DP5" i="8" a="1"/>
  <c r="DP5" i="8" s="1"/>
  <c r="DO5" i="8" a="1"/>
  <c r="DO5" i="8" s="1"/>
  <c r="DN5" i="8" a="1"/>
  <c r="DN5" i="8" s="1"/>
  <c r="DM5" i="8" a="1"/>
  <c r="DM5" i="8" s="1"/>
  <c r="DL5" i="8" a="1"/>
  <c r="DL5" i="8" s="1"/>
  <c r="DK5" i="8" a="1"/>
  <c r="DK5" i="8" s="1"/>
  <c r="DJ5" i="8" a="1"/>
  <c r="DJ5" i="8" s="1"/>
  <c r="DI5" i="8" a="1"/>
  <c r="DI5" i="8" s="1"/>
  <c r="DH5" i="8" a="1"/>
  <c r="DH5" i="8" s="1"/>
  <c r="DG5" i="8" a="1"/>
  <c r="DG5" i="8" s="1"/>
  <c r="DF5" i="8" a="1"/>
  <c r="DF5" i="8" s="1"/>
  <c r="DE5" i="8" a="1"/>
  <c r="DE5" i="8" s="1"/>
  <c r="DD5" i="8" a="1"/>
  <c r="DD5" i="8" s="1"/>
  <c r="DC5" i="8" a="1"/>
  <c r="DC5" i="8" s="1"/>
  <c r="DB5" i="8" a="1"/>
  <c r="DB5" i="8" s="1"/>
  <c r="DA5" i="8" a="1"/>
  <c r="DA5" i="8" s="1"/>
  <c r="CZ5" i="8" a="1"/>
  <c r="CZ5" i="8" s="1"/>
  <c r="CY5" i="8" a="1"/>
  <c r="CY5" i="8" s="1"/>
  <c r="CX5" i="8" a="1"/>
  <c r="CX5" i="8" s="1"/>
  <c r="CW5" i="8" a="1"/>
  <c r="CW5" i="8" s="1"/>
  <c r="CV5" i="8" a="1"/>
  <c r="CV5" i="8" s="1"/>
  <c r="CU5" i="8" a="1"/>
  <c r="CU5" i="8" s="1"/>
  <c r="CT5" i="8" a="1"/>
  <c r="CT5" i="8" s="1"/>
  <c r="CS5" i="8" a="1"/>
  <c r="CS5" i="8" s="1"/>
  <c r="CR5" i="8" a="1"/>
  <c r="CR5" i="8" s="1"/>
  <c r="CQ5" i="8" a="1"/>
  <c r="CQ5" i="8" s="1"/>
  <c r="CP5" i="8" a="1"/>
  <c r="CP5" i="8" s="1"/>
  <c r="CO5" i="8" a="1"/>
  <c r="CO5" i="8" s="1"/>
  <c r="CN5" i="8" a="1"/>
  <c r="CN5" i="8" s="1"/>
  <c r="CM5" i="8" a="1"/>
  <c r="CM5" i="8" s="1"/>
  <c r="CL5" i="8" a="1"/>
  <c r="CL5" i="8" s="1"/>
  <c r="CK5" i="8" a="1"/>
  <c r="CK5" i="8" s="1"/>
  <c r="CJ5" i="8" a="1"/>
  <c r="CJ5" i="8" s="1"/>
  <c r="CI5" i="8" a="1"/>
  <c r="CI5" i="8" s="1"/>
  <c r="CH5" i="8" a="1"/>
  <c r="CH5" i="8" s="1"/>
  <c r="CG5" i="8" a="1"/>
  <c r="CG5" i="8" s="1"/>
  <c r="CF5" i="8" a="1"/>
  <c r="CF5" i="8" s="1"/>
  <c r="CE5" i="8" a="1"/>
  <c r="CE5" i="8" s="1"/>
  <c r="CD5" i="8" a="1"/>
  <c r="CD5" i="8" s="1"/>
  <c r="CC5" i="8" a="1"/>
  <c r="CC5" i="8" s="1"/>
  <c r="CB5" i="8" a="1"/>
  <c r="CB5" i="8" s="1"/>
  <c r="CA5" i="8" a="1"/>
  <c r="CA5" i="8" s="1"/>
  <c r="BZ5" i="8" a="1"/>
  <c r="BZ5" i="8" s="1"/>
  <c r="BY5" i="8" a="1"/>
  <c r="BY5" i="8" s="1"/>
  <c r="BX5" i="8" a="1"/>
  <c r="BX5" i="8" s="1"/>
  <c r="BW5" i="8" a="1"/>
  <c r="BW5" i="8" s="1"/>
  <c r="BV5" i="8" a="1"/>
  <c r="BV5" i="8" s="1"/>
  <c r="BU5" i="8" a="1"/>
  <c r="BU5" i="8" s="1"/>
  <c r="BT5" i="8" a="1"/>
  <c r="BT5" i="8" s="1"/>
  <c r="BS5" i="8" a="1"/>
  <c r="BS5" i="8" s="1"/>
  <c r="BR5" i="8" a="1"/>
  <c r="BR5" i="8" s="1"/>
  <c r="BQ5" i="8" a="1"/>
  <c r="BQ5" i="8" s="1"/>
  <c r="BP5" i="8" a="1"/>
  <c r="BP5" i="8" s="1"/>
  <c r="BO5" i="8" a="1"/>
  <c r="BO5" i="8" s="1"/>
  <c r="BN5" i="8" a="1"/>
  <c r="BN5" i="8" s="1"/>
  <c r="BM5" i="8" a="1"/>
  <c r="BM5" i="8" s="1"/>
  <c r="BL5" i="8" a="1"/>
  <c r="BL5" i="8" s="1"/>
  <c r="BK5" i="8" a="1"/>
  <c r="BK5" i="8" s="1"/>
  <c r="BJ5" i="8" a="1"/>
  <c r="BJ5" i="8" s="1"/>
  <c r="BI5" i="8" a="1"/>
  <c r="BI5" i="8" s="1"/>
  <c r="BH5" i="8" a="1"/>
  <c r="BH5" i="8" s="1"/>
  <c r="BG5" i="8" a="1"/>
  <c r="BG5" i="8" s="1"/>
  <c r="BF5" i="8" a="1"/>
  <c r="BF5" i="8" s="1"/>
  <c r="BE5" i="8" a="1"/>
  <c r="BE5" i="8" s="1"/>
  <c r="BD5" i="8" a="1"/>
  <c r="BD5" i="8" s="1"/>
  <c r="BC5" i="8" a="1"/>
  <c r="BC5" i="8" s="1"/>
  <c r="BB5" i="8" a="1"/>
  <c r="BB5" i="8" s="1"/>
  <c r="BA5" i="8" a="1"/>
  <c r="BA5" i="8" s="1"/>
  <c r="AZ5" i="8" a="1"/>
  <c r="AZ5" i="8" s="1"/>
  <c r="AY5" i="8" a="1"/>
  <c r="AY5" i="8" s="1"/>
  <c r="AX5" i="8" a="1"/>
  <c r="AX5" i="8" s="1"/>
  <c r="AW5" i="8" a="1"/>
  <c r="AW5" i="8" s="1"/>
  <c r="AV5" i="8" a="1"/>
  <c r="AV5" i="8" s="1"/>
  <c r="AU5" i="8" a="1"/>
  <c r="AU5" i="8" s="1"/>
  <c r="AT5" i="8" a="1"/>
  <c r="AT5" i="8" s="1"/>
  <c r="AS5" i="8" a="1"/>
  <c r="AS5" i="8" s="1"/>
  <c r="AR5" i="8" a="1"/>
  <c r="AR5" i="8" s="1"/>
  <c r="AQ5" i="8" a="1"/>
  <c r="AQ5" i="8" s="1"/>
  <c r="AP5" i="8" a="1"/>
  <c r="AP5" i="8" s="1"/>
  <c r="AO5" i="8" a="1"/>
  <c r="AO5" i="8" s="1"/>
  <c r="AN5" i="8" a="1"/>
  <c r="AN5" i="8" s="1"/>
  <c r="AM5" i="8" a="1"/>
  <c r="AM5" i="8" s="1"/>
  <c r="AL5" i="8" a="1"/>
  <c r="AL5" i="8" s="1"/>
  <c r="AK5" i="8" a="1"/>
  <c r="AK5" i="8" s="1"/>
  <c r="AJ5" i="8" a="1"/>
  <c r="AJ5" i="8" s="1"/>
  <c r="AI5" i="8" a="1"/>
  <c r="AI5" i="8" s="1"/>
  <c r="AH5" i="8" a="1"/>
  <c r="AH5" i="8" s="1"/>
  <c r="AG5" i="8" a="1"/>
  <c r="AG5" i="8" s="1"/>
  <c r="AF5" i="8" a="1"/>
  <c r="AF5" i="8" s="1"/>
  <c r="AE5" i="8" a="1"/>
  <c r="AE5" i="8" s="1"/>
  <c r="AD5" i="8" a="1"/>
  <c r="AD5" i="8" s="1"/>
  <c r="AC5" i="8" a="1"/>
  <c r="AC5" i="8" s="1"/>
  <c r="AB5" i="8" a="1"/>
  <c r="AB5" i="8" s="1"/>
  <c r="AA5" i="8" a="1"/>
  <c r="AA5" i="8" s="1"/>
  <c r="Z5" i="8" a="1"/>
  <c r="Z5" i="8" s="1"/>
  <c r="Y5" i="8" a="1"/>
  <c r="Y5" i="8" s="1"/>
  <c r="X5" i="8" a="1"/>
  <c r="X5" i="8" s="1"/>
  <c r="W5" i="8" a="1"/>
  <c r="W5" i="8" s="1"/>
  <c r="V5" i="8" a="1"/>
  <c r="V5" i="8" s="1"/>
  <c r="U5" i="8" a="1"/>
  <c r="U5" i="8" s="1"/>
  <c r="T5" i="8" a="1"/>
  <c r="T5" i="8" s="1"/>
  <c r="S5" i="8" a="1"/>
  <c r="S5" i="8" s="1"/>
  <c r="R5" i="8" a="1"/>
  <c r="R5" i="8" s="1"/>
  <c r="Q5" i="8" a="1"/>
  <c r="Q5" i="8" s="1"/>
  <c r="P5" i="8" a="1"/>
  <c r="P5" i="8" s="1"/>
  <c r="O5" i="8" a="1"/>
  <c r="O5" i="8" s="1"/>
  <c r="N5" i="8" a="1"/>
  <c r="N5" i="8" s="1"/>
  <c r="M5" i="8" a="1"/>
  <c r="M5" i="8" s="1"/>
  <c r="L5" i="8" a="1"/>
  <c r="L5" i="8" s="1"/>
  <c r="K5" i="8" a="1"/>
  <c r="K5" i="8" s="1"/>
  <c r="J5" i="8" a="1"/>
  <c r="J5" i="8" s="1"/>
  <c r="I5" i="8" a="1"/>
  <c r="I5" i="8" s="1"/>
  <c r="H5" i="8" a="1"/>
  <c r="H5" i="8" s="1"/>
  <c r="G5" i="8" a="1"/>
  <c r="G5" i="8" s="1"/>
  <c r="F5" i="8" a="1"/>
  <c r="F5" i="8" s="1"/>
  <c r="E5" i="8" a="1"/>
  <c r="E5" i="8" s="1"/>
  <c r="D5" i="8" a="1"/>
  <c r="D5" i="8" s="1"/>
  <c r="C23" i="6"/>
  <c r="D23" i="6" s="1"/>
  <c r="E23" i="6" s="1"/>
  <c r="F23" i="6" s="1"/>
  <c r="G23" i="6" s="1"/>
  <c r="H23" i="6" s="1"/>
  <c r="I23" i="6" s="1"/>
  <c r="J23" i="6" s="1"/>
  <c r="K23" i="6" s="1"/>
  <c r="L23" i="6" s="1"/>
  <c r="M23" i="6" s="1"/>
  <c r="N23" i="6" s="1"/>
  <c r="O23" i="6" s="1"/>
  <c r="P23" i="6" s="1"/>
  <c r="Q23" i="6" s="1"/>
  <c r="R23" i="6" s="1"/>
  <c r="S23" i="6" s="1"/>
  <c r="T23" i="6" s="1"/>
  <c r="U23" i="6" s="1"/>
  <c r="V23" i="6" s="1"/>
  <c r="W23" i="6" s="1"/>
  <c r="X23" i="6" s="1"/>
  <c r="Y23" i="6" s="1"/>
  <c r="Z23" i="6" s="1"/>
  <c r="AA23" i="6" s="1"/>
  <c r="AB23" i="6" s="1"/>
  <c r="AC23" i="6" s="1"/>
  <c r="AD23" i="6" s="1"/>
  <c r="AE23" i="6" s="1"/>
  <c r="AF23" i="6" s="1"/>
  <c r="AG23" i="6" s="1"/>
  <c r="AH23" i="6" s="1"/>
  <c r="AI23" i="6" s="1"/>
  <c r="AJ23" i="6" s="1"/>
  <c r="AK23" i="6" s="1"/>
  <c r="AL23" i="6" s="1"/>
  <c r="AM23" i="6" s="1"/>
  <c r="AN23" i="6" s="1"/>
  <c r="AO23" i="6" s="1"/>
  <c r="AP23" i="6" s="1"/>
  <c r="AQ23" i="6" s="1"/>
  <c r="AR23" i="6" s="1"/>
  <c r="AS23" i="6" s="1"/>
  <c r="AT23" i="6" s="1"/>
  <c r="AU23" i="6" s="1"/>
  <c r="AV23" i="6" s="1"/>
  <c r="AW23" i="6" s="1"/>
  <c r="AX23" i="6" s="1"/>
  <c r="AY23" i="6" s="1"/>
  <c r="AZ23" i="6" s="1"/>
  <c r="BA23" i="6" s="1"/>
  <c r="BB23" i="6" s="1"/>
  <c r="BC23" i="6" s="1"/>
  <c r="BD23" i="6" s="1"/>
  <c r="BE23" i="6" s="1"/>
  <c r="BF23" i="6" s="1"/>
  <c r="BG23" i="6" s="1"/>
  <c r="BH23" i="6" s="1"/>
  <c r="BI23" i="6" s="1"/>
  <c r="BJ23" i="6" s="1"/>
  <c r="BK23" i="6" s="1"/>
  <c r="BL23" i="6" s="1"/>
  <c r="BM23" i="6" s="1"/>
  <c r="BN23" i="6" s="1"/>
  <c r="BO23" i="6" s="1"/>
  <c r="BP23" i="6" s="1"/>
  <c r="BQ23" i="6" s="1"/>
  <c r="BR23" i="6" s="1"/>
  <c r="BS23" i="6" s="1"/>
  <c r="BT23" i="6" s="1"/>
  <c r="BU23" i="6" s="1"/>
  <c r="BV23" i="6" s="1"/>
  <c r="BW23" i="6" s="1"/>
  <c r="BX23" i="6" s="1"/>
  <c r="BY23" i="6" s="1"/>
  <c r="BZ23" i="6" s="1"/>
  <c r="CA23" i="6" s="1"/>
  <c r="CB23" i="6" s="1"/>
  <c r="CC23" i="6" s="1"/>
  <c r="CD23" i="6" s="1"/>
  <c r="CE23" i="6" s="1"/>
  <c r="CF23" i="6" s="1"/>
  <c r="CG23" i="6" s="1"/>
  <c r="CH23" i="6" s="1"/>
  <c r="CI23" i="6" s="1"/>
  <c r="CJ23" i="6" s="1"/>
  <c r="CK23" i="6" s="1"/>
  <c r="CL23" i="6" s="1"/>
  <c r="CM23" i="6" s="1"/>
  <c r="CN23" i="6" s="1"/>
  <c r="CO23" i="6" s="1"/>
  <c r="CP23" i="6" s="1"/>
  <c r="CQ23" i="6" s="1"/>
  <c r="CR23" i="6" s="1"/>
  <c r="CS23" i="6" s="1"/>
  <c r="CT23" i="6" s="1"/>
  <c r="CU23" i="6" s="1"/>
  <c r="CV23" i="6" s="1"/>
  <c r="CW23" i="6" s="1"/>
  <c r="CX23" i="6" s="1"/>
  <c r="CY23" i="6" s="1"/>
  <c r="CZ23" i="6" s="1"/>
  <c r="DA23" i="6" s="1"/>
  <c r="DB23" i="6" s="1"/>
  <c r="DC23" i="6" s="1"/>
  <c r="DD23" i="6" s="1"/>
  <c r="DE23" i="6" s="1"/>
  <c r="DF23" i="6" s="1"/>
  <c r="DG23" i="6" s="1"/>
  <c r="DH23" i="6" s="1"/>
  <c r="DI23" i="6" s="1"/>
  <c r="DJ23" i="6" s="1"/>
  <c r="DK23" i="6" s="1"/>
  <c r="DL23" i="6" s="1"/>
  <c r="DM23" i="6" s="1"/>
  <c r="DN23" i="6" s="1"/>
  <c r="DO23" i="6" s="1"/>
  <c r="DP23" i="6" s="1"/>
  <c r="DQ23" i="6" s="1"/>
  <c r="DR23" i="6" s="1"/>
  <c r="DS23" i="6" s="1"/>
  <c r="DT23" i="6" s="1"/>
  <c r="DU23" i="6" s="1"/>
  <c r="DV23" i="6" s="1"/>
  <c r="DW23" i="6" s="1"/>
  <c r="DX23" i="6" s="1"/>
  <c r="DY23" i="6" s="1"/>
  <c r="DZ23" i="6" s="1"/>
  <c r="EA23" i="6" s="1"/>
  <c r="EB23" i="6" s="1"/>
  <c r="EC23" i="6" s="1"/>
  <c r="ED23" i="6" s="1"/>
  <c r="EE23" i="6" s="1"/>
  <c r="C22" i="6"/>
  <c r="D22" i="6" s="1"/>
  <c r="E22" i="6" s="1"/>
  <c r="F22" i="6" s="1"/>
  <c r="G22" i="6" s="1"/>
  <c r="H22" i="6" s="1"/>
  <c r="I22" i="6" s="1"/>
  <c r="J22" i="6" s="1"/>
  <c r="K22" i="6" s="1"/>
  <c r="L22" i="6" s="1"/>
  <c r="M22" i="6" s="1"/>
  <c r="N22" i="6" s="1"/>
  <c r="O22" i="6" s="1"/>
  <c r="P22" i="6" s="1"/>
  <c r="Q22" i="6" s="1"/>
  <c r="R22" i="6" s="1"/>
  <c r="S22" i="6" s="1"/>
  <c r="T22" i="6" s="1"/>
  <c r="U22" i="6" s="1"/>
  <c r="V22" i="6" s="1"/>
  <c r="W22" i="6" s="1"/>
  <c r="X22" i="6" s="1"/>
  <c r="Y22" i="6" s="1"/>
  <c r="Z22" i="6" s="1"/>
  <c r="AA22" i="6" s="1"/>
  <c r="AB22" i="6" s="1"/>
  <c r="AC22" i="6" s="1"/>
  <c r="AD22" i="6" s="1"/>
  <c r="AE22" i="6" s="1"/>
  <c r="AF22" i="6" s="1"/>
  <c r="AG22" i="6" s="1"/>
  <c r="AH22" i="6" s="1"/>
  <c r="AI22" i="6" s="1"/>
  <c r="AJ22" i="6" s="1"/>
  <c r="AK22" i="6" s="1"/>
  <c r="AL22" i="6" s="1"/>
  <c r="AM22" i="6" s="1"/>
  <c r="AN22" i="6" s="1"/>
  <c r="AO22" i="6" s="1"/>
  <c r="AP22" i="6" s="1"/>
  <c r="AQ22" i="6" s="1"/>
  <c r="AR22" i="6" s="1"/>
  <c r="AS22" i="6" s="1"/>
  <c r="AT22" i="6" s="1"/>
  <c r="AU22" i="6" s="1"/>
  <c r="AV22" i="6" s="1"/>
  <c r="AW22" i="6" s="1"/>
  <c r="AX22" i="6" s="1"/>
  <c r="AY22" i="6" s="1"/>
  <c r="AZ22" i="6" s="1"/>
  <c r="BA22" i="6" s="1"/>
  <c r="BB22" i="6" s="1"/>
  <c r="BC22" i="6" s="1"/>
  <c r="BD22" i="6" s="1"/>
  <c r="BE22" i="6" s="1"/>
  <c r="BF22" i="6" s="1"/>
  <c r="BG22" i="6" s="1"/>
  <c r="BH22" i="6" s="1"/>
  <c r="BI22" i="6" s="1"/>
  <c r="BJ22" i="6" s="1"/>
  <c r="BK22" i="6" s="1"/>
  <c r="BL22" i="6" s="1"/>
  <c r="BM22" i="6" s="1"/>
  <c r="BN22" i="6" s="1"/>
  <c r="BO22" i="6" s="1"/>
  <c r="BP22" i="6" s="1"/>
  <c r="BQ22" i="6" s="1"/>
  <c r="BR22" i="6" s="1"/>
  <c r="BS22" i="6" s="1"/>
  <c r="BT22" i="6" s="1"/>
  <c r="BU22" i="6" s="1"/>
  <c r="BV22" i="6" s="1"/>
  <c r="BW22" i="6" s="1"/>
  <c r="BX22" i="6" s="1"/>
  <c r="BY22" i="6" s="1"/>
  <c r="BZ22" i="6" s="1"/>
  <c r="CA22" i="6" s="1"/>
  <c r="CB22" i="6" s="1"/>
  <c r="CC22" i="6" s="1"/>
  <c r="CD22" i="6" s="1"/>
  <c r="CE22" i="6" s="1"/>
  <c r="CF22" i="6" s="1"/>
  <c r="CG22" i="6" s="1"/>
  <c r="CH22" i="6" s="1"/>
  <c r="CI22" i="6" s="1"/>
  <c r="CJ22" i="6" s="1"/>
  <c r="CK22" i="6" s="1"/>
  <c r="CL22" i="6" s="1"/>
  <c r="CM22" i="6" s="1"/>
  <c r="CN22" i="6" s="1"/>
  <c r="CO22" i="6" s="1"/>
  <c r="CP22" i="6" s="1"/>
  <c r="CQ22" i="6" s="1"/>
  <c r="CR22" i="6" s="1"/>
  <c r="CS22" i="6" s="1"/>
  <c r="CT22" i="6" s="1"/>
  <c r="CU22" i="6" s="1"/>
  <c r="CV22" i="6" s="1"/>
  <c r="CW22" i="6" s="1"/>
  <c r="CX22" i="6" s="1"/>
  <c r="CY22" i="6" s="1"/>
  <c r="CZ22" i="6" s="1"/>
  <c r="DA22" i="6" s="1"/>
  <c r="DB22" i="6" s="1"/>
  <c r="DC22" i="6" s="1"/>
  <c r="DD22" i="6" s="1"/>
  <c r="DE22" i="6" s="1"/>
  <c r="DF22" i="6" s="1"/>
  <c r="DG22" i="6" s="1"/>
  <c r="DH22" i="6" s="1"/>
  <c r="DI22" i="6" s="1"/>
  <c r="DJ22" i="6" s="1"/>
  <c r="DK22" i="6" s="1"/>
  <c r="DL22" i="6" s="1"/>
  <c r="DM22" i="6" s="1"/>
  <c r="DN22" i="6" s="1"/>
  <c r="DO22" i="6" s="1"/>
  <c r="DP22" i="6" s="1"/>
  <c r="DQ22" i="6" s="1"/>
  <c r="DR22" i="6" s="1"/>
  <c r="DS22" i="6" s="1"/>
  <c r="DT22" i="6" s="1"/>
  <c r="DU22" i="6" s="1"/>
  <c r="DV22" i="6" s="1"/>
  <c r="DW22" i="6" s="1"/>
  <c r="DX22" i="6" s="1"/>
  <c r="DY22" i="6" s="1"/>
  <c r="DZ22" i="6" s="1"/>
  <c r="EA22" i="6" s="1"/>
  <c r="EB22" i="6" s="1"/>
  <c r="EC22" i="6" s="1"/>
  <c r="ED22" i="6" s="1"/>
  <c r="EE22" i="6" s="1"/>
  <c r="C21" i="6"/>
  <c r="D21" i="6" s="1"/>
  <c r="E21" i="6" s="1"/>
  <c r="F21" i="6" s="1"/>
  <c r="G21" i="6" s="1"/>
  <c r="H21" i="6" s="1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S21" i="6" s="1"/>
  <c r="T21" i="6" s="1"/>
  <c r="U21" i="6" s="1"/>
  <c r="V21" i="6" s="1"/>
  <c r="W21" i="6" s="1"/>
  <c r="X21" i="6" s="1"/>
  <c r="Y21" i="6" s="1"/>
  <c r="Z21" i="6" s="1"/>
  <c r="AA21" i="6" s="1"/>
  <c r="AB21" i="6" s="1"/>
  <c r="AC21" i="6" s="1"/>
  <c r="AD21" i="6" s="1"/>
  <c r="AE21" i="6" s="1"/>
  <c r="AF21" i="6" s="1"/>
  <c r="AG21" i="6" s="1"/>
  <c r="AH21" i="6" s="1"/>
  <c r="AI21" i="6" s="1"/>
  <c r="AJ21" i="6" s="1"/>
  <c r="AK21" i="6" s="1"/>
  <c r="AL21" i="6" s="1"/>
  <c r="AM21" i="6" s="1"/>
  <c r="AN21" i="6" s="1"/>
  <c r="AO21" i="6" s="1"/>
  <c r="AP21" i="6" s="1"/>
  <c r="AQ21" i="6" s="1"/>
  <c r="AR21" i="6" s="1"/>
  <c r="AS21" i="6" s="1"/>
  <c r="AT21" i="6" s="1"/>
  <c r="AU21" i="6" s="1"/>
  <c r="AV21" i="6" s="1"/>
  <c r="AW21" i="6" s="1"/>
  <c r="AX21" i="6" s="1"/>
  <c r="AY21" i="6" s="1"/>
  <c r="AZ21" i="6" s="1"/>
  <c r="BA21" i="6" s="1"/>
  <c r="BB21" i="6" s="1"/>
  <c r="BC21" i="6" s="1"/>
  <c r="BD21" i="6" s="1"/>
  <c r="BE21" i="6" s="1"/>
  <c r="BF21" i="6" s="1"/>
  <c r="BG21" i="6" s="1"/>
  <c r="BH21" i="6" s="1"/>
  <c r="BI21" i="6" s="1"/>
  <c r="BJ21" i="6" s="1"/>
  <c r="BK21" i="6" s="1"/>
  <c r="BL21" i="6" s="1"/>
  <c r="BM21" i="6" s="1"/>
  <c r="BN21" i="6" s="1"/>
  <c r="BO21" i="6" s="1"/>
  <c r="BP21" i="6" s="1"/>
  <c r="BQ21" i="6" s="1"/>
  <c r="BR21" i="6" s="1"/>
  <c r="BS21" i="6" s="1"/>
  <c r="BT21" i="6" s="1"/>
  <c r="BU21" i="6" s="1"/>
  <c r="BV21" i="6" s="1"/>
  <c r="BW21" i="6" s="1"/>
  <c r="BX21" i="6" s="1"/>
  <c r="BY21" i="6" s="1"/>
  <c r="BZ21" i="6" s="1"/>
  <c r="CA21" i="6" s="1"/>
  <c r="CB21" i="6" s="1"/>
  <c r="CC21" i="6" s="1"/>
  <c r="CD21" i="6" s="1"/>
  <c r="CE21" i="6" s="1"/>
  <c r="CF21" i="6" s="1"/>
  <c r="CG21" i="6" s="1"/>
  <c r="CH21" i="6" s="1"/>
  <c r="CI21" i="6" s="1"/>
  <c r="CJ21" i="6" s="1"/>
  <c r="CK21" i="6" s="1"/>
  <c r="CL21" i="6" s="1"/>
  <c r="CM21" i="6" s="1"/>
  <c r="CN21" i="6" s="1"/>
  <c r="CO21" i="6" s="1"/>
  <c r="CP21" i="6" s="1"/>
  <c r="CQ21" i="6" s="1"/>
  <c r="CR21" i="6" s="1"/>
  <c r="CS21" i="6" s="1"/>
  <c r="CT21" i="6" s="1"/>
  <c r="CU21" i="6" s="1"/>
  <c r="CV21" i="6" s="1"/>
  <c r="CW21" i="6" s="1"/>
  <c r="CX21" i="6" s="1"/>
  <c r="CY21" i="6" s="1"/>
  <c r="CZ21" i="6" s="1"/>
  <c r="DA21" i="6" s="1"/>
  <c r="DB21" i="6" s="1"/>
  <c r="DC21" i="6" s="1"/>
  <c r="DD21" i="6" s="1"/>
  <c r="DE21" i="6" s="1"/>
  <c r="DF21" i="6" s="1"/>
  <c r="DG21" i="6" s="1"/>
  <c r="DH21" i="6" s="1"/>
  <c r="DI21" i="6" s="1"/>
  <c r="DJ21" i="6" s="1"/>
  <c r="DK21" i="6" s="1"/>
  <c r="DL21" i="6" s="1"/>
  <c r="DM21" i="6" s="1"/>
  <c r="DN21" i="6" s="1"/>
  <c r="DO21" i="6" s="1"/>
  <c r="DP21" i="6" s="1"/>
  <c r="DQ21" i="6" s="1"/>
  <c r="DR21" i="6" s="1"/>
  <c r="DS21" i="6" s="1"/>
  <c r="DT21" i="6" s="1"/>
  <c r="DU21" i="6" s="1"/>
  <c r="DV21" i="6" s="1"/>
  <c r="DW21" i="6" s="1"/>
  <c r="DX21" i="6" s="1"/>
  <c r="DY21" i="6" s="1"/>
  <c r="DZ21" i="6" s="1"/>
  <c r="EA21" i="6" s="1"/>
  <c r="EB21" i="6" s="1"/>
  <c r="EC21" i="6" s="1"/>
  <c r="ED21" i="6" s="1"/>
  <c r="EE21" i="6" s="1"/>
  <c r="C20" i="6"/>
  <c r="D20" i="6" s="1"/>
  <c r="E20" i="6" s="1"/>
  <c r="F20" i="6" s="1"/>
  <c r="G20" i="6" s="1"/>
  <c r="H20" i="6" s="1"/>
  <c r="I20" i="6" s="1"/>
  <c r="J20" i="6" s="1"/>
  <c r="K20" i="6" s="1"/>
  <c r="L20" i="6" s="1"/>
  <c r="M20" i="6" s="1"/>
  <c r="N20" i="6" s="1"/>
  <c r="O20" i="6" s="1"/>
  <c r="P20" i="6" s="1"/>
  <c r="Q20" i="6" s="1"/>
  <c r="R20" i="6" s="1"/>
  <c r="S20" i="6" s="1"/>
  <c r="T20" i="6" s="1"/>
  <c r="U20" i="6" s="1"/>
  <c r="V20" i="6" s="1"/>
  <c r="W20" i="6" s="1"/>
  <c r="X20" i="6" s="1"/>
  <c r="Y20" i="6" s="1"/>
  <c r="Z20" i="6" s="1"/>
  <c r="AA20" i="6" s="1"/>
  <c r="AB20" i="6" s="1"/>
  <c r="AC20" i="6" s="1"/>
  <c r="AD20" i="6" s="1"/>
  <c r="AE20" i="6" s="1"/>
  <c r="AF20" i="6" s="1"/>
  <c r="AG20" i="6" s="1"/>
  <c r="AH20" i="6" s="1"/>
  <c r="AI20" i="6" s="1"/>
  <c r="AJ20" i="6" s="1"/>
  <c r="AK20" i="6" s="1"/>
  <c r="AL20" i="6" s="1"/>
  <c r="AM20" i="6" s="1"/>
  <c r="AN20" i="6" s="1"/>
  <c r="AO20" i="6" s="1"/>
  <c r="AP20" i="6" s="1"/>
  <c r="AQ20" i="6" s="1"/>
  <c r="AR20" i="6" s="1"/>
  <c r="AS20" i="6" s="1"/>
  <c r="AT20" i="6" s="1"/>
  <c r="AU20" i="6" s="1"/>
  <c r="AV20" i="6" s="1"/>
  <c r="AW20" i="6" s="1"/>
  <c r="AX20" i="6" s="1"/>
  <c r="AY20" i="6" s="1"/>
  <c r="AZ20" i="6" s="1"/>
  <c r="BA20" i="6" s="1"/>
  <c r="BB20" i="6" s="1"/>
  <c r="BC20" i="6" s="1"/>
  <c r="BD20" i="6" s="1"/>
  <c r="BE20" i="6" s="1"/>
  <c r="BF20" i="6" s="1"/>
  <c r="BG20" i="6" s="1"/>
  <c r="BH20" i="6" s="1"/>
  <c r="BI20" i="6" s="1"/>
  <c r="BJ20" i="6" s="1"/>
  <c r="BK20" i="6" s="1"/>
  <c r="BL20" i="6" s="1"/>
  <c r="BM20" i="6" s="1"/>
  <c r="BN20" i="6" s="1"/>
  <c r="BO20" i="6" s="1"/>
  <c r="BP20" i="6" s="1"/>
  <c r="BQ20" i="6" s="1"/>
  <c r="BR20" i="6" s="1"/>
  <c r="BS20" i="6" s="1"/>
  <c r="BT20" i="6" s="1"/>
  <c r="BU20" i="6" s="1"/>
  <c r="BV20" i="6" s="1"/>
  <c r="BW20" i="6" s="1"/>
  <c r="BX20" i="6" s="1"/>
  <c r="BY20" i="6" s="1"/>
  <c r="BZ20" i="6" s="1"/>
  <c r="CA20" i="6" s="1"/>
  <c r="CB20" i="6" s="1"/>
  <c r="CC20" i="6" s="1"/>
  <c r="CD20" i="6" s="1"/>
  <c r="CE20" i="6" s="1"/>
  <c r="CF20" i="6" s="1"/>
  <c r="CG20" i="6" s="1"/>
  <c r="CH20" i="6" s="1"/>
  <c r="CI20" i="6" s="1"/>
  <c r="CJ20" i="6" s="1"/>
  <c r="CK20" i="6" s="1"/>
  <c r="CL20" i="6" s="1"/>
  <c r="CM20" i="6" s="1"/>
  <c r="CN20" i="6" s="1"/>
  <c r="CO20" i="6" s="1"/>
  <c r="CP20" i="6" s="1"/>
  <c r="CQ20" i="6" s="1"/>
  <c r="CR20" i="6" s="1"/>
  <c r="CS20" i="6" s="1"/>
  <c r="CT20" i="6" s="1"/>
  <c r="CU20" i="6" s="1"/>
  <c r="CV20" i="6" s="1"/>
  <c r="CW20" i="6" s="1"/>
  <c r="CX20" i="6" s="1"/>
  <c r="CY20" i="6" s="1"/>
  <c r="CZ20" i="6" s="1"/>
  <c r="DA20" i="6" s="1"/>
  <c r="DB20" i="6" s="1"/>
  <c r="DC20" i="6" s="1"/>
  <c r="DD20" i="6" s="1"/>
  <c r="DE20" i="6" s="1"/>
  <c r="DF20" i="6" s="1"/>
  <c r="DG20" i="6" s="1"/>
  <c r="DH20" i="6" s="1"/>
  <c r="DI20" i="6" s="1"/>
  <c r="DJ20" i="6" s="1"/>
  <c r="DK20" i="6" s="1"/>
  <c r="DL20" i="6" s="1"/>
  <c r="DM20" i="6" s="1"/>
  <c r="DN20" i="6" s="1"/>
  <c r="DO20" i="6" s="1"/>
  <c r="DP20" i="6" s="1"/>
  <c r="DQ20" i="6" s="1"/>
  <c r="DR20" i="6" s="1"/>
  <c r="DS20" i="6" s="1"/>
  <c r="DT20" i="6" s="1"/>
  <c r="DU20" i="6" s="1"/>
  <c r="DV20" i="6" s="1"/>
  <c r="DW20" i="6" s="1"/>
  <c r="DX20" i="6" s="1"/>
  <c r="DY20" i="6" s="1"/>
  <c r="DZ20" i="6" s="1"/>
  <c r="EA20" i="6" s="1"/>
  <c r="EB20" i="6" s="1"/>
  <c r="EC20" i="6" s="1"/>
  <c r="ED20" i="6" s="1"/>
  <c r="EE20" i="6" s="1"/>
  <c r="C19" i="6"/>
  <c r="D19" i="6" s="1"/>
  <c r="E19" i="6" s="1"/>
  <c r="F19" i="6" s="1"/>
  <c r="G19" i="6" s="1"/>
  <c r="H19" i="6" s="1"/>
  <c r="I19" i="6" s="1"/>
  <c r="J19" i="6" s="1"/>
  <c r="K19" i="6" s="1"/>
  <c r="L19" i="6" s="1"/>
  <c r="M19" i="6" s="1"/>
  <c r="N19" i="6" s="1"/>
  <c r="O19" i="6" s="1"/>
  <c r="P19" i="6" s="1"/>
  <c r="Q19" i="6" s="1"/>
  <c r="R19" i="6" s="1"/>
  <c r="S19" i="6" s="1"/>
  <c r="T19" i="6" s="1"/>
  <c r="U19" i="6" s="1"/>
  <c r="V19" i="6" s="1"/>
  <c r="W19" i="6" s="1"/>
  <c r="X19" i="6" s="1"/>
  <c r="Y19" i="6" s="1"/>
  <c r="Z19" i="6" s="1"/>
  <c r="AA19" i="6" s="1"/>
  <c r="AB19" i="6" s="1"/>
  <c r="AC19" i="6" s="1"/>
  <c r="AD19" i="6" s="1"/>
  <c r="AE19" i="6" s="1"/>
  <c r="AF19" i="6" s="1"/>
  <c r="AG19" i="6" s="1"/>
  <c r="AH19" i="6" s="1"/>
  <c r="AI19" i="6" s="1"/>
  <c r="AJ19" i="6" s="1"/>
  <c r="AK19" i="6" s="1"/>
  <c r="AL19" i="6" s="1"/>
  <c r="AM19" i="6" s="1"/>
  <c r="AN19" i="6" s="1"/>
  <c r="AO19" i="6" s="1"/>
  <c r="AP19" i="6" s="1"/>
  <c r="AQ19" i="6" s="1"/>
  <c r="AR19" i="6" s="1"/>
  <c r="AS19" i="6" s="1"/>
  <c r="AT19" i="6" s="1"/>
  <c r="AU19" i="6" s="1"/>
  <c r="AV19" i="6" s="1"/>
  <c r="AW19" i="6" s="1"/>
  <c r="AX19" i="6" s="1"/>
  <c r="AY19" i="6" s="1"/>
  <c r="AZ19" i="6" s="1"/>
  <c r="BA19" i="6" s="1"/>
  <c r="BB19" i="6" s="1"/>
  <c r="BC19" i="6" s="1"/>
  <c r="BD19" i="6" s="1"/>
  <c r="BE19" i="6" s="1"/>
  <c r="BF19" i="6" s="1"/>
  <c r="BG19" i="6" s="1"/>
  <c r="BH19" i="6" s="1"/>
  <c r="BI19" i="6" s="1"/>
  <c r="BJ19" i="6" s="1"/>
  <c r="BK19" i="6" s="1"/>
  <c r="BL19" i="6" s="1"/>
  <c r="BM19" i="6" s="1"/>
  <c r="BN19" i="6" s="1"/>
  <c r="BO19" i="6" s="1"/>
  <c r="BP19" i="6" s="1"/>
  <c r="BQ19" i="6" s="1"/>
  <c r="BR19" i="6" s="1"/>
  <c r="BS19" i="6" s="1"/>
  <c r="BT19" i="6" s="1"/>
  <c r="BU19" i="6" s="1"/>
  <c r="BV19" i="6" s="1"/>
  <c r="BW19" i="6" s="1"/>
  <c r="BX19" i="6" s="1"/>
  <c r="BY19" i="6" s="1"/>
  <c r="BZ19" i="6" s="1"/>
  <c r="CA19" i="6" s="1"/>
  <c r="CB19" i="6" s="1"/>
  <c r="CC19" i="6" s="1"/>
  <c r="CD19" i="6" s="1"/>
  <c r="CE19" i="6" s="1"/>
  <c r="CF19" i="6" s="1"/>
  <c r="CG19" i="6" s="1"/>
  <c r="CH19" i="6" s="1"/>
  <c r="CI19" i="6" s="1"/>
  <c r="CJ19" i="6" s="1"/>
  <c r="CK19" i="6" s="1"/>
  <c r="CL19" i="6" s="1"/>
  <c r="CM19" i="6" s="1"/>
  <c r="CN19" i="6" s="1"/>
  <c r="CO19" i="6" s="1"/>
  <c r="CP19" i="6" s="1"/>
  <c r="CQ19" i="6" s="1"/>
  <c r="CR19" i="6" s="1"/>
  <c r="CS19" i="6" s="1"/>
  <c r="CT19" i="6" s="1"/>
  <c r="CU19" i="6" s="1"/>
  <c r="CV19" i="6" s="1"/>
  <c r="CW19" i="6" s="1"/>
  <c r="CX19" i="6" s="1"/>
  <c r="CY19" i="6" s="1"/>
  <c r="CZ19" i="6" s="1"/>
  <c r="DA19" i="6" s="1"/>
  <c r="DB19" i="6" s="1"/>
  <c r="DC19" i="6" s="1"/>
  <c r="DD19" i="6" s="1"/>
  <c r="DE19" i="6" s="1"/>
  <c r="DF19" i="6" s="1"/>
  <c r="DG19" i="6" s="1"/>
  <c r="DH19" i="6" s="1"/>
  <c r="DI19" i="6" s="1"/>
  <c r="DJ19" i="6" s="1"/>
  <c r="DK19" i="6" s="1"/>
  <c r="DL19" i="6" s="1"/>
  <c r="DM19" i="6" s="1"/>
  <c r="DN19" i="6" s="1"/>
  <c r="DO19" i="6" s="1"/>
  <c r="DP19" i="6" s="1"/>
  <c r="DQ19" i="6" s="1"/>
  <c r="DR19" i="6" s="1"/>
  <c r="DS19" i="6" s="1"/>
  <c r="DT19" i="6" s="1"/>
  <c r="DU19" i="6" s="1"/>
  <c r="DV19" i="6" s="1"/>
  <c r="DW19" i="6" s="1"/>
  <c r="DX19" i="6" s="1"/>
  <c r="DY19" i="6" s="1"/>
  <c r="DZ19" i="6" s="1"/>
  <c r="EA19" i="6" s="1"/>
  <c r="EB19" i="6" s="1"/>
  <c r="EC19" i="6" s="1"/>
  <c r="ED19" i="6" s="1"/>
  <c r="EE19" i="6" s="1"/>
  <c r="C18" i="6"/>
  <c r="D18" i="6" s="1"/>
  <c r="E18" i="6" s="1"/>
  <c r="F18" i="6" s="1"/>
  <c r="G18" i="6" s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C17" i="6"/>
  <c r="D17" i="6" s="1"/>
  <c r="E17" i="6" s="1"/>
  <c r="F17" i="6" s="1"/>
  <c r="G17" i="6" s="1"/>
  <c r="H17" i="6" s="1"/>
  <c r="I17" i="6" s="1"/>
  <c r="J17" i="6" s="1"/>
  <c r="K17" i="6" s="1"/>
  <c r="L17" i="6" s="1"/>
  <c r="M17" i="6" s="1"/>
  <c r="N17" i="6" s="1"/>
  <c r="O17" i="6" s="1"/>
  <c r="P17" i="6" s="1"/>
  <c r="Q17" i="6" s="1"/>
  <c r="R17" i="6" s="1"/>
  <c r="S17" i="6" s="1"/>
  <c r="T17" i="6" s="1"/>
  <c r="U17" i="6" s="1"/>
  <c r="V17" i="6" s="1"/>
  <c r="W17" i="6" s="1"/>
  <c r="X17" i="6" s="1"/>
  <c r="Y17" i="6" s="1"/>
  <c r="Z17" i="6" s="1"/>
  <c r="AA17" i="6" s="1"/>
  <c r="AB17" i="6" s="1"/>
  <c r="AC17" i="6" s="1"/>
  <c r="AD17" i="6" s="1"/>
  <c r="AE17" i="6" s="1"/>
  <c r="AF17" i="6" s="1"/>
  <c r="AG17" i="6" s="1"/>
  <c r="AH17" i="6" s="1"/>
  <c r="AI17" i="6" s="1"/>
  <c r="AJ17" i="6" s="1"/>
  <c r="AK17" i="6" s="1"/>
  <c r="AL17" i="6" s="1"/>
  <c r="AM17" i="6" s="1"/>
  <c r="AN17" i="6" s="1"/>
  <c r="AO17" i="6" s="1"/>
  <c r="AP17" i="6" s="1"/>
  <c r="AQ17" i="6" s="1"/>
  <c r="AR17" i="6" s="1"/>
  <c r="AS17" i="6" s="1"/>
  <c r="AT17" i="6" s="1"/>
  <c r="AU17" i="6" s="1"/>
  <c r="AV17" i="6" s="1"/>
  <c r="AW17" i="6" s="1"/>
  <c r="AX17" i="6" s="1"/>
  <c r="AY17" i="6" s="1"/>
  <c r="AZ17" i="6" s="1"/>
  <c r="BA17" i="6" s="1"/>
  <c r="BB17" i="6" s="1"/>
  <c r="BC17" i="6" s="1"/>
  <c r="BD17" i="6" s="1"/>
  <c r="BE17" i="6" s="1"/>
  <c r="BF17" i="6" s="1"/>
  <c r="BG17" i="6" s="1"/>
  <c r="BH17" i="6" s="1"/>
  <c r="BI17" i="6" s="1"/>
  <c r="BJ17" i="6" s="1"/>
  <c r="BK17" i="6" s="1"/>
  <c r="BL17" i="6" s="1"/>
  <c r="BM17" i="6" s="1"/>
  <c r="BN17" i="6" s="1"/>
  <c r="BO17" i="6" s="1"/>
  <c r="BP17" i="6" s="1"/>
  <c r="BQ17" i="6" s="1"/>
  <c r="BR17" i="6" s="1"/>
  <c r="BS17" i="6" s="1"/>
  <c r="BT17" i="6" s="1"/>
  <c r="BU17" i="6" s="1"/>
  <c r="BV17" i="6" s="1"/>
  <c r="BW17" i="6" s="1"/>
  <c r="BX17" i="6" s="1"/>
  <c r="BY17" i="6" s="1"/>
  <c r="BZ17" i="6" s="1"/>
  <c r="CA17" i="6" s="1"/>
  <c r="CB17" i="6" s="1"/>
  <c r="CC17" i="6" s="1"/>
  <c r="CD17" i="6" s="1"/>
  <c r="CE17" i="6" s="1"/>
  <c r="CF17" i="6" s="1"/>
  <c r="CG17" i="6" s="1"/>
  <c r="CH17" i="6" s="1"/>
  <c r="CI17" i="6" s="1"/>
  <c r="CJ17" i="6" s="1"/>
  <c r="CK17" i="6" s="1"/>
  <c r="CL17" i="6" s="1"/>
  <c r="CM17" i="6" s="1"/>
  <c r="CN17" i="6" s="1"/>
  <c r="CO17" i="6" s="1"/>
  <c r="CP17" i="6" s="1"/>
  <c r="CQ17" i="6" s="1"/>
  <c r="CR17" i="6" s="1"/>
  <c r="CS17" i="6" s="1"/>
  <c r="CT17" i="6" s="1"/>
  <c r="CU17" i="6" s="1"/>
  <c r="CV17" i="6" s="1"/>
  <c r="CW17" i="6" s="1"/>
  <c r="CX17" i="6" s="1"/>
  <c r="CY17" i="6" s="1"/>
  <c r="CZ17" i="6" s="1"/>
  <c r="DA17" i="6" s="1"/>
  <c r="DB17" i="6" s="1"/>
  <c r="DC17" i="6" s="1"/>
  <c r="DD17" i="6" s="1"/>
  <c r="DE17" i="6" s="1"/>
  <c r="DF17" i="6" s="1"/>
  <c r="DG17" i="6" s="1"/>
  <c r="DH17" i="6" s="1"/>
  <c r="DI17" i="6" s="1"/>
  <c r="DJ17" i="6" s="1"/>
  <c r="DK17" i="6" s="1"/>
  <c r="DL17" i="6" s="1"/>
  <c r="DM17" i="6" s="1"/>
  <c r="DN17" i="6" s="1"/>
  <c r="DO17" i="6" s="1"/>
  <c r="DP17" i="6" s="1"/>
  <c r="DQ17" i="6" s="1"/>
  <c r="DR17" i="6" s="1"/>
  <c r="DS17" i="6" s="1"/>
  <c r="DT17" i="6" s="1"/>
  <c r="DU17" i="6" s="1"/>
  <c r="DV17" i="6" s="1"/>
  <c r="DW17" i="6" s="1"/>
  <c r="DX17" i="6" s="1"/>
  <c r="DY17" i="6" s="1"/>
  <c r="DZ17" i="6" s="1"/>
  <c r="EA17" i="6" s="1"/>
  <c r="EB17" i="6" s="1"/>
  <c r="EC17" i="6" s="1"/>
  <c r="ED17" i="6" s="1"/>
  <c r="EE17" i="6" s="1"/>
  <c r="C16" i="6"/>
  <c r="D16" i="6" s="1"/>
  <c r="E16" i="6" s="1"/>
  <c r="F16" i="6" s="1"/>
  <c r="G16" i="6" s="1"/>
  <c r="H16" i="6" s="1"/>
  <c r="I16" i="6" s="1"/>
  <c r="J16" i="6" s="1"/>
  <c r="K16" i="6" s="1"/>
  <c r="L16" i="6" s="1"/>
  <c r="M16" i="6" s="1"/>
  <c r="N16" i="6" s="1"/>
  <c r="O16" i="6" s="1"/>
  <c r="P16" i="6" s="1"/>
  <c r="Q16" i="6" s="1"/>
  <c r="R16" i="6" s="1"/>
  <c r="S16" i="6" s="1"/>
  <c r="T16" i="6" s="1"/>
  <c r="U16" i="6" s="1"/>
  <c r="V16" i="6" s="1"/>
  <c r="W16" i="6" s="1"/>
  <c r="X16" i="6" s="1"/>
  <c r="Y16" i="6" s="1"/>
  <c r="Z16" i="6" s="1"/>
  <c r="AA16" i="6" s="1"/>
  <c r="AB16" i="6" s="1"/>
  <c r="AC16" i="6" s="1"/>
  <c r="AD16" i="6" s="1"/>
  <c r="AE16" i="6" s="1"/>
  <c r="AF16" i="6" s="1"/>
  <c r="AG16" i="6" s="1"/>
  <c r="AH16" i="6" s="1"/>
  <c r="AI16" i="6" s="1"/>
  <c r="AJ16" i="6" s="1"/>
  <c r="AK16" i="6" s="1"/>
  <c r="AL16" i="6" s="1"/>
  <c r="AM16" i="6" s="1"/>
  <c r="AN16" i="6" s="1"/>
  <c r="AO16" i="6" s="1"/>
  <c r="AP16" i="6" s="1"/>
  <c r="AQ16" i="6" s="1"/>
  <c r="AR16" i="6" s="1"/>
  <c r="AS16" i="6" s="1"/>
  <c r="AT16" i="6" s="1"/>
  <c r="AU16" i="6" s="1"/>
  <c r="AV16" i="6" s="1"/>
  <c r="AW16" i="6" s="1"/>
  <c r="AX16" i="6" s="1"/>
  <c r="AY16" i="6" s="1"/>
  <c r="AZ16" i="6" s="1"/>
  <c r="BA16" i="6" s="1"/>
  <c r="BB16" i="6" s="1"/>
  <c r="BC16" i="6" s="1"/>
  <c r="BD16" i="6" s="1"/>
  <c r="BE16" i="6" s="1"/>
  <c r="BF16" i="6" s="1"/>
  <c r="BG16" i="6" s="1"/>
  <c r="BH16" i="6" s="1"/>
  <c r="BI16" i="6" s="1"/>
  <c r="BJ16" i="6" s="1"/>
  <c r="BK16" i="6" s="1"/>
  <c r="BL16" i="6" s="1"/>
  <c r="BM16" i="6" s="1"/>
  <c r="BN16" i="6" s="1"/>
  <c r="BO16" i="6" s="1"/>
  <c r="BP16" i="6" s="1"/>
  <c r="BQ16" i="6" s="1"/>
  <c r="BR16" i="6" s="1"/>
  <c r="BS16" i="6" s="1"/>
  <c r="BT16" i="6" s="1"/>
  <c r="BU16" i="6" s="1"/>
  <c r="BV16" i="6" s="1"/>
  <c r="BW16" i="6" s="1"/>
  <c r="BX16" i="6" s="1"/>
  <c r="BY16" i="6" s="1"/>
  <c r="BZ16" i="6" s="1"/>
  <c r="CA16" i="6" s="1"/>
  <c r="CB16" i="6" s="1"/>
  <c r="CC16" i="6" s="1"/>
  <c r="CD16" i="6" s="1"/>
  <c r="CE16" i="6" s="1"/>
  <c r="CF16" i="6" s="1"/>
  <c r="CG16" i="6" s="1"/>
  <c r="CH16" i="6" s="1"/>
  <c r="CI16" i="6" s="1"/>
  <c r="CJ16" i="6" s="1"/>
  <c r="CK16" i="6" s="1"/>
  <c r="CL16" i="6" s="1"/>
  <c r="CM16" i="6" s="1"/>
  <c r="CN16" i="6" s="1"/>
  <c r="CO16" i="6" s="1"/>
  <c r="CP16" i="6" s="1"/>
  <c r="CQ16" i="6" s="1"/>
  <c r="CR16" i="6" s="1"/>
  <c r="CS16" i="6" s="1"/>
  <c r="CT16" i="6" s="1"/>
  <c r="CU16" i="6" s="1"/>
  <c r="CV16" i="6" s="1"/>
  <c r="CW16" i="6" s="1"/>
  <c r="CX16" i="6" s="1"/>
  <c r="CY16" i="6" s="1"/>
  <c r="CZ16" i="6" s="1"/>
  <c r="DA16" i="6" s="1"/>
  <c r="DB16" i="6" s="1"/>
  <c r="DC16" i="6" s="1"/>
  <c r="DD16" i="6" s="1"/>
  <c r="DE16" i="6" s="1"/>
  <c r="DF16" i="6" s="1"/>
  <c r="DG16" i="6" s="1"/>
  <c r="DH16" i="6" s="1"/>
  <c r="DI16" i="6" s="1"/>
  <c r="DJ16" i="6" s="1"/>
  <c r="DK16" i="6" s="1"/>
  <c r="DL16" i="6" s="1"/>
  <c r="DM16" i="6" s="1"/>
  <c r="DN16" i="6" s="1"/>
  <c r="DO16" i="6" s="1"/>
  <c r="DP16" i="6" s="1"/>
  <c r="DQ16" i="6" s="1"/>
  <c r="DR16" i="6" s="1"/>
  <c r="DS16" i="6" s="1"/>
  <c r="DT16" i="6" s="1"/>
  <c r="DU16" i="6" s="1"/>
  <c r="DV16" i="6" s="1"/>
  <c r="DW16" i="6" s="1"/>
  <c r="DX16" i="6" s="1"/>
  <c r="DY16" i="6" s="1"/>
  <c r="DZ16" i="6" s="1"/>
  <c r="EA16" i="6" s="1"/>
  <c r="EB16" i="6" s="1"/>
  <c r="EC16" i="6" s="1"/>
  <c r="ED16" i="6" s="1"/>
  <c r="EE16" i="6" s="1"/>
  <c r="C15" i="6"/>
  <c r="D15" i="6" s="1"/>
  <c r="E15" i="6" s="1"/>
  <c r="F15" i="6" s="1"/>
  <c r="G15" i="6" s="1"/>
  <c r="H15" i="6" s="1"/>
  <c r="I15" i="6" s="1"/>
  <c r="J15" i="6" s="1"/>
  <c r="K15" i="6" s="1"/>
  <c r="L15" i="6" s="1"/>
  <c r="M15" i="6" s="1"/>
  <c r="N15" i="6" s="1"/>
  <c r="O15" i="6" s="1"/>
  <c r="P15" i="6" s="1"/>
  <c r="Q15" i="6" s="1"/>
  <c r="R15" i="6" s="1"/>
  <c r="S15" i="6" s="1"/>
  <c r="T15" i="6" s="1"/>
  <c r="U15" i="6" s="1"/>
  <c r="V15" i="6" s="1"/>
  <c r="W15" i="6" s="1"/>
  <c r="X15" i="6" s="1"/>
  <c r="Y15" i="6" s="1"/>
  <c r="Z15" i="6" s="1"/>
  <c r="AA15" i="6" s="1"/>
  <c r="AB15" i="6" s="1"/>
  <c r="AC15" i="6" s="1"/>
  <c r="AD15" i="6" s="1"/>
  <c r="AE15" i="6" s="1"/>
  <c r="AF15" i="6" s="1"/>
  <c r="AG15" i="6" s="1"/>
  <c r="AH15" i="6" s="1"/>
  <c r="AI15" i="6" s="1"/>
  <c r="AJ15" i="6" s="1"/>
  <c r="AK15" i="6" s="1"/>
  <c r="AL15" i="6" s="1"/>
  <c r="AM15" i="6" s="1"/>
  <c r="AN15" i="6" s="1"/>
  <c r="AO15" i="6" s="1"/>
  <c r="AP15" i="6" s="1"/>
  <c r="AQ15" i="6" s="1"/>
  <c r="AR15" i="6" s="1"/>
  <c r="AS15" i="6" s="1"/>
  <c r="AT15" i="6" s="1"/>
  <c r="AU15" i="6" s="1"/>
  <c r="AV15" i="6" s="1"/>
  <c r="AW15" i="6" s="1"/>
  <c r="AX15" i="6" s="1"/>
  <c r="AY15" i="6" s="1"/>
  <c r="AZ15" i="6" s="1"/>
  <c r="BA15" i="6" s="1"/>
  <c r="BB15" i="6" s="1"/>
  <c r="BC15" i="6" s="1"/>
  <c r="BD15" i="6" s="1"/>
  <c r="BE15" i="6" s="1"/>
  <c r="BF15" i="6" s="1"/>
  <c r="BG15" i="6" s="1"/>
  <c r="BH15" i="6" s="1"/>
  <c r="BI15" i="6" s="1"/>
  <c r="BJ15" i="6" s="1"/>
  <c r="BK15" i="6" s="1"/>
  <c r="BL15" i="6" s="1"/>
  <c r="BM15" i="6" s="1"/>
  <c r="BN15" i="6" s="1"/>
  <c r="BO15" i="6" s="1"/>
  <c r="BP15" i="6" s="1"/>
  <c r="BQ15" i="6" s="1"/>
  <c r="BR15" i="6" s="1"/>
  <c r="BS15" i="6" s="1"/>
  <c r="BT15" i="6" s="1"/>
  <c r="BU15" i="6" s="1"/>
  <c r="BV15" i="6" s="1"/>
  <c r="BW15" i="6" s="1"/>
  <c r="BX15" i="6" s="1"/>
  <c r="BY15" i="6" s="1"/>
  <c r="BZ15" i="6" s="1"/>
  <c r="CA15" i="6" s="1"/>
  <c r="CB15" i="6" s="1"/>
  <c r="CC15" i="6" s="1"/>
  <c r="CD15" i="6" s="1"/>
  <c r="CE15" i="6" s="1"/>
  <c r="CF15" i="6" s="1"/>
  <c r="CG15" i="6" s="1"/>
  <c r="CH15" i="6" s="1"/>
  <c r="CI15" i="6" s="1"/>
  <c r="CJ15" i="6" s="1"/>
  <c r="CK15" i="6" s="1"/>
  <c r="CL15" i="6" s="1"/>
  <c r="CM15" i="6" s="1"/>
  <c r="CN15" i="6" s="1"/>
  <c r="CO15" i="6" s="1"/>
  <c r="CP15" i="6" s="1"/>
  <c r="CQ15" i="6" s="1"/>
  <c r="CR15" i="6" s="1"/>
  <c r="CS15" i="6" s="1"/>
  <c r="CT15" i="6" s="1"/>
  <c r="CU15" i="6" s="1"/>
  <c r="CV15" i="6" s="1"/>
  <c r="CW15" i="6" s="1"/>
  <c r="CX15" i="6" s="1"/>
  <c r="CY15" i="6" s="1"/>
  <c r="CZ15" i="6" s="1"/>
  <c r="DA15" i="6" s="1"/>
  <c r="DB15" i="6" s="1"/>
  <c r="DC15" i="6" s="1"/>
  <c r="DD15" i="6" s="1"/>
  <c r="DE15" i="6" s="1"/>
  <c r="DF15" i="6" s="1"/>
  <c r="DG15" i="6" s="1"/>
  <c r="DH15" i="6" s="1"/>
  <c r="DI15" i="6" s="1"/>
  <c r="DJ15" i="6" s="1"/>
  <c r="DK15" i="6" s="1"/>
  <c r="DL15" i="6" s="1"/>
  <c r="DM15" i="6" s="1"/>
  <c r="DN15" i="6" s="1"/>
  <c r="DO15" i="6" s="1"/>
  <c r="DP15" i="6" s="1"/>
  <c r="DQ15" i="6" s="1"/>
  <c r="DR15" i="6" s="1"/>
  <c r="DS15" i="6" s="1"/>
  <c r="DT15" i="6" s="1"/>
  <c r="DU15" i="6" s="1"/>
  <c r="DV15" i="6" s="1"/>
  <c r="DW15" i="6" s="1"/>
  <c r="DX15" i="6" s="1"/>
  <c r="DY15" i="6" s="1"/>
  <c r="DZ15" i="6" s="1"/>
  <c r="EA15" i="6" s="1"/>
  <c r="EB15" i="6" s="1"/>
  <c r="EC15" i="6" s="1"/>
  <c r="ED15" i="6" s="1"/>
  <c r="EE15" i="6" s="1"/>
  <c r="C14" i="6"/>
  <c r="D14" i="6" s="1"/>
  <c r="E14" i="6" s="1"/>
  <c r="F14" i="6" s="1"/>
  <c r="G14" i="6" s="1"/>
  <c r="H14" i="6" s="1"/>
  <c r="I14" i="6" s="1"/>
  <c r="J14" i="6" s="1"/>
  <c r="K14" i="6" s="1"/>
  <c r="L14" i="6" s="1"/>
  <c r="M14" i="6" s="1"/>
  <c r="N14" i="6" s="1"/>
  <c r="O14" i="6" s="1"/>
  <c r="P14" i="6" s="1"/>
  <c r="Q14" i="6" s="1"/>
  <c r="R14" i="6" s="1"/>
  <c r="S14" i="6" s="1"/>
  <c r="T14" i="6" s="1"/>
  <c r="U14" i="6" s="1"/>
  <c r="V14" i="6" s="1"/>
  <c r="W14" i="6" s="1"/>
  <c r="X14" i="6" s="1"/>
  <c r="Y14" i="6" s="1"/>
  <c r="Z14" i="6" s="1"/>
  <c r="AA14" i="6" s="1"/>
  <c r="AB14" i="6" s="1"/>
  <c r="AC14" i="6" s="1"/>
  <c r="AD14" i="6" s="1"/>
  <c r="AE14" i="6" s="1"/>
  <c r="AF14" i="6" s="1"/>
  <c r="AG14" i="6" s="1"/>
  <c r="AH14" i="6" s="1"/>
  <c r="AI14" i="6" s="1"/>
  <c r="AJ14" i="6" s="1"/>
  <c r="AK14" i="6" s="1"/>
  <c r="AL14" i="6" s="1"/>
  <c r="AM14" i="6" s="1"/>
  <c r="AN14" i="6" s="1"/>
  <c r="AO14" i="6" s="1"/>
  <c r="AP14" i="6" s="1"/>
  <c r="AQ14" i="6" s="1"/>
  <c r="AR14" i="6" s="1"/>
  <c r="AS14" i="6" s="1"/>
  <c r="AT14" i="6" s="1"/>
  <c r="AU14" i="6" s="1"/>
  <c r="AV14" i="6" s="1"/>
  <c r="AW14" i="6" s="1"/>
  <c r="AX14" i="6" s="1"/>
  <c r="AY14" i="6" s="1"/>
  <c r="AZ14" i="6" s="1"/>
  <c r="BA14" i="6" s="1"/>
  <c r="BB14" i="6" s="1"/>
  <c r="BC14" i="6" s="1"/>
  <c r="BD14" i="6" s="1"/>
  <c r="BE14" i="6" s="1"/>
  <c r="BF14" i="6" s="1"/>
  <c r="BG14" i="6" s="1"/>
  <c r="BH14" i="6" s="1"/>
  <c r="BI14" i="6" s="1"/>
  <c r="BJ14" i="6" s="1"/>
  <c r="BK14" i="6" s="1"/>
  <c r="BL14" i="6" s="1"/>
  <c r="BM14" i="6" s="1"/>
  <c r="BN14" i="6" s="1"/>
  <c r="BO14" i="6" s="1"/>
  <c r="BP14" i="6" s="1"/>
  <c r="BQ14" i="6" s="1"/>
  <c r="BR14" i="6" s="1"/>
  <c r="BS14" i="6" s="1"/>
  <c r="BT14" i="6" s="1"/>
  <c r="BU14" i="6" s="1"/>
  <c r="BV14" i="6" s="1"/>
  <c r="BW14" i="6" s="1"/>
  <c r="BX14" i="6" s="1"/>
  <c r="BY14" i="6" s="1"/>
  <c r="BZ14" i="6" s="1"/>
  <c r="CA14" i="6" s="1"/>
  <c r="CB14" i="6" s="1"/>
  <c r="CC14" i="6" s="1"/>
  <c r="CD14" i="6" s="1"/>
  <c r="CE14" i="6" s="1"/>
  <c r="CF14" i="6" s="1"/>
  <c r="CG14" i="6" s="1"/>
  <c r="CH14" i="6" s="1"/>
  <c r="CI14" i="6" s="1"/>
  <c r="CJ14" i="6" s="1"/>
  <c r="CK14" i="6" s="1"/>
  <c r="CL14" i="6" s="1"/>
  <c r="CM14" i="6" s="1"/>
  <c r="CN14" i="6" s="1"/>
  <c r="CO14" i="6" s="1"/>
  <c r="CP14" i="6" s="1"/>
  <c r="CQ14" i="6" s="1"/>
  <c r="CR14" i="6" s="1"/>
  <c r="CS14" i="6" s="1"/>
  <c r="CT14" i="6" s="1"/>
  <c r="CU14" i="6" s="1"/>
  <c r="CV14" i="6" s="1"/>
  <c r="CW14" i="6" s="1"/>
  <c r="CX14" i="6" s="1"/>
  <c r="CY14" i="6" s="1"/>
  <c r="CZ14" i="6" s="1"/>
  <c r="DA14" i="6" s="1"/>
  <c r="DB14" i="6" s="1"/>
  <c r="DC14" i="6" s="1"/>
  <c r="DD14" i="6" s="1"/>
  <c r="DE14" i="6" s="1"/>
  <c r="DF14" i="6" s="1"/>
  <c r="DG14" i="6" s="1"/>
  <c r="DH14" i="6" s="1"/>
  <c r="DI14" i="6" s="1"/>
  <c r="DJ14" i="6" s="1"/>
  <c r="DK14" i="6" s="1"/>
  <c r="DL14" i="6" s="1"/>
  <c r="DM14" i="6" s="1"/>
  <c r="DN14" i="6" s="1"/>
  <c r="DO14" i="6" s="1"/>
  <c r="DP14" i="6" s="1"/>
  <c r="DQ14" i="6" s="1"/>
  <c r="DR14" i="6" s="1"/>
  <c r="DS14" i="6" s="1"/>
  <c r="DT14" i="6" s="1"/>
  <c r="DU14" i="6" s="1"/>
  <c r="DV14" i="6" s="1"/>
  <c r="DW14" i="6" s="1"/>
  <c r="DX14" i="6" s="1"/>
  <c r="DY14" i="6" s="1"/>
  <c r="DZ14" i="6" s="1"/>
  <c r="EA14" i="6" s="1"/>
  <c r="EB14" i="6" s="1"/>
  <c r="EC14" i="6" s="1"/>
  <c r="ED14" i="6" s="1"/>
  <c r="EE14" i="6" s="1"/>
  <c r="C13" i="6"/>
  <c r="D13" i="6" s="1"/>
  <c r="E13" i="6" s="1"/>
  <c r="F13" i="6" s="1"/>
  <c r="G13" i="6" s="1"/>
  <c r="H13" i="6" s="1"/>
  <c r="I13" i="6" s="1"/>
  <c r="J13" i="6" s="1"/>
  <c r="K13" i="6" s="1"/>
  <c r="L13" i="6" s="1"/>
  <c r="M13" i="6" s="1"/>
  <c r="N13" i="6" s="1"/>
  <c r="O13" i="6" s="1"/>
  <c r="P13" i="6" s="1"/>
  <c r="Q13" i="6" s="1"/>
  <c r="R13" i="6" s="1"/>
  <c r="S13" i="6" s="1"/>
  <c r="T13" i="6" s="1"/>
  <c r="U13" i="6" s="1"/>
  <c r="V13" i="6" s="1"/>
  <c r="W13" i="6" s="1"/>
  <c r="X13" i="6" s="1"/>
  <c r="Y13" i="6" s="1"/>
  <c r="Z13" i="6" s="1"/>
  <c r="AA13" i="6" s="1"/>
  <c r="AB13" i="6" s="1"/>
  <c r="AC13" i="6" s="1"/>
  <c r="AD13" i="6" s="1"/>
  <c r="AE13" i="6" s="1"/>
  <c r="AF13" i="6" s="1"/>
  <c r="AG13" i="6" s="1"/>
  <c r="AH13" i="6" s="1"/>
  <c r="AI13" i="6" s="1"/>
  <c r="AJ13" i="6" s="1"/>
  <c r="AK13" i="6" s="1"/>
  <c r="AL13" i="6" s="1"/>
  <c r="AM13" i="6" s="1"/>
  <c r="AN13" i="6" s="1"/>
  <c r="AO13" i="6" s="1"/>
  <c r="AP13" i="6" s="1"/>
  <c r="AQ13" i="6" s="1"/>
  <c r="AR13" i="6" s="1"/>
  <c r="AS13" i="6" s="1"/>
  <c r="AT13" i="6" s="1"/>
  <c r="AU13" i="6" s="1"/>
  <c r="AV13" i="6" s="1"/>
  <c r="AW13" i="6" s="1"/>
  <c r="AX13" i="6" s="1"/>
  <c r="AY13" i="6" s="1"/>
  <c r="AZ13" i="6" s="1"/>
  <c r="BA13" i="6" s="1"/>
  <c r="BB13" i="6" s="1"/>
  <c r="BC13" i="6" s="1"/>
  <c r="BD13" i="6" s="1"/>
  <c r="BE13" i="6" s="1"/>
  <c r="BF13" i="6" s="1"/>
  <c r="BG13" i="6" s="1"/>
  <c r="BH13" i="6" s="1"/>
  <c r="BI13" i="6" s="1"/>
  <c r="BJ13" i="6" s="1"/>
  <c r="BK13" i="6" s="1"/>
  <c r="BL13" i="6" s="1"/>
  <c r="BM13" i="6" s="1"/>
  <c r="BN13" i="6" s="1"/>
  <c r="BO13" i="6" s="1"/>
  <c r="BP13" i="6" s="1"/>
  <c r="BQ13" i="6" s="1"/>
  <c r="BR13" i="6" s="1"/>
  <c r="BS13" i="6" s="1"/>
  <c r="BT13" i="6" s="1"/>
  <c r="BU13" i="6" s="1"/>
  <c r="BV13" i="6" s="1"/>
  <c r="BW13" i="6" s="1"/>
  <c r="BX13" i="6" s="1"/>
  <c r="BY13" i="6" s="1"/>
  <c r="BZ13" i="6" s="1"/>
  <c r="CA13" i="6" s="1"/>
  <c r="CB13" i="6" s="1"/>
  <c r="CC13" i="6" s="1"/>
  <c r="CD13" i="6" s="1"/>
  <c r="CE13" i="6" s="1"/>
  <c r="CF13" i="6" s="1"/>
  <c r="CG13" i="6" s="1"/>
  <c r="CH13" i="6" s="1"/>
  <c r="CI13" i="6" s="1"/>
  <c r="CJ13" i="6" s="1"/>
  <c r="CK13" i="6" s="1"/>
  <c r="CL13" i="6" s="1"/>
  <c r="CM13" i="6" s="1"/>
  <c r="CN13" i="6" s="1"/>
  <c r="CO13" i="6" s="1"/>
  <c r="CP13" i="6" s="1"/>
  <c r="CQ13" i="6" s="1"/>
  <c r="CR13" i="6" s="1"/>
  <c r="CS13" i="6" s="1"/>
  <c r="CT13" i="6" s="1"/>
  <c r="CU13" i="6" s="1"/>
  <c r="CV13" i="6" s="1"/>
  <c r="CW13" i="6" s="1"/>
  <c r="CX13" i="6" s="1"/>
  <c r="CY13" i="6" s="1"/>
  <c r="CZ13" i="6" s="1"/>
  <c r="DA13" i="6" s="1"/>
  <c r="DB13" i="6" s="1"/>
  <c r="DC13" i="6" s="1"/>
  <c r="DD13" i="6" s="1"/>
  <c r="DE13" i="6" s="1"/>
  <c r="DF13" i="6" s="1"/>
  <c r="DG13" i="6" s="1"/>
  <c r="DH13" i="6" s="1"/>
  <c r="DI13" i="6" s="1"/>
  <c r="DJ13" i="6" s="1"/>
  <c r="DK13" i="6" s="1"/>
  <c r="DL13" i="6" s="1"/>
  <c r="DM13" i="6" s="1"/>
  <c r="DN13" i="6" s="1"/>
  <c r="DO13" i="6" s="1"/>
  <c r="DP13" i="6" s="1"/>
  <c r="DQ13" i="6" s="1"/>
  <c r="DR13" i="6" s="1"/>
  <c r="DS13" i="6" s="1"/>
  <c r="DT13" i="6" s="1"/>
  <c r="DU13" i="6" s="1"/>
  <c r="DV13" i="6" s="1"/>
  <c r="DW13" i="6" s="1"/>
  <c r="DX13" i="6" s="1"/>
  <c r="DY13" i="6" s="1"/>
  <c r="DZ13" i="6" s="1"/>
  <c r="EA13" i="6" s="1"/>
  <c r="EB13" i="6" s="1"/>
  <c r="EC13" i="6" s="1"/>
  <c r="ED13" i="6" s="1"/>
  <c r="EE13" i="6" s="1"/>
  <c r="C12" i="6"/>
  <c r="D12" i="6" s="1"/>
  <c r="E12" i="6" s="1"/>
  <c r="F12" i="6" s="1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C11" i="6"/>
  <c r="D11" i="6" s="1"/>
  <c r="E11" i="6" s="1"/>
  <c r="F11" i="6" s="1"/>
  <c r="G11" i="6" s="1"/>
  <c r="H11" i="6" s="1"/>
  <c r="I11" i="6" s="1"/>
  <c r="J11" i="6" s="1"/>
  <c r="K11" i="6" s="1"/>
  <c r="L11" i="6" s="1"/>
  <c r="M11" i="6" s="1"/>
  <c r="N11" i="6" s="1"/>
  <c r="O11" i="6" s="1"/>
  <c r="P11" i="6" s="1"/>
  <c r="Q11" i="6" s="1"/>
  <c r="R11" i="6" s="1"/>
  <c r="S11" i="6" s="1"/>
  <c r="T11" i="6" s="1"/>
  <c r="U11" i="6" s="1"/>
  <c r="V11" i="6" s="1"/>
  <c r="W11" i="6" s="1"/>
  <c r="X11" i="6" s="1"/>
  <c r="Y11" i="6" s="1"/>
  <c r="Z11" i="6" s="1"/>
  <c r="AA11" i="6" s="1"/>
  <c r="AB11" i="6" s="1"/>
  <c r="AC11" i="6" s="1"/>
  <c r="AD11" i="6" s="1"/>
  <c r="AE11" i="6" s="1"/>
  <c r="AF11" i="6" s="1"/>
  <c r="AG11" i="6" s="1"/>
  <c r="AH11" i="6" s="1"/>
  <c r="AI11" i="6" s="1"/>
  <c r="AJ11" i="6" s="1"/>
  <c r="AK11" i="6" s="1"/>
  <c r="AL11" i="6" s="1"/>
  <c r="AM11" i="6" s="1"/>
  <c r="AN11" i="6" s="1"/>
  <c r="AO11" i="6" s="1"/>
  <c r="AP11" i="6" s="1"/>
  <c r="AQ11" i="6" s="1"/>
  <c r="AR11" i="6" s="1"/>
  <c r="AS11" i="6" s="1"/>
  <c r="AT11" i="6" s="1"/>
  <c r="AU11" i="6" s="1"/>
  <c r="AV11" i="6" s="1"/>
  <c r="AW11" i="6" s="1"/>
  <c r="AX11" i="6" s="1"/>
  <c r="AY11" i="6" s="1"/>
  <c r="AZ11" i="6" s="1"/>
  <c r="BA11" i="6" s="1"/>
  <c r="BB11" i="6" s="1"/>
  <c r="BC11" i="6" s="1"/>
  <c r="BD11" i="6" s="1"/>
  <c r="BE11" i="6" s="1"/>
  <c r="BF11" i="6" s="1"/>
  <c r="BG11" i="6" s="1"/>
  <c r="BH11" i="6" s="1"/>
  <c r="BI11" i="6" s="1"/>
  <c r="BJ11" i="6" s="1"/>
  <c r="BK11" i="6" s="1"/>
  <c r="BL11" i="6" s="1"/>
  <c r="BM11" i="6" s="1"/>
  <c r="BN11" i="6" s="1"/>
  <c r="BO11" i="6" s="1"/>
  <c r="BP11" i="6" s="1"/>
  <c r="BQ11" i="6" s="1"/>
  <c r="BR11" i="6" s="1"/>
  <c r="BS11" i="6" s="1"/>
  <c r="BT11" i="6" s="1"/>
  <c r="BU11" i="6" s="1"/>
  <c r="BV11" i="6" s="1"/>
  <c r="BW11" i="6" s="1"/>
  <c r="BX11" i="6" s="1"/>
  <c r="BY11" i="6" s="1"/>
  <c r="BZ11" i="6" s="1"/>
  <c r="CA11" i="6" s="1"/>
  <c r="CB11" i="6" s="1"/>
  <c r="CC11" i="6" s="1"/>
  <c r="CD11" i="6" s="1"/>
  <c r="CE11" i="6" s="1"/>
  <c r="CF11" i="6" s="1"/>
  <c r="CG11" i="6" s="1"/>
  <c r="CH11" i="6" s="1"/>
  <c r="CI11" i="6" s="1"/>
  <c r="CJ11" i="6" s="1"/>
  <c r="CK11" i="6" s="1"/>
  <c r="CL11" i="6" s="1"/>
  <c r="CM11" i="6" s="1"/>
  <c r="CN11" i="6" s="1"/>
  <c r="CO11" i="6" s="1"/>
  <c r="CP11" i="6" s="1"/>
  <c r="CQ11" i="6" s="1"/>
  <c r="CR11" i="6" s="1"/>
  <c r="CS11" i="6" s="1"/>
  <c r="CT11" i="6" s="1"/>
  <c r="CU11" i="6" s="1"/>
  <c r="CV11" i="6" s="1"/>
  <c r="CW11" i="6" s="1"/>
  <c r="CX11" i="6" s="1"/>
  <c r="CY11" i="6" s="1"/>
  <c r="CZ11" i="6" s="1"/>
  <c r="DA11" i="6" s="1"/>
  <c r="DB11" i="6" s="1"/>
  <c r="DC11" i="6" s="1"/>
  <c r="DD11" i="6" s="1"/>
  <c r="DE11" i="6" s="1"/>
  <c r="DF11" i="6" s="1"/>
  <c r="DG11" i="6" s="1"/>
  <c r="DH11" i="6" s="1"/>
  <c r="DI11" i="6" s="1"/>
  <c r="DJ11" i="6" s="1"/>
  <c r="DK11" i="6" s="1"/>
  <c r="DL11" i="6" s="1"/>
  <c r="DM11" i="6" s="1"/>
  <c r="DN11" i="6" s="1"/>
  <c r="DO11" i="6" s="1"/>
  <c r="DP11" i="6" s="1"/>
  <c r="DQ11" i="6" s="1"/>
  <c r="DR11" i="6" s="1"/>
  <c r="DS11" i="6" s="1"/>
  <c r="DT11" i="6" s="1"/>
  <c r="DU11" i="6" s="1"/>
  <c r="DV11" i="6" s="1"/>
  <c r="DW11" i="6" s="1"/>
  <c r="DX11" i="6" s="1"/>
  <c r="DY11" i="6" s="1"/>
  <c r="DZ11" i="6" s="1"/>
  <c r="EA11" i="6" s="1"/>
  <c r="EB11" i="6" s="1"/>
  <c r="EC11" i="6" s="1"/>
  <c r="ED11" i="6" s="1"/>
  <c r="EE11" i="6" s="1"/>
  <c r="C10" i="6"/>
  <c r="D10" i="6" s="1"/>
  <c r="E10" i="6" s="1"/>
  <c r="F10" i="6" s="1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S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V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U17" i="4"/>
  <c r="BT17" i="4"/>
  <c r="BS17" i="4"/>
  <c r="BR17" i="4"/>
  <c r="BQ17" i="4"/>
  <c r="BP17" i="4"/>
  <c r="BO17" i="4"/>
  <c r="BN17" i="4"/>
  <c r="BM17" i="4"/>
  <c r="BL17" i="4"/>
  <c r="BK17" i="4"/>
  <c r="BJ17" i="4"/>
  <c r="BI17" i="4"/>
  <c r="BH17" i="4"/>
  <c r="BG17" i="4"/>
  <c r="BF17" i="4"/>
  <c r="BE17" i="4"/>
  <c r="BD17" i="4"/>
  <c r="BC17" i="4"/>
  <c r="BB17" i="4"/>
  <c r="BA17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EF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S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V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U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EF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S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V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U15" i="4"/>
  <c r="BT15" i="4"/>
  <c r="BS15" i="4"/>
  <c r="BR15" i="4"/>
  <c r="BQ15" i="4"/>
  <c r="BP15" i="4"/>
  <c r="BO15" i="4"/>
  <c r="BN15" i="4"/>
  <c r="BM15" i="4"/>
  <c r="BL15" i="4"/>
  <c r="BK15" i="4"/>
  <c r="BJ15" i="4"/>
  <c r="BI15" i="4"/>
  <c r="BH15" i="4"/>
  <c r="BG15" i="4"/>
  <c r="BF15" i="4"/>
  <c r="BE15" i="4"/>
  <c r="BD15" i="4"/>
  <c r="BC15" i="4"/>
  <c r="BB15" i="4"/>
  <c r="BA15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EF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S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V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U14" i="4"/>
  <c r="BT14" i="4"/>
  <c r="BS14" i="4"/>
  <c r="BR14" i="4"/>
  <c r="BQ14" i="4"/>
  <c r="BP14" i="4"/>
  <c r="BO14" i="4"/>
  <c r="BN14" i="4"/>
  <c r="BM14" i="4"/>
  <c r="BL14" i="4"/>
  <c r="BK14" i="4"/>
  <c r="BJ14" i="4"/>
  <c r="BI14" i="4"/>
  <c r="BH14" i="4"/>
  <c r="BG14" i="4"/>
  <c r="BF14" i="4"/>
  <c r="BE14" i="4"/>
  <c r="BD14" i="4"/>
  <c r="BC14" i="4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EF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S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V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U13" i="4"/>
  <c r="BT13" i="4"/>
  <c r="BS13" i="4"/>
  <c r="BR13" i="4"/>
  <c r="BQ13" i="4"/>
  <c r="BP13" i="4"/>
  <c r="BO13" i="4"/>
  <c r="BN13" i="4"/>
  <c r="BM13" i="4"/>
  <c r="BL13" i="4"/>
  <c r="BK13" i="4"/>
  <c r="BJ13" i="4"/>
  <c r="BI13" i="4"/>
  <c r="BH13" i="4"/>
  <c r="BG13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EF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S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V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U12" i="4"/>
  <c r="BT12" i="4"/>
  <c r="BS12" i="4"/>
  <c r="BR12" i="4"/>
  <c r="BQ12" i="4"/>
  <c r="BP12" i="4"/>
  <c r="BO12" i="4"/>
  <c r="BN12" i="4"/>
  <c r="BM12" i="4"/>
  <c r="BL12" i="4"/>
  <c r="BK12" i="4"/>
  <c r="BJ12" i="4"/>
  <c r="BI12" i="4"/>
  <c r="BH12" i="4"/>
  <c r="BG12" i="4"/>
  <c r="BF12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EF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S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V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U11" i="4"/>
  <c r="BT11" i="4"/>
  <c r="BS11" i="4"/>
  <c r="BR11" i="4"/>
  <c r="BQ11" i="4"/>
  <c r="BP11" i="4"/>
  <c r="BO11" i="4"/>
  <c r="BN11" i="4"/>
  <c r="BM11" i="4"/>
  <c r="BL11" i="4"/>
  <c r="BK11" i="4"/>
  <c r="BJ11" i="4"/>
  <c r="BI11" i="4"/>
  <c r="BH11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EF10" i="4"/>
  <c r="EE10" i="4"/>
  <c r="ED10" i="4"/>
  <c r="EC10" i="4"/>
  <c r="EB10" i="4"/>
  <c r="EA10" i="4"/>
  <c r="DZ10" i="4"/>
  <c r="DY10" i="4"/>
  <c r="DX10" i="4"/>
  <c r="DW10" i="4"/>
  <c r="DV10" i="4"/>
  <c r="DU10" i="4"/>
  <c r="DT10" i="4"/>
  <c r="DS10" i="4"/>
  <c r="DR10" i="4"/>
  <c r="DQ10" i="4"/>
  <c r="DP10" i="4"/>
  <c r="DO10" i="4"/>
  <c r="DN10" i="4"/>
  <c r="DM10" i="4"/>
  <c r="DL10" i="4"/>
  <c r="DK10" i="4"/>
  <c r="DJ10" i="4"/>
  <c r="DI10" i="4"/>
  <c r="DH10" i="4"/>
  <c r="DG10" i="4"/>
  <c r="DF10" i="4"/>
  <c r="DE10" i="4"/>
  <c r="DD10" i="4"/>
  <c r="DC10" i="4"/>
  <c r="DB10" i="4"/>
  <c r="DA10" i="4"/>
  <c r="CZ10" i="4"/>
  <c r="CY10" i="4"/>
  <c r="CX10" i="4"/>
  <c r="CW10" i="4"/>
  <c r="CV10" i="4"/>
  <c r="CU10" i="4"/>
  <c r="CT10" i="4"/>
  <c r="CS10" i="4"/>
  <c r="CR10" i="4"/>
  <c r="CQ10" i="4"/>
  <c r="CP10" i="4"/>
  <c r="CO10" i="4"/>
  <c r="CN10" i="4"/>
  <c r="CM10" i="4"/>
  <c r="CL10" i="4"/>
  <c r="CK10" i="4"/>
  <c r="CJ10" i="4"/>
  <c r="CI10" i="4"/>
  <c r="CH10" i="4"/>
  <c r="CG10" i="4"/>
  <c r="CF10" i="4"/>
  <c r="CE10" i="4"/>
  <c r="CD10" i="4"/>
  <c r="CC10" i="4"/>
  <c r="CB10" i="4"/>
  <c r="CA10" i="4"/>
  <c r="BZ10" i="4"/>
  <c r="BY10" i="4"/>
  <c r="BX10" i="4"/>
  <c r="BW10" i="4"/>
  <c r="BV10" i="4"/>
  <c r="BU10" i="4"/>
  <c r="BT10" i="4"/>
  <c r="BS10" i="4"/>
  <c r="BR10" i="4"/>
  <c r="BQ10" i="4"/>
  <c r="BP10" i="4"/>
  <c r="BO10" i="4"/>
  <c r="BN10" i="4"/>
  <c r="BM10" i="4"/>
  <c r="BL10" i="4"/>
  <c r="BK10" i="4"/>
  <c r="BJ10" i="4"/>
  <c r="BI10" i="4"/>
  <c r="BH10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EF9" i="4"/>
  <c r="EE9" i="4"/>
  <c r="ED9" i="4"/>
  <c r="EC9" i="4"/>
  <c r="EB9" i="4"/>
  <c r="EA9" i="4"/>
  <c r="DZ9" i="4"/>
  <c r="DY9" i="4"/>
  <c r="DX9" i="4"/>
  <c r="DW9" i="4"/>
  <c r="DV9" i="4"/>
  <c r="DU9" i="4"/>
  <c r="DT9" i="4"/>
  <c r="DS9" i="4"/>
  <c r="DR9" i="4"/>
  <c r="DQ9" i="4"/>
  <c r="DP9" i="4"/>
  <c r="DO9" i="4"/>
  <c r="DN9" i="4"/>
  <c r="DM9" i="4"/>
  <c r="DL9" i="4"/>
  <c r="DK9" i="4"/>
  <c r="DJ9" i="4"/>
  <c r="DI9" i="4"/>
  <c r="DH9" i="4"/>
  <c r="DG9" i="4"/>
  <c r="DF9" i="4"/>
  <c r="DE9" i="4"/>
  <c r="DD9" i="4"/>
  <c r="DC9" i="4"/>
  <c r="DB9" i="4"/>
  <c r="DA9" i="4"/>
  <c r="CZ9" i="4"/>
  <c r="CY9" i="4"/>
  <c r="CX9" i="4"/>
  <c r="CW9" i="4"/>
  <c r="CV9" i="4"/>
  <c r="CU9" i="4"/>
  <c r="CT9" i="4"/>
  <c r="CS9" i="4"/>
  <c r="CR9" i="4"/>
  <c r="CQ9" i="4"/>
  <c r="CP9" i="4"/>
  <c r="CO9" i="4"/>
  <c r="CN9" i="4"/>
  <c r="CM9" i="4"/>
  <c r="CL9" i="4"/>
  <c r="CK9" i="4"/>
  <c r="CJ9" i="4"/>
  <c r="CI9" i="4"/>
  <c r="CH9" i="4"/>
  <c r="CG9" i="4"/>
  <c r="CF9" i="4"/>
  <c r="CE9" i="4"/>
  <c r="CD9" i="4"/>
  <c r="CC9" i="4"/>
  <c r="CB9" i="4"/>
  <c r="CA9" i="4"/>
  <c r="BZ9" i="4"/>
  <c r="BY9" i="4"/>
  <c r="BX9" i="4"/>
  <c r="BW9" i="4"/>
  <c r="BV9" i="4"/>
  <c r="BU9" i="4"/>
  <c r="BT9" i="4"/>
  <c r="BS9" i="4"/>
  <c r="BR9" i="4"/>
  <c r="BQ9" i="4"/>
  <c r="BP9" i="4"/>
  <c r="BO9" i="4"/>
  <c r="BN9" i="4"/>
  <c r="BM9" i="4"/>
  <c r="BL9" i="4"/>
  <c r="BK9" i="4"/>
  <c r="BJ9" i="4"/>
  <c r="BI9" i="4"/>
  <c r="BH9" i="4"/>
  <c r="BG9" i="4"/>
  <c r="BF9" i="4"/>
  <c r="BE9" i="4"/>
  <c r="BD9" i="4"/>
  <c r="BC9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EF8" i="4"/>
  <c r="EE8" i="4"/>
  <c r="ED8" i="4"/>
  <c r="EC8" i="4"/>
  <c r="EB8" i="4"/>
  <c r="EA8" i="4"/>
  <c r="DZ8" i="4"/>
  <c r="DY8" i="4"/>
  <c r="DX8" i="4"/>
  <c r="DW8" i="4"/>
  <c r="DV8" i="4"/>
  <c r="DU8" i="4"/>
  <c r="DT8" i="4"/>
  <c r="DS8" i="4"/>
  <c r="DR8" i="4"/>
  <c r="DQ8" i="4"/>
  <c r="DP8" i="4"/>
  <c r="DO8" i="4"/>
  <c r="DN8" i="4"/>
  <c r="DM8" i="4"/>
  <c r="DL8" i="4"/>
  <c r="DK8" i="4"/>
  <c r="DJ8" i="4"/>
  <c r="DI8" i="4"/>
  <c r="DH8" i="4"/>
  <c r="DG8" i="4"/>
  <c r="DF8" i="4"/>
  <c r="DE8" i="4"/>
  <c r="DD8" i="4"/>
  <c r="DC8" i="4"/>
  <c r="DB8" i="4"/>
  <c r="DA8" i="4"/>
  <c r="CZ8" i="4"/>
  <c r="CY8" i="4"/>
  <c r="CX8" i="4"/>
  <c r="CW8" i="4"/>
  <c r="CV8" i="4"/>
  <c r="CU8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G8" i="4"/>
  <c r="CF8" i="4"/>
  <c r="CE8" i="4"/>
  <c r="CD8" i="4"/>
  <c r="CC8" i="4"/>
  <c r="CB8" i="4"/>
  <c r="CA8" i="4"/>
  <c r="BZ8" i="4"/>
  <c r="BY8" i="4"/>
  <c r="BX8" i="4"/>
  <c r="BW8" i="4"/>
  <c r="BV8" i="4"/>
  <c r="BU8" i="4"/>
  <c r="BT8" i="4"/>
  <c r="BS8" i="4"/>
  <c r="BR8" i="4"/>
  <c r="BQ8" i="4"/>
  <c r="BP8" i="4"/>
  <c r="BO8" i="4"/>
  <c r="BN8" i="4"/>
  <c r="BM8" i="4"/>
  <c r="BL8" i="4"/>
  <c r="BK8" i="4"/>
  <c r="BJ8" i="4"/>
  <c r="BI8" i="4"/>
  <c r="BH8" i="4"/>
  <c r="BG8" i="4"/>
  <c r="BF8" i="4"/>
  <c r="BE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EF7" i="4"/>
  <c r="EE7" i="4"/>
  <c r="ED7" i="4"/>
  <c r="EC7" i="4"/>
  <c r="EB7" i="4"/>
  <c r="EA7" i="4"/>
  <c r="DZ7" i="4"/>
  <c r="DY7" i="4"/>
  <c r="DX7" i="4"/>
  <c r="DW7" i="4"/>
  <c r="DV7" i="4"/>
  <c r="DU7" i="4"/>
  <c r="DT7" i="4"/>
  <c r="DS7" i="4"/>
  <c r="DR7" i="4"/>
  <c r="DQ7" i="4"/>
  <c r="DP7" i="4"/>
  <c r="DO7" i="4"/>
  <c r="DN7" i="4"/>
  <c r="DM7" i="4"/>
  <c r="DL7" i="4"/>
  <c r="DK7" i="4"/>
  <c r="DJ7" i="4"/>
  <c r="DI7" i="4"/>
  <c r="DH7" i="4"/>
  <c r="DG7" i="4"/>
  <c r="DF7" i="4"/>
  <c r="DE7" i="4"/>
  <c r="DD7" i="4"/>
  <c r="DC7" i="4"/>
  <c r="DB7" i="4"/>
  <c r="DA7" i="4"/>
  <c r="CZ7" i="4"/>
  <c r="CY7" i="4"/>
  <c r="CX7" i="4"/>
  <c r="CW7" i="4"/>
  <c r="CV7" i="4"/>
  <c r="CU7" i="4"/>
  <c r="CT7" i="4"/>
  <c r="CS7" i="4"/>
  <c r="CR7" i="4"/>
  <c r="CQ7" i="4"/>
  <c r="CP7" i="4"/>
  <c r="CO7" i="4"/>
  <c r="CN7" i="4"/>
  <c r="CM7" i="4"/>
  <c r="CL7" i="4"/>
  <c r="CK7" i="4"/>
  <c r="CJ7" i="4"/>
  <c r="CI7" i="4"/>
  <c r="CH7" i="4"/>
  <c r="CG7" i="4"/>
  <c r="CF7" i="4"/>
  <c r="CE7" i="4"/>
  <c r="CD7" i="4"/>
  <c r="CC7" i="4"/>
  <c r="CB7" i="4"/>
  <c r="CA7" i="4"/>
  <c r="BZ7" i="4"/>
  <c r="BY7" i="4"/>
  <c r="BX7" i="4"/>
  <c r="BW7" i="4"/>
  <c r="BV7" i="4"/>
  <c r="BU7" i="4"/>
  <c r="BT7" i="4"/>
  <c r="BS7" i="4"/>
  <c r="BR7" i="4"/>
  <c r="BQ7" i="4"/>
  <c r="BP7" i="4"/>
  <c r="BO7" i="4"/>
  <c r="BN7" i="4"/>
  <c r="BM7" i="4"/>
  <c r="BL7" i="4"/>
  <c r="BK7" i="4"/>
  <c r="BJ7" i="4"/>
  <c r="BI7" i="4"/>
  <c r="BH7" i="4"/>
  <c r="BG7" i="4"/>
  <c r="BF7" i="4"/>
  <c r="BE7" i="4"/>
  <c r="BD7" i="4"/>
  <c r="BC7" i="4"/>
  <c r="BB7" i="4"/>
  <c r="BA7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EF6" i="4"/>
  <c r="EE6" i="4"/>
  <c r="ED6" i="4"/>
  <c r="EC6" i="4"/>
  <c r="EB6" i="4"/>
  <c r="EA6" i="4"/>
  <c r="DZ6" i="4"/>
  <c r="DY6" i="4"/>
  <c r="DX6" i="4"/>
  <c r="DW6" i="4"/>
  <c r="DV6" i="4"/>
  <c r="DU6" i="4"/>
  <c r="DT6" i="4"/>
  <c r="DS6" i="4"/>
  <c r="DR6" i="4"/>
  <c r="DQ6" i="4"/>
  <c r="DP6" i="4"/>
  <c r="DO6" i="4"/>
  <c r="DN6" i="4"/>
  <c r="DM6" i="4"/>
  <c r="DL6" i="4"/>
  <c r="DK6" i="4"/>
  <c r="DJ6" i="4"/>
  <c r="DI6" i="4"/>
  <c r="DH6" i="4"/>
  <c r="DG6" i="4"/>
  <c r="DF6" i="4"/>
  <c r="DE6" i="4"/>
  <c r="DD6" i="4"/>
  <c r="DC6" i="4"/>
  <c r="DB6" i="4"/>
  <c r="DA6" i="4"/>
  <c r="CZ6" i="4"/>
  <c r="CY6" i="4"/>
  <c r="CX6" i="4"/>
  <c r="CW6" i="4"/>
  <c r="CV6" i="4"/>
  <c r="CU6" i="4"/>
  <c r="CT6" i="4"/>
  <c r="CS6" i="4"/>
  <c r="CR6" i="4"/>
  <c r="CQ6" i="4"/>
  <c r="CP6" i="4"/>
  <c r="CO6" i="4"/>
  <c r="CN6" i="4"/>
  <c r="CM6" i="4"/>
  <c r="CL6" i="4"/>
  <c r="CK6" i="4"/>
  <c r="CJ6" i="4"/>
  <c r="CI6" i="4"/>
  <c r="CH6" i="4"/>
  <c r="CG6" i="4"/>
  <c r="CF6" i="4"/>
  <c r="CE6" i="4"/>
  <c r="CD6" i="4"/>
  <c r="CC6" i="4"/>
  <c r="CB6" i="4"/>
  <c r="CA6" i="4"/>
  <c r="BZ6" i="4"/>
  <c r="BY6" i="4"/>
  <c r="BX6" i="4"/>
  <c r="BW6" i="4"/>
  <c r="BV6" i="4"/>
  <c r="BU6" i="4"/>
  <c r="BT6" i="4"/>
  <c r="BS6" i="4"/>
  <c r="BR6" i="4"/>
  <c r="BQ6" i="4"/>
  <c r="BP6" i="4"/>
  <c r="BO6" i="4"/>
  <c r="BN6" i="4"/>
  <c r="BM6" i="4"/>
  <c r="BL6" i="4"/>
  <c r="BK6" i="4"/>
  <c r="BJ6" i="4"/>
  <c r="BI6" i="4"/>
  <c r="BH6" i="4"/>
  <c r="BG6" i="4"/>
  <c r="BF6" i="4"/>
  <c r="BE6" i="4"/>
  <c r="BD6" i="4"/>
  <c r="BC6" i="4"/>
  <c r="BB6" i="4"/>
  <c r="BA6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EF5" i="4"/>
  <c r="EE5" i="4"/>
  <c r="ED5" i="4"/>
  <c r="EC5" i="4"/>
  <c r="EB5" i="4"/>
  <c r="EA5" i="4"/>
  <c r="DZ5" i="4"/>
  <c r="DY5" i="4"/>
  <c r="DX5" i="4"/>
  <c r="DW5" i="4"/>
  <c r="DV5" i="4"/>
  <c r="DU5" i="4"/>
  <c r="DT5" i="4"/>
  <c r="DS5" i="4"/>
  <c r="DR5" i="4"/>
  <c r="DQ5" i="4"/>
  <c r="DP5" i="4"/>
  <c r="DO5" i="4"/>
  <c r="DN5" i="4"/>
  <c r="DM5" i="4"/>
  <c r="DL5" i="4"/>
  <c r="DK5" i="4"/>
  <c r="DJ5" i="4"/>
  <c r="DI5" i="4"/>
  <c r="DH5" i="4"/>
  <c r="DG5" i="4"/>
  <c r="DF5" i="4"/>
  <c r="DE5" i="4"/>
  <c r="DD5" i="4"/>
  <c r="DC5" i="4"/>
  <c r="DB5" i="4"/>
  <c r="DA5" i="4"/>
  <c r="CZ5" i="4"/>
  <c r="CY5" i="4"/>
  <c r="CX5" i="4"/>
  <c r="CW5" i="4"/>
  <c r="CV5" i="4"/>
  <c r="CU5" i="4"/>
  <c r="CT5" i="4"/>
  <c r="CS5" i="4"/>
  <c r="CR5" i="4"/>
  <c r="CQ5" i="4"/>
  <c r="CP5" i="4"/>
  <c r="CO5" i="4"/>
  <c r="CN5" i="4"/>
  <c r="CM5" i="4"/>
  <c r="CL5" i="4"/>
  <c r="CK5" i="4"/>
  <c r="CJ5" i="4"/>
  <c r="CI5" i="4"/>
  <c r="CH5" i="4"/>
  <c r="CG5" i="4"/>
  <c r="CF5" i="4"/>
  <c r="CE5" i="4"/>
  <c r="CD5" i="4"/>
  <c r="CC5" i="4"/>
  <c r="CB5" i="4"/>
  <c r="CA5" i="4"/>
  <c r="BZ5" i="4"/>
  <c r="BY5" i="4"/>
  <c r="BX5" i="4"/>
  <c r="BW5" i="4"/>
  <c r="BV5" i="4"/>
  <c r="BU5" i="4"/>
  <c r="BT5" i="4"/>
  <c r="BS5" i="4"/>
  <c r="BR5" i="4"/>
  <c r="BQ5" i="4"/>
  <c r="BP5" i="4"/>
  <c r="BO5" i="4"/>
  <c r="BN5" i="4"/>
  <c r="BM5" i="4"/>
  <c r="BL5" i="4"/>
  <c r="BK5" i="4"/>
  <c r="BJ5" i="4"/>
  <c r="BI5" i="4"/>
  <c r="BH5" i="4"/>
  <c r="BG5" i="4"/>
  <c r="BF5" i="4"/>
  <c r="BE5" i="4"/>
  <c r="BD5" i="4"/>
  <c r="BC5" i="4"/>
  <c r="BB5" i="4"/>
  <c r="BA5" i="4"/>
  <c r="AZ5" i="4"/>
  <c r="AY5" i="4"/>
  <c r="AX5" i="4"/>
  <c r="AW5" i="4"/>
  <c r="AV5" i="4"/>
  <c r="AU5" i="4"/>
  <c r="AT5" i="4"/>
  <c r="AS5" i="4"/>
  <c r="AR5" i="4"/>
  <c r="AQ5" i="4"/>
  <c r="AP5" i="4"/>
  <c r="AO5" i="4"/>
  <c r="AN5" i="4"/>
  <c r="AM5" i="4"/>
  <c r="AL5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EF10" i="2"/>
  <c r="N10" i="2"/>
  <c r="M10" i="2"/>
  <c r="L10" i="2"/>
  <c r="K10" i="2"/>
  <c r="J10" i="2"/>
  <c r="I10" i="2"/>
  <c r="H10" i="2"/>
  <c r="G10" i="2"/>
  <c r="F10" i="2"/>
  <c r="E10" i="2"/>
  <c r="D10" i="2"/>
  <c r="C10" i="2"/>
  <c r="EF9" i="2"/>
  <c r="N9" i="2"/>
  <c r="M9" i="2"/>
  <c r="L9" i="2"/>
  <c r="K9" i="2"/>
  <c r="J9" i="2"/>
  <c r="I9" i="2"/>
  <c r="H9" i="2"/>
  <c r="G9" i="2"/>
  <c r="F9" i="2"/>
  <c r="E9" i="2"/>
  <c r="D9" i="2"/>
  <c r="C9" i="2"/>
  <c r="EE8" i="2" a="1"/>
  <c r="EE8" i="2" s="1"/>
  <c r="ED8" i="2" a="1"/>
  <c r="ED8" i="2" s="1"/>
  <c r="EC8" i="2" a="1"/>
  <c r="EC8" i="2" s="1"/>
  <c r="EB8" i="2" a="1"/>
  <c r="EB8" i="2" s="1"/>
  <c r="EA8" i="2" a="1"/>
  <c r="EA8" i="2" s="1"/>
  <c r="DZ8" i="2" a="1"/>
  <c r="DZ8" i="2" s="1"/>
  <c r="DY8" i="2" a="1"/>
  <c r="DY8" i="2" s="1"/>
  <c r="DX8" i="2" a="1"/>
  <c r="DX8" i="2" s="1"/>
  <c r="DW8" i="2" a="1"/>
  <c r="DW8" i="2" s="1"/>
  <c r="DV8" i="2" a="1"/>
  <c r="DV8" i="2" s="1"/>
  <c r="DU8" i="2" a="1"/>
  <c r="DU8" i="2" s="1"/>
  <c r="DT8" i="2" a="1"/>
  <c r="DT8" i="2" s="1"/>
  <c r="DS8" i="2" a="1"/>
  <c r="DS8" i="2"/>
  <c r="DR8" i="2" a="1"/>
  <c r="DR8" i="2" s="1"/>
  <c r="DQ8" i="2" a="1"/>
  <c r="DQ8" i="2" s="1"/>
  <c r="DP8" i="2" a="1"/>
  <c r="DP8" i="2" s="1"/>
  <c r="DO8" i="2" a="1"/>
  <c r="DO8" i="2" s="1"/>
  <c r="DN8" i="2" a="1"/>
  <c r="DN8" i="2" s="1"/>
  <c r="DM8" i="2" a="1"/>
  <c r="DM8" i="2" s="1"/>
  <c r="DL8" i="2" a="1"/>
  <c r="DL8" i="2" s="1"/>
  <c r="DK8" i="2" a="1"/>
  <c r="DK8" i="2" s="1"/>
  <c r="DJ8" i="2" a="1"/>
  <c r="DJ8" i="2" s="1"/>
  <c r="DI8" i="2" a="1"/>
  <c r="DI8" i="2" s="1"/>
  <c r="DH8" i="2" a="1"/>
  <c r="DH8" i="2" s="1"/>
  <c r="DG8" i="2" a="1"/>
  <c r="DG8" i="2" s="1"/>
  <c r="DF8" i="2" a="1"/>
  <c r="DF8" i="2" s="1"/>
  <c r="DE8" i="2" a="1"/>
  <c r="DE8" i="2" s="1"/>
  <c r="DD8" i="2" a="1"/>
  <c r="DD8" i="2" s="1"/>
  <c r="DC8" i="2" a="1"/>
  <c r="DC8" i="2" s="1"/>
  <c r="DB8" i="2" a="1"/>
  <c r="DB8" i="2" s="1"/>
  <c r="DA8" i="2" a="1"/>
  <c r="DA8" i="2" s="1"/>
  <c r="CZ8" i="2" a="1"/>
  <c r="CZ8" i="2"/>
  <c r="CY8" i="2" a="1"/>
  <c r="CY8" i="2" s="1"/>
  <c r="CX8" i="2" a="1"/>
  <c r="CX8" i="2" s="1"/>
  <c r="CW8" i="2" a="1"/>
  <c r="CW8" i="2" s="1"/>
  <c r="CV8" i="2" a="1"/>
  <c r="CV8" i="2" s="1"/>
  <c r="CU8" i="2" a="1"/>
  <c r="CU8" i="2" s="1"/>
  <c r="CT8" i="2" a="1"/>
  <c r="CT8" i="2" s="1"/>
  <c r="CS8" i="2" a="1"/>
  <c r="CS8" i="2" s="1"/>
  <c r="CR8" i="2" a="1"/>
  <c r="CR8" i="2" s="1"/>
  <c r="CQ8" i="2" a="1"/>
  <c r="CQ8" i="2"/>
  <c r="CP8" i="2" a="1"/>
  <c r="CP8" i="2" s="1"/>
  <c r="CO8" i="2" a="1"/>
  <c r="CO8" i="2" s="1"/>
  <c r="CN8" i="2" a="1"/>
  <c r="CN8" i="2" s="1"/>
  <c r="CM8" i="2" a="1"/>
  <c r="CM8" i="2" s="1"/>
  <c r="CL8" i="2" a="1"/>
  <c r="CL8" i="2" s="1"/>
  <c r="CK8" i="2" a="1"/>
  <c r="CK8" i="2" s="1"/>
  <c r="CJ8" i="2" a="1"/>
  <c r="CJ8" i="2" s="1"/>
  <c r="CI8" i="2" a="1"/>
  <c r="CI8" i="2" s="1"/>
  <c r="CH8" i="2" a="1"/>
  <c r="CH8" i="2" s="1"/>
  <c r="CG8" i="2" a="1"/>
  <c r="CG8" i="2" s="1"/>
  <c r="CF8" i="2" a="1"/>
  <c r="CF8" i="2"/>
  <c r="CE8" i="2" a="1"/>
  <c r="CE8" i="2" s="1"/>
  <c r="CD8" i="2" a="1"/>
  <c r="CD8" i="2" s="1"/>
  <c r="CC8" i="2" a="1"/>
  <c r="CC8" i="2" s="1"/>
  <c r="CB8" i="2" a="1"/>
  <c r="CB8" i="2" s="1"/>
  <c r="CA8" i="2" a="1"/>
  <c r="CA8" i="2" s="1"/>
  <c r="BZ8" i="2" a="1"/>
  <c r="BZ8" i="2" s="1"/>
  <c r="BY8" i="2" a="1"/>
  <c r="BY8" i="2" s="1"/>
  <c r="BX8" i="2" a="1"/>
  <c r="BX8" i="2" s="1"/>
  <c r="BW8" i="2" a="1"/>
  <c r="BW8" i="2"/>
  <c r="BV8" i="2" a="1"/>
  <c r="BV8" i="2" s="1"/>
  <c r="BU8" i="2" a="1"/>
  <c r="BU8" i="2" s="1"/>
  <c r="BT8" i="2" a="1"/>
  <c r="BT8" i="2" s="1"/>
  <c r="BS8" i="2" a="1"/>
  <c r="BS8" i="2" s="1"/>
  <c r="BR8" i="2" a="1"/>
  <c r="BR8" i="2" s="1"/>
  <c r="BQ8" i="2" a="1"/>
  <c r="BQ8" i="2" s="1"/>
  <c r="BP8" i="2" a="1"/>
  <c r="BP8" i="2" s="1"/>
  <c r="BO8" i="2" a="1"/>
  <c r="BO8" i="2" s="1"/>
  <c r="BN8" i="2" a="1"/>
  <c r="BN8" i="2"/>
  <c r="BM8" i="2" a="1"/>
  <c r="BM8" i="2" s="1"/>
  <c r="BL8" i="2" a="1"/>
  <c r="BL8" i="2"/>
  <c r="BK8" i="2" a="1"/>
  <c r="BK8" i="2" s="1"/>
  <c r="BJ8" i="2" a="1"/>
  <c r="BJ8" i="2" s="1"/>
  <c r="BI8" i="2" a="1"/>
  <c r="BI8" i="2" s="1"/>
  <c r="BH8" i="2" a="1"/>
  <c r="BH8" i="2" s="1"/>
  <c r="BG8" i="2" a="1"/>
  <c r="BG8" i="2" s="1"/>
  <c r="BF8" i="2" a="1"/>
  <c r="BF8" i="2" s="1"/>
  <c r="BE8" i="2" a="1"/>
  <c r="BE8" i="2" s="1"/>
  <c r="BD8" i="2" a="1"/>
  <c r="BD8" i="2" s="1"/>
  <c r="BC8" i="2" a="1"/>
  <c r="BC8" i="2"/>
  <c r="BB8" i="2" a="1"/>
  <c r="BB8" i="2" s="1"/>
  <c r="BA8" i="2" a="1"/>
  <c r="BA8" i="2" s="1"/>
  <c r="AZ8" i="2" a="1"/>
  <c r="AZ8" i="2" s="1"/>
  <c r="AY8" i="2" a="1"/>
  <c r="AY8" i="2" s="1"/>
  <c r="AX8" i="2" a="1"/>
  <c r="AX8" i="2" s="1"/>
  <c r="AW8" i="2" a="1"/>
  <c r="AW8" i="2" s="1"/>
  <c r="AV8" i="2" a="1"/>
  <c r="AV8" i="2" s="1"/>
  <c r="AU8" i="2" a="1"/>
  <c r="AU8" i="2" s="1"/>
  <c r="AT8" i="2" a="1"/>
  <c r="AT8" i="2" s="1"/>
  <c r="AS8" i="2" a="1"/>
  <c r="AS8" i="2" s="1"/>
  <c r="AR8" i="2" a="1"/>
  <c r="AR8" i="2" s="1"/>
  <c r="AQ8" i="2" a="1"/>
  <c r="AQ8" i="2" s="1"/>
  <c r="AP8" i="2" a="1"/>
  <c r="AP8" i="2"/>
  <c r="AO8" i="2" a="1"/>
  <c r="AO8" i="2" s="1"/>
  <c r="AN8" i="2" a="1"/>
  <c r="AN8" i="2" s="1"/>
  <c r="AM8" i="2" a="1"/>
  <c r="AM8" i="2" s="1"/>
  <c r="AL8" i="2" a="1"/>
  <c r="AL8" i="2" s="1"/>
  <c r="AK8" i="2" a="1"/>
  <c r="AK8" i="2" s="1"/>
  <c r="AJ8" i="2" a="1"/>
  <c r="AJ8" i="2" s="1"/>
  <c r="AI8" i="2" a="1"/>
  <c r="AI8" i="2" s="1"/>
  <c r="AH8" i="2" a="1"/>
  <c r="AH8" i="2" s="1"/>
  <c r="AG8" i="2" a="1"/>
  <c r="AG8" i="2" s="1"/>
  <c r="AF8" i="2" a="1"/>
  <c r="AF8" i="2" s="1"/>
  <c r="AE8" i="2" a="1"/>
  <c r="AE8" i="2" s="1"/>
  <c r="AD8" i="2" a="1"/>
  <c r="AD8" i="2" s="1"/>
  <c r="AC8" i="2" a="1"/>
  <c r="AC8" i="2"/>
  <c r="AB8" i="2" a="1"/>
  <c r="AB8" i="2" s="1"/>
  <c r="AA8" i="2" a="1"/>
  <c r="AA8" i="2" s="1"/>
  <c r="Z8" i="2" a="1"/>
  <c r="Z8" i="2" s="1"/>
  <c r="Y8" i="2" a="1"/>
  <c r="Y8" i="2" s="1"/>
  <c r="X8" i="2" a="1"/>
  <c r="X8" i="2" s="1"/>
  <c r="W8" i="2" a="1"/>
  <c r="W8" i="2" s="1"/>
  <c r="V8" i="2" a="1"/>
  <c r="V8" i="2" s="1"/>
  <c r="U8" i="2" a="1"/>
  <c r="U8" i="2" s="1"/>
  <c r="T8" i="2" a="1"/>
  <c r="T8" i="2"/>
  <c r="S8" i="2" a="1"/>
  <c r="S8" i="2" s="1"/>
  <c r="R8" i="2" a="1"/>
  <c r="R8" i="2" s="1"/>
  <c r="Q8" i="2" a="1"/>
  <c r="Q8" i="2" s="1"/>
  <c r="P8" i="2" a="1"/>
  <c r="P8" i="2" s="1"/>
  <c r="O8" i="2" a="1"/>
  <c r="O8" i="2" s="1"/>
  <c r="N8" i="2" a="1"/>
  <c r="N8" i="2"/>
  <c r="M8" i="2" a="1"/>
  <c r="M8" i="2"/>
  <c r="L8" i="2" a="1"/>
  <c r="L8" i="2"/>
  <c r="K8" i="2" a="1"/>
  <c r="K8" i="2"/>
  <c r="J8" i="2" a="1"/>
  <c r="J8" i="2"/>
  <c r="I8" i="2" a="1"/>
  <c r="I8" i="2"/>
  <c r="H8" i="2" a="1"/>
  <c r="H8" i="2"/>
  <c r="G8" i="2" a="1"/>
  <c r="G8" i="2"/>
  <c r="F8" i="2" a="1"/>
  <c r="F8" i="2"/>
  <c r="E8" i="2" a="1"/>
  <c r="E8" i="2"/>
  <c r="D8" i="2" a="1"/>
  <c r="D8" i="2"/>
  <c r="C8" i="2" a="1"/>
  <c r="C8" i="2"/>
  <c r="B33" i="11" l="1"/>
  <c r="EI15" i="9"/>
  <c r="EI25" i="9"/>
  <c r="EI22" i="9"/>
  <c r="EI18" i="9"/>
  <c r="EI19" i="9"/>
  <c r="EI17" i="9"/>
  <c r="EI21" i="9"/>
  <c r="EI14" i="9"/>
  <c r="CL18" i="8"/>
  <c r="AB18" i="8"/>
  <c r="EG17" i="4"/>
  <c r="EH17" i="4"/>
  <c r="EH16" i="4"/>
  <c r="EG16" i="4"/>
  <c r="EG15" i="4"/>
  <c r="EH15" i="4"/>
  <c r="EG14" i="4"/>
  <c r="EH14" i="4"/>
  <c r="EH13" i="4"/>
  <c r="EG13" i="4"/>
  <c r="EH12" i="4"/>
  <c r="EG12" i="4"/>
  <c r="EH11" i="4"/>
  <c r="EG11" i="4"/>
  <c r="EH10" i="4"/>
  <c r="EG10" i="4"/>
  <c r="EG9" i="4"/>
  <c r="EH9" i="4"/>
  <c r="EH8" i="4"/>
  <c r="EG8" i="4"/>
  <c r="EH7" i="4"/>
  <c r="EG7" i="4"/>
  <c r="EH6" i="4"/>
  <c r="EG6" i="4"/>
  <c r="EH5" i="4"/>
  <c r="EG5" i="4"/>
  <c r="EE9" i="2"/>
  <c r="EE10" i="2"/>
  <c r="ED9" i="2"/>
  <c r="ED10" i="2"/>
  <c r="EC9" i="2"/>
  <c r="EC10" i="2"/>
  <c r="EB10" i="2"/>
  <c r="EB9" i="2"/>
  <c r="EA10" i="2"/>
  <c r="EA9" i="2"/>
  <c r="DZ10" i="2"/>
  <c r="DZ9" i="2"/>
  <c r="DY10" i="2"/>
  <c r="DY9" i="2"/>
  <c r="DX10" i="2"/>
  <c r="DX9" i="2"/>
  <c r="DW10" i="2"/>
  <c r="DW9" i="2"/>
  <c r="DV10" i="2"/>
  <c r="DV9" i="2"/>
  <c r="DU9" i="2"/>
  <c r="DU10" i="2"/>
  <c r="DT9" i="2"/>
  <c r="DT10" i="2"/>
  <c r="DS10" i="2"/>
  <c r="DS9" i="2"/>
  <c r="DR10" i="2"/>
  <c r="DR9" i="2"/>
  <c r="DQ10" i="2"/>
  <c r="DQ9" i="2"/>
  <c r="DP10" i="2"/>
  <c r="DP9" i="2"/>
  <c r="DO10" i="2"/>
  <c r="DO9" i="2"/>
  <c r="DN9" i="2"/>
  <c r="DN10" i="2"/>
  <c r="DM9" i="2"/>
  <c r="DM10" i="2"/>
  <c r="DL9" i="2"/>
  <c r="DL10" i="2"/>
  <c r="DK9" i="2"/>
  <c r="DK10" i="2"/>
  <c r="DJ9" i="2"/>
  <c r="DJ10" i="2"/>
  <c r="DI9" i="2"/>
  <c r="DI10" i="2"/>
  <c r="DH9" i="2"/>
  <c r="DH10" i="2"/>
  <c r="DG9" i="2"/>
  <c r="DG10" i="2"/>
  <c r="DF9" i="2"/>
  <c r="DF10" i="2"/>
  <c r="DE9" i="2"/>
  <c r="DE10" i="2"/>
  <c r="DD9" i="2"/>
  <c r="DD10" i="2"/>
  <c r="DC9" i="2"/>
  <c r="DC10" i="2"/>
  <c r="DB9" i="2"/>
  <c r="DB10" i="2"/>
  <c r="DA9" i="2"/>
  <c r="DA10" i="2"/>
  <c r="CZ9" i="2"/>
  <c r="CZ10" i="2"/>
  <c r="CY9" i="2"/>
  <c r="CY10" i="2"/>
  <c r="CX9" i="2"/>
  <c r="CX10" i="2"/>
  <c r="CW9" i="2"/>
  <c r="CW10" i="2"/>
  <c r="CV9" i="2"/>
  <c r="CV10" i="2"/>
  <c r="CU9" i="2"/>
  <c r="CU10" i="2"/>
  <c r="CT9" i="2"/>
  <c r="CT10" i="2"/>
  <c r="CS9" i="2"/>
  <c r="CS10" i="2"/>
  <c r="CR9" i="2"/>
  <c r="CR10" i="2"/>
  <c r="CQ9" i="2"/>
  <c r="CQ10" i="2"/>
  <c r="CP9" i="2"/>
  <c r="CP10" i="2"/>
  <c r="CO9" i="2"/>
  <c r="CO10" i="2"/>
  <c r="CN9" i="2"/>
  <c r="CN10" i="2"/>
  <c r="CM9" i="2"/>
  <c r="CM10" i="2"/>
  <c r="CL9" i="2"/>
  <c r="CL10" i="2"/>
  <c r="CK9" i="2"/>
  <c r="CK10" i="2"/>
  <c r="CJ9" i="2"/>
  <c r="CJ10" i="2"/>
  <c r="CI9" i="2"/>
  <c r="CI10" i="2"/>
  <c r="CH9" i="2"/>
  <c r="CH10" i="2"/>
  <c r="CG9" i="2"/>
  <c r="CG10" i="2"/>
  <c r="CF10" i="2"/>
  <c r="CF9" i="2"/>
  <c r="CE9" i="2"/>
  <c r="CE10" i="2"/>
  <c r="CD9" i="2"/>
  <c r="CD10" i="2"/>
  <c r="CC9" i="2"/>
  <c r="CC10" i="2"/>
  <c r="CB10" i="2"/>
  <c r="CB9" i="2"/>
  <c r="CA10" i="2"/>
  <c r="CA9" i="2"/>
  <c r="BZ10" i="2"/>
  <c r="BZ9" i="2"/>
  <c r="BY10" i="2"/>
  <c r="BY9" i="2"/>
  <c r="BX10" i="2"/>
  <c r="BX9" i="2"/>
  <c r="BW10" i="2"/>
  <c r="BW9" i="2"/>
  <c r="BV9" i="2"/>
  <c r="BV10" i="2"/>
  <c r="BU9" i="2"/>
  <c r="BU10" i="2"/>
  <c r="BT9" i="2"/>
  <c r="BT10" i="2"/>
  <c r="BS9" i="2"/>
  <c r="BS10" i="2"/>
  <c r="BR9" i="2"/>
  <c r="BR10" i="2"/>
  <c r="BQ9" i="2"/>
  <c r="BQ10" i="2"/>
  <c r="BP9" i="2"/>
  <c r="BP10" i="2"/>
  <c r="BO9" i="2"/>
  <c r="BO10" i="2"/>
  <c r="BN9" i="2"/>
  <c r="BN10" i="2"/>
  <c r="BM9" i="2"/>
  <c r="BM10" i="2"/>
  <c r="BL9" i="2"/>
  <c r="BL10" i="2"/>
  <c r="BK9" i="2"/>
  <c r="BK10" i="2"/>
  <c r="BJ9" i="2"/>
  <c r="BJ10" i="2"/>
  <c r="BI10" i="2"/>
  <c r="BI9" i="2"/>
  <c r="BH10" i="2"/>
  <c r="BH9" i="2"/>
  <c r="BG10" i="2"/>
  <c r="BG9" i="2"/>
  <c r="BF10" i="2"/>
  <c r="BF9" i="2"/>
  <c r="BE10" i="2"/>
  <c r="BE9" i="2"/>
  <c r="BD10" i="2"/>
  <c r="BD9" i="2"/>
  <c r="BC10" i="2"/>
  <c r="BC9" i="2"/>
  <c r="BB10" i="2"/>
  <c r="BB9" i="2"/>
  <c r="BA10" i="2"/>
  <c r="BA9" i="2"/>
  <c r="AZ10" i="2"/>
  <c r="AZ9" i="2"/>
  <c r="AY10" i="2"/>
  <c r="AY9" i="2"/>
  <c r="AX10" i="2"/>
  <c r="AX9" i="2"/>
  <c r="AW10" i="2"/>
  <c r="AW9" i="2"/>
  <c r="AV10" i="2"/>
  <c r="AV9" i="2"/>
  <c r="AU10" i="2"/>
  <c r="AU9" i="2"/>
  <c r="AT9" i="2"/>
  <c r="AT10" i="2"/>
  <c r="AS9" i="2"/>
  <c r="AS10" i="2"/>
  <c r="AR9" i="2"/>
  <c r="AR10" i="2"/>
  <c r="AQ10" i="2"/>
  <c r="AQ9" i="2"/>
  <c r="AP9" i="2"/>
  <c r="AP10" i="2"/>
  <c r="AO9" i="2"/>
  <c r="AO10" i="2"/>
  <c r="AN9" i="2"/>
  <c r="AN10" i="2"/>
  <c r="AM10" i="2"/>
  <c r="AM9" i="2"/>
  <c r="AL10" i="2"/>
  <c r="AL9" i="2"/>
  <c r="AK9" i="2"/>
  <c r="AK10" i="2"/>
  <c r="AJ9" i="2"/>
  <c r="AJ10" i="2"/>
  <c r="AI9" i="2"/>
  <c r="AI10" i="2"/>
  <c r="AH9" i="2"/>
  <c r="AH10" i="2"/>
  <c r="AG9" i="2"/>
  <c r="AG10" i="2"/>
  <c r="AF10" i="2"/>
  <c r="AF9" i="2"/>
  <c r="AE10" i="2"/>
  <c r="AE9" i="2"/>
  <c r="AD9" i="2"/>
  <c r="AD10" i="2"/>
  <c r="AC9" i="2"/>
  <c r="AC10" i="2"/>
  <c r="AB9" i="2"/>
  <c r="AB10" i="2"/>
  <c r="AA9" i="2"/>
  <c r="AA10" i="2"/>
  <c r="Z9" i="2"/>
  <c r="Z10" i="2"/>
  <c r="Y10" i="2"/>
  <c r="Y9" i="2"/>
  <c r="X10" i="2"/>
  <c r="X9" i="2"/>
  <c r="W10" i="2"/>
  <c r="W9" i="2"/>
  <c r="V10" i="2"/>
  <c r="V9" i="2"/>
  <c r="U10" i="2"/>
  <c r="U9" i="2"/>
  <c r="T9" i="2"/>
  <c r="T10" i="2"/>
  <c r="S9" i="2"/>
  <c r="S10" i="2"/>
  <c r="R9" i="2"/>
  <c r="R10" i="2"/>
  <c r="Q9" i="2"/>
  <c r="Q10" i="2"/>
  <c r="P9" i="2"/>
  <c r="P10" i="2"/>
  <c r="O9" i="2"/>
  <c r="O10" i="2"/>
</calcChain>
</file>

<file path=xl/sharedStrings.xml><?xml version="1.0" encoding="utf-8"?>
<sst xmlns="http://schemas.openxmlformats.org/spreadsheetml/2006/main" count="1937" uniqueCount="306">
  <si>
    <t>Real</t>
  </si>
  <si>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</si>
  <si>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</si>
  <si>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</si>
  <si>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</si>
  <si>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</si>
  <si>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</si>
  <si>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</si>
  <si>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</si>
  <si>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</si>
  <si>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</si>
  <si>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</si>
  <si>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</si>
  <si>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</si>
  <si>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</si>
  <si>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</si>
  <si>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</si>
  <si>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</si>
  <si>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</si>
  <si>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</si>
  <si>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</si>
  <si>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</si>
  <si>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</si>
  <si>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</si>
  <si>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</si>
  <si>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</si>
  <si>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</si>
  <si>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</si>
  <si>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</si>
  <si>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</si>
  <si>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</si>
  <si>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</si>
  <si>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</si>
  <si>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</si>
  <si>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</si>
  <si>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</si>
  <si>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</si>
  <si>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</si>
  <si>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</si>
  <si>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</si>
  <si>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</si>
  <si>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</si>
  <si>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</si>
  <si>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</si>
  <si>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</si>
  <si>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</si>
  <si>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</si>
  <si>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</si>
  <si>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</si>
  <si>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</si>
  <si>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</si>
  <si>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</si>
  <si>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</si>
  <si>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</si>
  <si>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</si>
  <si>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</si>
  <si>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</si>
  <si>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</si>
  <si>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</si>
  <si>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</si>
  <si>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</si>
  <si>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</si>
  <si>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</si>
  <si>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</si>
  <si>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</si>
  <si>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</si>
  <si>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</si>
  <si>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</si>
  <si>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</si>
  <si>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</si>
  <si>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</si>
  <si>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</si>
  <si>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</si>
  <si>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</si>
  <si>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</si>
  <si>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</si>
  <si>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</si>
  <si>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</si>
  <si>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</si>
  <si>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</si>
  <si>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</si>
  <si>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</si>
  <si>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</si>
  <si>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</si>
  <si>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</si>
  <si>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</si>
  <si>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</si>
  <si>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</si>
  <si>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</si>
  <si>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</si>
  <si>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</si>
  <si>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</si>
  <si>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</si>
  <si>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</si>
  <si>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</si>
  <si>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</si>
  <si>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</si>
  <si>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</si>
  <si>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</si>
  <si>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</si>
  <si>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</si>
  <si>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</si>
  <si>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</si>
  <si>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</si>
  <si>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</si>
  <si>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</si>
  <si>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</si>
  <si>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</si>
  <si>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</si>
  <si>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</si>
  <si>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</si>
  <si>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</si>
  <si>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</si>
  <si>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</si>
  <si>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</si>
  <si>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</si>
  <si>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</si>
  <si>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</si>
  <si>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</si>
  <si>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</si>
  <si>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</si>
  <si>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</si>
  <si>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</si>
  <si>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</si>
  <si>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</si>
  <si>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</si>
  <si>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</si>
  <si>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</si>
  <si>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</si>
  <si>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</si>
  <si>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</si>
  <si>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</si>
  <si>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</si>
  <si>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</si>
  <si>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</si>
  <si>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</si>
  <si>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mom1</t>
  </si>
  <si>
    <t>mom12</t>
  </si>
  <si>
    <t>chmom</t>
  </si>
  <si>
    <t>retvol</t>
  </si>
  <si>
    <t>maxret</t>
  </si>
  <si>
    <t>選絕對值最大</t>
  </si>
  <si>
    <t>投資組合</t>
  </si>
  <si>
    <t>公司數</t>
  </si>
  <si>
    <t>等分</t>
  </si>
  <si>
    <t>家數</t>
  </si>
  <si>
    <t>2025/02</t>
  </si>
  <si>
    <t>大盤</t>
  </si>
  <si>
    <t>TWⅡ</t>
  </si>
  <si>
    <t>台泥</t>
  </si>
  <si>
    <t>希華</t>
  </si>
  <si>
    <t>天仁</t>
  </si>
  <si>
    <t>京城</t>
  </si>
  <si>
    <t>志信</t>
  </si>
  <si>
    <t>瑞昱</t>
  </si>
  <si>
    <t>寶徠</t>
  </si>
  <si>
    <t>基泰</t>
  </si>
  <si>
    <t>威健</t>
  </si>
  <si>
    <t>群光</t>
  </si>
  <si>
    <t>憶聲</t>
  </si>
  <si>
    <t>中石化</t>
  </si>
  <si>
    <t>工信</t>
  </si>
  <si>
    <t>達欣工</t>
  </si>
  <si>
    <t>凱衛</t>
  </si>
  <si>
    <t>松翰</t>
  </si>
  <si>
    <t>燁輝</t>
  </si>
  <si>
    <t>奇鋐</t>
  </si>
  <si>
    <t>得力</t>
  </si>
  <si>
    <t>創見</t>
  </si>
  <si>
    <t>飛寶企業</t>
  </si>
  <si>
    <t>新普</t>
  </si>
  <si>
    <t>三圓</t>
  </si>
  <si>
    <t>豐謙</t>
  </si>
  <si>
    <t>華友聯</t>
  </si>
  <si>
    <t>光罩</t>
  </si>
  <si>
    <t>凌網</t>
  </si>
  <si>
    <t>新潤</t>
  </si>
  <si>
    <t>均豪</t>
  </si>
  <si>
    <t>力特</t>
  </si>
  <si>
    <t>聯上發</t>
  </si>
  <si>
    <t>漢平</t>
  </si>
  <si>
    <t>巨路</t>
  </si>
  <si>
    <t>北基</t>
  </si>
  <si>
    <t>上福</t>
  </si>
  <si>
    <t>歐格</t>
  </si>
  <si>
    <t>三星</t>
  </si>
  <si>
    <t>加捷生醫</t>
  </si>
  <si>
    <t>福華</t>
  </si>
  <si>
    <t>臺鹽</t>
  </si>
  <si>
    <t>立康</t>
  </si>
  <si>
    <t>廣積</t>
  </si>
  <si>
    <t>郡都開發</t>
  </si>
  <si>
    <t>嘉晶</t>
  </si>
  <si>
    <t>神基</t>
  </si>
  <si>
    <t>揚博</t>
  </si>
  <si>
    <t>固緯</t>
  </si>
  <si>
    <t>杏輝</t>
  </si>
  <si>
    <t>桂盟</t>
  </si>
  <si>
    <t>寶成</t>
  </si>
  <si>
    <t>陞泰</t>
  </si>
  <si>
    <t>美好證</t>
  </si>
  <si>
    <t>昱捷</t>
  </si>
  <si>
    <t>統懋</t>
  </si>
  <si>
    <t>大展證</t>
  </si>
  <si>
    <t>台半</t>
  </si>
  <si>
    <t>沛亨</t>
  </si>
  <si>
    <t>新光鋼</t>
  </si>
  <si>
    <t>鉅橡</t>
  </si>
  <si>
    <t>皇田</t>
  </si>
  <si>
    <t>倚強科</t>
  </si>
  <si>
    <t>廣宇</t>
  </si>
  <si>
    <t>瑞軒</t>
  </si>
  <si>
    <t>南紡</t>
  </si>
  <si>
    <t>偉詮電</t>
  </si>
  <si>
    <t>年興</t>
  </si>
  <si>
    <t>新門</t>
  </si>
  <si>
    <t>江興鍛</t>
  </si>
  <si>
    <t>宏璟</t>
  </si>
  <si>
    <t>中鋼</t>
  </si>
  <si>
    <t>聚亨</t>
  </si>
  <si>
    <t>榮運</t>
  </si>
  <si>
    <t>櫻花建</t>
  </si>
  <si>
    <t>光洋科</t>
  </si>
  <si>
    <t>華祺</t>
  </si>
  <si>
    <t>銘異</t>
  </si>
  <si>
    <t>佳總</t>
  </si>
  <si>
    <t>啟碁</t>
  </si>
  <si>
    <t>國產</t>
  </si>
  <si>
    <t>中華食</t>
  </si>
  <si>
    <t>正文</t>
  </si>
  <si>
    <t>來思達</t>
  </si>
  <si>
    <t>南良</t>
  </si>
  <si>
    <t>霖宏</t>
  </si>
  <si>
    <t>久正</t>
  </si>
  <si>
    <t>至上</t>
  </si>
  <si>
    <t>精金</t>
  </si>
  <si>
    <t>Predict</t>
  </si>
  <si>
    <t>SUM</t>
  </si>
  <si>
    <t>勝率</t>
  </si>
  <si>
    <t>時間</t>
  </si>
  <si>
    <t>10等分</t>
  </si>
  <si>
    <t>20等分</t>
  </si>
  <si>
    <t>50等分</t>
  </si>
  <si>
    <t>100等分</t>
  </si>
  <si>
    <t>107等分</t>
  </si>
  <si>
    <t>120等分</t>
  </si>
  <si>
    <t>137等分</t>
  </si>
  <si>
    <t>160等分</t>
  </si>
  <si>
    <t>192等分</t>
  </si>
  <si>
    <t>241等分</t>
  </si>
  <si>
    <t>321等分</t>
  </si>
  <si>
    <t>482等分</t>
  </si>
  <si>
    <t>964等分</t>
  </si>
  <si>
    <t>平均值</t>
  </si>
  <si>
    <t>標準差</t>
  </si>
  <si>
    <t>夏普比率</t>
  </si>
  <si>
    <t>(預測-真實)^2</t>
  </si>
  <si>
    <t>真實^2</t>
  </si>
  <si>
    <t>Date</t>
    <phoneticPr fontId="2" type="noConversion"/>
  </si>
  <si>
    <t>…...</t>
    <phoneticPr fontId="2" type="noConversion"/>
  </si>
  <si>
    <t>Top 
Quantile</t>
    <phoneticPr fontId="2" type="noConversion"/>
  </si>
  <si>
    <t>Bottom
Quantile</t>
    <phoneticPr fontId="2" type="noConversion"/>
  </si>
  <si>
    <r>
      <rPr>
        <sz val="12"/>
        <color theme="1"/>
        <rFont val="新細明體"/>
        <family val="2"/>
        <charset val="136"/>
      </rPr>
      <t>台泥</t>
    </r>
  </si>
  <si>
    <r>
      <rPr>
        <sz val="12"/>
        <color theme="1"/>
        <rFont val="新細明體"/>
        <family val="2"/>
        <charset val="136"/>
      </rPr>
      <t>希華</t>
    </r>
  </si>
  <si>
    <r>
      <rPr>
        <sz val="12"/>
        <color theme="1"/>
        <rFont val="新細明體"/>
        <family val="2"/>
        <charset val="136"/>
      </rPr>
      <t>天仁</t>
    </r>
  </si>
  <si>
    <r>
      <rPr>
        <sz val="12"/>
        <color theme="1"/>
        <rFont val="新細明體"/>
        <family val="2"/>
        <charset val="136"/>
      </rPr>
      <t>京城</t>
    </r>
  </si>
  <si>
    <r>
      <rPr>
        <sz val="12"/>
        <color theme="1"/>
        <rFont val="新細明體"/>
        <family val="2"/>
        <charset val="136"/>
      </rPr>
      <t>瑞昱</t>
    </r>
  </si>
  <si>
    <r>
      <rPr>
        <sz val="12"/>
        <color theme="1"/>
        <rFont val="新細明體"/>
        <family val="2"/>
        <charset val="136"/>
      </rPr>
      <t>皇田</t>
    </r>
  </si>
  <si>
    <r>
      <rPr>
        <sz val="12"/>
        <color theme="1"/>
        <rFont val="新細明體"/>
        <family val="2"/>
        <charset val="136"/>
      </rPr>
      <t>倚強科</t>
    </r>
  </si>
  <si>
    <r>
      <rPr>
        <sz val="12"/>
        <color theme="1"/>
        <rFont val="新細明體"/>
        <family val="2"/>
        <charset val="136"/>
      </rPr>
      <t>廣宇</t>
    </r>
  </si>
  <si>
    <r>
      <rPr>
        <sz val="12"/>
        <color theme="1"/>
        <rFont val="新細明體"/>
        <family val="2"/>
        <charset val="136"/>
      </rPr>
      <t>瑞軒</t>
    </r>
  </si>
  <si>
    <r>
      <rPr>
        <sz val="12"/>
        <color theme="1"/>
        <rFont val="新細明體"/>
        <family val="2"/>
        <charset val="136"/>
      </rPr>
      <t>寶徠</t>
    </r>
  </si>
  <si>
    <r>
      <rPr>
        <sz val="12"/>
        <color theme="1"/>
        <rFont val="新細明體"/>
        <family val="2"/>
        <charset val="136"/>
      </rPr>
      <t>南紡</t>
    </r>
  </si>
  <si>
    <t>憶聲</t>
    <phoneticPr fontId="2" type="noConversion"/>
  </si>
  <si>
    <r>
      <rPr>
        <sz val="12"/>
        <color theme="1"/>
        <rFont val="新細明體"/>
        <family val="2"/>
        <charset val="136"/>
      </rPr>
      <t>凌網</t>
    </r>
  </si>
  <si>
    <r>
      <rPr>
        <sz val="12"/>
        <color theme="1"/>
        <rFont val="新細明體"/>
        <family val="2"/>
        <charset val="136"/>
      </rPr>
      <t>光罩</t>
    </r>
  </si>
  <si>
    <r>
      <rPr>
        <sz val="12"/>
        <color theme="1"/>
        <rFont val="新細明體"/>
        <family val="2"/>
        <charset val="136"/>
      </rPr>
      <t>新潤</t>
    </r>
  </si>
  <si>
    <r>
      <rPr>
        <sz val="12"/>
        <color theme="1"/>
        <rFont val="新細明體"/>
        <family val="2"/>
        <charset val="136"/>
      </rPr>
      <t>豐謙</t>
    </r>
  </si>
  <si>
    <r>
      <rPr>
        <sz val="12"/>
        <color theme="1"/>
        <rFont val="新細明體"/>
        <family val="2"/>
        <charset val="136"/>
      </rPr>
      <t>均豪</t>
    </r>
  </si>
  <si>
    <r>
      <rPr>
        <sz val="12"/>
        <color theme="1"/>
        <rFont val="新細明體"/>
        <family val="2"/>
        <charset val="136"/>
      </rPr>
      <t>力特</t>
    </r>
  </si>
  <si>
    <r>
      <rPr>
        <sz val="12"/>
        <color theme="1"/>
        <rFont val="新細明體"/>
        <family val="2"/>
        <charset val="136"/>
      </rPr>
      <t>櫻花建</t>
    </r>
  </si>
  <si>
    <r>
      <rPr>
        <sz val="12"/>
        <color theme="1"/>
        <rFont val="新細明體"/>
        <family val="2"/>
        <charset val="136"/>
      </rPr>
      <t>宏璟</t>
    </r>
  </si>
  <si>
    <t>病理過程</t>
  </si>
  <si>
    <t>關鍵菌種</t>
  </si>
  <si>
    <t>代謝產物</t>
  </si>
  <si>
    <t>臨床表現</t>
  </si>
  <si>
    <r>
      <rPr>
        <sz val="14"/>
        <color theme="1"/>
        <rFont val="BiauKaiTC Regular"/>
        <family val="4"/>
        <charset val="136"/>
      </rPr>
      <t>內毒素血症</t>
    </r>
    <phoneticPr fontId="2" type="noConversion"/>
  </si>
  <si>
    <r>
      <rPr>
        <sz val="14"/>
        <color theme="1"/>
        <rFont val="BiauKaiTC Regular"/>
        <family val="4"/>
        <charset val="136"/>
      </rPr>
      <t>全身性慢性炎症</t>
    </r>
  </si>
  <si>
    <r>
      <rPr>
        <sz val="14"/>
        <color theme="1"/>
        <rFont val="BiauKaiTC Regular"/>
        <family val="4"/>
        <charset val="136"/>
      </rPr>
      <t>短鏈脂肪酸缺乏</t>
    </r>
    <phoneticPr fontId="2" type="noConversion"/>
  </si>
  <si>
    <r>
      <rPr>
        <sz val="14"/>
        <color theme="1"/>
        <rFont val="BiauKaiTC Regular"/>
        <family val="4"/>
        <charset val="136"/>
      </rPr>
      <t>胰島素敏感性下降</t>
    </r>
  </si>
  <si>
    <r>
      <rPr>
        <sz val="14"/>
        <color theme="1"/>
        <rFont val="BiauKaiTC Regular"/>
        <family val="4"/>
        <charset val="136"/>
      </rPr>
      <t>免疫異常活化</t>
    </r>
    <phoneticPr fontId="2" type="noConversion"/>
  </si>
  <si>
    <r>
      <rPr>
        <sz val="14"/>
        <color theme="1"/>
        <rFont val="BiauKaiTC Regular"/>
        <family val="4"/>
        <charset val="136"/>
      </rPr>
      <t>胰島</t>
    </r>
    <r>
      <rPr>
        <sz val="14"/>
        <color theme="1"/>
        <rFont val="Times New Roman"/>
        <family val="1"/>
      </rPr>
      <t>β</t>
    </r>
    <r>
      <rPr>
        <sz val="14"/>
        <color theme="1"/>
        <rFont val="BiauKaiTC Regular"/>
        <family val="4"/>
        <charset val="136"/>
      </rPr>
      <t>細胞損傷</t>
    </r>
  </si>
  <si>
    <r>
      <rPr>
        <sz val="14"/>
        <color theme="1"/>
        <rFont val="BiauKaiTC Regular"/>
        <family val="4"/>
        <charset val="136"/>
      </rPr>
      <t>能量代謝紊亂</t>
    </r>
    <phoneticPr fontId="2" type="noConversion"/>
  </si>
  <si>
    <r>
      <rPr>
        <sz val="14"/>
        <color theme="1"/>
        <rFont val="BiauKaiTC Regular"/>
        <family val="4"/>
        <charset val="136"/>
      </rPr>
      <t>體重增加、脂肪堆積</t>
    </r>
  </si>
  <si>
    <r>
      <rPr>
        <sz val="14"/>
        <color theme="1"/>
        <rFont val="BiauKaiTC Regular"/>
        <family val="4"/>
        <charset val="136"/>
      </rPr>
      <t>丁酸、丙酸</t>
    </r>
    <r>
      <rPr>
        <sz val="14"/>
        <color theme="1"/>
        <rFont val="Times New Roman"/>
        <family val="1"/>
      </rPr>
      <t> </t>
    </r>
    <r>
      <rPr>
        <sz val="14"/>
        <color theme="1"/>
        <rFont val="BiauKaiTC Regular"/>
        <family val="4"/>
        <charset val="136"/>
      </rPr>
      <t>↓</t>
    </r>
  </si>
  <si>
    <r>
      <t>IL-17 </t>
    </r>
    <r>
      <rPr>
        <sz val="14"/>
        <color theme="1"/>
        <rFont val="BiauKaiTC Regular"/>
        <family val="4"/>
        <charset val="136"/>
      </rPr>
      <t>↑</t>
    </r>
  </si>
  <si>
    <r>
      <rPr>
        <sz val="14"/>
        <color theme="1"/>
        <rFont val="BiauKaiTC Regular"/>
        <family val="4"/>
        <charset val="136"/>
      </rPr>
      <t>可用碳水化合物</t>
    </r>
    <r>
      <rPr>
        <sz val="14"/>
        <color theme="1"/>
        <rFont val="Times New Roman"/>
        <family val="1"/>
      </rPr>
      <t> </t>
    </r>
    <r>
      <rPr>
        <sz val="14"/>
        <color theme="1"/>
        <rFont val="BiauKaiTC Regular"/>
        <family val="4"/>
        <charset val="136"/>
      </rPr>
      <t>↑</t>
    </r>
  </si>
  <si>
    <r>
      <rPr>
        <sz val="14"/>
        <color theme="1"/>
        <rFont val="BiauKaiTC Regular"/>
        <family val="4"/>
        <charset val="136"/>
      </rPr>
      <t>脂多糖</t>
    </r>
    <r>
      <rPr>
        <sz val="14"/>
        <color theme="1"/>
        <rFont val="Times New Roman"/>
        <family val="1"/>
      </rPr>
      <t xml:space="preserve"> (LPS) </t>
    </r>
    <r>
      <rPr>
        <sz val="14"/>
        <color theme="1"/>
        <rFont val="BiauKaiTC Regular"/>
        <family val="4"/>
        <charset val="136"/>
      </rPr>
      <t>↑</t>
    </r>
    <phoneticPr fontId="2" type="noConversion"/>
  </si>
  <si>
    <r>
      <rPr>
        <sz val="14"/>
        <color theme="1"/>
        <rFont val="BiauKaiTC Regular"/>
        <family val="4"/>
        <charset val="136"/>
      </rPr>
      <t>病理過程</t>
    </r>
    <phoneticPr fontId="2" type="noConversion"/>
  </si>
  <si>
    <r>
      <rPr>
        <sz val="14"/>
        <color theme="1"/>
        <rFont val="BiauKaiTC Regular"/>
        <family val="4"/>
        <charset val="136"/>
      </rPr>
      <t>關鍵菌種</t>
    </r>
    <phoneticPr fontId="2" type="noConversion"/>
  </si>
  <si>
    <r>
      <rPr>
        <sz val="14"/>
        <color theme="1"/>
        <rFont val="BiauKaiTC Regular"/>
        <family val="4"/>
        <charset val="136"/>
      </rPr>
      <t>代謝產物</t>
    </r>
    <phoneticPr fontId="2" type="noConversion"/>
  </si>
  <si>
    <r>
      <rPr>
        <sz val="14"/>
        <color theme="1"/>
        <rFont val="BiauKaiTC Regular"/>
        <family val="4"/>
        <charset val="136"/>
      </rPr>
      <t>臨床表現</t>
    </r>
    <phoneticPr fontId="2" type="noConversion"/>
  </si>
  <si>
    <t>陰溝腸桿菌↑</t>
    <phoneticPr fontId="2" type="noConversion"/>
  </si>
  <si>
    <t>普拉梭菌↓</t>
    <phoneticPr fontId="2" type="noConversion"/>
  </si>
  <si>
    <t>卵形擬桿菌↑</t>
    <phoneticPr fontId="2" type="noConversion"/>
  </si>
  <si>
    <t>毛螺菌科細菌↑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</si>
</sst>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9">
    <font>
      <sz val="12"/>
      <color theme="1"/>
      <name val="新細明體"/>
      <family val="2"/>
      <charset val="136"/>
      <scheme val="minor"/>
    </font>
    <font>
      <sz val="12"/>
      <color theme="1"/>
      <name val="Calibri"/>
      <family val="2"/>
    </font>
    <font>
      <sz val="9"/>
      <name val="新細明體"/>
      <family val="2"/>
      <charset val="136"/>
      <scheme val="minor"/>
    </font>
    <font>
      <b/>
      <sz val="12"/>
      <color theme="1"/>
      <name val="Calibri"/>
      <family val="2"/>
    </font>
    <font>
      <b/>
      <sz val="12"/>
      <color theme="1"/>
      <name val="Microsoft JhengHei"/>
      <family val="2"/>
    </font>
    <font>
      <sz val="12"/>
      <name val="Calibri"/>
      <family val="2"/>
    </font>
    <font>
      <sz val="11"/>
      <color rgb="FF000000"/>
      <name val="Calibri"/>
      <family val="2"/>
    </font>
    <font>
      <sz val="12"/>
      <color theme="1"/>
      <name val="Cha"/>
    </font>
    <font>
      <b/>
      <sz val="12"/>
      <color theme="1"/>
      <name val="Microsoft JhengHei"/>
      <family val="2"/>
      <charset val="136"/>
    </font>
    <font>
      <b/>
      <sz val="12"/>
      <color theme="1"/>
      <name val="Noto Sans HK Black"/>
      <family val="2"/>
      <charset val="136"/>
    </font>
    <font>
      <sz val="12"/>
      <color rgb="FF000000"/>
      <name val="Calibri"/>
      <family val="2"/>
    </font>
    <font>
      <b/>
      <sz val="12"/>
      <color theme="1"/>
      <name val="Noto Sans HK Black"/>
      <charset val="136"/>
    </font>
    <font>
      <sz val="12"/>
      <color theme="1"/>
      <name val="新細明體"/>
      <family val="2"/>
      <charset val="136"/>
    </font>
    <font>
      <sz val="12"/>
      <color theme="1"/>
      <name val="Times New Roman"/>
      <family val="1"/>
    </font>
    <font>
      <sz val="11"/>
      <color rgb="FF000000"/>
      <name val="Times New Roman"/>
      <family val="1"/>
    </font>
    <font>
      <b/>
      <sz val="14"/>
      <color rgb="FFFFFFFF"/>
      <name val="Microsoft JhengHei"/>
      <family val="2"/>
      <charset val="136"/>
    </font>
    <font>
      <sz val="12"/>
      <color theme="1"/>
      <name val="BiauKaiTC Regular"/>
      <family val="4"/>
      <charset val="136"/>
    </font>
    <font>
      <sz val="14"/>
      <color theme="1"/>
      <name val="Times New Roman"/>
      <family val="1"/>
    </font>
    <font>
      <sz val="14"/>
      <color theme="1"/>
      <name val="BiauKaiTC Regular"/>
      <family val="4"/>
      <charset val="136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 wrapText="1"/>
    </xf>
    <xf numFmtId="0" fontId="3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0" xfId="0" applyAlignment="1"/>
    <xf numFmtId="0" fontId="1" fillId="0" borderId="0" xfId="0" applyFont="1" applyAlignment="1"/>
    <xf numFmtId="0" fontId="7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3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176" fontId="1" fillId="0" borderId="0" xfId="0" applyNumberFormat="1" applyFont="1">
      <alignment vertical="center"/>
    </xf>
    <xf numFmtId="176" fontId="1" fillId="5" borderId="1" xfId="0" applyNumberFormat="1" applyFont="1" applyFill="1" applyBorder="1" applyAlignment="1">
      <alignment horizontal="center"/>
    </xf>
    <xf numFmtId="176" fontId="1" fillId="0" borderId="0" xfId="0" applyNumberFormat="1" applyFont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0" borderId="2" xfId="0" applyFont="1" applyBorder="1" applyAlignment="1">
      <alignment horizontal="center" vertical="top" wrapText="1"/>
    </xf>
    <xf numFmtId="0" fontId="10" fillId="0" borderId="6" xfId="0" applyFont="1" applyBorder="1" applyAlignment="1">
      <alignment horizontal="center" vertical="top" wrapText="1"/>
    </xf>
    <xf numFmtId="0" fontId="11" fillId="3" borderId="0" xfId="0" applyFont="1" applyFill="1" applyAlignment="1">
      <alignment horizontal="center" vertical="center"/>
    </xf>
    <xf numFmtId="176" fontId="3" fillId="4" borderId="0" xfId="0" applyNumberFormat="1" applyFont="1" applyFill="1" applyAlignment="1">
      <alignment horizontal="center" vertical="center"/>
    </xf>
    <xf numFmtId="176" fontId="3" fillId="8" borderId="0" xfId="0" applyNumberFormat="1" applyFont="1" applyFill="1" applyAlignment="1">
      <alignment horizontal="center" vertical="center"/>
    </xf>
    <xf numFmtId="176" fontId="3" fillId="9" borderId="1" xfId="0" applyNumberFormat="1" applyFont="1" applyFill="1" applyBorder="1" applyAlignment="1">
      <alignment horizontal="center" vertical="center"/>
    </xf>
    <xf numFmtId="176" fontId="3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3" fillId="11" borderId="1" xfId="0" applyNumberFormat="1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top" wrapText="1"/>
    </xf>
    <xf numFmtId="0" fontId="13" fillId="12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4" xfId="0" applyBorder="1" applyAlignment="1"/>
    <xf numFmtId="0" fontId="15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'預測ＧＢＲＴ累積報酬 '!$A$19</c:f>
              <c:strCache>
                <c:ptCount val="1"/>
                <c:pt idx="0">
                  <c:v>241等分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'預測ＧＢＲＴ累積報酬 '!$B$19:$EE$19</c:f>
              <c:numCache>
                <c:formatCode>General</c:formatCode>
                <c:ptCount val="134"/>
                <c:pt idx="0">
                  <c:v>1.7768557544988659E-2</c:v>
                </c:pt>
                <c:pt idx="1">
                  <c:v>2.1397931391489298E-2</c:v>
                </c:pt>
                <c:pt idx="2">
                  <c:v>5.476338536287309E-2</c:v>
                </c:pt>
                <c:pt idx="3">
                  <c:v>0.23880196696900308</c:v>
                </c:pt>
                <c:pt idx="4">
                  <c:v>0.3706283351451124</c:v>
                </c:pt>
                <c:pt idx="5">
                  <c:v>0.33672662755064875</c:v>
                </c:pt>
                <c:pt idx="6">
                  <c:v>0.55645044562896062</c:v>
                </c:pt>
                <c:pt idx="7">
                  <c:v>0.58035167179300462</c:v>
                </c:pt>
                <c:pt idx="8">
                  <c:v>0.66148780863789525</c:v>
                </c:pt>
                <c:pt idx="9">
                  <c:v>0.71883379541432546</c:v>
                </c:pt>
                <c:pt idx="10">
                  <c:v>0.70100727884303982</c:v>
                </c:pt>
                <c:pt idx="11">
                  <c:v>0.34242130429944284</c:v>
                </c:pt>
                <c:pt idx="12">
                  <c:v>0.46119912286436093</c:v>
                </c:pt>
                <c:pt idx="13">
                  <c:v>0.51286927531091864</c:v>
                </c:pt>
                <c:pt idx="14">
                  <c:v>0.45826063947428758</c:v>
                </c:pt>
                <c:pt idx="15">
                  <c:v>0.43664203543637192</c:v>
                </c:pt>
                <c:pt idx="16">
                  <c:v>0.54280479301645268</c:v>
                </c:pt>
                <c:pt idx="17">
                  <c:v>0.55791027658106407</c:v>
                </c:pt>
                <c:pt idx="18">
                  <c:v>0.64335936207147149</c:v>
                </c:pt>
                <c:pt idx="19">
                  <c:v>0.66919907506060372</c:v>
                </c:pt>
                <c:pt idx="20">
                  <c:v>0.71414044680384592</c:v>
                </c:pt>
                <c:pt idx="21">
                  <c:v>0.76501637585745408</c:v>
                </c:pt>
                <c:pt idx="22">
                  <c:v>0.70450783914430537</c:v>
                </c:pt>
                <c:pt idx="23">
                  <c:v>0.7388272296967453</c:v>
                </c:pt>
                <c:pt idx="24">
                  <c:v>0.67408249294294587</c:v>
                </c:pt>
                <c:pt idx="25">
                  <c:v>0.69180005408167478</c:v>
                </c:pt>
                <c:pt idx="26">
                  <c:v>0.83087036191710339</c:v>
                </c:pt>
                <c:pt idx="27">
                  <c:v>0.92746123672929504</c:v>
                </c:pt>
                <c:pt idx="28">
                  <c:v>0.87872499449473584</c:v>
                </c:pt>
                <c:pt idx="29">
                  <c:v>1.0073831622924585</c:v>
                </c:pt>
                <c:pt idx="30">
                  <c:v>0.97425109168152013</c:v>
                </c:pt>
                <c:pt idx="31">
                  <c:v>0.95047220699198498</c:v>
                </c:pt>
                <c:pt idx="32">
                  <c:v>1.0437323712546329</c:v>
                </c:pt>
                <c:pt idx="33">
                  <c:v>1.059992180265251</c:v>
                </c:pt>
                <c:pt idx="34">
                  <c:v>1.0095429712550088</c:v>
                </c:pt>
                <c:pt idx="35">
                  <c:v>0.98050200994794601</c:v>
                </c:pt>
                <c:pt idx="36">
                  <c:v>0.87097733936330313</c:v>
                </c:pt>
                <c:pt idx="37">
                  <c:v>0.98572113761932745</c:v>
                </c:pt>
                <c:pt idx="38">
                  <c:v>1.0170420437441123</c:v>
                </c:pt>
                <c:pt idx="39">
                  <c:v>0.82934616134601213</c:v>
                </c:pt>
                <c:pt idx="40">
                  <c:v>0.68691365919766245</c:v>
                </c:pt>
                <c:pt idx="41">
                  <c:v>0.71595758851090341</c:v>
                </c:pt>
                <c:pt idx="42">
                  <c:v>0.69950545516422735</c:v>
                </c:pt>
                <c:pt idx="43">
                  <c:v>0.71574642710853187</c:v>
                </c:pt>
                <c:pt idx="44">
                  <c:v>0.75243959399633709</c:v>
                </c:pt>
                <c:pt idx="45">
                  <c:v>0.75891063748648468</c:v>
                </c:pt>
                <c:pt idx="46">
                  <c:v>0.68027837090299248</c:v>
                </c:pt>
                <c:pt idx="47">
                  <c:v>0.67665811594633118</c:v>
                </c:pt>
                <c:pt idx="48">
                  <c:v>0.66999971075348408</c:v>
                </c:pt>
                <c:pt idx="49">
                  <c:v>0.71363651701816411</c:v>
                </c:pt>
                <c:pt idx="50">
                  <c:v>0.72894703816172035</c:v>
                </c:pt>
                <c:pt idx="51">
                  <c:v>0.60838222007950293</c:v>
                </c:pt>
                <c:pt idx="52">
                  <c:v>0.51769272427799018</c:v>
                </c:pt>
                <c:pt idx="53">
                  <c:v>0.59179923839272586</c:v>
                </c:pt>
                <c:pt idx="54">
                  <c:v>0.6534310409318711</c:v>
                </c:pt>
                <c:pt idx="55">
                  <c:v>0.51217085933450124</c:v>
                </c:pt>
                <c:pt idx="56">
                  <c:v>0.77193531812594662</c:v>
                </c:pt>
                <c:pt idx="57">
                  <c:v>0.6849115833930679</c:v>
                </c:pt>
                <c:pt idx="58">
                  <c:v>0.52161183447334558</c:v>
                </c:pt>
                <c:pt idx="59">
                  <c:v>0.51696215200920115</c:v>
                </c:pt>
                <c:pt idx="60">
                  <c:v>0.48425275105758031</c:v>
                </c:pt>
                <c:pt idx="61">
                  <c:v>0.50582938587050863</c:v>
                </c:pt>
                <c:pt idx="62">
                  <c:v>0.44982076989989322</c:v>
                </c:pt>
                <c:pt idx="63">
                  <c:v>0.40194747683893733</c:v>
                </c:pt>
                <c:pt idx="64">
                  <c:v>0.38294160574559183</c:v>
                </c:pt>
                <c:pt idx="65">
                  <c:v>0.44812249573556207</c:v>
                </c:pt>
                <c:pt idx="66">
                  <c:v>0.51301288997769401</c:v>
                </c:pt>
                <c:pt idx="67">
                  <c:v>0.59348527056978895</c:v>
                </c:pt>
                <c:pt idx="68">
                  <c:v>0.62329080470862497</c:v>
                </c:pt>
                <c:pt idx="69">
                  <c:v>0.66166414176589627</c:v>
                </c:pt>
                <c:pt idx="70">
                  <c:v>0.69765835989313796</c:v>
                </c:pt>
                <c:pt idx="71">
                  <c:v>0.69506182098779767</c:v>
                </c:pt>
                <c:pt idx="72">
                  <c:v>0.68076790194724868</c:v>
                </c:pt>
                <c:pt idx="73">
                  <c:v>0.74678983182920755</c:v>
                </c:pt>
                <c:pt idx="74">
                  <c:v>0.93649436990203827</c:v>
                </c:pt>
                <c:pt idx="75">
                  <c:v>0.82923931185607413</c:v>
                </c:pt>
                <c:pt idx="76">
                  <c:v>0.88684887485477693</c:v>
                </c:pt>
                <c:pt idx="77">
                  <c:v>1.0148658095239833</c:v>
                </c:pt>
                <c:pt idx="78">
                  <c:v>0.99028343325681967</c:v>
                </c:pt>
                <c:pt idx="79">
                  <c:v>0.88965041625945807</c:v>
                </c:pt>
                <c:pt idx="80">
                  <c:v>1.0081481729150226</c:v>
                </c:pt>
                <c:pt idx="81">
                  <c:v>0.93965690947449532</c:v>
                </c:pt>
                <c:pt idx="82">
                  <c:v>0.85953195591009113</c:v>
                </c:pt>
                <c:pt idx="83">
                  <c:v>0.71706853628915468</c:v>
                </c:pt>
                <c:pt idx="84">
                  <c:v>1.1404291871337215</c:v>
                </c:pt>
                <c:pt idx="85">
                  <c:v>1.1331484982322</c:v>
                </c:pt>
                <c:pt idx="86">
                  <c:v>1.2930161767793797</c:v>
                </c:pt>
                <c:pt idx="87">
                  <c:v>0.93411703732427331</c:v>
                </c:pt>
                <c:pt idx="88">
                  <c:v>0.91337489606399003</c:v>
                </c:pt>
                <c:pt idx="89">
                  <c:v>1.1856233452501455</c:v>
                </c:pt>
                <c:pt idx="90">
                  <c:v>1.2768998698714644</c:v>
                </c:pt>
                <c:pt idx="91">
                  <c:v>1.2078754951699828</c:v>
                </c:pt>
                <c:pt idx="92">
                  <c:v>1.1861860716832688</c:v>
                </c:pt>
                <c:pt idx="93">
                  <c:v>1.2195291573256239</c:v>
                </c:pt>
                <c:pt idx="94">
                  <c:v>1.4133974669475606</c:v>
                </c:pt>
                <c:pt idx="95">
                  <c:v>1.3786124553502395</c:v>
                </c:pt>
                <c:pt idx="96">
                  <c:v>1.4829940043556629</c:v>
                </c:pt>
                <c:pt idx="97">
                  <c:v>1.5835259929025034</c:v>
                </c:pt>
                <c:pt idx="98">
                  <c:v>1.5546411853164908</c:v>
                </c:pt>
                <c:pt idx="99">
                  <c:v>1.4659812178915632</c:v>
                </c:pt>
                <c:pt idx="100">
                  <c:v>1.5454904124531015</c:v>
                </c:pt>
                <c:pt idx="101">
                  <c:v>1.5734669922180189</c:v>
                </c:pt>
                <c:pt idx="102">
                  <c:v>1.6042123951511962</c:v>
                </c:pt>
                <c:pt idx="103">
                  <c:v>1.5423465975341291</c:v>
                </c:pt>
                <c:pt idx="104">
                  <c:v>1.4338320690296436</c:v>
                </c:pt>
                <c:pt idx="105">
                  <c:v>1.3532835468405464</c:v>
                </c:pt>
                <c:pt idx="106">
                  <c:v>1.4394921206220934</c:v>
                </c:pt>
                <c:pt idx="107">
                  <c:v>1.3472950871115592</c:v>
                </c:pt>
                <c:pt idx="108">
                  <c:v>1.2222624101189525</c:v>
                </c:pt>
                <c:pt idx="109">
                  <c:v>1.1208958957418498</c:v>
                </c:pt>
                <c:pt idx="110">
                  <c:v>1.005592552200631</c:v>
                </c:pt>
                <c:pt idx="111">
                  <c:v>1.1381946990900793</c:v>
                </c:pt>
                <c:pt idx="112">
                  <c:v>1.0573143256967334</c:v>
                </c:pt>
                <c:pt idx="113">
                  <c:v>1.0728313890320873</c:v>
                </c:pt>
                <c:pt idx="114">
                  <c:v>1.0829403277055238</c:v>
                </c:pt>
                <c:pt idx="115">
                  <c:v>1.1595281451584085</c:v>
                </c:pt>
                <c:pt idx="116">
                  <c:v>1.1231505999042202</c:v>
                </c:pt>
                <c:pt idx="117">
                  <c:v>1.1028753063080305</c:v>
                </c:pt>
                <c:pt idx="118">
                  <c:v>1.1017685499252916</c:v>
                </c:pt>
                <c:pt idx="119">
                  <c:v>1.1537136954625704</c:v>
                </c:pt>
                <c:pt idx="120">
                  <c:v>1.157471891116246</c:v>
                </c:pt>
                <c:pt idx="121">
                  <c:v>1.2175802464817442</c:v>
                </c:pt>
                <c:pt idx="122">
                  <c:v>1.1491278449316731</c:v>
                </c:pt>
                <c:pt idx="123">
                  <c:v>1.1767785591624149</c:v>
                </c:pt>
                <c:pt idx="124">
                  <c:v>1.1244228847633377</c:v>
                </c:pt>
                <c:pt idx="125">
                  <c:v>1.1142420973907805</c:v>
                </c:pt>
                <c:pt idx="126">
                  <c:v>1.2726001447421966</c:v>
                </c:pt>
                <c:pt idx="127">
                  <c:v>1.3238675608540029</c:v>
                </c:pt>
                <c:pt idx="128">
                  <c:v>1.2488001243490068</c:v>
                </c:pt>
                <c:pt idx="129">
                  <c:v>1.2980178214443316</c:v>
                </c:pt>
                <c:pt idx="130">
                  <c:v>1.2743788230109867</c:v>
                </c:pt>
                <c:pt idx="131">
                  <c:v>1.2768579607879733</c:v>
                </c:pt>
                <c:pt idx="132">
                  <c:v>1.3588454178883129</c:v>
                </c:pt>
                <c:pt idx="133">
                  <c:v>1.4576766202223599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EF-1743-8FC7-2AED2F932A8D}"/>
            </c:ext>
          </c:extLst>
        </c:ser>
        <c:ser>
          <c:idx val="1"/>
          <c:order val="1"/>
          <c:tx>
            <c:strRef>
              <c:f>'預測ＧＢＲＴ累積報酬 '!$A$20</c:f>
              <c:strCache>
                <c:ptCount val="1"/>
                <c:pt idx="0">
                  <c:v>321等分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'預測ＧＢＲＴ累積報酬 '!$B$20:$EE$20</c:f>
              <c:numCache>
                <c:formatCode>General</c:formatCode>
                <c:ptCount val="134"/>
                <c:pt idx="0">
                  <c:v>-6.3062694489166519E-3</c:v>
                </c:pt>
                <c:pt idx="1">
                  <c:v>-1.117543247743979E-2</c:v>
                </c:pt>
                <c:pt idx="2">
                  <c:v>-3.0899114666553998E-2</c:v>
                </c:pt>
                <c:pt idx="3">
                  <c:v>3.6931946254723569E-2</c:v>
                </c:pt>
                <c:pt idx="4">
                  <c:v>0.21852809141631846</c:v>
                </c:pt>
                <c:pt idx="5">
                  <c:v>0.2588031522623267</c:v>
                </c:pt>
                <c:pt idx="6">
                  <c:v>0.50534262545817121</c:v>
                </c:pt>
                <c:pt idx="7">
                  <c:v>0.48303795051097154</c:v>
                </c:pt>
                <c:pt idx="8">
                  <c:v>0.65605737457559388</c:v>
                </c:pt>
                <c:pt idx="9">
                  <c:v>0.76737248149130621</c:v>
                </c:pt>
                <c:pt idx="10">
                  <c:v>0.73835547044423233</c:v>
                </c:pt>
                <c:pt idx="11">
                  <c:v>0.51076373747917236</c:v>
                </c:pt>
                <c:pt idx="12">
                  <c:v>0.6360474169740109</c:v>
                </c:pt>
                <c:pt idx="13">
                  <c:v>0.65667236235214521</c:v>
                </c:pt>
                <c:pt idx="14">
                  <c:v>0.69180166794313824</c:v>
                </c:pt>
                <c:pt idx="15">
                  <c:v>0.6481750924397377</c:v>
                </c:pt>
                <c:pt idx="16">
                  <c:v>0.74845218972790795</c:v>
                </c:pt>
                <c:pt idx="17">
                  <c:v>0.78665990108989881</c:v>
                </c:pt>
                <c:pt idx="18">
                  <c:v>0.89547965234437377</c:v>
                </c:pt>
                <c:pt idx="19">
                  <c:v>0.93478389153383534</c:v>
                </c:pt>
                <c:pt idx="20">
                  <c:v>1.0106651454779372</c:v>
                </c:pt>
                <c:pt idx="21">
                  <c:v>1.0059496532500474</c:v>
                </c:pt>
                <c:pt idx="22">
                  <c:v>0.9393306285575671</c:v>
                </c:pt>
                <c:pt idx="23">
                  <c:v>0.96889120313449895</c:v>
                </c:pt>
                <c:pt idx="24">
                  <c:v>0.94972278808566402</c:v>
                </c:pt>
                <c:pt idx="25">
                  <c:v>0.97064117083129331</c:v>
                </c:pt>
                <c:pt idx="26">
                  <c:v>0.99206734314212341</c:v>
                </c:pt>
                <c:pt idx="27">
                  <c:v>1.0973103801539492</c:v>
                </c:pt>
                <c:pt idx="28">
                  <c:v>1.0864963239530179</c:v>
                </c:pt>
                <c:pt idx="29">
                  <c:v>1.1719171355471592</c:v>
                </c:pt>
                <c:pt idx="30">
                  <c:v>1.0756546318451474</c:v>
                </c:pt>
                <c:pt idx="31">
                  <c:v>1.0464153101754128</c:v>
                </c:pt>
                <c:pt idx="32">
                  <c:v>1.143191217115805</c:v>
                </c:pt>
                <c:pt idx="33">
                  <c:v>1.1624301784428763</c:v>
                </c:pt>
                <c:pt idx="34">
                  <c:v>1.0895227563485643</c:v>
                </c:pt>
                <c:pt idx="35">
                  <c:v>1.089106594487667</c:v>
                </c:pt>
                <c:pt idx="36">
                  <c:v>0.99262513492940252</c:v>
                </c:pt>
                <c:pt idx="37">
                  <c:v>1.1013929832207234</c:v>
                </c:pt>
                <c:pt idx="38">
                  <c:v>1.1221884507286637</c:v>
                </c:pt>
                <c:pt idx="39">
                  <c:v>0.88748523194326445</c:v>
                </c:pt>
                <c:pt idx="40">
                  <c:v>0.70691987805804046</c:v>
                </c:pt>
                <c:pt idx="41">
                  <c:v>0.71624083009927464</c:v>
                </c:pt>
                <c:pt idx="42">
                  <c:v>0.65928202124811786</c:v>
                </c:pt>
                <c:pt idx="43">
                  <c:v>0.679300064788803</c:v>
                </c:pt>
                <c:pt idx="44">
                  <c:v>0.77929836002364328</c:v>
                </c:pt>
                <c:pt idx="45">
                  <c:v>0.84120931832447199</c:v>
                </c:pt>
                <c:pt idx="46">
                  <c:v>0.77194457017996765</c:v>
                </c:pt>
                <c:pt idx="47">
                  <c:v>0.76499344775033318</c:v>
                </c:pt>
                <c:pt idx="48">
                  <c:v>0.77662633805608527</c:v>
                </c:pt>
                <c:pt idx="49">
                  <c:v>0.88509431892407708</c:v>
                </c:pt>
                <c:pt idx="50">
                  <c:v>0.87599644946667976</c:v>
                </c:pt>
                <c:pt idx="51">
                  <c:v>0.64374005144479918</c:v>
                </c:pt>
                <c:pt idx="52">
                  <c:v>0.55680221377970984</c:v>
                </c:pt>
                <c:pt idx="53">
                  <c:v>0.64018008841066043</c:v>
                </c:pt>
                <c:pt idx="54">
                  <c:v>0.67999615405436376</c:v>
                </c:pt>
                <c:pt idx="55">
                  <c:v>0.48335993623424867</c:v>
                </c:pt>
                <c:pt idx="56">
                  <c:v>0.78268006530475343</c:v>
                </c:pt>
                <c:pt idx="57">
                  <c:v>0.80266355165396774</c:v>
                </c:pt>
                <c:pt idx="58">
                  <c:v>0.60403926645393402</c:v>
                </c:pt>
                <c:pt idx="59">
                  <c:v>0.71529331979168065</c:v>
                </c:pt>
                <c:pt idx="60">
                  <c:v>0.66389995369363042</c:v>
                </c:pt>
                <c:pt idx="61">
                  <c:v>0.71372633022356924</c:v>
                </c:pt>
                <c:pt idx="62">
                  <c:v>0.60941260395213859</c:v>
                </c:pt>
                <c:pt idx="63">
                  <c:v>0.54786466048605564</c:v>
                </c:pt>
                <c:pt idx="64">
                  <c:v>0.53950187215078793</c:v>
                </c:pt>
                <c:pt idx="65">
                  <c:v>0.60248367847101514</c:v>
                </c:pt>
                <c:pt idx="66">
                  <c:v>0.67660524277437495</c:v>
                </c:pt>
                <c:pt idx="67">
                  <c:v>0.77425398692399328</c:v>
                </c:pt>
                <c:pt idx="68">
                  <c:v>0.74810621944632327</c:v>
                </c:pt>
                <c:pt idx="69">
                  <c:v>0.79462299461221242</c:v>
                </c:pt>
                <c:pt idx="70">
                  <c:v>0.84808721543904153</c:v>
                </c:pt>
                <c:pt idx="71">
                  <c:v>0.95721077861903658</c:v>
                </c:pt>
                <c:pt idx="72">
                  <c:v>0.91567465465472975</c:v>
                </c:pt>
                <c:pt idx="73">
                  <c:v>1.0253628886752184</c:v>
                </c:pt>
                <c:pt idx="74">
                  <c:v>1.2803229183480731</c:v>
                </c:pt>
                <c:pt idx="75">
                  <c:v>1.132478331255192</c:v>
                </c:pt>
                <c:pt idx="76">
                  <c:v>1.1942685577185859</c:v>
                </c:pt>
                <c:pt idx="77">
                  <c:v>1.2809514080208373</c:v>
                </c:pt>
                <c:pt idx="78">
                  <c:v>1.2776565262037165</c:v>
                </c:pt>
                <c:pt idx="79">
                  <c:v>1.2083578811897382</c:v>
                </c:pt>
                <c:pt idx="80">
                  <c:v>1.3580437188128858</c:v>
                </c:pt>
                <c:pt idx="81">
                  <c:v>1.1854114532019462</c:v>
                </c:pt>
                <c:pt idx="82">
                  <c:v>1.1576929488403862</c:v>
                </c:pt>
                <c:pt idx="83">
                  <c:v>1.0188879924650096</c:v>
                </c:pt>
                <c:pt idx="84">
                  <c:v>1.5177594894284361</c:v>
                </c:pt>
                <c:pt idx="85">
                  <c:v>1.479521542645164</c:v>
                </c:pt>
                <c:pt idx="86">
                  <c:v>1.6723447353390506</c:v>
                </c:pt>
                <c:pt idx="87">
                  <c:v>1.4367534045352304</c:v>
                </c:pt>
                <c:pt idx="88">
                  <c:v>1.4396537950900299</c:v>
                </c:pt>
                <c:pt idx="89">
                  <c:v>1.7950411245825348</c:v>
                </c:pt>
                <c:pt idx="90">
                  <c:v>1.9008463123164034</c:v>
                </c:pt>
                <c:pt idx="91">
                  <c:v>1.833413311165337</c:v>
                </c:pt>
                <c:pt idx="92">
                  <c:v>1.8107034904326835</c:v>
                </c:pt>
                <c:pt idx="93">
                  <c:v>1.8192063385175046</c:v>
                </c:pt>
                <c:pt idx="94">
                  <c:v>2.0946935155712554</c:v>
                </c:pt>
                <c:pt idx="95">
                  <c:v>2.0471544033459526</c:v>
                </c:pt>
                <c:pt idx="96">
                  <c:v>2.160038622429985</c:v>
                </c:pt>
                <c:pt idx="97">
                  <c:v>2.2384385240152218</c:v>
                </c:pt>
                <c:pt idx="98">
                  <c:v>2.2136645106735848</c:v>
                </c:pt>
                <c:pt idx="99">
                  <c:v>2.0319283521358908</c:v>
                </c:pt>
                <c:pt idx="100">
                  <c:v>2.1500379309737214</c:v>
                </c:pt>
                <c:pt idx="101">
                  <c:v>2.2396399449973354</c:v>
                </c:pt>
                <c:pt idx="102">
                  <c:v>2.3725425518762675</c:v>
                </c:pt>
                <c:pt idx="103">
                  <c:v>2.22603702944336</c:v>
                </c:pt>
                <c:pt idx="104">
                  <c:v>2.0581918636101948</c:v>
                </c:pt>
                <c:pt idx="105">
                  <c:v>1.9907972367144677</c:v>
                </c:pt>
                <c:pt idx="106">
                  <c:v>2.0772310946520518</c:v>
                </c:pt>
                <c:pt idx="107">
                  <c:v>1.9548799185754091</c:v>
                </c:pt>
                <c:pt idx="108">
                  <c:v>1.8719622017857134</c:v>
                </c:pt>
                <c:pt idx="109">
                  <c:v>1.8656246781376058</c:v>
                </c:pt>
                <c:pt idx="110">
                  <c:v>1.7069830124615932</c:v>
                </c:pt>
                <c:pt idx="111">
                  <c:v>1.903804758742919</c:v>
                </c:pt>
                <c:pt idx="112">
                  <c:v>1.7687058370590922</c:v>
                </c:pt>
                <c:pt idx="113">
                  <c:v>1.7743794710297687</c:v>
                </c:pt>
                <c:pt idx="114">
                  <c:v>1.7823863464060496</c:v>
                </c:pt>
                <c:pt idx="115">
                  <c:v>1.8408893884580004</c:v>
                </c:pt>
                <c:pt idx="116">
                  <c:v>1.8115558344902347</c:v>
                </c:pt>
                <c:pt idx="117">
                  <c:v>1.7769921752599589</c:v>
                </c:pt>
                <c:pt idx="118">
                  <c:v>1.7820673789401873</c:v>
                </c:pt>
                <c:pt idx="119">
                  <c:v>1.7535782366976482</c:v>
                </c:pt>
                <c:pt idx="120">
                  <c:v>1.781065732584791</c:v>
                </c:pt>
                <c:pt idx="121">
                  <c:v>1.8403056397471165</c:v>
                </c:pt>
                <c:pt idx="122">
                  <c:v>1.7810680952067846</c:v>
                </c:pt>
                <c:pt idx="123">
                  <c:v>1.8285955372882854</c:v>
                </c:pt>
                <c:pt idx="124">
                  <c:v>1.7227167765427718</c:v>
                </c:pt>
                <c:pt idx="125">
                  <c:v>1.7625031437411984</c:v>
                </c:pt>
                <c:pt idx="126">
                  <c:v>2.0541396363608251</c:v>
                </c:pt>
                <c:pt idx="127">
                  <c:v>2.1235579248385505</c:v>
                </c:pt>
                <c:pt idx="128">
                  <c:v>2.0832568234281235</c:v>
                </c:pt>
                <c:pt idx="129">
                  <c:v>2.1593744656453411</c:v>
                </c:pt>
                <c:pt idx="130">
                  <c:v>2.0726666054865261</c:v>
                </c:pt>
                <c:pt idx="131">
                  <c:v>2.0926623874975285</c:v>
                </c:pt>
                <c:pt idx="132">
                  <c:v>2.1543272704251129</c:v>
                </c:pt>
                <c:pt idx="133">
                  <c:v>2.2626722845960767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EF-1743-8FC7-2AED2F932A8D}"/>
            </c:ext>
          </c:extLst>
        </c:ser>
        <c:ser>
          <c:idx val="2"/>
          <c:order val="2"/>
          <c:tx>
            <c:strRef>
              <c:f>'預測ＧＢＲＴ累積報酬 '!$A$21</c:f>
              <c:strCache>
                <c:ptCount val="1"/>
                <c:pt idx="0">
                  <c:v>482等分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'預測ＧＢＲＴ累積報酬 '!$B$21:$EE$21</c:f>
              <c:numCache>
                <c:formatCode>General</c:formatCode>
                <c:ptCount val="134"/>
                <c:pt idx="0">
                  <c:v>-1.1176635397692329E-2</c:v>
                </c:pt>
                <c:pt idx="1">
                  <c:v>9.0529219066149774E-2</c:v>
                </c:pt>
                <c:pt idx="2">
                  <c:v>9.2259025590030866E-2</c:v>
                </c:pt>
                <c:pt idx="3">
                  <c:v>0.27465510091090956</c:v>
                </c:pt>
                <c:pt idx="4">
                  <c:v>0.41062840648769272</c:v>
                </c:pt>
                <c:pt idx="5">
                  <c:v>0.52811100540949507</c:v>
                </c:pt>
                <c:pt idx="6">
                  <c:v>0.80007218729671215</c:v>
                </c:pt>
                <c:pt idx="7">
                  <c:v>0.83819092578294074</c:v>
                </c:pt>
                <c:pt idx="8">
                  <c:v>1.0405479316055819</c:v>
                </c:pt>
                <c:pt idx="9">
                  <c:v>1.2465417937084287</c:v>
                </c:pt>
                <c:pt idx="10">
                  <c:v>1.1903569372811726</c:v>
                </c:pt>
                <c:pt idx="11">
                  <c:v>1.0813784499300332</c:v>
                </c:pt>
                <c:pt idx="12">
                  <c:v>1.188451703729239</c:v>
                </c:pt>
                <c:pt idx="13">
                  <c:v>1.2128616139456185</c:v>
                </c:pt>
                <c:pt idx="14">
                  <c:v>1.34326163989217</c:v>
                </c:pt>
                <c:pt idx="15">
                  <c:v>1.2318059457781843</c:v>
                </c:pt>
                <c:pt idx="16">
                  <c:v>1.390564743889168</c:v>
                </c:pt>
                <c:pt idx="17">
                  <c:v>1.2360265105592272</c:v>
                </c:pt>
                <c:pt idx="18">
                  <c:v>1.2964432517094902</c:v>
                </c:pt>
                <c:pt idx="19">
                  <c:v>1.3090298756858669</c:v>
                </c:pt>
                <c:pt idx="20">
                  <c:v>1.391825912223519</c:v>
                </c:pt>
                <c:pt idx="21">
                  <c:v>1.4171429896043994</c:v>
                </c:pt>
                <c:pt idx="22">
                  <c:v>1.335329515957</c:v>
                </c:pt>
                <c:pt idx="23">
                  <c:v>1.4738314208488854</c:v>
                </c:pt>
                <c:pt idx="24">
                  <c:v>1.3993532949289105</c:v>
                </c:pt>
                <c:pt idx="25">
                  <c:v>1.4668924908711192</c:v>
                </c:pt>
                <c:pt idx="26">
                  <c:v>1.4275500181940091</c:v>
                </c:pt>
                <c:pt idx="27">
                  <c:v>1.5675563921517026</c:v>
                </c:pt>
                <c:pt idx="28">
                  <c:v>1.5511145528646808</c:v>
                </c:pt>
                <c:pt idx="29">
                  <c:v>1.5045490216733204</c:v>
                </c:pt>
                <c:pt idx="30">
                  <c:v>1.4142601043880076</c:v>
                </c:pt>
                <c:pt idx="31">
                  <c:v>1.3993772860257629</c:v>
                </c:pt>
                <c:pt idx="32">
                  <c:v>1.4538836056299163</c:v>
                </c:pt>
                <c:pt idx="33">
                  <c:v>1.3865561012967953</c:v>
                </c:pt>
                <c:pt idx="34">
                  <c:v>1.3327776547531187</c:v>
                </c:pt>
                <c:pt idx="35">
                  <c:v>1.3681374451138535</c:v>
                </c:pt>
                <c:pt idx="36">
                  <c:v>1.2282394888702295</c:v>
                </c:pt>
                <c:pt idx="37">
                  <c:v>1.2463114219152318</c:v>
                </c:pt>
                <c:pt idx="38">
                  <c:v>1.263597241612519</c:v>
                </c:pt>
                <c:pt idx="39">
                  <c:v>0.99481408853531805</c:v>
                </c:pt>
                <c:pt idx="40">
                  <c:v>0.81694833174370995</c:v>
                </c:pt>
                <c:pt idx="41">
                  <c:v>0.81091940119680461</c:v>
                </c:pt>
                <c:pt idx="42">
                  <c:v>0.80918241593535101</c:v>
                </c:pt>
                <c:pt idx="43">
                  <c:v>0.78744395914933418</c:v>
                </c:pt>
                <c:pt idx="44">
                  <c:v>0.87706134791570178</c:v>
                </c:pt>
                <c:pt idx="45">
                  <c:v>0.94337411991778419</c:v>
                </c:pt>
                <c:pt idx="46">
                  <c:v>0.79704551919121225</c:v>
                </c:pt>
                <c:pt idx="47">
                  <c:v>0.76043506892239776</c:v>
                </c:pt>
                <c:pt idx="48">
                  <c:v>0.80005552415277981</c:v>
                </c:pt>
                <c:pt idx="49">
                  <c:v>1.012775446993974</c:v>
                </c:pt>
                <c:pt idx="50">
                  <c:v>1.0230058584558281</c:v>
                </c:pt>
                <c:pt idx="51">
                  <c:v>0.61710203848640877</c:v>
                </c:pt>
                <c:pt idx="52">
                  <c:v>0.35837426069311096</c:v>
                </c:pt>
                <c:pt idx="53">
                  <c:v>0.42712501576620354</c:v>
                </c:pt>
                <c:pt idx="54">
                  <c:v>0.43200881815321135</c:v>
                </c:pt>
                <c:pt idx="55">
                  <c:v>0.35392882516284996</c:v>
                </c:pt>
                <c:pt idx="56">
                  <c:v>0.63597329130802926</c:v>
                </c:pt>
                <c:pt idx="57">
                  <c:v>0.71466570415896435</c:v>
                </c:pt>
                <c:pt idx="58">
                  <c:v>0.50955631768722531</c:v>
                </c:pt>
                <c:pt idx="59">
                  <c:v>0.63041971487679238</c:v>
                </c:pt>
                <c:pt idx="60">
                  <c:v>0.69580224981656869</c:v>
                </c:pt>
                <c:pt idx="61">
                  <c:v>0.66943223644058125</c:v>
                </c:pt>
                <c:pt idx="62">
                  <c:v>0.58400779420418558</c:v>
                </c:pt>
                <c:pt idx="63">
                  <c:v>0.30220347620374016</c:v>
                </c:pt>
                <c:pt idx="64">
                  <c:v>0.31221015339009012</c:v>
                </c:pt>
                <c:pt idx="65">
                  <c:v>0.38673362526067667</c:v>
                </c:pt>
                <c:pt idx="66">
                  <c:v>0.41567707472416249</c:v>
                </c:pt>
                <c:pt idx="67">
                  <c:v>0.51940713893435841</c:v>
                </c:pt>
                <c:pt idx="68">
                  <c:v>0.50160556705609938</c:v>
                </c:pt>
                <c:pt idx="69">
                  <c:v>0.50455259280025511</c:v>
                </c:pt>
                <c:pt idx="70">
                  <c:v>0.55806773281232669</c:v>
                </c:pt>
                <c:pt idx="71">
                  <c:v>0.61942340120512385</c:v>
                </c:pt>
                <c:pt idx="72">
                  <c:v>0.69624462313096824</c:v>
                </c:pt>
                <c:pt idx="73">
                  <c:v>0.81273021147265267</c:v>
                </c:pt>
                <c:pt idx="74">
                  <c:v>1.0719509825762896</c:v>
                </c:pt>
                <c:pt idx="75">
                  <c:v>1.0179373616875949</c:v>
                </c:pt>
                <c:pt idx="76">
                  <c:v>0.95464521996040275</c:v>
                </c:pt>
                <c:pt idx="77">
                  <c:v>1.005021730633453</c:v>
                </c:pt>
                <c:pt idx="78">
                  <c:v>0.95006872874417603</c:v>
                </c:pt>
                <c:pt idx="79">
                  <c:v>0.90266760886970721</c:v>
                </c:pt>
                <c:pt idx="80">
                  <c:v>0.87641621796806657</c:v>
                </c:pt>
                <c:pt idx="81">
                  <c:v>0.77881836892733824</c:v>
                </c:pt>
                <c:pt idx="82">
                  <c:v>0.65267288906084109</c:v>
                </c:pt>
                <c:pt idx="83">
                  <c:v>0.45612422135370456</c:v>
                </c:pt>
                <c:pt idx="84">
                  <c:v>0.69822510789049508</c:v>
                </c:pt>
                <c:pt idx="85">
                  <c:v>0.66800663114280612</c:v>
                </c:pt>
                <c:pt idx="86">
                  <c:v>0.86292524716248342</c:v>
                </c:pt>
                <c:pt idx="87">
                  <c:v>0.59588009520669316</c:v>
                </c:pt>
                <c:pt idx="88">
                  <c:v>0.66621776312685055</c:v>
                </c:pt>
                <c:pt idx="89">
                  <c:v>1.0492900132505665</c:v>
                </c:pt>
                <c:pt idx="90">
                  <c:v>1.2925225404769398</c:v>
                </c:pt>
                <c:pt idx="91">
                  <c:v>1.2082553671471528</c:v>
                </c:pt>
                <c:pt idx="92">
                  <c:v>1.1962898751795086</c:v>
                </c:pt>
                <c:pt idx="93">
                  <c:v>1.2590444804423346</c:v>
                </c:pt>
                <c:pt idx="94">
                  <c:v>1.5677942187298</c:v>
                </c:pt>
                <c:pt idx="95">
                  <c:v>1.5054073255383578</c:v>
                </c:pt>
                <c:pt idx="96">
                  <c:v>1.4420605219684364</c:v>
                </c:pt>
                <c:pt idx="97">
                  <c:v>1.5230712664636492</c:v>
                </c:pt>
                <c:pt idx="98">
                  <c:v>1.4728503107928421</c:v>
                </c:pt>
                <c:pt idx="99">
                  <c:v>1.3764789106223287</c:v>
                </c:pt>
                <c:pt idx="100">
                  <c:v>1.55323137376368</c:v>
                </c:pt>
                <c:pt idx="101">
                  <c:v>1.6227201962770683</c:v>
                </c:pt>
                <c:pt idx="102">
                  <c:v>1.8733672420487695</c:v>
                </c:pt>
                <c:pt idx="103">
                  <c:v>1.658685855069123</c:v>
                </c:pt>
                <c:pt idx="104">
                  <c:v>1.4507211474357027</c:v>
                </c:pt>
                <c:pt idx="105">
                  <c:v>1.3292638659989351</c:v>
                </c:pt>
                <c:pt idx="106">
                  <c:v>1.508595211832819</c:v>
                </c:pt>
                <c:pt idx="107">
                  <c:v>1.3610719180158217</c:v>
                </c:pt>
                <c:pt idx="108">
                  <c:v>1.2776784509865247</c:v>
                </c:pt>
                <c:pt idx="109">
                  <c:v>1.355747812962256</c:v>
                </c:pt>
                <c:pt idx="110">
                  <c:v>1.2269284485347938</c:v>
                </c:pt>
                <c:pt idx="111">
                  <c:v>1.3492470809689683</c:v>
                </c:pt>
                <c:pt idx="112">
                  <c:v>1.3278562558301583</c:v>
                </c:pt>
                <c:pt idx="113">
                  <c:v>1.3249410448591246</c:v>
                </c:pt>
                <c:pt idx="114">
                  <c:v>1.3789600539542755</c:v>
                </c:pt>
                <c:pt idx="115">
                  <c:v>1.3897221714421097</c:v>
                </c:pt>
                <c:pt idx="116">
                  <c:v>1.3536854884209535</c:v>
                </c:pt>
                <c:pt idx="117">
                  <c:v>1.3313054964084481</c:v>
                </c:pt>
                <c:pt idx="118">
                  <c:v>1.3064285064645169</c:v>
                </c:pt>
                <c:pt idx="119">
                  <c:v>1.3088803126854296</c:v>
                </c:pt>
                <c:pt idx="120">
                  <c:v>1.3659266477943788</c:v>
                </c:pt>
                <c:pt idx="121">
                  <c:v>1.4201688188413848</c:v>
                </c:pt>
                <c:pt idx="122">
                  <c:v>1.4609544074244345</c:v>
                </c:pt>
                <c:pt idx="123">
                  <c:v>1.4684645154173845</c:v>
                </c:pt>
                <c:pt idx="124">
                  <c:v>1.3516186309566616</c:v>
                </c:pt>
                <c:pt idx="125">
                  <c:v>1.3922749955734663</c:v>
                </c:pt>
                <c:pt idx="126">
                  <c:v>1.6929672263716382</c:v>
                </c:pt>
                <c:pt idx="127">
                  <c:v>1.751487874213304</c:v>
                </c:pt>
                <c:pt idx="128">
                  <c:v>1.7088613459773372</c:v>
                </c:pt>
                <c:pt idx="129">
                  <c:v>1.8078018952965127</c:v>
                </c:pt>
                <c:pt idx="130">
                  <c:v>1.8646159756148086</c:v>
                </c:pt>
                <c:pt idx="131">
                  <c:v>1.8422975339148178</c:v>
                </c:pt>
                <c:pt idx="132">
                  <c:v>1.9503692224537361</c:v>
                </c:pt>
                <c:pt idx="133">
                  <c:v>2.1033959321529272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EF-1743-8FC7-2AED2F932A8D}"/>
            </c:ext>
          </c:extLst>
        </c:ser>
        <c:ser>
          <c:idx val="3"/>
          <c:order val="3"/>
          <c:tx>
            <c:strRef>
              <c:f>'預測ＧＢＲＴ累積報酬 '!$A$22</c:f>
              <c:strCache>
                <c:ptCount val="1"/>
                <c:pt idx="0">
                  <c:v>964等分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val>
            <c:numRef>
              <c:f>'預測ＧＢＲＴ累積報酬 '!$B$22:$EE$22</c:f>
              <c:numCache>
                <c:formatCode>General</c:formatCode>
                <c:ptCount val="134"/>
                <c:pt idx="0">
                  <c:v>-2.397827262489214E-2</c:v>
                </c:pt>
                <c:pt idx="1">
                  <c:v>8.3488570003702467E-2</c:v>
                </c:pt>
                <c:pt idx="2">
                  <c:v>0.16536890461409998</c:v>
                </c:pt>
                <c:pt idx="3">
                  <c:v>0.36691462348574622</c:v>
                </c:pt>
                <c:pt idx="4">
                  <c:v>0.33679186403063793</c:v>
                </c:pt>
                <c:pt idx="5">
                  <c:v>0.79694526222418949</c:v>
                </c:pt>
                <c:pt idx="6">
                  <c:v>0.9297427186922731</c:v>
                </c:pt>
                <c:pt idx="7">
                  <c:v>0.7899380047174499</c:v>
                </c:pt>
                <c:pt idx="8">
                  <c:v>0.85651172264082243</c:v>
                </c:pt>
                <c:pt idx="9">
                  <c:v>0.93474000237086918</c:v>
                </c:pt>
                <c:pt idx="10">
                  <c:v>0.83274134378184439</c:v>
                </c:pt>
                <c:pt idx="11">
                  <c:v>0.78722830688457845</c:v>
                </c:pt>
                <c:pt idx="12">
                  <c:v>0.84640914083377838</c:v>
                </c:pt>
                <c:pt idx="13">
                  <c:v>0.83668120861069495</c:v>
                </c:pt>
                <c:pt idx="14">
                  <c:v>0.81475744528128924</c:v>
                </c:pt>
                <c:pt idx="15">
                  <c:v>0.63738603134684513</c:v>
                </c:pt>
                <c:pt idx="16">
                  <c:v>0.99147820397012054</c:v>
                </c:pt>
                <c:pt idx="17">
                  <c:v>0.66961211973826962</c:v>
                </c:pt>
                <c:pt idx="18">
                  <c:v>0.79119216264210801</c:v>
                </c:pt>
                <c:pt idx="19">
                  <c:v>0.80927800050407039</c:v>
                </c:pt>
                <c:pt idx="20">
                  <c:v>0.72603273351083009</c:v>
                </c:pt>
                <c:pt idx="21">
                  <c:v>0.7149479010863371</c:v>
                </c:pt>
                <c:pt idx="22">
                  <c:v>0.58059830373738863</c:v>
                </c:pt>
                <c:pt idx="23">
                  <c:v>0.88358052799919173</c:v>
                </c:pt>
                <c:pt idx="24">
                  <c:v>0.81892975179371741</c:v>
                </c:pt>
                <c:pt idx="25">
                  <c:v>1.1177915794731781</c:v>
                </c:pt>
                <c:pt idx="26">
                  <c:v>0.99780185527350196</c:v>
                </c:pt>
                <c:pt idx="27">
                  <c:v>1.0004331550173551</c:v>
                </c:pt>
                <c:pt idx="28">
                  <c:v>1.2724996265271729</c:v>
                </c:pt>
                <c:pt idx="29">
                  <c:v>1.3292117114152802</c:v>
                </c:pt>
                <c:pt idx="30">
                  <c:v>1.1613308387761199</c:v>
                </c:pt>
                <c:pt idx="31">
                  <c:v>1.1624390533017777</c:v>
                </c:pt>
                <c:pt idx="32">
                  <c:v>1.2561887071822939</c:v>
                </c:pt>
                <c:pt idx="33">
                  <c:v>1.26612401125814</c:v>
                </c:pt>
                <c:pt idx="34">
                  <c:v>1.0568845626754031</c:v>
                </c:pt>
                <c:pt idx="35">
                  <c:v>1.1081295821542667</c:v>
                </c:pt>
                <c:pt idx="36">
                  <c:v>1.1499172937944808</c:v>
                </c:pt>
                <c:pt idx="37">
                  <c:v>1.1725029952856347</c:v>
                </c:pt>
                <c:pt idx="38">
                  <c:v>1.4299631794327876</c:v>
                </c:pt>
                <c:pt idx="39">
                  <c:v>1.3047594413542503</c:v>
                </c:pt>
                <c:pt idx="40">
                  <c:v>1.2400337682019091</c:v>
                </c:pt>
                <c:pt idx="41">
                  <c:v>1.2573490425034399</c:v>
                </c:pt>
                <c:pt idx="42">
                  <c:v>1.4110099463933947</c:v>
                </c:pt>
                <c:pt idx="43">
                  <c:v>1.3372310027858674</c:v>
                </c:pt>
                <c:pt idx="44">
                  <c:v>1.4161058348451336</c:v>
                </c:pt>
                <c:pt idx="45">
                  <c:v>1.4922273847026908</c:v>
                </c:pt>
                <c:pt idx="46">
                  <c:v>1.2637237517529236</c:v>
                </c:pt>
                <c:pt idx="47">
                  <c:v>1.2096143593646482</c:v>
                </c:pt>
                <c:pt idx="48">
                  <c:v>0.87702987478124506</c:v>
                </c:pt>
                <c:pt idx="49">
                  <c:v>1.3212591133623373</c:v>
                </c:pt>
                <c:pt idx="50">
                  <c:v>1.239937241976103</c:v>
                </c:pt>
                <c:pt idx="51">
                  <c:v>0.66216148907345229</c:v>
                </c:pt>
                <c:pt idx="52">
                  <c:v>0.29753413668978951</c:v>
                </c:pt>
                <c:pt idx="53">
                  <c:v>0.26845187145005717</c:v>
                </c:pt>
                <c:pt idx="54">
                  <c:v>0.11299671549612886</c:v>
                </c:pt>
                <c:pt idx="55">
                  <c:v>0.33722735929408854</c:v>
                </c:pt>
                <c:pt idx="56">
                  <c:v>0.41013686290634771</c:v>
                </c:pt>
                <c:pt idx="57">
                  <c:v>0.28286444478802031</c:v>
                </c:pt>
                <c:pt idx="58">
                  <c:v>0.19454730047466601</c:v>
                </c:pt>
                <c:pt idx="59">
                  <c:v>0.13602572885501005</c:v>
                </c:pt>
                <c:pt idx="60">
                  <c:v>0.13502522852142659</c:v>
                </c:pt>
                <c:pt idx="61">
                  <c:v>0.12584143962446742</c:v>
                </c:pt>
                <c:pt idx="62">
                  <c:v>-5.9396182300423567E-2</c:v>
                </c:pt>
                <c:pt idx="63">
                  <c:v>-0.29802696110583671</c:v>
                </c:pt>
                <c:pt idx="64">
                  <c:v>-0.34285621914394826</c:v>
                </c:pt>
                <c:pt idx="65">
                  <c:v>-0.27299501156101469</c:v>
                </c:pt>
                <c:pt idx="66">
                  <c:v>-0.15513503211203358</c:v>
                </c:pt>
                <c:pt idx="67">
                  <c:v>9.7822309422957804E-2</c:v>
                </c:pt>
                <c:pt idx="68">
                  <c:v>0.17352968681720568</c:v>
                </c:pt>
                <c:pt idx="69">
                  <c:v>0.18165770837166784</c:v>
                </c:pt>
                <c:pt idx="70">
                  <c:v>0.28305084734264024</c:v>
                </c:pt>
                <c:pt idx="71">
                  <c:v>0.43362621850277183</c:v>
                </c:pt>
                <c:pt idx="72">
                  <c:v>0.44744013986675707</c:v>
                </c:pt>
                <c:pt idx="73">
                  <c:v>0.8906843811031393</c:v>
                </c:pt>
                <c:pt idx="74">
                  <c:v>1.094287834759812</c:v>
                </c:pt>
                <c:pt idx="75">
                  <c:v>0.98945022937714699</c:v>
                </c:pt>
                <c:pt idx="76">
                  <c:v>0.96433214703356274</c:v>
                </c:pt>
                <c:pt idx="77">
                  <c:v>0.97464769970336473</c:v>
                </c:pt>
                <c:pt idx="78">
                  <c:v>1.1020077817879363</c:v>
                </c:pt>
                <c:pt idx="79">
                  <c:v>0.93661559011839668</c:v>
                </c:pt>
                <c:pt idx="80">
                  <c:v>0.90927424451407557</c:v>
                </c:pt>
                <c:pt idx="81">
                  <c:v>0.70003366135354639</c:v>
                </c:pt>
                <c:pt idx="82">
                  <c:v>0.7000566302345419</c:v>
                </c:pt>
                <c:pt idx="83">
                  <c:v>0.64578092981887125</c:v>
                </c:pt>
                <c:pt idx="84">
                  <c:v>0.61065672436106899</c:v>
                </c:pt>
                <c:pt idx="85">
                  <c:v>0.58116457471511251</c:v>
                </c:pt>
                <c:pt idx="86">
                  <c:v>0.55705177886669344</c:v>
                </c:pt>
                <c:pt idx="87">
                  <c:v>0.23934672165418025</c:v>
                </c:pt>
                <c:pt idx="88">
                  <c:v>0.39022622766873671</c:v>
                </c:pt>
                <c:pt idx="89">
                  <c:v>1.0059534354290842</c:v>
                </c:pt>
                <c:pt idx="90">
                  <c:v>1.3368483634003465</c:v>
                </c:pt>
                <c:pt idx="91">
                  <c:v>1.2037290833848491</c:v>
                </c:pt>
                <c:pt idx="92">
                  <c:v>1.159802655645318</c:v>
                </c:pt>
                <c:pt idx="93">
                  <c:v>1.1409854426872221</c:v>
                </c:pt>
                <c:pt idx="94">
                  <c:v>1.2570215639977758</c:v>
                </c:pt>
                <c:pt idx="95">
                  <c:v>1.3629239049497548</c:v>
                </c:pt>
                <c:pt idx="96">
                  <c:v>1.3130382256684765</c:v>
                </c:pt>
                <c:pt idx="97">
                  <c:v>1.4940094634385641</c:v>
                </c:pt>
                <c:pt idx="98">
                  <c:v>1.4385282294135027</c:v>
                </c:pt>
                <c:pt idx="99">
                  <c:v>1.4388109948614491</c:v>
                </c:pt>
                <c:pt idx="100">
                  <c:v>1.8410336816661932</c:v>
                </c:pt>
                <c:pt idx="101">
                  <c:v>1.990005109494289</c:v>
                </c:pt>
                <c:pt idx="102">
                  <c:v>2.0362983934651337</c:v>
                </c:pt>
                <c:pt idx="103">
                  <c:v>1.7439558237683728</c:v>
                </c:pt>
                <c:pt idx="104">
                  <c:v>1.3959991691451386</c:v>
                </c:pt>
                <c:pt idx="105">
                  <c:v>1.6114262957694963</c:v>
                </c:pt>
                <c:pt idx="106">
                  <c:v>1.8105547242785831</c:v>
                </c:pt>
                <c:pt idx="107">
                  <c:v>1.7198576336175038</c:v>
                </c:pt>
                <c:pt idx="108">
                  <c:v>1.5895302045113018</c:v>
                </c:pt>
                <c:pt idx="109">
                  <c:v>1.6958490336109395</c:v>
                </c:pt>
                <c:pt idx="110">
                  <c:v>1.7879611889454845</c:v>
                </c:pt>
                <c:pt idx="111">
                  <c:v>2.0722557592793853</c:v>
                </c:pt>
                <c:pt idx="112">
                  <c:v>2.2561904931872401</c:v>
                </c:pt>
                <c:pt idx="113">
                  <c:v>2.3465136987907127</c:v>
                </c:pt>
                <c:pt idx="114">
                  <c:v>2.8048744505060013</c:v>
                </c:pt>
                <c:pt idx="115">
                  <c:v>2.9429079976393098</c:v>
                </c:pt>
                <c:pt idx="116">
                  <c:v>2.884368586769646</c:v>
                </c:pt>
                <c:pt idx="117">
                  <c:v>2.9510925082591242</c:v>
                </c:pt>
                <c:pt idx="118">
                  <c:v>2.8511775620680511</c:v>
                </c:pt>
                <c:pt idx="119">
                  <c:v>2.8259076454124776</c:v>
                </c:pt>
                <c:pt idx="120">
                  <c:v>2.9500345966823311</c:v>
                </c:pt>
                <c:pt idx="121">
                  <c:v>3.0122775856926269</c:v>
                </c:pt>
                <c:pt idx="122">
                  <c:v>2.9594323047700941</c:v>
                </c:pt>
                <c:pt idx="123">
                  <c:v>2.9409311244213567</c:v>
                </c:pt>
                <c:pt idx="124">
                  <c:v>2.97161517010381</c:v>
                </c:pt>
                <c:pt idx="125">
                  <c:v>2.9779543355475457</c:v>
                </c:pt>
                <c:pt idx="126">
                  <c:v>3.1185829900428299</c:v>
                </c:pt>
                <c:pt idx="127">
                  <c:v>3.1735565352384389</c:v>
                </c:pt>
                <c:pt idx="128">
                  <c:v>3.1004538119373173</c:v>
                </c:pt>
                <c:pt idx="129">
                  <c:v>3.1409068604542063</c:v>
                </c:pt>
                <c:pt idx="130">
                  <c:v>3.2618095860988463</c:v>
                </c:pt>
                <c:pt idx="131">
                  <c:v>3.2654967343425461</c:v>
                </c:pt>
                <c:pt idx="132">
                  <c:v>3.3068850123594449</c:v>
                </c:pt>
                <c:pt idx="133">
                  <c:v>3.3955278395281048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EF-1743-8FC7-2AED2F932A8D}"/>
            </c:ext>
          </c:extLst>
        </c:ser>
        <c:ser>
          <c:idx val="4"/>
          <c:order val="4"/>
          <c:tx>
            <c:strRef>
              <c:f>'預測ＧＢＲＴ累積報酬 '!$A$23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'預測ＧＢＲＴ累積報酬 '!$B$23:$EE$23</c:f>
              <c:numCache>
                <c:formatCode>General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EF-1743-8FC7-2AED2F932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6668959"/>
        <c:axId val="1086670879"/>
      </c:lineChart>
      <c:catAx>
        <c:axId val="10866689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6670879"/>
        <c:crosses val="autoZero"/>
        <c:auto val="1"/>
        <c:lblAlgn val="ctr"/>
        <c:lblOffset val="100"/>
        <c:noMultiLvlLbl val="0"/>
      </c:catAx>
      <c:valAx>
        <c:axId val="108667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666895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ＧＢＲＴ再投資累積報酬!$C$23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ＧＢＲＴ再投資累積報酬!$D$22:$EG$22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ＧＢＲＴ再投資累積報酬!$D$23:$EG$23</c:f>
              <c:numCache>
                <c:formatCode>General</c:formatCode>
                <c:ptCount val="134"/>
                <c:pt idx="0">
                  <c:v>1.44992469840961E-2</c:v>
                </c:pt>
                <c:pt idx="1">
                  <c:v>-3.9213245731639651E-4</c:v>
                </c:pt>
                <c:pt idx="2">
                  <c:v>1.001045558920888E-3</c:v>
                </c:pt>
                <c:pt idx="3">
                  <c:v>-5.5014357119156247E-2</c:v>
                </c:pt>
                <c:pt idx="4">
                  <c:v>-1.536138516245622E-2</c:v>
                </c:pt>
                <c:pt idx="5">
                  <c:v>-2.4813185614166119E-2</c:v>
                </c:pt>
                <c:pt idx="6">
                  <c:v>9.0323693452580844E-3</c:v>
                </c:pt>
                <c:pt idx="7">
                  <c:v>3.2546476297351079E-2</c:v>
                </c:pt>
                <c:pt idx="8">
                  <c:v>4.2835704774678351E-2</c:v>
                </c:pt>
                <c:pt idx="9">
                  <c:v>7.5489742594432307E-2</c:v>
                </c:pt>
                <c:pt idx="10">
                  <c:v>5.6109786849479981E-2</c:v>
                </c:pt>
                <c:pt idx="11">
                  <c:v>9.2760338902505568E-2</c:v>
                </c:pt>
                <c:pt idx="12">
                  <c:v>0.12202967709692759</c:v>
                </c:pt>
                <c:pt idx="13">
                  <c:v>0.1217443134118554</c:v>
                </c:pt>
                <c:pt idx="14">
                  <c:v>0.1478582699885751</c:v>
                </c:pt>
                <c:pt idx="15">
                  <c:v>0.17813861189379729</c:v>
                </c:pt>
                <c:pt idx="16">
                  <c:v>0.26134171506414328</c:v>
                </c:pt>
                <c:pt idx="17">
                  <c:v>0.36397823295921811</c:v>
                </c:pt>
                <c:pt idx="18">
                  <c:v>0.37666431631300812</c:v>
                </c:pt>
                <c:pt idx="19">
                  <c:v>0.39334010433867878</c:v>
                </c:pt>
                <c:pt idx="20">
                  <c:v>0.43293557367053342</c:v>
                </c:pt>
                <c:pt idx="21">
                  <c:v>0.58535612511784896</c:v>
                </c:pt>
                <c:pt idx="22">
                  <c:v>0.66308010963605168</c:v>
                </c:pt>
                <c:pt idx="23">
                  <c:v>0.77178361299203746</c:v>
                </c:pt>
                <c:pt idx="24">
                  <c:v>0.78401206415056124</c:v>
                </c:pt>
                <c:pt idx="25">
                  <c:v>0.80872643092733809</c:v>
                </c:pt>
                <c:pt idx="26">
                  <c:v>0.85659289637632297</c:v>
                </c:pt>
                <c:pt idx="27">
                  <c:v>0.91065120334982819</c:v>
                </c:pt>
                <c:pt idx="28">
                  <c:v>0.99937748258041958</c:v>
                </c:pt>
                <c:pt idx="29">
                  <c:v>1.043832561171159</c:v>
                </c:pt>
                <c:pt idx="30">
                  <c:v>1.051629640183813</c:v>
                </c:pt>
                <c:pt idx="31">
                  <c:v>1.090205878022614</c:v>
                </c:pt>
                <c:pt idx="32">
                  <c:v>1.071825041265178</c:v>
                </c:pt>
                <c:pt idx="33">
                  <c:v>1.113369464788861</c:v>
                </c:pt>
                <c:pt idx="34">
                  <c:v>1.1433070669142911</c:v>
                </c:pt>
                <c:pt idx="35">
                  <c:v>1.244070733143577</c:v>
                </c:pt>
                <c:pt idx="36">
                  <c:v>1.308118593283359</c:v>
                </c:pt>
                <c:pt idx="37">
                  <c:v>1.2466173220147101</c:v>
                </c:pt>
                <c:pt idx="38">
                  <c:v>1.212928237466774</c:v>
                </c:pt>
                <c:pt idx="39">
                  <c:v>1.3008348875706091</c:v>
                </c:pt>
                <c:pt idx="40">
                  <c:v>1.323138071872318</c:v>
                </c:pt>
                <c:pt idx="41">
                  <c:v>1.3747652296163011</c:v>
                </c:pt>
                <c:pt idx="42">
                  <c:v>1.430007875810466</c:v>
                </c:pt>
                <c:pt idx="43">
                  <c:v>1.616836019592844</c:v>
                </c:pt>
                <c:pt idx="44">
                  <c:v>1.6071183036764649</c:v>
                </c:pt>
                <c:pt idx="45">
                  <c:v>1.729419023548219</c:v>
                </c:pt>
                <c:pt idx="46">
                  <c:v>1.777356965923153</c:v>
                </c:pt>
                <c:pt idx="47">
                  <c:v>1.8897890644963991</c:v>
                </c:pt>
                <c:pt idx="48">
                  <c:v>2.0289512413082291</c:v>
                </c:pt>
                <c:pt idx="49">
                  <c:v>2.1004785714312062</c:v>
                </c:pt>
                <c:pt idx="50">
                  <c:v>2.1824376447651792</c:v>
                </c:pt>
                <c:pt idx="51">
                  <c:v>2.186364684351858</c:v>
                </c:pt>
                <c:pt idx="52">
                  <c:v>2.3051399630145442</c:v>
                </c:pt>
                <c:pt idx="53">
                  <c:v>2.332313436099215</c:v>
                </c:pt>
                <c:pt idx="54">
                  <c:v>2.214454357905518</c:v>
                </c:pt>
                <c:pt idx="55">
                  <c:v>2.4423750331895482</c:v>
                </c:pt>
                <c:pt idx="56">
                  <c:v>2.5413087600612281</c:v>
                </c:pt>
                <c:pt idx="57">
                  <c:v>2.8385090912484361</c:v>
                </c:pt>
                <c:pt idx="58">
                  <c:v>3.1401166854202871</c:v>
                </c:pt>
                <c:pt idx="59">
                  <c:v>3.2422249056125239</c:v>
                </c:pt>
                <c:pt idx="60">
                  <c:v>3.239436136977349</c:v>
                </c:pt>
                <c:pt idx="61">
                  <c:v>3.454020987741163</c:v>
                </c:pt>
                <c:pt idx="62">
                  <c:v>3.5459253392314412</c:v>
                </c:pt>
                <c:pt idx="63">
                  <c:v>3.6109559807832849</c:v>
                </c:pt>
                <c:pt idx="64">
                  <c:v>3.8947201110329281</c:v>
                </c:pt>
                <c:pt idx="65">
                  <c:v>4.0562212853016639</c:v>
                </c:pt>
                <c:pt idx="66">
                  <c:v>4.2193663464204674</c:v>
                </c:pt>
                <c:pt idx="67">
                  <c:v>4.5168006799058817</c:v>
                </c:pt>
                <c:pt idx="68">
                  <c:v>4.6968848039482358</c:v>
                </c:pt>
                <c:pt idx="69">
                  <c:v>4.7901130893320918</c:v>
                </c:pt>
                <c:pt idx="70">
                  <c:v>4.8880529519686444</c:v>
                </c:pt>
                <c:pt idx="71">
                  <c:v>5.1116172702687441</c:v>
                </c:pt>
                <c:pt idx="72">
                  <c:v>5.3834436953827636</c:v>
                </c:pt>
                <c:pt idx="73">
                  <c:v>5.4789934259146182</c:v>
                </c:pt>
                <c:pt idx="74">
                  <c:v>6.0492181557677176</c:v>
                </c:pt>
                <c:pt idx="75">
                  <c:v>6.2588336491036296</c:v>
                </c:pt>
                <c:pt idx="76">
                  <c:v>6.2544515751817116</c:v>
                </c:pt>
                <c:pt idx="77">
                  <c:v>6.4515830469243918</c:v>
                </c:pt>
                <c:pt idx="78">
                  <c:v>6.3314547300711306</c:v>
                </c:pt>
                <c:pt idx="79">
                  <c:v>6.6909585315712974</c:v>
                </c:pt>
                <c:pt idx="80">
                  <c:v>7.0817864259614467</c:v>
                </c:pt>
                <c:pt idx="81">
                  <c:v>7.1760044195668584</c:v>
                </c:pt>
                <c:pt idx="82">
                  <c:v>7.3448875329194374</c:v>
                </c:pt>
                <c:pt idx="83">
                  <c:v>7.6165817436609551</c:v>
                </c:pt>
                <c:pt idx="84">
                  <c:v>8.1257683177126889</c:v>
                </c:pt>
                <c:pt idx="85">
                  <c:v>8.7103594894635386</c:v>
                </c:pt>
                <c:pt idx="86">
                  <c:v>9.3803020870502287</c:v>
                </c:pt>
                <c:pt idx="87">
                  <c:v>10.49633858718077</c:v>
                </c:pt>
                <c:pt idx="88">
                  <c:v>10.19336464523526</c:v>
                </c:pt>
                <c:pt idx="89">
                  <c:v>11.94145935338617</c:v>
                </c:pt>
                <c:pt idx="90">
                  <c:v>12.66853411779103</c:v>
                </c:pt>
                <c:pt idx="91">
                  <c:v>12.65479693980704</c:v>
                </c:pt>
                <c:pt idx="92">
                  <c:v>13.57481051740257</c:v>
                </c:pt>
                <c:pt idx="93">
                  <c:v>14.38820633968222</c:v>
                </c:pt>
                <c:pt idx="94">
                  <c:v>14.730688774042139</c:v>
                </c:pt>
                <c:pt idx="95">
                  <c:v>15.76394477526803</c:v>
                </c:pt>
                <c:pt idx="96">
                  <c:v>16.624230589120771</c:v>
                </c:pt>
                <c:pt idx="97">
                  <c:v>17.249594591419189</c:v>
                </c:pt>
                <c:pt idx="98">
                  <c:v>17.558842711100461</c:v>
                </c:pt>
                <c:pt idx="99">
                  <c:v>18.129576087657679</c:v>
                </c:pt>
                <c:pt idx="100">
                  <c:v>17.815457042330571</c:v>
                </c:pt>
                <c:pt idx="101">
                  <c:v>18.047343665697358</c:v>
                </c:pt>
                <c:pt idx="102">
                  <c:v>19.256768585630031</c:v>
                </c:pt>
                <c:pt idx="103">
                  <c:v>18.535925750058251</c:v>
                </c:pt>
                <c:pt idx="104">
                  <c:v>19.010972059338329</c:v>
                </c:pt>
                <c:pt idx="105">
                  <c:v>20.287549360431239</c:v>
                </c:pt>
                <c:pt idx="106">
                  <c:v>21.929502729352539</c:v>
                </c:pt>
                <c:pt idx="107">
                  <c:v>21.662962859342681</c:v>
                </c:pt>
                <c:pt idx="108">
                  <c:v>20.58886484220594</c:v>
                </c:pt>
                <c:pt idx="109">
                  <c:v>19.9238596881634</c:v>
                </c:pt>
                <c:pt idx="110">
                  <c:v>19.296577972246538</c:v>
                </c:pt>
                <c:pt idx="111">
                  <c:v>20.24441892696699</c:v>
                </c:pt>
                <c:pt idx="112">
                  <c:v>20.26717591938656</c:v>
                </c:pt>
                <c:pt idx="113">
                  <c:v>20.528985137514709</c:v>
                </c:pt>
                <c:pt idx="114">
                  <c:v>21.73061762958746</c:v>
                </c:pt>
                <c:pt idx="115">
                  <c:v>22.1297259669029</c:v>
                </c:pt>
                <c:pt idx="116">
                  <c:v>22.569901496689969</c:v>
                </c:pt>
                <c:pt idx="117">
                  <c:v>24.067084418443251</c:v>
                </c:pt>
                <c:pt idx="118">
                  <c:v>24.73605867065762</c:v>
                </c:pt>
                <c:pt idx="119">
                  <c:v>25.23475573648324</c:v>
                </c:pt>
                <c:pt idx="120">
                  <c:v>24.02732001883604</c:v>
                </c:pt>
                <c:pt idx="121">
                  <c:v>24.27949357157285</c:v>
                </c:pt>
                <c:pt idx="122">
                  <c:v>25.436969332777089</c:v>
                </c:pt>
                <c:pt idx="123">
                  <c:v>25.408493470471541</c:v>
                </c:pt>
                <c:pt idx="124">
                  <c:v>26.926491396586151</c:v>
                </c:pt>
                <c:pt idx="125">
                  <c:v>27.980199367898361</c:v>
                </c:pt>
                <c:pt idx="126">
                  <c:v>26.162322985598131</c:v>
                </c:pt>
                <c:pt idx="127">
                  <c:v>26.935180323001521</c:v>
                </c:pt>
                <c:pt idx="128">
                  <c:v>29.637494464462939</c:v>
                </c:pt>
                <c:pt idx="129">
                  <c:v>30.61444496601823</c:v>
                </c:pt>
                <c:pt idx="130">
                  <c:v>31.299927436983481</c:v>
                </c:pt>
                <c:pt idx="131">
                  <c:v>32.216632992124012</c:v>
                </c:pt>
                <c:pt idx="132">
                  <c:v>31.279383166065472</c:v>
                </c:pt>
                <c:pt idx="133">
                  <c:v>30.25254828299018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32-2F4D-8DAE-192AF81481EA}"/>
            </c:ext>
          </c:extLst>
        </c:ser>
        <c:ser>
          <c:idx val="1"/>
          <c:order val="1"/>
          <c:tx>
            <c:strRef>
              <c:f>ＧＢＲＴ再投資累積報酬!$C$24</c:f>
              <c:strCache>
                <c:ptCount val="1"/>
                <c:pt idx="0">
                  <c:v>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ＧＢＲＴ再投資累積報酬!$D$22:$EG$22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ＧＢＲＴ再投資累積報酬!$D$24:$EG$24</c:f>
              <c:numCache>
                <c:formatCode>General</c:formatCode>
                <c:ptCount val="134"/>
                <c:pt idx="0">
                  <c:v>-7.4773642018864939E-3</c:v>
                </c:pt>
                <c:pt idx="1">
                  <c:v>-2.061307142629532E-3</c:v>
                </c:pt>
                <c:pt idx="2">
                  <c:v>3.4509336694801269E-3</c:v>
                </c:pt>
                <c:pt idx="3">
                  <c:v>-5.6742602548122578E-2</c:v>
                </c:pt>
                <c:pt idx="4">
                  <c:v>-2.781188186054873E-2</c:v>
                </c:pt>
                <c:pt idx="5">
                  <c:v>-4.4716665122293442E-2</c:v>
                </c:pt>
                <c:pt idx="6">
                  <c:v>1.0770031231770449E-2</c:v>
                </c:pt>
                <c:pt idx="7">
                  <c:v>5.1055973038990787E-2</c:v>
                </c:pt>
                <c:pt idx="8">
                  <c:v>6.7727495995814513E-2</c:v>
                </c:pt>
                <c:pt idx="9">
                  <c:v>0.13030417350407489</c:v>
                </c:pt>
                <c:pt idx="10">
                  <c:v>0.12818909094345349</c:v>
                </c:pt>
                <c:pt idx="11">
                  <c:v>0.17714394295791691</c:v>
                </c:pt>
                <c:pt idx="12">
                  <c:v>0.20683181625194599</c:v>
                </c:pt>
                <c:pt idx="13">
                  <c:v>0.19925575132375381</c:v>
                </c:pt>
                <c:pt idx="14">
                  <c:v>0.2077219192231714</c:v>
                </c:pt>
                <c:pt idx="15">
                  <c:v>0.21699003486270141</c:v>
                </c:pt>
                <c:pt idx="16">
                  <c:v>0.32941677392414342</c:v>
                </c:pt>
                <c:pt idx="17">
                  <c:v>0.460682274826691</c:v>
                </c:pt>
                <c:pt idx="18">
                  <c:v>0.50075501209876228</c:v>
                </c:pt>
                <c:pt idx="19">
                  <c:v>0.53501837874449687</c:v>
                </c:pt>
                <c:pt idx="20">
                  <c:v>0.58255621566379845</c:v>
                </c:pt>
                <c:pt idx="21">
                  <c:v>0.82055016294012328</c:v>
                </c:pt>
                <c:pt idx="22">
                  <c:v>0.92904450628665547</c:v>
                </c:pt>
                <c:pt idx="23">
                  <c:v>1.101880309641269</c:v>
                </c:pt>
                <c:pt idx="24">
                  <c:v>1.189732493535635</c:v>
                </c:pt>
                <c:pt idx="25">
                  <c:v>1.21067436895983</c:v>
                </c:pt>
                <c:pt idx="26">
                  <c:v>1.349697626153372</c:v>
                </c:pt>
                <c:pt idx="27">
                  <c:v>1.4498187898693999</c:v>
                </c:pt>
                <c:pt idx="28">
                  <c:v>1.6386297947285711</c:v>
                </c:pt>
                <c:pt idx="29">
                  <c:v>1.8123322354275091</c:v>
                </c:pt>
                <c:pt idx="30">
                  <c:v>1.784475500438053</c:v>
                </c:pt>
                <c:pt idx="31">
                  <c:v>1.934604740786614</c:v>
                </c:pt>
                <c:pt idx="32">
                  <c:v>1.879885964683039</c:v>
                </c:pt>
                <c:pt idx="33">
                  <c:v>1.9174275515929291</c:v>
                </c:pt>
                <c:pt idx="34">
                  <c:v>1.9533690896965581</c:v>
                </c:pt>
                <c:pt idx="35">
                  <c:v>2.191408942020959</c:v>
                </c:pt>
                <c:pt idx="36">
                  <c:v>2.324929283819325</c:v>
                </c:pt>
                <c:pt idx="37">
                  <c:v>2.2252556824962402</c:v>
                </c:pt>
                <c:pt idx="38">
                  <c:v>2.2307671499892772</c:v>
                </c:pt>
                <c:pt idx="39">
                  <c:v>2.382319821547922</c:v>
                </c:pt>
                <c:pt idx="40">
                  <c:v>2.4915462505469592</c:v>
                </c:pt>
                <c:pt idx="41">
                  <c:v>2.5643381596896662</c:v>
                </c:pt>
                <c:pt idx="42">
                  <c:v>2.6193791356543019</c:v>
                </c:pt>
                <c:pt idx="43">
                  <c:v>2.939200309420555</c:v>
                </c:pt>
                <c:pt idx="44">
                  <c:v>3.0010277065426001</c:v>
                </c:pt>
                <c:pt idx="45">
                  <c:v>3.333760201613877</c:v>
                </c:pt>
                <c:pt idx="46">
                  <c:v>3.5587370014139559</c:v>
                </c:pt>
                <c:pt idx="47">
                  <c:v>3.779535890797288</c:v>
                </c:pt>
                <c:pt idx="48">
                  <c:v>4.1059167399851351</c:v>
                </c:pt>
                <c:pt idx="49">
                  <c:v>4.2653261978576253</c:v>
                </c:pt>
                <c:pt idx="50">
                  <c:v>4.4032160032931493</c:v>
                </c:pt>
                <c:pt idx="51">
                  <c:v>4.6974882890449194</c:v>
                </c:pt>
                <c:pt idx="52">
                  <c:v>4.9669285265340246</c:v>
                </c:pt>
                <c:pt idx="53">
                  <c:v>5.0323398657427258</c:v>
                </c:pt>
                <c:pt idx="54">
                  <c:v>4.7682814909562401</c:v>
                </c:pt>
                <c:pt idx="55">
                  <c:v>5.1834913645488996</c:v>
                </c:pt>
                <c:pt idx="56">
                  <c:v>5.5410569714755784</c:v>
                </c:pt>
                <c:pt idx="57">
                  <c:v>5.9488029642231197</c:v>
                </c:pt>
                <c:pt idx="58">
                  <c:v>6.4375783555607882</c:v>
                </c:pt>
                <c:pt idx="59">
                  <c:v>6.6180592835661889</c:v>
                </c:pt>
                <c:pt idx="60">
                  <c:v>6.550423137134433</c:v>
                </c:pt>
                <c:pt idx="61">
                  <c:v>6.847234131887145</c:v>
                </c:pt>
                <c:pt idx="62">
                  <c:v>7.0419401268041177</c:v>
                </c:pt>
                <c:pt idx="63">
                  <c:v>7.1080952638835999</c:v>
                </c:pt>
                <c:pt idx="64">
                  <c:v>7.7776442272618613</c:v>
                </c:pt>
                <c:pt idx="65">
                  <c:v>8.2832192014383192</c:v>
                </c:pt>
                <c:pt idx="66">
                  <c:v>8.5076549999217939</c:v>
                </c:pt>
                <c:pt idx="67">
                  <c:v>9.2818462484857953</c:v>
                </c:pt>
                <c:pt idx="68">
                  <c:v>9.6949761193349584</c:v>
                </c:pt>
                <c:pt idx="69">
                  <c:v>9.7005489684641333</c:v>
                </c:pt>
                <c:pt idx="70">
                  <c:v>9.8666981730947558</c:v>
                </c:pt>
                <c:pt idx="71">
                  <c:v>10.625351047625321</c:v>
                </c:pt>
                <c:pt idx="72">
                  <c:v>11.505552942373599</c:v>
                </c:pt>
                <c:pt idx="73">
                  <c:v>11.98364557873928</c:v>
                </c:pt>
                <c:pt idx="74">
                  <c:v>13.13780658526658</c:v>
                </c:pt>
                <c:pt idx="75">
                  <c:v>13.839320914808029</c:v>
                </c:pt>
                <c:pt idx="76">
                  <c:v>13.675776975795779</c:v>
                </c:pt>
                <c:pt idx="77">
                  <c:v>14.057602235165479</c:v>
                </c:pt>
                <c:pt idx="78">
                  <c:v>14.181448143148071</c:v>
                </c:pt>
                <c:pt idx="79">
                  <c:v>15.745692830951389</c:v>
                </c:pt>
                <c:pt idx="80">
                  <c:v>17.075934997552999</c:v>
                </c:pt>
                <c:pt idx="81">
                  <c:v>17.274140772551839</c:v>
                </c:pt>
                <c:pt idx="82">
                  <c:v>17.402220989937192</c:v>
                </c:pt>
                <c:pt idx="83">
                  <c:v>18.690026653005042</c:v>
                </c:pt>
                <c:pt idx="84">
                  <c:v>19.721125553818691</c:v>
                </c:pt>
                <c:pt idx="85">
                  <c:v>21.398752627218219</c:v>
                </c:pt>
                <c:pt idx="86">
                  <c:v>22.176267717530241</c:v>
                </c:pt>
                <c:pt idx="87">
                  <c:v>24.398980765900362</c:v>
                </c:pt>
                <c:pt idx="88">
                  <c:v>24.043122382887891</c:v>
                </c:pt>
                <c:pt idx="89">
                  <c:v>28.844731706967639</c:v>
                </c:pt>
                <c:pt idx="90">
                  <c:v>30.65476202426483</c:v>
                </c:pt>
                <c:pt idx="91">
                  <c:v>31.30612192759294</c:v>
                </c:pt>
                <c:pt idx="92">
                  <c:v>33.674783391540011</c:v>
                </c:pt>
                <c:pt idx="93">
                  <c:v>35.883362873124192</c:v>
                </c:pt>
                <c:pt idx="94">
                  <c:v>36.637175744360853</c:v>
                </c:pt>
                <c:pt idx="95">
                  <c:v>40.207754587052669</c:v>
                </c:pt>
                <c:pt idx="96">
                  <c:v>44.017988696623682</c:v>
                </c:pt>
                <c:pt idx="97">
                  <c:v>46.474930497180878</c:v>
                </c:pt>
                <c:pt idx="98">
                  <c:v>47.517866486171798</c:v>
                </c:pt>
                <c:pt idx="99">
                  <c:v>49.001680705851143</c:v>
                </c:pt>
                <c:pt idx="100">
                  <c:v>46.941523863620837</c:v>
                </c:pt>
                <c:pt idx="101">
                  <c:v>47.176351810547779</c:v>
                </c:pt>
                <c:pt idx="102">
                  <c:v>51.597184174541773</c:v>
                </c:pt>
                <c:pt idx="103">
                  <c:v>48.3700215993697</c:v>
                </c:pt>
                <c:pt idx="104">
                  <c:v>49.727663089310177</c:v>
                </c:pt>
                <c:pt idx="105">
                  <c:v>53.978948097282711</c:v>
                </c:pt>
                <c:pt idx="106">
                  <c:v>57.205466458029463</c:v>
                </c:pt>
                <c:pt idx="107">
                  <c:v>56.200163059337669</c:v>
                </c:pt>
                <c:pt idx="108">
                  <c:v>52.119745943082457</c:v>
                </c:pt>
                <c:pt idx="109">
                  <c:v>50.058353622278418</c:v>
                </c:pt>
                <c:pt idx="110">
                  <c:v>48.548536679824608</c:v>
                </c:pt>
                <c:pt idx="111">
                  <c:v>51.623293137964282</c:v>
                </c:pt>
                <c:pt idx="112">
                  <c:v>50.391861144052818</c:v>
                </c:pt>
                <c:pt idx="113">
                  <c:v>51.174667612519293</c:v>
                </c:pt>
                <c:pt idx="114">
                  <c:v>53.811784552114098</c:v>
                </c:pt>
                <c:pt idx="115">
                  <c:v>55.700641789466012</c:v>
                </c:pt>
                <c:pt idx="116">
                  <c:v>58.213905642112472</c:v>
                </c:pt>
                <c:pt idx="117">
                  <c:v>62.440920915454612</c:v>
                </c:pt>
                <c:pt idx="118">
                  <c:v>63.669085581483778</c:v>
                </c:pt>
                <c:pt idx="119">
                  <c:v>65.249216797953864</c:v>
                </c:pt>
                <c:pt idx="120">
                  <c:v>63.267358632294503</c:v>
                </c:pt>
                <c:pt idx="121">
                  <c:v>62.009399557944519</c:v>
                </c:pt>
                <c:pt idx="122">
                  <c:v>63.502650104909549</c:v>
                </c:pt>
                <c:pt idx="123">
                  <c:v>63.382115447367369</c:v>
                </c:pt>
                <c:pt idx="124">
                  <c:v>67.773746673784785</c:v>
                </c:pt>
                <c:pt idx="125">
                  <c:v>71.115789578060472</c:v>
                </c:pt>
                <c:pt idx="126">
                  <c:v>70.430356055685635</c:v>
                </c:pt>
                <c:pt idx="127">
                  <c:v>73.47463331228667</c:v>
                </c:pt>
                <c:pt idx="128">
                  <c:v>83.629737246444037</c:v>
                </c:pt>
                <c:pt idx="129">
                  <c:v>88.543305627075853</c:v>
                </c:pt>
                <c:pt idx="130">
                  <c:v>88.675466540592808</c:v>
                </c:pt>
                <c:pt idx="131">
                  <c:v>89.777135454942211</c:v>
                </c:pt>
                <c:pt idx="132">
                  <c:v>86.521188373558047</c:v>
                </c:pt>
                <c:pt idx="133">
                  <c:v>82.330738159218143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32-2F4D-8DAE-192AF81481EA}"/>
            </c:ext>
          </c:extLst>
        </c:ser>
        <c:ser>
          <c:idx val="2"/>
          <c:order val="2"/>
          <c:tx>
            <c:strRef>
              <c:f>ＧＢＲＴ再投資累積報酬!$C$25</c:f>
              <c:strCache>
                <c:ptCount val="1"/>
                <c:pt idx="0">
                  <c:v>50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ＧＢＲＴ再投資累積報酬!$D$22:$EG$22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ＧＢＲＴ再投資累積報酬!$D$25:$EG$25</c:f>
              <c:numCache>
                <c:formatCode>General</c:formatCode>
                <c:ptCount val="134"/>
                <c:pt idx="0">
                  <c:v>-3.3228977675766158E-2</c:v>
                </c:pt>
                <c:pt idx="1">
                  <c:v>0.1037079974345443</c:v>
                </c:pt>
                <c:pt idx="2">
                  <c:v>0.15659850805241929</c:v>
                </c:pt>
                <c:pt idx="3">
                  <c:v>8.6807150865061189E-2</c:v>
                </c:pt>
                <c:pt idx="4">
                  <c:v>8.9154553677129655E-2</c:v>
                </c:pt>
                <c:pt idx="5">
                  <c:v>0.1016888284000157</c:v>
                </c:pt>
                <c:pt idx="6">
                  <c:v>0.13379852760311281</c:v>
                </c:pt>
                <c:pt idx="7">
                  <c:v>0.2155164075169993</c:v>
                </c:pt>
                <c:pt idx="8">
                  <c:v>0.25566700143670401</c:v>
                </c:pt>
                <c:pt idx="9">
                  <c:v>0.3942391855583729</c:v>
                </c:pt>
                <c:pt idx="10">
                  <c:v>0.34889209500359097</c:v>
                </c:pt>
                <c:pt idx="11">
                  <c:v>0.42627726111613651</c:v>
                </c:pt>
                <c:pt idx="12">
                  <c:v>0.44085478637698849</c:v>
                </c:pt>
                <c:pt idx="13">
                  <c:v>0.45028002407424639</c:v>
                </c:pt>
                <c:pt idx="14">
                  <c:v>0.51864444592729675</c:v>
                </c:pt>
                <c:pt idx="15">
                  <c:v>0.55488146531145977</c:v>
                </c:pt>
                <c:pt idx="16">
                  <c:v>0.71316020022671101</c:v>
                </c:pt>
                <c:pt idx="17">
                  <c:v>0.95949010073308472</c:v>
                </c:pt>
                <c:pt idx="18">
                  <c:v>1.0284308846043191</c:v>
                </c:pt>
                <c:pt idx="19">
                  <c:v>1.148468877296049</c:v>
                </c:pt>
                <c:pt idx="20">
                  <c:v>1.251154953159296</c:v>
                </c:pt>
                <c:pt idx="21">
                  <c:v>1.742155564623882</c:v>
                </c:pt>
                <c:pt idx="22">
                  <c:v>1.824300762076444</c:v>
                </c:pt>
                <c:pt idx="23">
                  <c:v>2.2359252511865408</c:v>
                </c:pt>
                <c:pt idx="24">
                  <c:v>2.5824393215559058</c:v>
                </c:pt>
                <c:pt idx="25">
                  <c:v>2.7051896937413771</c:v>
                </c:pt>
                <c:pt idx="26">
                  <c:v>2.958333197047732</c:v>
                </c:pt>
                <c:pt idx="27">
                  <c:v>3.1096201228981428</c:v>
                </c:pt>
                <c:pt idx="28">
                  <c:v>3.5897754797682602</c:v>
                </c:pt>
                <c:pt idx="29">
                  <c:v>4.3082289775508844</c:v>
                </c:pt>
                <c:pt idx="30">
                  <c:v>4.1737752797928076</c:v>
                </c:pt>
                <c:pt idx="31">
                  <c:v>4.5838062280628611</c:v>
                </c:pt>
                <c:pt idx="32">
                  <c:v>4.7818227599275058</c:v>
                </c:pt>
                <c:pt idx="33">
                  <c:v>4.932494455460156</c:v>
                </c:pt>
                <c:pt idx="34">
                  <c:v>4.910210957926175</c:v>
                </c:pt>
                <c:pt idx="35">
                  <c:v>5.5127235165299044</c:v>
                </c:pt>
                <c:pt idx="36">
                  <c:v>5.6951724422315388</c:v>
                </c:pt>
                <c:pt idx="37">
                  <c:v>5.5670768999832454</c:v>
                </c:pt>
                <c:pt idx="38">
                  <c:v>5.8169170887370338</c:v>
                </c:pt>
                <c:pt idx="39">
                  <c:v>6.3432689273220966</c:v>
                </c:pt>
                <c:pt idx="40">
                  <c:v>6.7069042157176906</c:v>
                </c:pt>
                <c:pt idx="41">
                  <c:v>6.7653432940959624</c:v>
                </c:pt>
                <c:pt idx="42">
                  <c:v>6.9764305721745838</c:v>
                </c:pt>
                <c:pt idx="43">
                  <c:v>7.9905273327275452</c:v>
                </c:pt>
                <c:pt idx="44">
                  <c:v>8.5067779149194713</c:v>
                </c:pt>
                <c:pt idx="45">
                  <c:v>8.7223488055102241</c:v>
                </c:pt>
                <c:pt idx="46">
                  <c:v>9.9348280530705235</c:v>
                </c:pt>
                <c:pt idx="47">
                  <c:v>10.52205803313956</c:v>
                </c:pt>
                <c:pt idx="48">
                  <c:v>12.17257573550879</c:v>
                </c:pt>
                <c:pt idx="49">
                  <c:v>12.977032582109389</c:v>
                </c:pt>
                <c:pt idx="50">
                  <c:v>13.91195393727514</c:v>
                </c:pt>
                <c:pt idx="51">
                  <c:v>15.99935745331056</c:v>
                </c:pt>
                <c:pt idx="52">
                  <c:v>16.580774611239828</c:v>
                </c:pt>
                <c:pt idx="53">
                  <c:v>17.531712603917441</c:v>
                </c:pt>
                <c:pt idx="54">
                  <c:v>16.23297738073628</c:v>
                </c:pt>
                <c:pt idx="55">
                  <c:v>18.131578116746521</c:v>
                </c:pt>
                <c:pt idx="56">
                  <c:v>20.05381913384559</c:v>
                </c:pt>
                <c:pt idx="57">
                  <c:v>21.571529251341989</c:v>
                </c:pt>
                <c:pt idx="58">
                  <c:v>22.538269356335711</c:v>
                </c:pt>
                <c:pt idx="59">
                  <c:v>24.153093391397459</c:v>
                </c:pt>
                <c:pt idx="60">
                  <c:v>23.305649960899231</c:v>
                </c:pt>
                <c:pt idx="61">
                  <c:v>24.338557886678789</c:v>
                </c:pt>
                <c:pt idx="62">
                  <c:v>24.772614489240208</c:v>
                </c:pt>
                <c:pt idx="63">
                  <c:v>26.906398396420059</c:v>
                </c:pt>
                <c:pt idx="64">
                  <c:v>27.46845924216505</c:v>
                </c:pt>
                <c:pt idx="65">
                  <c:v>29.470342631351581</c:v>
                </c:pt>
                <c:pt idx="66">
                  <c:v>29.898606204558391</c:v>
                </c:pt>
                <c:pt idx="67">
                  <c:v>32.58147608784347</c:v>
                </c:pt>
                <c:pt idx="68">
                  <c:v>33.600093733084357</c:v>
                </c:pt>
                <c:pt idx="69">
                  <c:v>32.536954779045537</c:v>
                </c:pt>
                <c:pt idx="70">
                  <c:v>33.140704267997577</c:v>
                </c:pt>
                <c:pt idx="71">
                  <c:v>36.615178497675473</c:v>
                </c:pt>
                <c:pt idx="72">
                  <c:v>41.538911646954993</c:v>
                </c:pt>
                <c:pt idx="73">
                  <c:v>44.456716650910138</c:v>
                </c:pt>
                <c:pt idx="74">
                  <c:v>47.484587295348497</c:v>
                </c:pt>
                <c:pt idx="75">
                  <c:v>48.772260607338183</c:v>
                </c:pt>
                <c:pt idx="76">
                  <c:v>43.96842494741113</c:v>
                </c:pt>
                <c:pt idx="77">
                  <c:v>46.643014669313828</c:v>
                </c:pt>
                <c:pt idx="78">
                  <c:v>48.023503487422253</c:v>
                </c:pt>
                <c:pt idx="79">
                  <c:v>52.75857283205</c:v>
                </c:pt>
                <c:pt idx="80">
                  <c:v>58.906032750751002</c:v>
                </c:pt>
                <c:pt idx="81">
                  <c:v>60.148202210998313</c:v>
                </c:pt>
                <c:pt idx="82">
                  <c:v>59.912485310352089</c:v>
                </c:pt>
                <c:pt idx="83">
                  <c:v>61.446164303693038</c:v>
                </c:pt>
                <c:pt idx="84">
                  <c:v>65.481994995305385</c:v>
                </c:pt>
                <c:pt idx="85">
                  <c:v>73.813325982792662</c:v>
                </c:pt>
                <c:pt idx="86">
                  <c:v>77.573650133906895</c:v>
                </c:pt>
                <c:pt idx="87">
                  <c:v>79.15038296392035</c:v>
                </c:pt>
                <c:pt idx="88">
                  <c:v>79.558918032179818</c:v>
                </c:pt>
                <c:pt idx="89">
                  <c:v>97.110645254181719</c:v>
                </c:pt>
                <c:pt idx="90">
                  <c:v>108.7524529895247</c:v>
                </c:pt>
                <c:pt idx="91">
                  <c:v>119.0317972470275</c:v>
                </c:pt>
                <c:pt idx="92">
                  <c:v>130.12907049010079</c:v>
                </c:pt>
                <c:pt idx="93">
                  <c:v>146.59752277491069</c:v>
                </c:pt>
                <c:pt idx="94">
                  <c:v>143.37819698584519</c:v>
                </c:pt>
                <c:pt idx="95">
                  <c:v>157.7693946332837</c:v>
                </c:pt>
                <c:pt idx="96">
                  <c:v>177.13035173299511</c:v>
                </c:pt>
                <c:pt idx="97">
                  <c:v>187.58216384681469</c:v>
                </c:pt>
                <c:pt idx="98">
                  <c:v>185.94652487594769</c:v>
                </c:pt>
                <c:pt idx="99">
                  <c:v>202.8912134464569</c:v>
                </c:pt>
                <c:pt idx="100">
                  <c:v>183.24402569573309</c:v>
                </c:pt>
                <c:pt idx="101">
                  <c:v>185.1419970391016</c:v>
                </c:pt>
                <c:pt idx="102">
                  <c:v>201.9422776382454</c:v>
                </c:pt>
                <c:pt idx="103">
                  <c:v>183.62896669519969</c:v>
                </c:pt>
                <c:pt idx="104">
                  <c:v>187.24530880574179</c:v>
                </c:pt>
                <c:pt idx="105">
                  <c:v>205.1335783800609</c:v>
                </c:pt>
                <c:pt idx="106">
                  <c:v>211.19417851762819</c:v>
                </c:pt>
                <c:pt idx="107">
                  <c:v>197.5754695925034</c:v>
                </c:pt>
                <c:pt idx="108">
                  <c:v>180.2349052819286</c:v>
                </c:pt>
                <c:pt idx="109">
                  <c:v>178.7101324607797</c:v>
                </c:pt>
                <c:pt idx="110">
                  <c:v>171.40327398968051</c:v>
                </c:pt>
                <c:pt idx="111">
                  <c:v>184.49209173637061</c:v>
                </c:pt>
                <c:pt idx="112">
                  <c:v>170.13253970521089</c:v>
                </c:pt>
                <c:pt idx="113">
                  <c:v>178.498992716842</c:v>
                </c:pt>
                <c:pt idx="114">
                  <c:v>176.69657468995109</c:v>
                </c:pt>
                <c:pt idx="115">
                  <c:v>180.12680092820679</c:v>
                </c:pt>
                <c:pt idx="116">
                  <c:v>192.85794094041549</c:v>
                </c:pt>
                <c:pt idx="117">
                  <c:v>205.67759152324959</c:v>
                </c:pt>
                <c:pt idx="118">
                  <c:v>215.2312790220976</c:v>
                </c:pt>
                <c:pt idx="119">
                  <c:v>212.16807472424429</c:v>
                </c:pt>
                <c:pt idx="120">
                  <c:v>193.1028008134883</c:v>
                </c:pt>
                <c:pt idx="121">
                  <c:v>199.34286475089999</c:v>
                </c:pt>
                <c:pt idx="122">
                  <c:v>223.16715471311079</c:v>
                </c:pt>
                <c:pt idx="123">
                  <c:v>222.9305906015999</c:v>
                </c:pt>
                <c:pt idx="124">
                  <c:v>240.5464727661905</c:v>
                </c:pt>
                <c:pt idx="125">
                  <c:v>256.31730185991921</c:v>
                </c:pt>
                <c:pt idx="126">
                  <c:v>244.05330538342301</c:v>
                </c:pt>
                <c:pt idx="127">
                  <c:v>248.3980911172124</c:v>
                </c:pt>
                <c:pt idx="128">
                  <c:v>296.36985366708598</c:v>
                </c:pt>
                <c:pt idx="129">
                  <c:v>322.58561767523929</c:v>
                </c:pt>
                <c:pt idx="130">
                  <c:v>320.38080438064043</c:v>
                </c:pt>
                <c:pt idx="131">
                  <c:v>330.86485699907149</c:v>
                </c:pt>
                <c:pt idx="132">
                  <c:v>316.75869590418648</c:v>
                </c:pt>
                <c:pt idx="133">
                  <c:v>289.7646547576893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32-2F4D-8DAE-192AF81481EA}"/>
            </c:ext>
          </c:extLst>
        </c:ser>
        <c:ser>
          <c:idx val="3"/>
          <c:order val="3"/>
          <c:tx>
            <c:strRef>
              <c:f>ＧＢＲＴ再投資累積報酬!$C$26</c:f>
              <c:strCache>
                <c:ptCount val="1"/>
                <c:pt idx="0">
                  <c:v>100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ＧＢＲＴ再投資累積報酬!$D$22:$EG$22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ＧＢＲＴ再投資累積報酬!$D$26:$EG$26</c:f>
              <c:numCache>
                <c:formatCode>General</c:formatCode>
                <c:ptCount val="134"/>
                <c:pt idx="0">
                  <c:v>-3.6350225217569587E-2</c:v>
                </c:pt>
                <c:pt idx="1">
                  <c:v>0.22675976836332001</c:v>
                </c:pt>
                <c:pt idx="2">
                  <c:v>0.34372469448557957</c:v>
                </c:pt>
                <c:pt idx="3">
                  <c:v>0.39064949115372549</c:v>
                </c:pt>
                <c:pt idx="4">
                  <c:v>0.52427699783670656</c:v>
                </c:pt>
                <c:pt idx="5">
                  <c:v>0.52617278085868624</c:v>
                </c:pt>
                <c:pt idx="6">
                  <c:v>0.56122860450817025</c:v>
                </c:pt>
                <c:pt idx="7">
                  <c:v>0.59121604682361628</c:v>
                </c:pt>
                <c:pt idx="8">
                  <c:v>0.59825673659641843</c:v>
                </c:pt>
                <c:pt idx="9">
                  <c:v>0.6377078454256413</c:v>
                </c:pt>
                <c:pt idx="10">
                  <c:v>0.74854042463016812</c:v>
                </c:pt>
                <c:pt idx="11">
                  <c:v>0.94052350905306814</c:v>
                </c:pt>
                <c:pt idx="12">
                  <c:v>0.83708535887676017</c:v>
                </c:pt>
                <c:pt idx="13">
                  <c:v>0.87731122674904372</c:v>
                </c:pt>
                <c:pt idx="14">
                  <c:v>0.9927130574775116</c:v>
                </c:pt>
                <c:pt idx="15">
                  <c:v>1.0172699988325351</c:v>
                </c:pt>
                <c:pt idx="16">
                  <c:v>1.3063867881782329</c:v>
                </c:pt>
                <c:pt idx="17">
                  <c:v>1.764186774993191</c:v>
                </c:pt>
                <c:pt idx="18">
                  <c:v>1.8615224638459409</c:v>
                </c:pt>
                <c:pt idx="19">
                  <c:v>2.3985334892296062</c:v>
                </c:pt>
                <c:pt idx="20">
                  <c:v>2.5707420214731669</c:v>
                </c:pt>
                <c:pt idx="21">
                  <c:v>3.4700807165140781</c:v>
                </c:pt>
                <c:pt idx="22">
                  <c:v>3.5116819647100179</c:v>
                </c:pt>
                <c:pt idx="23">
                  <c:v>3.896177448587713</c:v>
                </c:pt>
                <c:pt idx="24">
                  <c:v>4.4511357083854879</c:v>
                </c:pt>
                <c:pt idx="25">
                  <c:v>4.6322279740989831</c:v>
                </c:pt>
                <c:pt idx="26">
                  <c:v>5.5284526120987687</c:v>
                </c:pt>
                <c:pt idx="27">
                  <c:v>5.4779993454142817</c:v>
                </c:pt>
                <c:pt idx="28">
                  <c:v>6.8499919484380696</c:v>
                </c:pt>
                <c:pt idx="29">
                  <c:v>8.4468850516462304</c:v>
                </c:pt>
                <c:pt idx="30">
                  <c:v>8.0281561774797989</c:v>
                </c:pt>
                <c:pt idx="31">
                  <c:v>9.5181612826390527</c:v>
                </c:pt>
                <c:pt idx="32">
                  <c:v>9.7795297769127814</c:v>
                </c:pt>
                <c:pt idx="33">
                  <c:v>10.318151713598009</c:v>
                </c:pt>
                <c:pt idx="34">
                  <c:v>10.340342617332849</c:v>
                </c:pt>
                <c:pt idx="35">
                  <c:v>11.35852224193426</c:v>
                </c:pt>
                <c:pt idx="36">
                  <c:v>11.098391847251589</c:v>
                </c:pt>
                <c:pt idx="37">
                  <c:v>10.66889336820539</c:v>
                </c:pt>
                <c:pt idx="38">
                  <c:v>11.268493855661969</c:v>
                </c:pt>
                <c:pt idx="39">
                  <c:v>12.189540720012911</c:v>
                </c:pt>
                <c:pt idx="40">
                  <c:v>13.85382712646698</c:v>
                </c:pt>
                <c:pt idx="41">
                  <c:v>14.11724230858561</c:v>
                </c:pt>
                <c:pt idx="42">
                  <c:v>14.12933050614844</c:v>
                </c:pt>
                <c:pt idx="43">
                  <c:v>15.924610247320819</c:v>
                </c:pt>
                <c:pt idx="44">
                  <c:v>17.23075142597305</c:v>
                </c:pt>
                <c:pt idx="45">
                  <c:v>17.149382996092729</c:v>
                </c:pt>
                <c:pt idx="46">
                  <c:v>20.586164147398271</c:v>
                </c:pt>
                <c:pt idx="47">
                  <c:v>23.029207823787679</c:v>
                </c:pt>
                <c:pt idx="48">
                  <c:v>27.835200046995151</c:v>
                </c:pt>
                <c:pt idx="49">
                  <c:v>29.7915625195857</c:v>
                </c:pt>
                <c:pt idx="50">
                  <c:v>29.325016816473529</c:v>
                </c:pt>
                <c:pt idx="51">
                  <c:v>31.892478047581019</c:v>
                </c:pt>
                <c:pt idx="52">
                  <c:v>33.835529120041507</c:v>
                </c:pt>
                <c:pt idx="53">
                  <c:v>34.171604230236753</c:v>
                </c:pt>
                <c:pt idx="54">
                  <c:v>32.715571188950157</c:v>
                </c:pt>
                <c:pt idx="55">
                  <c:v>37.005955577163299</c:v>
                </c:pt>
                <c:pt idx="56">
                  <c:v>41.915180704218173</c:v>
                </c:pt>
                <c:pt idx="57">
                  <c:v>44.85213549518464</c:v>
                </c:pt>
                <c:pt idx="58">
                  <c:v>51.058404625969047</c:v>
                </c:pt>
                <c:pt idx="59">
                  <c:v>57.831736928629986</c:v>
                </c:pt>
                <c:pt idx="60">
                  <c:v>60.514754308375899</c:v>
                </c:pt>
                <c:pt idx="61">
                  <c:v>61.813494813225248</c:v>
                </c:pt>
                <c:pt idx="62">
                  <c:v>62.512391260998463</c:v>
                </c:pt>
                <c:pt idx="63">
                  <c:v>68.946512020517474</c:v>
                </c:pt>
                <c:pt idx="64">
                  <c:v>70.970630536114143</c:v>
                </c:pt>
                <c:pt idx="65">
                  <c:v>80.922414979275089</c:v>
                </c:pt>
                <c:pt idx="66">
                  <c:v>80.446634772196148</c:v>
                </c:pt>
                <c:pt idx="67">
                  <c:v>91.181327930304008</c:v>
                </c:pt>
                <c:pt idx="68">
                  <c:v>92.275143354962509</c:v>
                </c:pt>
                <c:pt idx="69">
                  <c:v>86.692538711066433</c:v>
                </c:pt>
                <c:pt idx="70">
                  <c:v>85.36486644921537</c:v>
                </c:pt>
                <c:pt idx="71">
                  <c:v>99.579992086567302</c:v>
                </c:pt>
                <c:pt idx="72">
                  <c:v>129.64123849295541</c:v>
                </c:pt>
                <c:pt idx="73">
                  <c:v>138.24594926307611</c:v>
                </c:pt>
                <c:pt idx="74">
                  <c:v>140.66311446308279</c:v>
                </c:pt>
                <c:pt idx="75">
                  <c:v>142.47254149960409</c:v>
                </c:pt>
                <c:pt idx="76">
                  <c:v>129.14099635655651</c:v>
                </c:pt>
                <c:pt idx="77">
                  <c:v>141.2029981957669</c:v>
                </c:pt>
                <c:pt idx="78">
                  <c:v>136.17490734480049</c:v>
                </c:pt>
                <c:pt idx="79">
                  <c:v>134.81800546395081</c:v>
                </c:pt>
                <c:pt idx="80">
                  <c:v>148.05900402079811</c:v>
                </c:pt>
                <c:pt idx="81">
                  <c:v>154.79806156051629</c:v>
                </c:pt>
                <c:pt idx="82">
                  <c:v>158.61697555678879</c:v>
                </c:pt>
                <c:pt idx="83">
                  <c:v>164.2502155713496</c:v>
                </c:pt>
                <c:pt idx="84">
                  <c:v>180.04611977909201</c:v>
                </c:pt>
                <c:pt idx="85">
                  <c:v>190.35987527792301</c:v>
                </c:pt>
                <c:pt idx="86">
                  <c:v>194.46592639554629</c:v>
                </c:pt>
                <c:pt idx="87">
                  <c:v>207.17639858095279</c:v>
                </c:pt>
                <c:pt idx="88">
                  <c:v>216.88294288056181</c:v>
                </c:pt>
                <c:pt idx="89">
                  <c:v>283.93827642645601</c:v>
                </c:pt>
                <c:pt idx="90">
                  <c:v>340.77098906376199</c:v>
                </c:pt>
                <c:pt idx="91">
                  <c:v>385.23496673217278</c:v>
                </c:pt>
                <c:pt idx="92">
                  <c:v>411.1470904961364</c:v>
                </c:pt>
                <c:pt idx="93">
                  <c:v>467.39614828058239</c:v>
                </c:pt>
                <c:pt idx="94">
                  <c:v>439.33334990104902</c:v>
                </c:pt>
                <c:pt idx="95">
                  <c:v>513.63346721215669</c:v>
                </c:pt>
                <c:pt idx="96">
                  <c:v>608.46503748170562</c:v>
                </c:pt>
                <c:pt idx="97">
                  <c:v>660.05128155376747</c:v>
                </c:pt>
                <c:pt idx="98">
                  <c:v>687.80403927042278</c:v>
                </c:pt>
                <c:pt idx="99">
                  <c:v>792.76935690638288</c:v>
                </c:pt>
                <c:pt idx="100">
                  <c:v>718.99015865630986</c:v>
                </c:pt>
                <c:pt idx="101">
                  <c:v>736.09952609430854</c:v>
                </c:pt>
                <c:pt idx="102">
                  <c:v>856.00427829477837</c:v>
                </c:pt>
                <c:pt idx="103">
                  <c:v>676.32184571105222</c:v>
                </c:pt>
                <c:pt idx="104">
                  <c:v>733.72279570613819</c:v>
                </c:pt>
                <c:pt idx="105">
                  <c:v>807.34110176193008</c:v>
                </c:pt>
                <c:pt idx="106">
                  <c:v>789.30415104689644</c:v>
                </c:pt>
                <c:pt idx="107">
                  <c:v>794.08906829275804</c:v>
                </c:pt>
                <c:pt idx="108">
                  <c:v>704.17120296224459</c:v>
                </c:pt>
                <c:pt idx="109">
                  <c:v>704.83294603242859</c:v>
                </c:pt>
                <c:pt idx="110">
                  <c:v>666.64151206980489</c:v>
                </c:pt>
                <c:pt idx="111">
                  <c:v>700.10237511741684</c:v>
                </c:pt>
                <c:pt idx="112">
                  <c:v>649.4907777393762</c:v>
                </c:pt>
                <c:pt idx="113">
                  <c:v>698.49069423075605</c:v>
                </c:pt>
                <c:pt idx="114">
                  <c:v>661.89487072633415</c:v>
                </c:pt>
                <c:pt idx="115">
                  <c:v>630.7622185121545</c:v>
                </c:pt>
                <c:pt idx="116">
                  <c:v>652.30809986686495</c:v>
                </c:pt>
                <c:pt idx="117">
                  <c:v>747.32649154846922</c:v>
                </c:pt>
                <c:pt idx="118">
                  <c:v>778.69373339028721</c:v>
                </c:pt>
                <c:pt idx="119">
                  <c:v>750.48837685973592</c:v>
                </c:pt>
                <c:pt idx="120">
                  <c:v>743.29547395335487</c:v>
                </c:pt>
                <c:pt idx="121">
                  <c:v>779.88471555936633</c:v>
                </c:pt>
                <c:pt idx="122">
                  <c:v>927.1913118969029</c:v>
                </c:pt>
                <c:pt idx="123">
                  <c:v>942.21886421532474</c:v>
                </c:pt>
                <c:pt idx="124">
                  <c:v>997.87223622487318</c:v>
                </c:pt>
                <c:pt idx="125">
                  <c:v>1110.1492241756771</c:v>
                </c:pt>
                <c:pt idx="126">
                  <c:v>1203.1231184482499</c:v>
                </c:pt>
                <c:pt idx="127">
                  <c:v>1184.261076832207</c:v>
                </c:pt>
                <c:pt idx="128">
                  <c:v>1356.4235563125631</c:v>
                </c:pt>
                <c:pt idx="129">
                  <c:v>1458.629935050212</c:v>
                </c:pt>
                <c:pt idx="130">
                  <c:v>1479.2811713814961</c:v>
                </c:pt>
                <c:pt idx="131">
                  <c:v>1566.9994919954299</c:v>
                </c:pt>
                <c:pt idx="132">
                  <c:v>1489.6278429163281</c:v>
                </c:pt>
                <c:pt idx="133">
                  <c:v>1251.599262507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32-2F4D-8DAE-192AF81481EA}"/>
            </c:ext>
          </c:extLst>
        </c:ser>
        <c:ser>
          <c:idx val="4"/>
          <c:order val="4"/>
          <c:tx>
            <c:strRef>
              <c:f>ＧＢＲＴ再投資累積報酬!$C$27</c:f>
              <c:strCache>
                <c:ptCount val="1"/>
                <c:pt idx="0">
                  <c:v>192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ＧＢＲＴ再投資累積報酬!$D$22:$EG$22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ＧＢＲＴ再投資累積報酬!$D$27:$EG$27</c:f>
              <c:numCache>
                <c:formatCode>General</c:formatCode>
                <c:ptCount val="134"/>
                <c:pt idx="0">
                  <c:v>1.124133172820296E-2</c:v>
                </c:pt>
                <c:pt idx="1">
                  <c:v>0.23632989290661871</c:v>
                </c:pt>
                <c:pt idx="2">
                  <c:v>0.41698848138295358</c:v>
                </c:pt>
                <c:pt idx="3">
                  <c:v>0.70822391550713659</c:v>
                </c:pt>
                <c:pt idx="4">
                  <c:v>1.2323568185130069</c:v>
                </c:pt>
                <c:pt idx="5">
                  <c:v>1.2064993712674801</c:v>
                </c:pt>
                <c:pt idx="6">
                  <c:v>1.2638799262918869</c:v>
                </c:pt>
                <c:pt idx="7">
                  <c:v>1.1668710082147919</c:v>
                </c:pt>
                <c:pt idx="8">
                  <c:v>1.190297979606028</c:v>
                </c:pt>
                <c:pt idx="9">
                  <c:v>1.2641183189256071</c:v>
                </c:pt>
                <c:pt idx="10">
                  <c:v>1.347428419430271</c:v>
                </c:pt>
                <c:pt idx="11">
                  <c:v>1.742133456891386</c:v>
                </c:pt>
                <c:pt idx="12">
                  <c:v>1.4195177613521359</c:v>
                </c:pt>
                <c:pt idx="13">
                  <c:v>1.5238925611241949</c:v>
                </c:pt>
                <c:pt idx="14">
                  <c:v>1.739464158442813</c:v>
                </c:pt>
                <c:pt idx="15">
                  <c:v>1.6586757980107529</c:v>
                </c:pt>
                <c:pt idx="16">
                  <c:v>1.9823800926231829</c:v>
                </c:pt>
                <c:pt idx="17">
                  <c:v>2.7411614564649032</c:v>
                </c:pt>
                <c:pt idx="18">
                  <c:v>2.857032382302811</c:v>
                </c:pt>
                <c:pt idx="19">
                  <c:v>3.8040731456202108</c:v>
                </c:pt>
                <c:pt idx="20">
                  <c:v>4.8919250616295358</c:v>
                </c:pt>
                <c:pt idx="21">
                  <c:v>6.208081590630063</c:v>
                </c:pt>
                <c:pt idx="22">
                  <c:v>6.7927371946839061</c:v>
                </c:pt>
                <c:pt idx="23">
                  <c:v>7.7197866994885107</c:v>
                </c:pt>
                <c:pt idx="24">
                  <c:v>8.7965964132561076</c:v>
                </c:pt>
                <c:pt idx="25">
                  <c:v>9.5258497397373816</c:v>
                </c:pt>
                <c:pt idx="26">
                  <c:v>11.135142702989761</c:v>
                </c:pt>
                <c:pt idx="27">
                  <c:v>12.57739038906109</c:v>
                </c:pt>
                <c:pt idx="28">
                  <c:v>14.766353657601719</c:v>
                </c:pt>
                <c:pt idx="29">
                  <c:v>19.59256106033423</c:v>
                </c:pt>
                <c:pt idx="30">
                  <c:v>18.93023739383958</c:v>
                </c:pt>
                <c:pt idx="31">
                  <c:v>27.076873391931919</c:v>
                </c:pt>
                <c:pt idx="32">
                  <c:v>29.415097263352902</c:v>
                </c:pt>
                <c:pt idx="33">
                  <c:v>31.34734546321781</c:v>
                </c:pt>
                <c:pt idx="34">
                  <c:v>32.37349750086743</c:v>
                </c:pt>
                <c:pt idx="35">
                  <c:v>37.537527889820282</c:v>
                </c:pt>
                <c:pt idx="36">
                  <c:v>39.211658798029632</c:v>
                </c:pt>
                <c:pt idx="37">
                  <c:v>37.826587552987917</c:v>
                </c:pt>
                <c:pt idx="38">
                  <c:v>35.919880051593353</c:v>
                </c:pt>
                <c:pt idx="39">
                  <c:v>39.546554009642747</c:v>
                </c:pt>
                <c:pt idx="40">
                  <c:v>45.405791700505873</c:v>
                </c:pt>
                <c:pt idx="41">
                  <c:v>44.02572986807143</c:v>
                </c:pt>
                <c:pt idx="42">
                  <c:v>44.791744308340412</c:v>
                </c:pt>
                <c:pt idx="43">
                  <c:v>53.641609963877201</c:v>
                </c:pt>
                <c:pt idx="44">
                  <c:v>61.459329405921231</c:v>
                </c:pt>
                <c:pt idx="45">
                  <c:v>57.660697781480927</c:v>
                </c:pt>
                <c:pt idx="46">
                  <c:v>72.549654537267728</c:v>
                </c:pt>
                <c:pt idx="47">
                  <c:v>75.421437117346528</c:v>
                </c:pt>
                <c:pt idx="48">
                  <c:v>102.5461162122628</c:v>
                </c:pt>
                <c:pt idx="49">
                  <c:v>118.7276827752131</c:v>
                </c:pt>
                <c:pt idx="50">
                  <c:v>130.94919373304381</c:v>
                </c:pt>
                <c:pt idx="51">
                  <c:v>159.16451051745599</c:v>
                </c:pt>
                <c:pt idx="52">
                  <c:v>173.0694730045972</c:v>
                </c:pt>
                <c:pt idx="53">
                  <c:v>171.10104398613441</c:v>
                </c:pt>
                <c:pt idx="54">
                  <c:v>154.18723309309129</c:v>
                </c:pt>
                <c:pt idx="55">
                  <c:v>163.4750886665162</c:v>
                </c:pt>
                <c:pt idx="56">
                  <c:v>172.69216225587391</c:v>
                </c:pt>
                <c:pt idx="57">
                  <c:v>185.1111495572423</c:v>
                </c:pt>
                <c:pt idx="58">
                  <c:v>211.2539826661318</c:v>
                </c:pt>
                <c:pt idx="59">
                  <c:v>221.68409748742741</c:v>
                </c:pt>
                <c:pt idx="60">
                  <c:v>198.8370911767361</c:v>
                </c:pt>
                <c:pt idx="61">
                  <c:v>202.4037800006389</c:v>
                </c:pt>
                <c:pt idx="62">
                  <c:v>204.3202917369409</c:v>
                </c:pt>
                <c:pt idx="63">
                  <c:v>252.9131484498028</c:v>
                </c:pt>
                <c:pt idx="64">
                  <c:v>269.58405845236058</c:v>
                </c:pt>
                <c:pt idx="65">
                  <c:v>323.49220207144958</c:v>
                </c:pt>
                <c:pt idx="66">
                  <c:v>310.23102543000141</c:v>
                </c:pt>
                <c:pt idx="67">
                  <c:v>376.89361684213452</c:v>
                </c:pt>
                <c:pt idx="68">
                  <c:v>364.59839540559773</c:v>
                </c:pt>
                <c:pt idx="69">
                  <c:v>329.30699905389451</c:v>
                </c:pt>
                <c:pt idx="70">
                  <c:v>315.86892218344582</c:v>
                </c:pt>
                <c:pt idx="71">
                  <c:v>356.88369972698979</c:v>
                </c:pt>
                <c:pt idx="72">
                  <c:v>482.79776077159499</c:v>
                </c:pt>
                <c:pt idx="73">
                  <c:v>473.03304780181497</c:v>
                </c:pt>
                <c:pt idx="74">
                  <c:v>468.62701095581542</c:v>
                </c:pt>
                <c:pt idx="75">
                  <c:v>480.95462548536369</c:v>
                </c:pt>
                <c:pt idx="76">
                  <c:v>492.64131896427261</c:v>
                </c:pt>
                <c:pt idx="77">
                  <c:v>492.58812659407579</c:v>
                </c:pt>
                <c:pt idx="78">
                  <c:v>442.52378846196768</c:v>
                </c:pt>
                <c:pt idx="79">
                  <c:v>432.23047533936409</c:v>
                </c:pt>
                <c:pt idx="80">
                  <c:v>481.5184452442283</c:v>
                </c:pt>
                <c:pt idx="81">
                  <c:v>488.31952307427213</c:v>
                </c:pt>
                <c:pt idx="82">
                  <c:v>541.65076247175955</c:v>
                </c:pt>
                <c:pt idx="83">
                  <c:v>595.42522667856463</c:v>
                </c:pt>
                <c:pt idx="84">
                  <c:v>704.48200577494094</c:v>
                </c:pt>
                <c:pt idx="85">
                  <c:v>814.51572587774388</c:v>
                </c:pt>
                <c:pt idx="86">
                  <c:v>822.27451755704567</c:v>
                </c:pt>
                <c:pt idx="87">
                  <c:v>870.93182863151208</c:v>
                </c:pt>
                <c:pt idx="88">
                  <c:v>801.65272306687189</c:v>
                </c:pt>
                <c:pt idx="89">
                  <c:v>1094.686238022749</c:v>
                </c:pt>
                <c:pt idx="90">
                  <c:v>1329.4578911705639</c:v>
                </c:pt>
                <c:pt idx="91">
                  <c:v>1537.8884291567349</c:v>
                </c:pt>
                <c:pt idx="92">
                  <c:v>1652.231886081285</c:v>
                </c:pt>
                <c:pt idx="93">
                  <c:v>1896.6336914352789</c:v>
                </c:pt>
                <c:pt idx="94">
                  <c:v>1719.345422524327</c:v>
                </c:pt>
                <c:pt idx="95">
                  <c:v>1909.519217980037</c:v>
                </c:pt>
                <c:pt idx="96">
                  <c:v>2271.6236516601589</c:v>
                </c:pt>
                <c:pt idx="97">
                  <c:v>2333.29592784328</c:v>
                </c:pt>
                <c:pt idx="98">
                  <c:v>2519.3269548929238</c:v>
                </c:pt>
                <c:pt idx="99">
                  <c:v>2885.162967524584</c:v>
                </c:pt>
                <c:pt idx="100">
                  <c:v>2593.7567408136861</c:v>
                </c:pt>
                <c:pt idx="101">
                  <c:v>2627.6510980807489</c:v>
                </c:pt>
                <c:pt idx="102">
                  <c:v>2973.7492198425462</c:v>
                </c:pt>
                <c:pt idx="103">
                  <c:v>1835.9376279324599</c:v>
                </c:pt>
                <c:pt idx="104">
                  <c:v>2094.6431013650331</c:v>
                </c:pt>
                <c:pt idx="105">
                  <c:v>2219.3334669776541</c:v>
                </c:pt>
                <c:pt idx="106">
                  <c:v>2140.235310150159</c:v>
                </c:pt>
                <c:pt idx="107">
                  <c:v>2237.661427881023</c:v>
                </c:pt>
                <c:pt idx="108">
                  <c:v>1959.9032990673691</c:v>
                </c:pt>
                <c:pt idx="109">
                  <c:v>1865.6654000648759</c:v>
                </c:pt>
                <c:pt idx="110">
                  <c:v>1727.06860100271</c:v>
                </c:pt>
                <c:pt idx="111">
                  <c:v>2021.4216883377601</c:v>
                </c:pt>
                <c:pt idx="112">
                  <c:v>1979.4247702390239</c:v>
                </c:pt>
                <c:pt idx="113">
                  <c:v>1999.6916830618429</c:v>
                </c:pt>
                <c:pt idx="114">
                  <c:v>1751.9574470538389</c:v>
                </c:pt>
                <c:pt idx="115">
                  <c:v>1662.815483013879</c:v>
                </c:pt>
                <c:pt idx="116">
                  <c:v>1745.7081924022821</c:v>
                </c:pt>
                <c:pt idx="117">
                  <c:v>1870.5265258322311</c:v>
                </c:pt>
                <c:pt idx="118">
                  <c:v>2122.4915623094639</c:v>
                </c:pt>
                <c:pt idx="119">
                  <c:v>2061.328391749099</c:v>
                </c:pt>
                <c:pt idx="120">
                  <c:v>1917.392805597</c:v>
                </c:pt>
                <c:pt idx="121">
                  <c:v>1900.3944508031379</c:v>
                </c:pt>
                <c:pt idx="122">
                  <c:v>2418.798862804766</c:v>
                </c:pt>
                <c:pt idx="123">
                  <c:v>2518.194127338159</c:v>
                </c:pt>
                <c:pt idx="124">
                  <c:v>2560.2830952249528</c:v>
                </c:pt>
                <c:pt idx="125">
                  <c:v>3099.8344531074358</c:v>
                </c:pt>
                <c:pt idx="126">
                  <c:v>3680.9365042683498</c:v>
                </c:pt>
                <c:pt idx="127">
                  <c:v>3780.407968796992</c:v>
                </c:pt>
                <c:pt idx="128">
                  <c:v>3847.6124456706189</c:v>
                </c:pt>
                <c:pt idx="129">
                  <c:v>4656.7812445252521</c:v>
                </c:pt>
                <c:pt idx="130">
                  <c:v>4934.4975004183443</c:v>
                </c:pt>
                <c:pt idx="131">
                  <c:v>5551.7623333643814</c:v>
                </c:pt>
                <c:pt idx="132">
                  <c:v>5440.6094286166617</c:v>
                </c:pt>
                <c:pt idx="133">
                  <c:v>4300.3651071199047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C32-2F4D-8DAE-192AF81481EA}"/>
            </c:ext>
          </c:extLst>
        </c:ser>
        <c:ser>
          <c:idx val="5"/>
          <c:order val="5"/>
          <c:tx>
            <c:strRef>
              <c:f>ＧＢＲＴ再投資累積報酬!$C$28</c:f>
              <c:strCache>
                <c:ptCount val="1"/>
                <c:pt idx="0">
                  <c:v>964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ＧＢＲＴ再投資累積報酬!$D$22:$EG$22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ＧＢＲＴ再投資累積報酬!$D$28:$EG$28</c:f>
              <c:numCache>
                <c:formatCode>General</c:formatCode>
                <c:ptCount val="134"/>
                <c:pt idx="0">
                  <c:v>2.7766967310441041E-2</c:v>
                </c:pt>
                <c:pt idx="1">
                  <c:v>-5.6497980503421807E-2</c:v>
                </c:pt>
                <c:pt idx="2">
                  <c:v>-0.13375224156538729</c:v>
                </c:pt>
                <c:pt idx="3">
                  <c:v>4.0836285629268783E-2</c:v>
                </c:pt>
                <c:pt idx="4">
                  <c:v>1.7290082745691659E-2</c:v>
                </c:pt>
                <c:pt idx="5">
                  <c:v>0.37417801879386903</c:v>
                </c:pt>
                <c:pt idx="6">
                  <c:v>0.44088291099873528</c:v>
                </c:pt>
                <c:pt idx="7">
                  <c:v>0.43343279861020312</c:v>
                </c:pt>
                <c:pt idx="8">
                  <c:v>0.40513030483362988</c:v>
                </c:pt>
                <c:pt idx="9">
                  <c:v>0.13453926550544471</c:v>
                </c:pt>
                <c:pt idx="10">
                  <c:v>0.28934851520357202</c:v>
                </c:pt>
                <c:pt idx="11">
                  <c:v>0.42497729132991879</c:v>
                </c:pt>
                <c:pt idx="12">
                  <c:v>3.9524855993480663E-2</c:v>
                </c:pt>
                <c:pt idx="13">
                  <c:v>0.12033386525635879</c:v>
                </c:pt>
                <c:pt idx="14">
                  <c:v>0.21757160761858579</c:v>
                </c:pt>
                <c:pt idx="15">
                  <c:v>0.24491128386955061</c:v>
                </c:pt>
                <c:pt idx="16">
                  <c:v>0.61705753042158662</c:v>
                </c:pt>
                <c:pt idx="17">
                  <c:v>1.3514859209403829</c:v>
                </c:pt>
                <c:pt idx="18">
                  <c:v>1.627366874844574</c:v>
                </c:pt>
                <c:pt idx="19">
                  <c:v>3.105306940886289</c:v>
                </c:pt>
                <c:pt idx="20">
                  <c:v>5.7447464183996173</c:v>
                </c:pt>
                <c:pt idx="21">
                  <c:v>8.4047413703045137</c:v>
                </c:pt>
                <c:pt idx="22">
                  <c:v>9.8181816436079323</c:v>
                </c:pt>
                <c:pt idx="23">
                  <c:v>10.788255165836571</c:v>
                </c:pt>
                <c:pt idx="24">
                  <c:v>11.709048108598671</c:v>
                </c:pt>
                <c:pt idx="25">
                  <c:v>12.547435717779781</c:v>
                </c:pt>
                <c:pt idx="26">
                  <c:v>17.990081897860811</c:v>
                </c:pt>
                <c:pt idx="27">
                  <c:v>11.07967762926558</c:v>
                </c:pt>
                <c:pt idx="28">
                  <c:v>13.412768185723021</c:v>
                </c:pt>
                <c:pt idx="29">
                  <c:v>20.461200377761632</c:v>
                </c:pt>
                <c:pt idx="30">
                  <c:v>28.617645312629879</c:v>
                </c:pt>
                <c:pt idx="31">
                  <c:v>71.946708715902446</c:v>
                </c:pt>
                <c:pt idx="32">
                  <c:v>83.028165406871835</c:v>
                </c:pt>
                <c:pt idx="33">
                  <c:v>87.024562120617901</c:v>
                </c:pt>
                <c:pt idx="34">
                  <c:v>103.8730187009872</c:v>
                </c:pt>
                <c:pt idx="35">
                  <c:v>122.28002750947439</c:v>
                </c:pt>
                <c:pt idx="36">
                  <c:v>121.20313101178741</c:v>
                </c:pt>
                <c:pt idx="37">
                  <c:v>107.6800382010818</c:v>
                </c:pt>
                <c:pt idx="38">
                  <c:v>96.496242513818501</c:v>
                </c:pt>
                <c:pt idx="39">
                  <c:v>116.0099510900322</c:v>
                </c:pt>
                <c:pt idx="40">
                  <c:v>77.034124010661415</c:v>
                </c:pt>
                <c:pt idx="41">
                  <c:v>75.446063687787444</c:v>
                </c:pt>
                <c:pt idx="42">
                  <c:v>52.200713925078873</c:v>
                </c:pt>
                <c:pt idx="43">
                  <c:v>40.88723896396337</c:v>
                </c:pt>
                <c:pt idx="44">
                  <c:v>50.514644511447287</c:v>
                </c:pt>
                <c:pt idx="45">
                  <c:v>38.263269196627647</c:v>
                </c:pt>
                <c:pt idx="46">
                  <c:v>47.05088636523751</c:v>
                </c:pt>
                <c:pt idx="47">
                  <c:v>43.523591145623499</c:v>
                </c:pt>
                <c:pt idx="48">
                  <c:v>36.790131441618463</c:v>
                </c:pt>
                <c:pt idx="49">
                  <c:v>59.838315987186448</c:v>
                </c:pt>
                <c:pt idx="50">
                  <c:v>53.64602826873098</c:v>
                </c:pt>
                <c:pt idx="51">
                  <c:v>96.223608032705684</c:v>
                </c:pt>
                <c:pt idx="52">
                  <c:v>87.493677607286898</c:v>
                </c:pt>
                <c:pt idx="53">
                  <c:v>102.76504382723</c:v>
                </c:pt>
                <c:pt idx="54">
                  <c:v>108.71913786608189</c:v>
                </c:pt>
                <c:pt idx="55">
                  <c:v>109.3014412505289</c:v>
                </c:pt>
                <c:pt idx="56">
                  <c:v>135.5688484299468</c:v>
                </c:pt>
                <c:pt idx="57">
                  <c:v>167.03789288516589</c:v>
                </c:pt>
                <c:pt idx="58">
                  <c:v>146.85244542207391</c:v>
                </c:pt>
                <c:pt idx="59">
                  <c:v>137.8974287579976</c:v>
                </c:pt>
                <c:pt idx="60">
                  <c:v>136.5057144479145</c:v>
                </c:pt>
                <c:pt idx="61">
                  <c:v>151.0960223111685</c:v>
                </c:pt>
                <c:pt idx="62">
                  <c:v>163.99117022052579</c:v>
                </c:pt>
                <c:pt idx="63">
                  <c:v>200.66206954587079</c:v>
                </c:pt>
                <c:pt idx="64">
                  <c:v>188.73321508954521</c:v>
                </c:pt>
                <c:pt idx="65">
                  <c:v>296.34773444420551</c:v>
                </c:pt>
                <c:pt idx="66">
                  <c:v>254.57488550937711</c:v>
                </c:pt>
                <c:pt idx="67">
                  <c:v>373.57541602976522</c:v>
                </c:pt>
                <c:pt idx="68">
                  <c:v>328.01916567371649</c:v>
                </c:pt>
                <c:pt idx="69">
                  <c:v>346.37819042947291</c:v>
                </c:pt>
                <c:pt idx="70">
                  <c:v>503.24359896974619</c:v>
                </c:pt>
                <c:pt idx="71">
                  <c:v>794.37710802912409</c:v>
                </c:pt>
                <c:pt idx="72">
                  <c:v>914.50088080223441</c:v>
                </c:pt>
                <c:pt idx="73">
                  <c:v>1004.640344084483</c:v>
                </c:pt>
                <c:pt idx="74">
                  <c:v>605.11763149893227</c:v>
                </c:pt>
                <c:pt idx="75">
                  <c:v>519.26433672051212</c:v>
                </c:pt>
                <c:pt idx="76">
                  <c:v>474.85866284669521</c:v>
                </c:pt>
                <c:pt idx="77">
                  <c:v>505.37409088958822</c:v>
                </c:pt>
                <c:pt idx="78">
                  <c:v>616.69091149603298</c:v>
                </c:pt>
                <c:pt idx="79">
                  <c:v>588.80122458073458</c:v>
                </c:pt>
                <c:pt idx="80">
                  <c:v>694.5548158771652</c:v>
                </c:pt>
                <c:pt idx="81">
                  <c:v>541.11558368999272</c:v>
                </c:pt>
                <c:pt idx="82">
                  <c:v>584.65960239873141</c:v>
                </c:pt>
                <c:pt idx="83">
                  <c:v>679.16862304337974</c:v>
                </c:pt>
                <c:pt idx="84">
                  <c:v>606.93434298739032</c:v>
                </c:pt>
                <c:pt idx="85">
                  <c:v>433.18475987522947</c:v>
                </c:pt>
                <c:pt idx="86">
                  <c:v>298.68887661861731</c:v>
                </c:pt>
                <c:pt idx="87">
                  <c:v>286.05080422898118</c:v>
                </c:pt>
                <c:pt idx="88">
                  <c:v>273.22292336327888</c:v>
                </c:pt>
                <c:pt idx="89">
                  <c:v>313.57074518191939</c:v>
                </c:pt>
                <c:pt idx="90">
                  <c:v>462.14659541081062</c:v>
                </c:pt>
                <c:pt idx="91">
                  <c:v>553.88081216300327</c:v>
                </c:pt>
                <c:pt idx="92">
                  <c:v>525.3377276525855</c:v>
                </c:pt>
                <c:pt idx="93">
                  <c:v>391.08861117402722</c:v>
                </c:pt>
                <c:pt idx="94">
                  <c:v>452.86812604193148</c:v>
                </c:pt>
                <c:pt idx="95">
                  <c:v>499.20470466012898</c:v>
                </c:pt>
                <c:pt idx="96">
                  <c:v>613.60621463368636</c:v>
                </c:pt>
                <c:pt idx="97">
                  <c:v>668.75227053538936</c:v>
                </c:pt>
                <c:pt idx="98">
                  <c:v>831.93725553944728</c:v>
                </c:pt>
                <c:pt idx="99">
                  <c:v>954.12467444764309</c:v>
                </c:pt>
                <c:pt idx="100">
                  <c:v>610.06197855074208</c:v>
                </c:pt>
                <c:pt idx="101">
                  <c:v>511.00460946384669</c:v>
                </c:pt>
                <c:pt idx="102">
                  <c:v>644.39922531611751</c:v>
                </c:pt>
                <c:pt idx="103">
                  <c:v>32.490030815503147</c:v>
                </c:pt>
                <c:pt idx="104">
                  <c:v>44.215478132768688</c:v>
                </c:pt>
                <c:pt idx="105">
                  <c:v>47.629504377045372</c:v>
                </c:pt>
                <c:pt idx="106">
                  <c:v>37.307649292924587</c:v>
                </c:pt>
                <c:pt idx="107">
                  <c:v>44.763775978340682</c:v>
                </c:pt>
                <c:pt idx="108">
                  <c:v>33.38740546185354</c:v>
                </c:pt>
                <c:pt idx="109">
                  <c:v>29.851250761065671</c:v>
                </c:pt>
                <c:pt idx="110">
                  <c:v>16.79812359394078</c:v>
                </c:pt>
                <c:pt idx="111">
                  <c:v>20.20552024147376</c:v>
                </c:pt>
                <c:pt idx="112">
                  <c:v>16.684943120333251</c:v>
                </c:pt>
                <c:pt idx="113">
                  <c:v>18.068383801555509</c:v>
                </c:pt>
                <c:pt idx="114">
                  <c:v>11.05067763032446</c:v>
                </c:pt>
                <c:pt idx="115">
                  <c:v>11.443260661576151</c:v>
                </c:pt>
                <c:pt idx="116">
                  <c:v>10.40904789150599</c:v>
                </c:pt>
                <c:pt idx="117">
                  <c:v>9.7805216088630988</c:v>
                </c:pt>
                <c:pt idx="118">
                  <c:v>10.60103076586832</c:v>
                </c:pt>
                <c:pt idx="119">
                  <c:v>9.643284159876174</c:v>
                </c:pt>
                <c:pt idx="120">
                  <c:v>8.1105770056625346</c:v>
                </c:pt>
                <c:pt idx="121">
                  <c:v>7.5478068903756039</c:v>
                </c:pt>
                <c:pt idx="122">
                  <c:v>14.1342622857448</c:v>
                </c:pt>
                <c:pt idx="123">
                  <c:v>12.59624753488262</c:v>
                </c:pt>
                <c:pt idx="124">
                  <c:v>15.75237535524168</c:v>
                </c:pt>
                <c:pt idx="125">
                  <c:v>25.25391977971146</c:v>
                </c:pt>
                <c:pt idx="126">
                  <c:v>26.09579203637885</c:v>
                </c:pt>
                <c:pt idx="127">
                  <c:v>29.634546071108002</c:v>
                </c:pt>
                <c:pt idx="128">
                  <c:v>37.995235578211457</c:v>
                </c:pt>
                <c:pt idx="129">
                  <c:v>63.958559594118753</c:v>
                </c:pt>
                <c:pt idx="130">
                  <c:v>73.27598918667303</c:v>
                </c:pt>
                <c:pt idx="131">
                  <c:v>95.026287040714593</c:v>
                </c:pt>
                <c:pt idx="132">
                  <c:v>91.601607184532199</c:v>
                </c:pt>
                <c:pt idx="133">
                  <c:v>79.659910138530606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C32-2F4D-8DAE-192AF81481EA}"/>
            </c:ext>
          </c:extLst>
        </c:ser>
        <c:ser>
          <c:idx val="6"/>
          <c:order val="6"/>
          <c:tx>
            <c:strRef>
              <c:f>ＧＢＲＴ再投資累積報酬!$C$29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ＧＢＲＴ再投資累積報酬!$D$22:$EG$22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ＧＢＲＴ再投資累積報酬!$D$29:$EG$29</c:f>
              <c:numCache>
                <c:formatCode>General</c:formatCode>
                <c:ptCount val="134"/>
                <c:pt idx="0">
                  <c:v>-1.744677053939037E-2</c:v>
                </c:pt>
                <c:pt idx="1">
                  <c:v>2.893123339404724E-3</c:v>
                </c:pt>
                <c:pt idx="2">
                  <c:v>2.6944635852046869E-2</c:v>
                </c:pt>
                <c:pt idx="3">
                  <c:v>2.0210365301730041E-2</c:v>
                </c:pt>
                <c:pt idx="4">
                  <c:v>5.269909680859941E-2</c:v>
                </c:pt>
                <c:pt idx="5">
                  <c:v>8.8857766197530053E-2</c:v>
                </c:pt>
                <c:pt idx="6">
                  <c:v>7.9869318529145472E-2</c:v>
                </c:pt>
                <c:pt idx="7">
                  <c:v>9.3738646464063713E-2</c:v>
                </c:pt>
                <c:pt idx="8">
                  <c:v>3.7937714394164157E-2</c:v>
                </c:pt>
                <c:pt idx="9">
                  <c:v>3.8844812525307137E-2</c:v>
                </c:pt>
                <c:pt idx="10">
                  <c:v>6.3142951706360639E-2</c:v>
                </c:pt>
                <c:pt idx="11">
                  <c:v>7.6952085951054405E-2</c:v>
                </c:pt>
                <c:pt idx="12">
                  <c:v>8.3257197491512391E-2</c:v>
                </c:pt>
                <c:pt idx="13">
                  <c:v>0.11295275081672609</c:v>
                </c:pt>
                <c:pt idx="14">
                  <c:v>0.1088204283509331</c:v>
                </c:pt>
                <c:pt idx="15">
                  <c:v>0.13551706985268061</c:v>
                </c:pt>
                <c:pt idx="16">
                  <c:v>0.12167508804368481</c:v>
                </c:pt>
                <c:pt idx="17">
                  <c:v>7.7088976461827885E-2</c:v>
                </c:pt>
                <c:pt idx="18">
                  <c:v>-1.7059521199481731E-3</c:v>
                </c:pt>
                <c:pt idx="19">
                  <c:v>-5.9866792867339091E-2</c:v>
                </c:pt>
                <c:pt idx="20">
                  <c:v>-5.9140260213613523E-2</c:v>
                </c:pt>
                <c:pt idx="21">
                  <c:v>-1.7185893241652209E-2</c:v>
                </c:pt>
                <c:pt idx="22">
                  <c:v>-4.4409529547694393E-2</c:v>
                </c:pt>
                <c:pt idx="23">
                  <c:v>-4.2407561826578573E-2</c:v>
                </c:pt>
                <c:pt idx="24">
                  <c:v>-6.481575250614946E-2</c:v>
                </c:pt>
                <c:pt idx="25">
                  <c:v>-3.4768870774049443E-2</c:v>
                </c:pt>
                <c:pt idx="26">
                  <c:v>2.7817794451217011E-3</c:v>
                </c:pt>
                <c:pt idx="27">
                  <c:v>-4.0202844765013457E-2</c:v>
                </c:pt>
                <c:pt idx="28">
                  <c:v>-2.23053204826642E-2</c:v>
                </c:pt>
                <c:pt idx="29">
                  <c:v>-7.4152570234460313E-3</c:v>
                </c:pt>
                <c:pt idx="30">
                  <c:v>2.8334274381314421E-2</c:v>
                </c:pt>
                <c:pt idx="31">
                  <c:v>3.7953941892352683E-2</c:v>
                </c:pt>
                <c:pt idx="32">
                  <c:v>4.9110131735873752E-2</c:v>
                </c:pt>
                <c:pt idx="33">
                  <c:v>6.3123886850196875E-2</c:v>
                </c:pt>
                <c:pt idx="34">
                  <c:v>5.7454515782098918E-2</c:v>
                </c:pt>
                <c:pt idx="35">
                  <c:v>5.8917118987427568E-2</c:v>
                </c:pt>
                <c:pt idx="36">
                  <c:v>8.0938283596681648E-2</c:v>
                </c:pt>
                <c:pt idx="37">
                  <c:v>0.11500697453770201</c:v>
                </c:pt>
                <c:pt idx="38">
                  <c:v>0.1219665320054517</c:v>
                </c:pt>
                <c:pt idx="39">
                  <c:v>0.12886130991117531</c:v>
                </c:pt>
                <c:pt idx="40">
                  <c:v>0.14799139743631429</c:v>
                </c:pt>
                <c:pt idx="41">
                  <c:v>0.18780698843660251</c:v>
                </c:pt>
                <c:pt idx="42">
                  <c:v>0.19148751365039929</c:v>
                </c:pt>
                <c:pt idx="43">
                  <c:v>0.20945675046088999</c:v>
                </c:pt>
                <c:pt idx="44">
                  <c:v>0.18617324550329581</c:v>
                </c:pt>
                <c:pt idx="45">
                  <c:v>0.23209180697664691</c:v>
                </c:pt>
                <c:pt idx="46">
                  <c:v>0.205162036556817</c:v>
                </c:pt>
                <c:pt idx="47">
                  <c:v>0.21453132863303209</c:v>
                </c:pt>
                <c:pt idx="48">
                  <c:v>0.2660241129922889</c:v>
                </c:pt>
                <c:pt idx="49">
                  <c:v>0.23271631642995261</c:v>
                </c:pt>
                <c:pt idx="50">
                  <c:v>0.2445155679795841</c:v>
                </c:pt>
                <c:pt idx="51">
                  <c:v>0.21433638745422809</c:v>
                </c:pt>
                <c:pt idx="52">
                  <c:v>0.2388215063710388</c:v>
                </c:pt>
                <c:pt idx="53">
                  <c:v>0.23447943849994909</c:v>
                </c:pt>
                <c:pt idx="54">
                  <c:v>0.25935658802508499</c:v>
                </c:pt>
                <c:pt idx="55">
                  <c:v>0.26008869763716319</c:v>
                </c:pt>
                <c:pt idx="56">
                  <c:v>0.2535114114609236</c:v>
                </c:pt>
                <c:pt idx="57">
                  <c:v>0.10826483627727621</c:v>
                </c:pt>
                <c:pt idx="58">
                  <c:v>0.11793469710078749</c:v>
                </c:pt>
                <c:pt idx="59">
                  <c:v>9.9625988810205346E-2</c:v>
                </c:pt>
                <c:pt idx="60">
                  <c:v>0.12254260303831389</c:v>
                </c:pt>
                <c:pt idx="61">
                  <c:v>0.17302993558174001</c:v>
                </c:pt>
                <c:pt idx="62">
                  <c:v>0.20112905370185399</c:v>
                </c:pt>
                <c:pt idx="63">
                  <c:v>0.237450116940952</c:v>
                </c:pt>
                <c:pt idx="64">
                  <c:v>0.18334151222801379</c:v>
                </c:pt>
                <c:pt idx="65">
                  <c:v>0.209244230248715</c:v>
                </c:pt>
                <c:pt idx="66">
                  <c:v>0.21967690051673561</c:v>
                </c:pt>
                <c:pt idx="67">
                  <c:v>0.1962676978767699</c:v>
                </c:pt>
                <c:pt idx="68">
                  <c:v>0.21987619627534569</c:v>
                </c:pt>
                <c:pt idx="69">
                  <c:v>0.27805738326883361</c:v>
                </c:pt>
                <c:pt idx="70">
                  <c:v>0.29269729646247922</c:v>
                </c:pt>
                <c:pt idx="71">
                  <c:v>0.34857881761669129</c:v>
                </c:pt>
                <c:pt idx="72">
                  <c:v>0.2909305384219143</c:v>
                </c:pt>
                <c:pt idx="73">
                  <c:v>0.26793739709811137</c:v>
                </c:pt>
                <c:pt idx="74">
                  <c:v>7.628473289061688E-2</c:v>
                </c:pt>
                <c:pt idx="75">
                  <c:v>0.2099851314449144</c:v>
                </c:pt>
                <c:pt idx="76">
                  <c:v>0.20447092205281339</c:v>
                </c:pt>
                <c:pt idx="77">
                  <c:v>0.27699361006036599</c:v>
                </c:pt>
                <c:pt idx="78">
                  <c:v>0.38680488733361829</c:v>
                </c:pt>
                <c:pt idx="79">
                  <c:v>0.37874965946081551</c:v>
                </c:pt>
                <c:pt idx="80">
                  <c:v>0.37042015435709108</c:v>
                </c:pt>
                <c:pt idx="81">
                  <c:v>0.37378086910184649</c:v>
                </c:pt>
                <c:pt idx="82">
                  <c:v>0.49692143719092191</c:v>
                </c:pt>
                <c:pt idx="83">
                  <c:v>0.603191980394987</c:v>
                </c:pt>
                <c:pt idx="84">
                  <c:v>0.64675173719730239</c:v>
                </c:pt>
                <c:pt idx="85">
                  <c:v>0.73315421285472704</c:v>
                </c:pt>
                <c:pt idx="86">
                  <c:v>0.7842487445659152</c:v>
                </c:pt>
                <c:pt idx="87">
                  <c:v>0.90348131155309508</c:v>
                </c:pt>
                <c:pt idx="88">
                  <c:v>0.8487139113221478</c:v>
                </c:pt>
                <c:pt idx="89">
                  <c:v>0.92166881344527685</c:v>
                </c:pt>
                <c:pt idx="90">
                  <c:v>0.86588067898046694</c:v>
                </c:pt>
                <c:pt idx="91">
                  <c:v>0.89197293519067467</c:v>
                </c:pt>
                <c:pt idx="92">
                  <c:v>0.83090579105751727</c:v>
                </c:pt>
                <c:pt idx="93">
                  <c:v>0.83658814745105547</c:v>
                </c:pt>
                <c:pt idx="94">
                  <c:v>0.88358984642415717</c:v>
                </c:pt>
                <c:pt idx="95">
                  <c:v>0.9672059526983301</c:v>
                </c:pt>
                <c:pt idx="96">
                  <c:v>0.90752297284093331</c:v>
                </c:pt>
                <c:pt idx="97">
                  <c:v>0.90512335385454468</c:v>
                </c:pt>
                <c:pt idx="98">
                  <c:v>0.90957440110152876</c:v>
                </c:pt>
                <c:pt idx="99">
                  <c:v>0.78685723504233995</c:v>
                </c:pt>
                <c:pt idx="100">
                  <c:v>0.80992516787144164</c:v>
                </c:pt>
                <c:pt idx="101">
                  <c:v>0.58282101623526672</c:v>
                </c:pt>
                <c:pt idx="102">
                  <c:v>0.60132527488651344</c:v>
                </c:pt>
                <c:pt idx="103">
                  <c:v>0.61147422419279152</c:v>
                </c:pt>
                <c:pt idx="104">
                  <c:v>0.42243966588262949</c:v>
                </c:pt>
                <c:pt idx="105">
                  <c:v>0.37121637307647259</c:v>
                </c:pt>
                <c:pt idx="106">
                  <c:v>0.5616938276257708</c:v>
                </c:pt>
                <c:pt idx="107">
                  <c:v>0.48182332962932128</c:v>
                </c:pt>
                <c:pt idx="108">
                  <c:v>0.59552577817978314</c:v>
                </c:pt>
                <c:pt idx="109">
                  <c:v>0.62027043996328524</c:v>
                </c:pt>
                <c:pt idx="110">
                  <c:v>0.65789923395288952</c:v>
                </c:pt>
                <c:pt idx="111">
                  <c:v>0.62743885630809859</c:v>
                </c:pt>
                <c:pt idx="112">
                  <c:v>0.72866394865424411</c:v>
                </c:pt>
                <c:pt idx="113">
                  <c:v>0.76340716304992284</c:v>
                </c:pt>
                <c:pt idx="114">
                  <c:v>0.78721129009524526</c:v>
                </c:pt>
                <c:pt idx="115">
                  <c:v>0.73314419395664854</c:v>
                </c:pt>
                <c:pt idx="116">
                  <c:v>0.7036411650845571</c:v>
                </c:pt>
                <c:pt idx="117">
                  <c:v>0.666521339911188</c:v>
                </c:pt>
                <c:pt idx="118">
                  <c:v>0.80941825308633253</c:v>
                </c:pt>
                <c:pt idx="119">
                  <c:v>0.86027510799998974</c:v>
                </c:pt>
                <c:pt idx="120">
                  <c:v>0.85599059714061299</c:v>
                </c:pt>
                <c:pt idx="121">
                  <c:v>0.9645125910761998</c:v>
                </c:pt>
                <c:pt idx="122">
                  <c:v>1.097429448381251</c:v>
                </c:pt>
                <c:pt idx="123">
                  <c:v>1.1079601605760621</c:v>
                </c:pt>
                <c:pt idx="124">
                  <c:v>1.1868319851241951</c:v>
                </c:pt>
                <c:pt idx="125">
                  <c:v>1.370768618416941</c:v>
                </c:pt>
                <c:pt idx="126">
                  <c:v>1.2834475238077689</c:v>
                </c:pt>
                <c:pt idx="127">
                  <c:v>1.290507264949454</c:v>
                </c:pt>
                <c:pt idx="128">
                  <c:v>1.2860233033025421</c:v>
                </c:pt>
                <c:pt idx="129">
                  <c:v>1.346509430724685</c:v>
                </c:pt>
                <c:pt idx="130">
                  <c:v>1.2884273650883471</c:v>
                </c:pt>
                <c:pt idx="131">
                  <c:v>1.366498188226261</c:v>
                </c:pt>
                <c:pt idx="132">
                  <c:v>1.416341311511776</c:v>
                </c:pt>
                <c:pt idx="133">
                  <c:v>1.367344209826507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C32-2F4D-8DAE-192AF8148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4451504"/>
        <c:axId val="2104460624"/>
      </c:lineChart>
      <c:catAx>
        <c:axId val="210445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04460624"/>
        <c:crosses val="autoZero"/>
        <c:auto val="1"/>
        <c:lblAlgn val="ctr"/>
        <c:lblOffset val="100"/>
        <c:noMultiLvlLbl val="0"/>
      </c:catAx>
      <c:valAx>
        <c:axId val="210446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0445150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ＧＢＲＴ再投資累積報酬!$C$23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ＧＢＲＴ再投資累積報酬!$D$22:$EG$22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ＧＢＲＴ再投資累積報酬!$D$23:$EG$23</c:f>
              <c:numCache>
                <c:formatCode>General</c:formatCode>
                <c:ptCount val="134"/>
                <c:pt idx="0">
                  <c:v>1.44992469840961E-2</c:v>
                </c:pt>
                <c:pt idx="1">
                  <c:v>-3.9213245731639651E-4</c:v>
                </c:pt>
                <c:pt idx="2">
                  <c:v>1.001045558920888E-3</c:v>
                </c:pt>
                <c:pt idx="3">
                  <c:v>-5.5014357119156247E-2</c:v>
                </c:pt>
                <c:pt idx="4">
                  <c:v>-1.536138516245622E-2</c:v>
                </c:pt>
                <c:pt idx="5">
                  <c:v>-2.4813185614166119E-2</c:v>
                </c:pt>
                <c:pt idx="6">
                  <c:v>9.0323693452580844E-3</c:v>
                </c:pt>
                <c:pt idx="7">
                  <c:v>3.2546476297351079E-2</c:v>
                </c:pt>
                <c:pt idx="8">
                  <c:v>4.2835704774678351E-2</c:v>
                </c:pt>
                <c:pt idx="9">
                  <c:v>7.5489742594432307E-2</c:v>
                </c:pt>
                <c:pt idx="10">
                  <c:v>5.6109786849479981E-2</c:v>
                </c:pt>
                <c:pt idx="11">
                  <c:v>9.2760338902505568E-2</c:v>
                </c:pt>
                <c:pt idx="12">
                  <c:v>0.12202967709692759</c:v>
                </c:pt>
                <c:pt idx="13">
                  <c:v>0.1217443134118554</c:v>
                </c:pt>
                <c:pt idx="14">
                  <c:v>0.1478582699885751</c:v>
                </c:pt>
                <c:pt idx="15">
                  <c:v>0.17813861189379729</c:v>
                </c:pt>
                <c:pt idx="16">
                  <c:v>0.26134171506414328</c:v>
                </c:pt>
                <c:pt idx="17">
                  <c:v>0.36397823295921811</c:v>
                </c:pt>
                <c:pt idx="18">
                  <c:v>0.37666431631300812</c:v>
                </c:pt>
                <c:pt idx="19">
                  <c:v>0.39334010433867878</c:v>
                </c:pt>
                <c:pt idx="20">
                  <c:v>0.43293557367053342</c:v>
                </c:pt>
                <c:pt idx="21">
                  <c:v>0.58535612511784896</c:v>
                </c:pt>
                <c:pt idx="22">
                  <c:v>0.66308010963605168</c:v>
                </c:pt>
                <c:pt idx="23">
                  <c:v>0.77178361299203746</c:v>
                </c:pt>
                <c:pt idx="24">
                  <c:v>0.78401206415056124</c:v>
                </c:pt>
                <c:pt idx="25">
                  <c:v>0.80872643092733809</c:v>
                </c:pt>
                <c:pt idx="26">
                  <c:v>0.85659289637632297</c:v>
                </c:pt>
                <c:pt idx="27">
                  <c:v>0.91065120334982819</c:v>
                </c:pt>
                <c:pt idx="28">
                  <c:v>0.99937748258041958</c:v>
                </c:pt>
                <c:pt idx="29">
                  <c:v>1.043832561171159</c:v>
                </c:pt>
                <c:pt idx="30">
                  <c:v>1.051629640183813</c:v>
                </c:pt>
                <c:pt idx="31">
                  <c:v>1.090205878022614</c:v>
                </c:pt>
                <c:pt idx="32">
                  <c:v>1.071825041265178</c:v>
                </c:pt>
                <c:pt idx="33">
                  <c:v>1.113369464788861</c:v>
                </c:pt>
                <c:pt idx="34">
                  <c:v>1.1433070669142911</c:v>
                </c:pt>
                <c:pt idx="35">
                  <c:v>1.244070733143577</c:v>
                </c:pt>
                <c:pt idx="36">
                  <c:v>1.308118593283359</c:v>
                </c:pt>
                <c:pt idx="37">
                  <c:v>1.2466173220147101</c:v>
                </c:pt>
                <c:pt idx="38">
                  <c:v>1.212928237466774</c:v>
                </c:pt>
                <c:pt idx="39">
                  <c:v>1.3008348875706091</c:v>
                </c:pt>
                <c:pt idx="40">
                  <c:v>1.323138071872318</c:v>
                </c:pt>
                <c:pt idx="41">
                  <c:v>1.3747652296163011</c:v>
                </c:pt>
                <c:pt idx="42">
                  <c:v>1.430007875810466</c:v>
                </c:pt>
                <c:pt idx="43">
                  <c:v>1.616836019592844</c:v>
                </c:pt>
                <c:pt idx="44">
                  <c:v>1.6071183036764649</c:v>
                </c:pt>
                <c:pt idx="45">
                  <c:v>1.729419023548219</c:v>
                </c:pt>
                <c:pt idx="46">
                  <c:v>1.777356965923153</c:v>
                </c:pt>
                <c:pt idx="47">
                  <c:v>1.8897890644963991</c:v>
                </c:pt>
                <c:pt idx="48">
                  <c:v>2.0289512413082291</c:v>
                </c:pt>
                <c:pt idx="49">
                  <c:v>2.1004785714312062</c:v>
                </c:pt>
                <c:pt idx="50">
                  <c:v>2.1824376447651792</c:v>
                </c:pt>
                <c:pt idx="51">
                  <c:v>2.186364684351858</c:v>
                </c:pt>
                <c:pt idx="52">
                  <c:v>2.3051399630145442</c:v>
                </c:pt>
                <c:pt idx="53">
                  <c:v>2.332313436099215</c:v>
                </c:pt>
                <c:pt idx="54">
                  <c:v>2.214454357905518</c:v>
                </c:pt>
                <c:pt idx="55">
                  <c:v>2.4423750331895482</c:v>
                </c:pt>
                <c:pt idx="56">
                  <c:v>2.5413087600612281</c:v>
                </c:pt>
                <c:pt idx="57">
                  <c:v>2.8385090912484361</c:v>
                </c:pt>
                <c:pt idx="58">
                  <c:v>3.1401166854202871</c:v>
                </c:pt>
                <c:pt idx="59">
                  <c:v>3.2422249056125239</c:v>
                </c:pt>
                <c:pt idx="60">
                  <c:v>3.239436136977349</c:v>
                </c:pt>
                <c:pt idx="61">
                  <c:v>3.454020987741163</c:v>
                </c:pt>
                <c:pt idx="62">
                  <c:v>3.5459253392314412</c:v>
                </c:pt>
                <c:pt idx="63">
                  <c:v>3.6109559807832849</c:v>
                </c:pt>
                <c:pt idx="64">
                  <c:v>3.8947201110329281</c:v>
                </c:pt>
                <c:pt idx="65">
                  <c:v>4.0562212853016639</c:v>
                </c:pt>
                <c:pt idx="66">
                  <c:v>4.2193663464204674</c:v>
                </c:pt>
                <c:pt idx="67">
                  <c:v>4.5168006799058817</c:v>
                </c:pt>
                <c:pt idx="68">
                  <c:v>4.6968848039482358</c:v>
                </c:pt>
                <c:pt idx="69">
                  <c:v>4.7901130893320918</c:v>
                </c:pt>
                <c:pt idx="70">
                  <c:v>4.8880529519686444</c:v>
                </c:pt>
                <c:pt idx="71">
                  <c:v>5.1116172702687441</c:v>
                </c:pt>
                <c:pt idx="72">
                  <c:v>5.3834436953827636</c:v>
                </c:pt>
                <c:pt idx="73">
                  <c:v>5.4789934259146182</c:v>
                </c:pt>
                <c:pt idx="74">
                  <c:v>6.0492181557677176</c:v>
                </c:pt>
                <c:pt idx="75">
                  <c:v>6.2588336491036296</c:v>
                </c:pt>
                <c:pt idx="76">
                  <c:v>6.2544515751817116</c:v>
                </c:pt>
                <c:pt idx="77">
                  <c:v>6.4515830469243918</c:v>
                </c:pt>
                <c:pt idx="78">
                  <c:v>6.3314547300711306</c:v>
                </c:pt>
                <c:pt idx="79">
                  <c:v>6.6909585315712974</c:v>
                </c:pt>
                <c:pt idx="80">
                  <c:v>7.0817864259614467</c:v>
                </c:pt>
                <c:pt idx="81">
                  <c:v>7.1760044195668584</c:v>
                </c:pt>
                <c:pt idx="82">
                  <c:v>7.3448875329194374</c:v>
                </c:pt>
                <c:pt idx="83">
                  <c:v>7.6165817436609551</c:v>
                </c:pt>
                <c:pt idx="84">
                  <c:v>8.1257683177126889</c:v>
                </c:pt>
                <c:pt idx="85">
                  <c:v>8.7103594894635386</c:v>
                </c:pt>
                <c:pt idx="86">
                  <c:v>9.3803020870502287</c:v>
                </c:pt>
                <c:pt idx="87">
                  <c:v>10.49633858718077</c:v>
                </c:pt>
                <c:pt idx="88">
                  <c:v>10.19336464523526</c:v>
                </c:pt>
                <c:pt idx="89">
                  <c:v>11.94145935338617</c:v>
                </c:pt>
                <c:pt idx="90">
                  <c:v>12.66853411779103</c:v>
                </c:pt>
                <c:pt idx="91">
                  <c:v>12.65479693980704</c:v>
                </c:pt>
                <c:pt idx="92">
                  <c:v>13.57481051740257</c:v>
                </c:pt>
                <c:pt idx="93">
                  <c:v>14.38820633968222</c:v>
                </c:pt>
                <c:pt idx="94">
                  <c:v>14.730688774042139</c:v>
                </c:pt>
                <c:pt idx="95">
                  <c:v>15.76394477526803</c:v>
                </c:pt>
                <c:pt idx="96">
                  <c:v>16.624230589120771</c:v>
                </c:pt>
                <c:pt idx="97">
                  <c:v>17.249594591419189</c:v>
                </c:pt>
                <c:pt idx="98">
                  <c:v>17.558842711100461</c:v>
                </c:pt>
                <c:pt idx="99">
                  <c:v>18.129576087657679</c:v>
                </c:pt>
                <c:pt idx="100">
                  <c:v>17.815457042330571</c:v>
                </c:pt>
                <c:pt idx="101">
                  <c:v>18.047343665697358</c:v>
                </c:pt>
                <c:pt idx="102">
                  <c:v>19.256768585630031</c:v>
                </c:pt>
                <c:pt idx="103">
                  <c:v>18.535925750058251</c:v>
                </c:pt>
                <c:pt idx="104">
                  <c:v>19.010972059338329</c:v>
                </c:pt>
                <c:pt idx="105">
                  <c:v>20.287549360431239</c:v>
                </c:pt>
                <c:pt idx="106">
                  <c:v>21.929502729352539</c:v>
                </c:pt>
                <c:pt idx="107">
                  <c:v>21.662962859342681</c:v>
                </c:pt>
                <c:pt idx="108">
                  <c:v>20.58886484220594</c:v>
                </c:pt>
                <c:pt idx="109">
                  <c:v>19.9238596881634</c:v>
                </c:pt>
                <c:pt idx="110">
                  <c:v>19.296577972246538</c:v>
                </c:pt>
                <c:pt idx="111">
                  <c:v>20.24441892696699</c:v>
                </c:pt>
                <c:pt idx="112">
                  <c:v>20.26717591938656</c:v>
                </c:pt>
                <c:pt idx="113">
                  <c:v>20.528985137514709</c:v>
                </c:pt>
                <c:pt idx="114">
                  <c:v>21.73061762958746</c:v>
                </c:pt>
                <c:pt idx="115">
                  <c:v>22.1297259669029</c:v>
                </c:pt>
                <c:pt idx="116">
                  <c:v>22.569901496689969</c:v>
                </c:pt>
                <c:pt idx="117">
                  <c:v>24.067084418443251</c:v>
                </c:pt>
                <c:pt idx="118">
                  <c:v>24.73605867065762</c:v>
                </c:pt>
                <c:pt idx="119">
                  <c:v>25.23475573648324</c:v>
                </c:pt>
                <c:pt idx="120">
                  <c:v>24.02732001883604</c:v>
                </c:pt>
                <c:pt idx="121">
                  <c:v>24.27949357157285</c:v>
                </c:pt>
                <c:pt idx="122">
                  <c:v>25.436969332777089</c:v>
                </c:pt>
                <c:pt idx="123">
                  <c:v>25.408493470471541</c:v>
                </c:pt>
                <c:pt idx="124">
                  <c:v>26.926491396586151</c:v>
                </c:pt>
                <c:pt idx="125">
                  <c:v>27.980199367898361</c:v>
                </c:pt>
                <c:pt idx="126">
                  <c:v>26.162322985598131</c:v>
                </c:pt>
                <c:pt idx="127">
                  <c:v>26.935180323001521</c:v>
                </c:pt>
                <c:pt idx="128">
                  <c:v>29.637494464462939</c:v>
                </c:pt>
                <c:pt idx="129">
                  <c:v>30.61444496601823</c:v>
                </c:pt>
                <c:pt idx="130">
                  <c:v>31.299927436983481</c:v>
                </c:pt>
                <c:pt idx="131">
                  <c:v>32.216632992124012</c:v>
                </c:pt>
                <c:pt idx="132">
                  <c:v>31.279383166065472</c:v>
                </c:pt>
                <c:pt idx="133">
                  <c:v>30.25254828299018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A0-7B4C-83A2-2D9A6A607B58}"/>
            </c:ext>
          </c:extLst>
        </c:ser>
        <c:ser>
          <c:idx val="1"/>
          <c:order val="1"/>
          <c:tx>
            <c:strRef>
              <c:f>ＧＢＲＴ再投資累積報酬!$C$24</c:f>
              <c:strCache>
                <c:ptCount val="1"/>
                <c:pt idx="0">
                  <c:v>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ＧＢＲＴ再投資累積報酬!$D$22:$EG$22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ＧＢＲＴ再投資累積報酬!$D$24:$EG$24</c:f>
              <c:numCache>
                <c:formatCode>General</c:formatCode>
                <c:ptCount val="134"/>
                <c:pt idx="0">
                  <c:v>-7.4773642018864939E-3</c:v>
                </c:pt>
                <c:pt idx="1">
                  <c:v>-2.061307142629532E-3</c:v>
                </c:pt>
                <c:pt idx="2">
                  <c:v>3.4509336694801269E-3</c:v>
                </c:pt>
                <c:pt idx="3">
                  <c:v>-5.6742602548122578E-2</c:v>
                </c:pt>
                <c:pt idx="4">
                  <c:v>-2.781188186054873E-2</c:v>
                </c:pt>
                <c:pt idx="5">
                  <c:v>-4.4716665122293442E-2</c:v>
                </c:pt>
                <c:pt idx="6">
                  <c:v>1.0770031231770449E-2</c:v>
                </c:pt>
                <c:pt idx="7">
                  <c:v>5.1055973038990787E-2</c:v>
                </c:pt>
                <c:pt idx="8">
                  <c:v>6.7727495995814513E-2</c:v>
                </c:pt>
                <c:pt idx="9">
                  <c:v>0.13030417350407489</c:v>
                </c:pt>
                <c:pt idx="10">
                  <c:v>0.12818909094345349</c:v>
                </c:pt>
                <c:pt idx="11">
                  <c:v>0.17714394295791691</c:v>
                </c:pt>
                <c:pt idx="12">
                  <c:v>0.20683181625194599</c:v>
                </c:pt>
                <c:pt idx="13">
                  <c:v>0.19925575132375381</c:v>
                </c:pt>
                <c:pt idx="14">
                  <c:v>0.2077219192231714</c:v>
                </c:pt>
                <c:pt idx="15">
                  <c:v>0.21699003486270141</c:v>
                </c:pt>
                <c:pt idx="16">
                  <c:v>0.32941677392414342</c:v>
                </c:pt>
                <c:pt idx="17">
                  <c:v>0.460682274826691</c:v>
                </c:pt>
                <c:pt idx="18">
                  <c:v>0.50075501209876228</c:v>
                </c:pt>
                <c:pt idx="19">
                  <c:v>0.53501837874449687</c:v>
                </c:pt>
                <c:pt idx="20">
                  <c:v>0.58255621566379845</c:v>
                </c:pt>
                <c:pt idx="21">
                  <c:v>0.82055016294012328</c:v>
                </c:pt>
                <c:pt idx="22">
                  <c:v>0.92904450628665547</c:v>
                </c:pt>
                <c:pt idx="23">
                  <c:v>1.101880309641269</c:v>
                </c:pt>
                <c:pt idx="24">
                  <c:v>1.189732493535635</c:v>
                </c:pt>
                <c:pt idx="25">
                  <c:v>1.21067436895983</c:v>
                </c:pt>
                <c:pt idx="26">
                  <c:v>1.349697626153372</c:v>
                </c:pt>
                <c:pt idx="27">
                  <c:v>1.4498187898693999</c:v>
                </c:pt>
                <c:pt idx="28">
                  <c:v>1.6386297947285711</c:v>
                </c:pt>
                <c:pt idx="29">
                  <c:v>1.8123322354275091</c:v>
                </c:pt>
                <c:pt idx="30">
                  <c:v>1.784475500438053</c:v>
                </c:pt>
                <c:pt idx="31">
                  <c:v>1.934604740786614</c:v>
                </c:pt>
                <c:pt idx="32">
                  <c:v>1.879885964683039</c:v>
                </c:pt>
                <c:pt idx="33">
                  <c:v>1.9174275515929291</c:v>
                </c:pt>
                <c:pt idx="34">
                  <c:v>1.9533690896965581</c:v>
                </c:pt>
                <c:pt idx="35">
                  <c:v>2.191408942020959</c:v>
                </c:pt>
                <c:pt idx="36">
                  <c:v>2.324929283819325</c:v>
                </c:pt>
                <c:pt idx="37">
                  <c:v>2.2252556824962402</c:v>
                </c:pt>
                <c:pt idx="38">
                  <c:v>2.2307671499892772</c:v>
                </c:pt>
                <c:pt idx="39">
                  <c:v>2.382319821547922</c:v>
                </c:pt>
                <c:pt idx="40">
                  <c:v>2.4915462505469592</c:v>
                </c:pt>
                <c:pt idx="41">
                  <c:v>2.5643381596896662</c:v>
                </c:pt>
                <c:pt idx="42">
                  <c:v>2.6193791356543019</c:v>
                </c:pt>
                <c:pt idx="43">
                  <c:v>2.939200309420555</c:v>
                </c:pt>
                <c:pt idx="44">
                  <c:v>3.0010277065426001</c:v>
                </c:pt>
                <c:pt idx="45">
                  <c:v>3.333760201613877</c:v>
                </c:pt>
                <c:pt idx="46">
                  <c:v>3.5587370014139559</c:v>
                </c:pt>
                <c:pt idx="47">
                  <c:v>3.779535890797288</c:v>
                </c:pt>
                <c:pt idx="48">
                  <c:v>4.1059167399851351</c:v>
                </c:pt>
                <c:pt idx="49">
                  <c:v>4.2653261978576253</c:v>
                </c:pt>
                <c:pt idx="50">
                  <c:v>4.4032160032931493</c:v>
                </c:pt>
                <c:pt idx="51">
                  <c:v>4.6974882890449194</c:v>
                </c:pt>
                <c:pt idx="52">
                  <c:v>4.9669285265340246</c:v>
                </c:pt>
                <c:pt idx="53">
                  <c:v>5.0323398657427258</c:v>
                </c:pt>
                <c:pt idx="54">
                  <c:v>4.7682814909562401</c:v>
                </c:pt>
                <c:pt idx="55">
                  <c:v>5.1834913645488996</c:v>
                </c:pt>
                <c:pt idx="56">
                  <c:v>5.5410569714755784</c:v>
                </c:pt>
                <c:pt idx="57">
                  <c:v>5.9488029642231197</c:v>
                </c:pt>
                <c:pt idx="58">
                  <c:v>6.4375783555607882</c:v>
                </c:pt>
                <c:pt idx="59">
                  <c:v>6.6180592835661889</c:v>
                </c:pt>
                <c:pt idx="60">
                  <c:v>6.550423137134433</c:v>
                </c:pt>
                <c:pt idx="61">
                  <c:v>6.847234131887145</c:v>
                </c:pt>
                <c:pt idx="62">
                  <c:v>7.0419401268041177</c:v>
                </c:pt>
                <c:pt idx="63">
                  <c:v>7.1080952638835999</c:v>
                </c:pt>
                <c:pt idx="64">
                  <c:v>7.7776442272618613</c:v>
                </c:pt>
                <c:pt idx="65">
                  <c:v>8.2832192014383192</c:v>
                </c:pt>
                <c:pt idx="66">
                  <c:v>8.5076549999217939</c:v>
                </c:pt>
                <c:pt idx="67">
                  <c:v>9.2818462484857953</c:v>
                </c:pt>
                <c:pt idx="68">
                  <c:v>9.6949761193349584</c:v>
                </c:pt>
                <c:pt idx="69">
                  <c:v>9.7005489684641333</c:v>
                </c:pt>
                <c:pt idx="70">
                  <c:v>9.8666981730947558</c:v>
                </c:pt>
                <c:pt idx="71">
                  <c:v>10.625351047625321</c:v>
                </c:pt>
                <c:pt idx="72">
                  <c:v>11.505552942373599</c:v>
                </c:pt>
                <c:pt idx="73">
                  <c:v>11.98364557873928</c:v>
                </c:pt>
                <c:pt idx="74">
                  <c:v>13.13780658526658</c:v>
                </c:pt>
                <c:pt idx="75">
                  <c:v>13.839320914808029</c:v>
                </c:pt>
                <c:pt idx="76">
                  <c:v>13.675776975795779</c:v>
                </c:pt>
                <c:pt idx="77">
                  <c:v>14.057602235165479</c:v>
                </c:pt>
                <c:pt idx="78">
                  <c:v>14.181448143148071</c:v>
                </c:pt>
                <c:pt idx="79">
                  <c:v>15.745692830951389</c:v>
                </c:pt>
                <c:pt idx="80">
                  <c:v>17.075934997552999</c:v>
                </c:pt>
                <c:pt idx="81">
                  <c:v>17.274140772551839</c:v>
                </c:pt>
                <c:pt idx="82">
                  <c:v>17.402220989937192</c:v>
                </c:pt>
                <c:pt idx="83">
                  <c:v>18.690026653005042</c:v>
                </c:pt>
                <c:pt idx="84">
                  <c:v>19.721125553818691</c:v>
                </c:pt>
                <c:pt idx="85">
                  <c:v>21.398752627218219</c:v>
                </c:pt>
                <c:pt idx="86">
                  <c:v>22.176267717530241</c:v>
                </c:pt>
                <c:pt idx="87">
                  <c:v>24.398980765900362</c:v>
                </c:pt>
                <c:pt idx="88">
                  <c:v>24.043122382887891</c:v>
                </c:pt>
                <c:pt idx="89">
                  <c:v>28.844731706967639</c:v>
                </c:pt>
                <c:pt idx="90">
                  <c:v>30.65476202426483</c:v>
                </c:pt>
                <c:pt idx="91">
                  <c:v>31.30612192759294</c:v>
                </c:pt>
                <c:pt idx="92">
                  <c:v>33.674783391540011</c:v>
                </c:pt>
                <c:pt idx="93">
                  <c:v>35.883362873124192</c:v>
                </c:pt>
                <c:pt idx="94">
                  <c:v>36.637175744360853</c:v>
                </c:pt>
                <c:pt idx="95">
                  <c:v>40.207754587052669</c:v>
                </c:pt>
                <c:pt idx="96">
                  <c:v>44.017988696623682</c:v>
                </c:pt>
                <c:pt idx="97">
                  <c:v>46.474930497180878</c:v>
                </c:pt>
                <c:pt idx="98">
                  <c:v>47.517866486171798</c:v>
                </c:pt>
                <c:pt idx="99">
                  <c:v>49.001680705851143</c:v>
                </c:pt>
                <c:pt idx="100">
                  <c:v>46.941523863620837</c:v>
                </c:pt>
                <c:pt idx="101">
                  <c:v>47.176351810547779</c:v>
                </c:pt>
                <c:pt idx="102">
                  <c:v>51.597184174541773</c:v>
                </c:pt>
                <c:pt idx="103">
                  <c:v>48.3700215993697</c:v>
                </c:pt>
                <c:pt idx="104">
                  <c:v>49.727663089310177</c:v>
                </c:pt>
                <c:pt idx="105">
                  <c:v>53.978948097282711</c:v>
                </c:pt>
                <c:pt idx="106">
                  <c:v>57.205466458029463</c:v>
                </c:pt>
                <c:pt idx="107">
                  <c:v>56.200163059337669</c:v>
                </c:pt>
                <c:pt idx="108">
                  <c:v>52.119745943082457</c:v>
                </c:pt>
                <c:pt idx="109">
                  <c:v>50.058353622278418</c:v>
                </c:pt>
                <c:pt idx="110">
                  <c:v>48.548536679824608</c:v>
                </c:pt>
                <c:pt idx="111">
                  <c:v>51.623293137964282</c:v>
                </c:pt>
                <c:pt idx="112">
                  <c:v>50.391861144052818</c:v>
                </c:pt>
                <c:pt idx="113">
                  <c:v>51.174667612519293</c:v>
                </c:pt>
                <c:pt idx="114">
                  <c:v>53.811784552114098</c:v>
                </c:pt>
                <c:pt idx="115">
                  <c:v>55.700641789466012</c:v>
                </c:pt>
                <c:pt idx="116">
                  <c:v>58.213905642112472</c:v>
                </c:pt>
                <c:pt idx="117">
                  <c:v>62.440920915454612</c:v>
                </c:pt>
                <c:pt idx="118">
                  <c:v>63.669085581483778</c:v>
                </c:pt>
                <c:pt idx="119">
                  <c:v>65.249216797953864</c:v>
                </c:pt>
                <c:pt idx="120">
                  <c:v>63.267358632294503</c:v>
                </c:pt>
                <c:pt idx="121">
                  <c:v>62.009399557944519</c:v>
                </c:pt>
                <c:pt idx="122">
                  <c:v>63.502650104909549</c:v>
                </c:pt>
                <c:pt idx="123">
                  <c:v>63.382115447367369</c:v>
                </c:pt>
                <c:pt idx="124">
                  <c:v>67.773746673784785</c:v>
                </c:pt>
                <c:pt idx="125">
                  <c:v>71.115789578060472</c:v>
                </c:pt>
                <c:pt idx="126">
                  <c:v>70.430356055685635</c:v>
                </c:pt>
                <c:pt idx="127">
                  <c:v>73.47463331228667</c:v>
                </c:pt>
                <c:pt idx="128">
                  <c:v>83.629737246444037</c:v>
                </c:pt>
                <c:pt idx="129">
                  <c:v>88.543305627075853</c:v>
                </c:pt>
                <c:pt idx="130">
                  <c:v>88.675466540592808</c:v>
                </c:pt>
                <c:pt idx="131">
                  <c:v>89.777135454942211</c:v>
                </c:pt>
                <c:pt idx="132">
                  <c:v>86.521188373558047</c:v>
                </c:pt>
                <c:pt idx="133">
                  <c:v>82.330738159218143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A0-7B4C-83A2-2D9A6A607B58}"/>
            </c:ext>
          </c:extLst>
        </c:ser>
        <c:ser>
          <c:idx val="2"/>
          <c:order val="2"/>
          <c:tx>
            <c:strRef>
              <c:f>ＧＢＲＴ再投資累積報酬!$C$25</c:f>
              <c:strCache>
                <c:ptCount val="1"/>
                <c:pt idx="0">
                  <c:v>50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ＧＢＲＴ再投資累積報酬!$D$22:$EG$22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ＧＢＲＴ再投資累積報酬!$D$25:$EG$25</c:f>
              <c:numCache>
                <c:formatCode>General</c:formatCode>
                <c:ptCount val="134"/>
                <c:pt idx="0">
                  <c:v>-3.3228977675766158E-2</c:v>
                </c:pt>
                <c:pt idx="1">
                  <c:v>0.1037079974345443</c:v>
                </c:pt>
                <c:pt idx="2">
                  <c:v>0.15659850805241929</c:v>
                </c:pt>
                <c:pt idx="3">
                  <c:v>8.6807150865061189E-2</c:v>
                </c:pt>
                <c:pt idx="4">
                  <c:v>8.9154553677129655E-2</c:v>
                </c:pt>
                <c:pt idx="5">
                  <c:v>0.1016888284000157</c:v>
                </c:pt>
                <c:pt idx="6">
                  <c:v>0.13379852760311281</c:v>
                </c:pt>
                <c:pt idx="7">
                  <c:v>0.2155164075169993</c:v>
                </c:pt>
                <c:pt idx="8">
                  <c:v>0.25566700143670401</c:v>
                </c:pt>
                <c:pt idx="9">
                  <c:v>0.3942391855583729</c:v>
                </c:pt>
                <c:pt idx="10">
                  <c:v>0.34889209500359097</c:v>
                </c:pt>
                <c:pt idx="11">
                  <c:v>0.42627726111613651</c:v>
                </c:pt>
                <c:pt idx="12">
                  <c:v>0.44085478637698849</c:v>
                </c:pt>
                <c:pt idx="13">
                  <c:v>0.45028002407424639</c:v>
                </c:pt>
                <c:pt idx="14">
                  <c:v>0.51864444592729675</c:v>
                </c:pt>
                <c:pt idx="15">
                  <c:v>0.55488146531145977</c:v>
                </c:pt>
                <c:pt idx="16">
                  <c:v>0.71316020022671101</c:v>
                </c:pt>
                <c:pt idx="17">
                  <c:v>0.95949010073308472</c:v>
                </c:pt>
                <c:pt idx="18">
                  <c:v>1.0284308846043191</c:v>
                </c:pt>
                <c:pt idx="19">
                  <c:v>1.148468877296049</c:v>
                </c:pt>
                <c:pt idx="20">
                  <c:v>1.251154953159296</c:v>
                </c:pt>
                <c:pt idx="21">
                  <c:v>1.742155564623882</c:v>
                </c:pt>
                <c:pt idx="22">
                  <c:v>1.824300762076444</c:v>
                </c:pt>
                <c:pt idx="23">
                  <c:v>2.2359252511865408</c:v>
                </c:pt>
                <c:pt idx="24">
                  <c:v>2.5824393215559058</c:v>
                </c:pt>
                <c:pt idx="25">
                  <c:v>2.7051896937413771</c:v>
                </c:pt>
                <c:pt idx="26">
                  <c:v>2.958333197047732</c:v>
                </c:pt>
                <c:pt idx="27">
                  <c:v>3.1096201228981428</c:v>
                </c:pt>
                <c:pt idx="28">
                  <c:v>3.5897754797682602</c:v>
                </c:pt>
                <c:pt idx="29">
                  <c:v>4.3082289775508844</c:v>
                </c:pt>
                <c:pt idx="30">
                  <c:v>4.1737752797928076</c:v>
                </c:pt>
                <c:pt idx="31">
                  <c:v>4.5838062280628611</c:v>
                </c:pt>
                <c:pt idx="32">
                  <c:v>4.7818227599275058</c:v>
                </c:pt>
                <c:pt idx="33">
                  <c:v>4.932494455460156</c:v>
                </c:pt>
                <c:pt idx="34">
                  <c:v>4.910210957926175</c:v>
                </c:pt>
                <c:pt idx="35">
                  <c:v>5.5127235165299044</c:v>
                </c:pt>
                <c:pt idx="36">
                  <c:v>5.6951724422315388</c:v>
                </c:pt>
                <c:pt idx="37">
                  <c:v>5.5670768999832454</c:v>
                </c:pt>
                <c:pt idx="38">
                  <c:v>5.8169170887370338</c:v>
                </c:pt>
                <c:pt idx="39">
                  <c:v>6.3432689273220966</c:v>
                </c:pt>
                <c:pt idx="40">
                  <c:v>6.7069042157176906</c:v>
                </c:pt>
                <c:pt idx="41">
                  <c:v>6.7653432940959624</c:v>
                </c:pt>
                <c:pt idx="42">
                  <c:v>6.9764305721745838</c:v>
                </c:pt>
                <c:pt idx="43">
                  <c:v>7.9905273327275452</c:v>
                </c:pt>
                <c:pt idx="44">
                  <c:v>8.5067779149194713</c:v>
                </c:pt>
                <c:pt idx="45">
                  <c:v>8.7223488055102241</c:v>
                </c:pt>
                <c:pt idx="46">
                  <c:v>9.9348280530705235</c:v>
                </c:pt>
                <c:pt idx="47">
                  <c:v>10.52205803313956</c:v>
                </c:pt>
                <c:pt idx="48">
                  <c:v>12.17257573550879</c:v>
                </c:pt>
                <c:pt idx="49">
                  <c:v>12.977032582109389</c:v>
                </c:pt>
                <c:pt idx="50">
                  <c:v>13.91195393727514</c:v>
                </c:pt>
                <c:pt idx="51">
                  <c:v>15.99935745331056</c:v>
                </c:pt>
                <c:pt idx="52">
                  <c:v>16.580774611239828</c:v>
                </c:pt>
                <c:pt idx="53">
                  <c:v>17.531712603917441</c:v>
                </c:pt>
                <c:pt idx="54">
                  <c:v>16.23297738073628</c:v>
                </c:pt>
                <c:pt idx="55">
                  <c:v>18.131578116746521</c:v>
                </c:pt>
                <c:pt idx="56">
                  <c:v>20.05381913384559</c:v>
                </c:pt>
                <c:pt idx="57">
                  <c:v>21.571529251341989</c:v>
                </c:pt>
                <c:pt idx="58">
                  <c:v>22.538269356335711</c:v>
                </c:pt>
                <c:pt idx="59">
                  <c:v>24.153093391397459</c:v>
                </c:pt>
                <c:pt idx="60">
                  <c:v>23.305649960899231</c:v>
                </c:pt>
                <c:pt idx="61">
                  <c:v>24.338557886678789</c:v>
                </c:pt>
                <c:pt idx="62">
                  <c:v>24.772614489240208</c:v>
                </c:pt>
                <c:pt idx="63">
                  <c:v>26.906398396420059</c:v>
                </c:pt>
                <c:pt idx="64">
                  <c:v>27.46845924216505</c:v>
                </c:pt>
                <c:pt idx="65">
                  <c:v>29.470342631351581</c:v>
                </c:pt>
                <c:pt idx="66">
                  <c:v>29.898606204558391</c:v>
                </c:pt>
                <c:pt idx="67">
                  <c:v>32.58147608784347</c:v>
                </c:pt>
                <c:pt idx="68">
                  <c:v>33.600093733084357</c:v>
                </c:pt>
                <c:pt idx="69">
                  <c:v>32.536954779045537</c:v>
                </c:pt>
                <c:pt idx="70">
                  <c:v>33.140704267997577</c:v>
                </c:pt>
                <c:pt idx="71">
                  <c:v>36.615178497675473</c:v>
                </c:pt>
                <c:pt idx="72">
                  <c:v>41.538911646954993</c:v>
                </c:pt>
                <c:pt idx="73">
                  <c:v>44.456716650910138</c:v>
                </c:pt>
                <c:pt idx="74">
                  <c:v>47.484587295348497</c:v>
                </c:pt>
                <c:pt idx="75">
                  <c:v>48.772260607338183</c:v>
                </c:pt>
                <c:pt idx="76">
                  <c:v>43.96842494741113</c:v>
                </c:pt>
                <c:pt idx="77">
                  <c:v>46.643014669313828</c:v>
                </c:pt>
                <c:pt idx="78">
                  <c:v>48.023503487422253</c:v>
                </c:pt>
                <c:pt idx="79">
                  <c:v>52.75857283205</c:v>
                </c:pt>
                <c:pt idx="80">
                  <c:v>58.906032750751002</c:v>
                </c:pt>
                <c:pt idx="81">
                  <c:v>60.148202210998313</c:v>
                </c:pt>
                <c:pt idx="82">
                  <c:v>59.912485310352089</c:v>
                </c:pt>
                <c:pt idx="83">
                  <c:v>61.446164303693038</c:v>
                </c:pt>
                <c:pt idx="84">
                  <c:v>65.481994995305385</c:v>
                </c:pt>
                <c:pt idx="85">
                  <c:v>73.813325982792662</c:v>
                </c:pt>
                <c:pt idx="86">
                  <c:v>77.573650133906895</c:v>
                </c:pt>
                <c:pt idx="87">
                  <c:v>79.15038296392035</c:v>
                </c:pt>
                <c:pt idx="88">
                  <c:v>79.558918032179818</c:v>
                </c:pt>
                <c:pt idx="89">
                  <c:v>97.110645254181719</c:v>
                </c:pt>
                <c:pt idx="90">
                  <c:v>108.7524529895247</c:v>
                </c:pt>
                <c:pt idx="91">
                  <c:v>119.0317972470275</c:v>
                </c:pt>
                <c:pt idx="92">
                  <c:v>130.12907049010079</c:v>
                </c:pt>
                <c:pt idx="93">
                  <c:v>146.59752277491069</c:v>
                </c:pt>
                <c:pt idx="94">
                  <c:v>143.37819698584519</c:v>
                </c:pt>
                <c:pt idx="95">
                  <c:v>157.7693946332837</c:v>
                </c:pt>
                <c:pt idx="96">
                  <c:v>177.13035173299511</c:v>
                </c:pt>
                <c:pt idx="97">
                  <c:v>187.58216384681469</c:v>
                </c:pt>
                <c:pt idx="98">
                  <c:v>185.94652487594769</c:v>
                </c:pt>
                <c:pt idx="99">
                  <c:v>202.8912134464569</c:v>
                </c:pt>
                <c:pt idx="100">
                  <c:v>183.24402569573309</c:v>
                </c:pt>
                <c:pt idx="101">
                  <c:v>185.1419970391016</c:v>
                </c:pt>
                <c:pt idx="102">
                  <c:v>201.9422776382454</c:v>
                </c:pt>
                <c:pt idx="103">
                  <c:v>183.62896669519969</c:v>
                </c:pt>
                <c:pt idx="104">
                  <c:v>187.24530880574179</c:v>
                </c:pt>
                <c:pt idx="105">
                  <c:v>205.1335783800609</c:v>
                </c:pt>
                <c:pt idx="106">
                  <c:v>211.19417851762819</c:v>
                </c:pt>
                <c:pt idx="107">
                  <c:v>197.5754695925034</c:v>
                </c:pt>
                <c:pt idx="108">
                  <c:v>180.2349052819286</c:v>
                </c:pt>
                <c:pt idx="109">
                  <c:v>178.7101324607797</c:v>
                </c:pt>
                <c:pt idx="110">
                  <c:v>171.40327398968051</c:v>
                </c:pt>
                <c:pt idx="111">
                  <c:v>184.49209173637061</c:v>
                </c:pt>
                <c:pt idx="112">
                  <c:v>170.13253970521089</c:v>
                </c:pt>
                <c:pt idx="113">
                  <c:v>178.498992716842</c:v>
                </c:pt>
                <c:pt idx="114">
                  <c:v>176.69657468995109</c:v>
                </c:pt>
                <c:pt idx="115">
                  <c:v>180.12680092820679</c:v>
                </c:pt>
                <c:pt idx="116">
                  <c:v>192.85794094041549</c:v>
                </c:pt>
                <c:pt idx="117">
                  <c:v>205.67759152324959</c:v>
                </c:pt>
                <c:pt idx="118">
                  <c:v>215.2312790220976</c:v>
                </c:pt>
                <c:pt idx="119">
                  <c:v>212.16807472424429</c:v>
                </c:pt>
                <c:pt idx="120">
                  <c:v>193.1028008134883</c:v>
                </c:pt>
                <c:pt idx="121">
                  <c:v>199.34286475089999</c:v>
                </c:pt>
                <c:pt idx="122">
                  <c:v>223.16715471311079</c:v>
                </c:pt>
                <c:pt idx="123">
                  <c:v>222.9305906015999</c:v>
                </c:pt>
                <c:pt idx="124">
                  <c:v>240.5464727661905</c:v>
                </c:pt>
                <c:pt idx="125">
                  <c:v>256.31730185991921</c:v>
                </c:pt>
                <c:pt idx="126">
                  <c:v>244.05330538342301</c:v>
                </c:pt>
                <c:pt idx="127">
                  <c:v>248.3980911172124</c:v>
                </c:pt>
                <c:pt idx="128">
                  <c:v>296.36985366708598</c:v>
                </c:pt>
                <c:pt idx="129">
                  <c:v>322.58561767523929</c:v>
                </c:pt>
                <c:pt idx="130">
                  <c:v>320.38080438064043</c:v>
                </c:pt>
                <c:pt idx="131">
                  <c:v>330.86485699907149</c:v>
                </c:pt>
                <c:pt idx="132">
                  <c:v>316.75869590418648</c:v>
                </c:pt>
                <c:pt idx="133">
                  <c:v>289.7646547576893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A0-7B4C-83A2-2D9A6A607B58}"/>
            </c:ext>
          </c:extLst>
        </c:ser>
        <c:ser>
          <c:idx val="3"/>
          <c:order val="3"/>
          <c:tx>
            <c:strRef>
              <c:f>ＧＢＲＴ再投資累積報酬!$C$26</c:f>
              <c:strCache>
                <c:ptCount val="1"/>
                <c:pt idx="0">
                  <c:v>100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ＧＢＲＴ再投資累積報酬!$D$22:$EG$22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ＧＢＲＴ再投資累積報酬!$D$26:$EG$26</c:f>
              <c:numCache>
                <c:formatCode>General</c:formatCode>
                <c:ptCount val="134"/>
                <c:pt idx="0">
                  <c:v>-3.6350225217569587E-2</c:v>
                </c:pt>
                <c:pt idx="1">
                  <c:v>0.22675976836332001</c:v>
                </c:pt>
                <c:pt idx="2">
                  <c:v>0.34372469448557957</c:v>
                </c:pt>
                <c:pt idx="3">
                  <c:v>0.39064949115372549</c:v>
                </c:pt>
                <c:pt idx="4">
                  <c:v>0.52427699783670656</c:v>
                </c:pt>
                <c:pt idx="5">
                  <c:v>0.52617278085868624</c:v>
                </c:pt>
                <c:pt idx="6">
                  <c:v>0.56122860450817025</c:v>
                </c:pt>
                <c:pt idx="7">
                  <c:v>0.59121604682361628</c:v>
                </c:pt>
                <c:pt idx="8">
                  <c:v>0.59825673659641843</c:v>
                </c:pt>
                <c:pt idx="9">
                  <c:v>0.6377078454256413</c:v>
                </c:pt>
                <c:pt idx="10">
                  <c:v>0.74854042463016812</c:v>
                </c:pt>
                <c:pt idx="11">
                  <c:v>0.94052350905306814</c:v>
                </c:pt>
                <c:pt idx="12">
                  <c:v>0.83708535887676017</c:v>
                </c:pt>
                <c:pt idx="13">
                  <c:v>0.87731122674904372</c:v>
                </c:pt>
                <c:pt idx="14">
                  <c:v>0.9927130574775116</c:v>
                </c:pt>
                <c:pt idx="15">
                  <c:v>1.0172699988325351</c:v>
                </c:pt>
                <c:pt idx="16">
                  <c:v>1.3063867881782329</c:v>
                </c:pt>
                <c:pt idx="17">
                  <c:v>1.764186774993191</c:v>
                </c:pt>
                <c:pt idx="18">
                  <c:v>1.8615224638459409</c:v>
                </c:pt>
                <c:pt idx="19">
                  <c:v>2.3985334892296062</c:v>
                </c:pt>
                <c:pt idx="20">
                  <c:v>2.5707420214731669</c:v>
                </c:pt>
                <c:pt idx="21">
                  <c:v>3.4700807165140781</c:v>
                </c:pt>
                <c:pt idx="22">
                  <c:v>3.5116819647100179</c:v>
                </c:pt>
                <c:pt idx="23">
                  <c:v>3.896177448587713</c:v>
                </c:pt>
                <c:pt idx="24">
                  <c:v>4.4511357083854879</c:v>
                </c:pt>
                <c:pt idx="25">
                  <c:v>4.6322279740989831</c:v>
                </c:pt>
                <c:pt idx="26">
                  <c:v>5.5284526120987687</c:v>
                </c:pt>
                <c:pt idx="27">
                  <c:v>5.4779993454142817</c:v>
                </c:pt>
                <c:pt idx="28">
                  <c:v>6.8499919484380696</c:v>
                </c:pt>
                <c:pt idx="29">
                  <c:v>8.4468850516462304</c:v>
                </c:pt>
                <c:pt idx="30">
                  <c:v>8.0281561774797989</c:v>
                </c:pt>
                <c:pt idx="31">
                  <c:v>9.5181612826390527</c:v>
                </c:pt>
                <c:pt idx="32">
                  <c:v>9.7795297769127814</c:v>
                </c:pt>
                <c:pt idx="33">
                  <c:v>10.318151713598009</c:v>
                </c:pt>
                <c:pt idx="34">
                  <c:v>10.340342617332849</c:v>
                </c:pt>
                <c:pt idx="35">
                  <c:v>11.35852224193426</c:v>
                </c:pt>
                <c:pt idx="36">
                  <c:v>11.098391847251589</c:v>
                </c:pt>
                <c:pt idx="37">
                  <c:v>10.66889336820539</c:v>
                </c:pt>
                <c:pt idx="38">
                  <c:v>11.268493855661969</c:v>
                </c:pt>
                <c:pt idx="39">
                  <c:v>12.189540720012911</c:v>
                </c:pt>
                <c:pt idx="40">
                  <c:v>13.85382712646698</c:v>
                </c:pt>
                <c:pt idx="41">
                  <c:v>14.11724230858561</c:v>
                </c:pt>
                <c:pt idx="42">
                  <c:v>14.12933050614844</c:v>
                </c:pt>
                <c:pt idx="43">
                  <c:v>15.924610247320819</c:v>
                </c:pt>
                <c:pt idx="44">
                  <c:v>17.23075142597305</c:v>
                </c:pt>
                <c:pt idx="45">
                  <c:v>17.149382996092729</c:v>
                </c:pt>
                <c:pt idx="46">
                  <c:v>20.586164147398271</c:v>
                </c:pt>
                <c:pt idx="47">
                  <c:v>23.029207823787679</c:v>
                </c:pt>
                <c:pt idx="48">
                  <c:v>27.835200046995151</c:v>
                </c:pt>
                <c:pt idx="49">
                  <c:v>29.7915625195857</c:v>
                </c:pt>
                <c:pt idx="50">
                  <c:v>29.325016816473529</c:v>
                </c:pt>
                <c:pt idx="51">
                  <c:v>31.892478047581019</c:v>
                </c:pt>
                <c:pt idx="52">
                  <c:v>33.835529120041507</c:v>
                </c:pt>
                <c:pt idx="53">
                  <c:v>34.171604230236753</c:v>
                </c:pt>
                <c:pt idx="54">
                  <c:v>32.715571188950157</c:v>
                </c:pt>
                <c:pt idx="55">
                  <c:v>37.005955577163299</c:v>
                </c:pt>
                <c:pt idx="56">
                  <c:v>41.915180704218173</c:v>
                </c:pt>
                <c:pt idx="57">
                  <c:v>44.85213549518464</c:v>
                </c:pt>
                <c:pt idx="58">
                  <c:v>51.058404625969047</c:v>
                </c:pt>
                <c:pt idx="59">
                  <c:v>57.831736928629986</c:v>
                </c:pt>
                <c:pt idx="60">
                  <c:v>60.514754308375899</c:v>
                </c:pt>
                <c:pt idx="61">
                  <c:v>61.813494813225248</c:v>
                </c:pt>
                <c:pt idx="62">
                  <c:v>62.512391260998463</c:v>
                </c:pt>
                <c:pt idx="63">
                  <c:v>68.946512020517474</c:v>
                </c:pt>
                <c:pt idx="64">
                  <c:v>70.970630536114143</c:v>
                </c:pt>
                <c:pt idx="65">
                  <c:v>80.922414979275089</c:v>
                </c:pt>
                <c:pt idx="66">
                  <c:v>80.446634772196148</c:v>
                </c:pt>
                <c:pt idx="67">
                  <c:v>91.181327930304008</c:v>
                </c:pt>
                <c:pt idx="68">
                  <c:v>92.275143354962509</c:v>
                </c:pt>
                <c:pt idx="69">
                  <c:v>86.692538711066433</c:v>
                </c:pt>
                <c:pt idx="70">
                  <c:v>85.36486644921537</c:v>
                </c:pt>
                <c:pt idx="71">
                  <c:v>99.579992086567302</c:v>
                </c:pt>
                <c:pt idx="72">
                  <c:v>129.64123849295541</c:v>
                </c:pt>
                <c:pt idx="73">
                  <c:v>138.24594926307611</c:v>
                </c:pt>
                <c:pt idx="74">
                  <c:v>140.66311446308279</c:v>
                </c:pt>
                <c:pt idx="75">
                  <c:v>142.47254149960409</c:v>
                </c:pt>
                <c:pt idx="76">
                  <c:v>129.14099635655651</c:v>
                </c:pt>
                <c:pt idx="77">
                  <c:v>141.2029981957669</c:v>
                </c:pt>
                <c:pt idx="78">
                  <c:v>136.17490734480049</c:v>
                </c:pt>
                <c:pt idx="79">
                  <c:v>134.81800546395081</c:v>
                </c:pt>
                <c:pt idx="80">
                  <c:v>148.05900402079811</c:v>
                </c:pt>
                <c:pt idx="81">
                  <c:v>154.79806156051629</c:v>
                </c:pt>
                <c:pt idx="82">
                  <c:v>158.61697555678879</c:v>
                </c:pt>
                <c:pt idx="83">
                  <c:v>164.2502155713496</c:v>
                </c:pt>
                <c:pt idx="84">
                  <c:v>180.04611977909201</c:v>
                </c:pt>
                <c:pt idx="85">
                  <c:v>190.35987527792301</c:v>
                </c:pt>
                <c:pt idx="86">
                  <c:v>194.46592639554629</c:v>
                </c:pt>
                <c:pt idx="87">
                  <c:v>207.17639858095279</c:v>
                </c:pt>
                <c:pt idx="88">
                  <c:v>216.88294288056181</c:v>
                </c:pt>
                <c:pt idx="89">
                  <c:v>283.93827642645601</c:v>
                </c:pt>
                <c:pt idx="90">
                  <c:v>340.77098906376199</c:v>
                </c:pt>
                <c:pt idx="91">
                  <c:v>385.23496673217278</c:v>
                </c:pt>
                <c:pt idx="92">
                  <c:v>411.1470904961364</c:v>
                </c:pt>
                <c:pt idx="93">
                  <c:v>467.39614828058239</c:v>
                </c:pt>
                <c:pt idx="94">
                  <c:v>439.33334990104902</c:v>
                </c:pt>
                <c:pt idx="95">
                  <c:v>513.63346721215669</c:v>
                </c:pt>
                <c:pt idx="96">
                  <c:v>608.46503748170562</c:v>
                </c:pt>
                <c:pt idx="97">
                  <c:v>660.05128155376747</c:v>
                </c:pt>
                <c:pt idx="98">
                  <c:v>687.80403927042278</c:v>
                </c:pt>
                <c:pt idx="99">
                  <c:v>792.76935690638288</c:v>
                </c:pt>
                <c:pt idx="100">
                  <c:v>718.99015865630986</c:v>
                </c:pt>
                <c:pt idx="101">
                  <c:v>736.09952609430854</c:v>
                </c:pt>
                <c:pt idx="102">
                  <c:v>856.00427829477837</c:v>
                </c:pt>
                <c:pt idx="103">
                  <c:v>676.32184571105222</c:v>
                </c:pt>
                <c:pt idx="104">
                  <c:v>733.72279570613819</c:v>
                </c:pt>
                <c:pt idx="105">
                  <c:v>807.34110176193008</c:v>
                </c:pt>
                <c:pt idx="106">
                  <c:v>789.30415104689644</c:v>
                </c:pt>
                <c:pt idx="107">
                  <c:v>794.08906829275804</c:v>
                </c:pt>
                <c:pt idx="108">
                  <c:v>704.17120296224459</c:v>
                </c:pt>
                <c:pt idx="109">
                  <c:v>704.83294603242859</c:v>
                </c:pt>
                <c:pt idx="110">
                  <c:v>666.64151206980489</c:v>
                </c:pt>
                <c:pt idx="111">
                  <c:v>700.10237511741684</c:v>
                </c:pt>
                <c:pt idx="112">
                  <c:v>649.4907777393762</c:v>
                </c:pt>
                <c:pt idx="113">
                  <c:v>698.49069423075605</c:v>
                </c:pt>
                <c:pt idx="114">
                  <c:v>661.89487072633415</c:v>
                </c:pt>
                <c:pt idx="115">
                  <c:v>630.7622185121545</c:v>
                </c:pt>
                <c:pt idx="116">
                  <c:v>652.30809986686495</c:v>
                </c:pt>
                <c:pt idx="117">
                  <c:v>747.32649154846922</c:v>
                </c:pt>
                <c:pt idx="118">
                  <c:v>778.69373339028721</c:v>
                </c:pt>
                <c:pt idx="119">
                  <c:v>750.48837685973592</c:v>
                </c:pt>
                <c:pt idx="120">
                  <c:v>743.29547395335487</c:v>
                </c:pt>
                <c:pt idx="121">
                  <c:v>779.88471555936633</c:v>
                </c:pt>
                <c:pt idx="122">
                  <c:v>927.1913118969029</c:v>
                </c:pt>
                <c:pt idx="123">
                  <c:v>942.21886421532474</c:v>
                </c:pt>
                <c:pt idx="124">
                  <c:v>997.87223622487318</c:v>
                </c:pt>
                <c:pt idx="125">
                  <c:v>1110.1492241756771</c:v>
                </c:pt>
                <c:pt idx="126">
                  <c:v>1203.1231184482499</c:v>
                </c:pt>
                <c:pt idx="127">
                  <c:v>1184.261076832207</c:v>
                </c:pt>
                <c:pt idx="128">
                  <c:v>1356.4235563125631</c:v>
                </c:pt>
                <c:pt idx="129">
                  <c:v>1458.629935050212</c:v>
                </c:pt>
                <c:pt idx="130">
                  <c:v>1479.2811713814961</c:v>
                </c:pt>
                <c:pt idx="131">
                  <c:v>1566.9994919954299</c:v>
                </c:pt>
                <c:pt idx="132">
                  <c:v>1489.6278429163281</c:v>
                </c:pt>
                <c:pt idx="133">
                  <c:v>1251.599262507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A0-7B4C-83A2-2D9A6A607B58}"/>
            </c:ext>
          </c:extLst>
        </c:ser>
        <c:ser>
          <c:idx val="4"/>
          <c:order val="4"/>
          <c:tx>
            <c:strRef>
              <c:f>ＧＢＲＴ再投資累積報酬!$C$27</c:f>
              <c:strCache>
                <c:ptCount val="1"/>
                <c:pt idx="0">
                  <c:v>192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ＧＢＲＴ再投資累積報酬!$D$22:$EG$22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ＧＢＲＴ再投資累積報酬!$D$27:$EG$27</c:f>
              <c:numCache>
                <c:formatCode>General</c:formatCode>
                <c:ptCount val="134"/>
                <c:pt idx="0">
                  <c:v>1.124133172820296E-2</c:v>
                </c:pt>
                <c:pt idx="1">
                  <c:v>0.23632989290661871</c:v>
                </c:pt>
                <c:pt idx="2">
                  <c:v>0.41698848138295358</c:v>
                </c:pt>
                <c:pt idx="3">
                  <c:v>0.70822391550713659</c:v>
                </c:pt>
                <c:pt idx="4">
                  <c:v>1.2323568185130069</c:v>
                </c:pt>
                <c:pt idx="5">
                  <c:v>1.2064993712674801</c:v>
                </c:pt>
                <c:pt idx="6">
                  <c:v>1.2638799262918869</c:v>
                </c:pt>
                <c:pt idx="7">
                  <c:v>1.1668710082147919</c:v>
                </c:pt>
                <c:pt idx="8">
                  <c:v>1.190297979606028</c:v>
                </c:pt>
                <c:pt idx="9">
                  <c:v>1.2641183189256071</c:v>
                </c:pt>
                <c:pt idx="10">
                  <c:v>1.347428419430271</c:v>
                </c:pt>
                <c:pt idx="11">
                  <c:v>1.742133456891386</c:v>
                </c:pt>
                <c:pt idx="12">
                  <c:v>1.4195177613521359</c:v>
                </c:pt>
                <c:pt idx="13">
                  <c:v>1.5238925611241949</c:v>
                </c:pt>
                <c:pt idx="14">
                  <c:v>1.739464158442813</c:v>
                </c:pt>
                <c:pt idx="15">
                  <c:v>1.6586757980107529</c:v>
                </c:pt>
                <c:pt idx="16">
                  <c:v>1.9823800926231829</c:v>
                </c:pt>
                <c:pt idx="17">
                  <c:v>2.7411614564649032</c:v>
                </c:pt>
                <c:pt idx="18">
                  <c:v>2.857032382302811</c:v>
                </c:pt>
                <c:pt idx="19">
                  <c:v>3.8040731456202108</c:v>
                </c:pt>
                <c:pt idx="20">
                  <c:v>4.8919250616295358</c:v>
                </c:pt>
                <c:pt idx="21">
                  <c:v>6.208081590630063</c:v>
                </c:pt>
                <c:pt idx="22">
                  <c:v>6.7927371946839061</c:v>
                </c:pt>
                <c:pt idx="23">
                  <c:v>7.7197866994885107</c:v>
                </c:pt>
                <c:pt idx="24">
                  <c:v>8.7965964132561076</c:v>
                </c:pt>
                <c:pt idx="25">
                  <c:v>9.5258497397373816</c:v>
                </c:pt>
                <c:pt idx="26">
                  <c:v>11.135142702989761</c:v>
                </c:pt>
                <c:pt idx="27">
                  <c:v>12.57739038906109</c:v>
                </c:pt>
                <c:pt idx="28">
                  <c:v>14.766353657601719</c:v>
                </c:pt>
                <c:pt idx="29">
                  <c:v>19.59256106033423</c:v>
                </c:pt>
                <c:pt idx="30">
                  <c:v>18.93023739383958</c:v>
                </c:pt>
                <c:pt idx="31">
                  <c:v>27.076873391931919</c:v>
                </c:pt>
                <c:pt idx="32">
                  <c:v>29.415097263352902</c:v>
                </c:pt>
                <c:pt idx="33">
                  <c:v>31.34734546321781</c:v>
                </c:pt>
                <c:pt idx="34">
                  <c:v>32.37349750086743</c:v>
                </c:pt>
                <c:pt idx="35">
                  <c:v>37.537527889820282</c:v>
                </c:pt>
                <c:pt idx="36">
                  <c:v>39.211658798029632</c:v>
                </c:pt>
                <c:pt idx="37">
                  <c:v>37.826587552987917</c:v>
                </c:pt>
                <c:pt idx="38">
                  <c:v>35.919880051593353</c:v>
                </c:pt>
                <c:pt idx="39">
                  <c:v>39.546554009642747</c:v>
                </c:pt>
                <c:pt idx="40">
                  <c:v>45.405791700505873</c:v>
                </c:pt>
                <c:pt idx="41">
                  <c:v>44.02572986807143</c:v>
                </c:pt>
                <c:pt idx="42">
                  <c:v>44.791744308340412</c:v>
                </c:pt>
                <c:pt idx="43">
                  <c:v>53.641609963877201</c:v>
                </c:pt>
                <c:pt idx="44">
                  <c:v>61.459329405921231</c:v>
                </c:pt>
                <c:pt idx="45">
                  <c:v>57.660697781480927</c:v>
                </c:pt>
                <c:pt idx="46">
                  <c:v>72.549654537267728</c:v>
                </c:pt>
                <c:pt idx="47">
                  <c:v>75.421437117346528</c:v>
                </c:pt>
                <c:pt idx="48">
                  <c:v>102.5461162122628</c:v>
                </c:pt>
                <c:pt idx="49">
                  <c:v>118.7276827752131</c:v>
                </c:pt>
                <c:pt idx="50">
                  <c:v>130.94919373304381</c:v>
                </c:pt>
                <c:pt idx="51">
                  <c:v>159.16451051745599</c:v>
                </c:pt>
                <c:pt idx="52">
                  <c:v>173.0694730045972</c:v>
                </c:pt>
                <c:pt idx="53">
                  <c:v>171.10104398613441</c:v>
                </c:pt>
                <c:pt idx="54">
                  <c:v>154.18723309309129</c:v>
                </c:pt>
                <c:pt idx="55">
                  <c:v>163.4750886665162</c:v>
                </c:pt>
                <c:pt idx="56">
                  <c:v>172.69216225587391</c:v>
                </c:pt>
                <c:pt idx="57">
                  <c:v>185.1111495572423</c:v>
                </c:pt>
                <c:pt idx="58">
                  <c:v>211.2539826661318</c:v>
                </c:pt>
                <c:pt idx="59">
                  <c:v>221.68409748742741</c:v>
                </c:pt>
                <c:pt idx="60">
                  <c:v>198.8370911767361</c:v>
                </c:pt>
                <c:pt idx="61">
                  <c:v>202.4037800006389</c:v>
                </c:pt>
                <c:pt idx="62">
                  <c:v>204.3202917369409</c:v>
                </c:pt>
                <c:pt idx="63">
                  <c:v>252.9131484498028</c:v>
                </c:pt>
                <c:pt idx="64">
                  <c:v>269.58405845236058</c:v>
                </c:pt>
                <c:pt idx="65">
                  <c:v>323.49220207144958</c:v>
                </c:pt>
                <c:pt idx="66">
                  <c:v>310.23102543000141</c:v>
                </c:pt>
                <c:pt idx="67">
                  <c:v>376.89361684213452</c:v>
                </c:pt>
                <c:pt idx="68">
                  <c:v>364.59839540559773</c:v>
                </c:pt>
                <c:pt idx="69">
                  <c:v>329.30699905389451</c:v>
                </c:pt>
                <c:pt idx="70">
                  <c:v>315.86892218344582</c:v>
                </c:pt>
                <c:pt idx="71">
                  <c:v>356.88369972698979</c:v>
                </c:pt>
                <c:pt idx="72">
                  <c:v>482.79776077159499</c:v>
                </c:pt>
                <c:pt idx="73">
                  <c:v>473.03304780181497</c:v>
                </c:pt>
                <c:pt idx="74">
                  <c:v>468.62701095581542</c:v>
                </c:pt>
                <c:pt idx="75">
                  <c:v>480.95462548536369</c:v>
                </c:pt>
                <c:pt idx="76">
                  <c:v>492.64131896427261</c:v>
                </c:pt>
                <c:pt idx="77">
                  <c:v>492.58812659407579</c:v>
                </c:pt>
                <c:pt idx="78">
                  <c:v>442.52378846196768</c:v>
                </c:pt>
                <c:pt idx="79">
                  <c:v>432.23047533936409</c:v>
                </c:pt>
                <c:pt idx="80">
                  <c:v>481.5184452442283</c:v>
                </c:pt>
                <c:pt idx="81">
                  <c:v>488.31952307427213</c:v>
                </c:pt>
                <c:pt idx="82">
                  <c:v>541.65076247175955</c:v>
                </c:pt>
                <c:pt idx="83">
                  <c:v>595.42522667856463</c:v>
                </c:pt>
                <c:pt idx="84">
                  <c:v>704.48200577494094</c:v>
                </c:pt>
                <c:pt idx="85">
                  <c:v>814.51572587774388</c:v>
                </c:pt>
                <c:pt idx="86">
                  <c:v>822.27451755704567</c:v>
                </c:pt>
                <c:pt idx="87">
                  <c:v>870.93182863151208</c:v>
                </c:pt>
                <c:pt idx="88">
                  <c:v>801.65272306687189</c:v>
                </c:pt>
                <c:pt idx="89">
                  <c:v>1094.686238022749</c:v>
                </c:pt>
                <c:pt idx="90">
                  <c:v>1329.4578911705639</c:v>
                </c:pt>
                <c:pt idx="91">
                  <c:v>1537.8884291567349</c:v>
                </c:pt>
                <c:pt idx="92">
                  <c:v>1652.231886081285</c:v>
                </c:pt>
                <c:pt idx="93">
                  <c:v>1896.6336914352789</c:v>
                </c:pt>
                <c:pt idx="94">
                  <c:v>1719.345422524327</c:v>
                </c:pt>
                <c:pt idx="95">
                  <c:v>1909.519217980037</c:v>
                </c:pt>
                <c:pt idx="96">
                  <c:v>2271.6236516601589</c:v>
                </c:pt>
                <c:pt idx="97">
                  <c:v>2333.29592784328</c:v>
                </c:pt>
                <c:pt idx="98">
                  <c:v>2519.3269548929238</c:v>
                </c:pt>
                <c:pt idx="99">
                  <c:v>2885.162967524584</c:v>
                </c:pt>
                <c:pt idx="100">
                  <c:v>2593.7567408136861</c:v>
                </c:pt>
                <c:pt idx="101">
                  <c:v>2627.6510980807489</c:v>
                </c:pt>
                <c:pt idx="102">
                  <c:v>2973.7492198425462</c:v>
                </c:pt>
                <c:pt idx="103">
                  <c:v>1835.9376279324599</c:v>
                </c:pt>
                <c:pt idx="104">
                  <c:v>2094.6431013650331</c:v>
                </c:pt>
                <c:pt idx="105">
                  <c:v>2219.3334669776541</c:v>
                </c:pt>
                <c:pt idx="106">
                  <c:v>2140.235310150159</c:v>
                </c:pt>
                <c:pt idx="107">
                  <c:v>2237.661427881023</c:v>
                </c:pt>
                <c:pt idx="108">
                  <c:v>1959.9032990673691</c:v>
                </c:pt>
                <c:pt idx="109">
                  <c:v>1865.6654000648759</c:v>
                </c:pt>
                <c:pt idx="110">
                  <c:v>1727.06860100271</c:v>
                </c:pt>
                <c:pt idx="111">
                  <c:v>2021.4216883377601</c:v>
                </c:pt>
                <c:pt idx="112">
                  <c:v>1979.4247702390239</c:v>
                </c:pt>
                <c:pt idx="113">
                  <c:v>1999.6916830618429</c:v>
                </c:pt>
                <c:pt idx="114">
                  <c:v>1751.9574470538389</c:v>
                </c:pt>
                <c:pt idx="115">
                  <c:v>1662.815483013879</c:v>
                </c:pt>
                <c:pt idx="116">
                  <c:v>1745.7081924022821</c:v>
                </c:pt>
                <c:pt idx="117">
                  <c:v>1870.5265258322311</c:v>
                </c:pt>
                <c:pt idx="118">
                  <c:v>2122.4915623094639</c:v>
                </c:pt>
                <c:pt idx="119">
                  <c:v>2061.328391749099</c:v>
                </c:pt>
                <c:pt idx="120">
                  <c:v>1917.392805597</c:v>
                </c:pt>
                <c:pt idx="121">
                  <c:v>1900.3944508031379</c:v>
                </c:pt>
                <c:pt idx="122">
                  <c:v>2418.798862804766</c:v>
                </c:pt>
                <c:pt idx="123">
                  <c:v>2518.194127338159</c:v>
                </c:pt>
                <c:pt idx="124">
                  <c:v>2560.2830952249528</c:v>
                </c:pt>
                <c:pt idx="125">
                  <c:v>3099.8344531074358</c:v>
                </c:pt>
                <c:pt idx="126">
                  <c:v>3680.9365042683498</c:v>
                </c:pt>
                <c:pt idx="127">
                  <c:v>3780.407968796992</c:v>
                </c:pt>
                <c:pt idx="128">
                  <c:v>3847.6124456706189</c:v>
                </c:pt>
                <c:pt idx="129">
                  <c:v>4656.7812445252521</c:v>
                </c:pt>
                <c:pt idx="130">
                  <c:v>4934.4975004183443</c:v>
                </c:pt>
                <c:pt idx="131">
                  <c:v>5551.7623333643814</c:v>
                </c:pt>
                <c:pt idx="132">
                  <c:v>5440.6094286166617</c:v>
                </c:pt>
                <c:pt idx="133">
                  <c:v>4300.3651071199047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BA0-7B4C-83A2-2D9A6A607B58}"/>
            </c:ext>
          </c:extLst>
        </c:ser>
        <c:ser>
          <c:idx val="5"/>
          <c:order val="5"/>
          <c:tx>
            <c:strRef>
              <c:f>ＧＢＲＴ再投資累積報酬!$C$28</c:f>
              <c:strCache>
                <c:ptCount val="1"/>
                <c:pt idx="0">
                  <c:v>964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ＧＢＲＴ再投資累積報酬!$D$22:$EG$22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ＧＢＲＴ再投資累積報酬!$D$28:$EG$28</c:f>
              <c:numCache>
                <c:formatCode>General</c:formatCode>
                <c:ptCount val="134"/>
                <c:pt idx="0">
                  <c:v>2.7766967310441041E-2</c:v>
                </c:pt>
                <c:pt idx="1">
                  <c:v>-5.6497980503421807E-2</c:v>
                </c:pt>
                <c:pt idx="2">
                  <c:v>-0.13375224156538729</c:v>
                </c:pt>
                <c:pt idx="3">
                  <c:v>4.0836285629268783E-2</c:v>
                </c:pt>
                <c:pt idx="4">
                  <c:v>1.7290082745691659E-2</c:v>
                </c:pt>
                <c:pt idx="5">
                  <c:v>0.37417801879386903</c:v>
                </c:pt>
                <c:pt idx="6">
                  <c:v>0.44088291099873528</c:v>
                </c:pt>
                <c:pt idx="7">
                  <c:v>0.43343279861020312</c:v>
                </c:pt>
                <c:pt idx="8">
                  <c:v>0.40513030483362988</c:v>
                </c:pt>
                <c:pt idx="9">
                  <c:v>0.13453926550544471</c:v>
                </c:pt>
                <c:pt idx="10">
                  <c:v>0.28934851520357202</c:v>
                </c:pt>
                <c:pt idx="11">
                  <c:v>0.42497729132991879</c:v>
                </c:pt>
                <c:pt idx="12">
                  <c:v>3.9524855993480663E-2</c:v>
                </c:pt>
                <c:pt idx="13">
                  <c:v>0.12033386525635879</c:v>
                </c:pt>
                <c:pt idx="14">
                  <c:v>0.21757160761858579</c:v>
                </c:pt>
                <c:pt idx="15">
                  <c:v>0.24491128386955061</c:v>
                </c:pt>
                <c:pt idx="16">
                  <c:v>0.61705753042158662</c:v>
                </c:pt>
                <c:pt idx="17">
                  <c:v>1.3514859209403829</c:v>
                </c:pt>
                <c:pt idx="18">
                  <c:v>1.627366874844574</c:v>
                </c:pt>
                <c:pt idx="19">
                  <c:v>3.105306940886289</c:v>
                </c:pt>
                <c:pt idx="20">
                  <c:v>5.7447464183996173</c:v>
                </c:pt>
                <c:pt idx="21">
                  <c:v>8.4047413703045137</c:v>
                </c:pt>
                <c:pt idx="22">
                  <c:v>9.8181816436079323</c:v>
                </c:pt>
                <c:pt idx="23">
                  <c:v>10.788255165836571</c:v>
                </c:pt>
                <c:pt idx="24">
                  <c:v>11.709048108598671</c:v>
                </c:pt>
                <c:pt idx="25">
                  <c:v>12.547435717779781</c:v>
                </c:pt>
                <c:pt idx="26">
                  <c:v>17.990081897860811</c:v>
                </c:pt>
                <c:pt idx="27">
                  <c:v>11.07967762926558</c:v>
                </c:pt>
                <c:pt idx="28">
                  <c:v>13.412768185723021</c:v>
                </c:pt>
                <c:pt idx="29">
                  <c:v>20.461200377761632</c:v>
                </c:pt>
                <c:pt idx="30">
                  <c:v>28.617645312629879</c:v>
                </c:pt>
                <c:pt idx="31">
                  <c:v>71.946708715902446</c:v>
                </c:pt>
                <c:pt idx="32">
                  <c:v>83.028165406871835</c:v>
                </c:pt>
                <c:pt idx="33">
                  <c:v>87.024562120617901</c:v>
                </c:pt>
                <c:pt idx="34">
                  <c:v>103.8730187009872</c:v>
                </c:pt>
                <c:pt idx="35">
                  <c:v>122.28002750947439</c:v>
                </c:pt>
                <c:pt idx="36">
                  <c:v>121.20313101178741</c:v>
                </c:pt>
                <c:pt idx="37">
                  <c:v>107.6800382010818</c:v>
                </c:pt>
                <c:pt idx="38">
                  <c:v>96.496242513818501</c:v>
                </c:pt>
                <c:pt idx="39">
                  <c:v>116.0099510900322</c:v>
                </c:pt>
                <c:pt idx="40">
                  <c:v>77.034124010661415</c:v>
                </c:pt>
                <c:pt idx="41">
                  <c:v>75.446063687787444</c:v>
                </c:pt>
                <c:pt idx="42">
                  <c:v>52.200713925078873</c:v>
                </c:pt>
                <c:pt idx="43">
                  <c:v>40.88723896396337</c:v>
                </c:pt>
                <c:pt idx="44">
                  <c:v>50.514644511447287</c:v>
                </c:pt>
                <c:pt idx="45">
                  <c:v>38.263269196627647</c:v>
                </c:pt>
                <c:pt idx="46">
                  <c:v>47.05088636523751</c:v>
                </c:pt>
                <c:pt idx="47">
                  <c:v>43.523591145623499</c:v>
                </c:pt>
                <c:pt idx="48">
                  <c:v>36.790131441618463</c:v>
                </c:pt>
                <c:pt idx="49">
                  <c:v>59.838315987186448</c:v>
                </c:pt>
                <c:pt idx="50">
                  <c:v>53.64602826873098</c:v>
                </c:pt>
                <c:pt idx="51">
                  <c:v>96.223608032705684</c:v>
                </c:pt>
                <c:pt idx="52">
                  <c:v>87.493677607286898</c:v>
                </c:pt>
                <c:pt idx="53">
                  <c:v>102.76504382723</c:v>
                </c:pt>
                <c:pt idx="54">
                  <c:v>108.71913786608189</c:v>
                </c:pt>
                <c:pt idx="55">
                  <c:v>109.3014412505289</c:v>
                </c:pt>
                <c:pt idx="56">
                  <c:v>135.5688484299468</c:v>
                </c:pt>
                <c:pt idx="57">
                  <c:v>167.03789288516589</c:v>
                </c:pt>
                <c:pt idx="58">
                  <c:v>146.85244542207391</c:v>
                </c:pt>
                <c:pt idx="59">
                  <c:v>137.8974287579976</c:v>
                </c:pt>
                <c:pt idx="60">
                  <c:v>136.5057144479145</c:v>
                </c:pt>
                <c:pt idx="61">
                  <c:v>151.0960223111685</c:v>
                </c:pt>
                <c:pt idx="62">
                  <c:v>163.99117022052579</c:v>
                </c:pt>
                <c:pt idx="63">
                  <c:v>200.66206954587079</c:v>
                </c:pt>
                <c:pt idx="64">
                  <c:v>188.73321508954521</c:v>
                </c:pt>
                <c:pt idx="65">
                  <c:v>296.34773444420551</c:v>
                </c:pt>
                <c:pt idx="66">
                  <c:v>254.57488550937711</c:v>
                </c:pt>
                <c:pt idx="67">
                  <c:v>373.57541602976522</c:v>
                </c:pt>
                <c:pt idx="68">
                  <c:v>328.01916567371649</c:v>
                </c:pt>
                <c:pt idx="69">
                  <c:v>346.37819042947291</c:v>
                </c:pt>
                <c:pt idx="70">
                  <c:v>503.24359896974619</c:v>
                </c:pt>
                <c:pt idx="71">
                  <c:v>794.37710802912409</c:v>
                </c:pt>
                <c:pt idx="72">
                  <c:v>914.50088080223441</c:v>
                </c:pt>
                <c:pt idx="73">
                  <c:v>1004.640344084483</c:v>
                </c:pt>
                <c:pt idx="74">
                  <c:v>605.11763149893227</c:v>
                </c:pt>
                <c:pt idx="75">
                  <c:v>519.26433672051212</c:v>
                </c:pt>
                <c:pt idx="76">
                  <c:v>474.85866284669521</c:v>
                </c:pt>
                <c:pt idx="77">
                  <c:v>505.37409088958822</c:v>
                </c:pt>
                <c:pt idx="78">
                  <c:v>616.69091149603298</c:v>
                </c:pt>
                <c:pt idx="79">
                  <c:v>588.80122458073458</c:v>
                </c:pt>
                <c:pt idx="80">
                  <c:v>694.5548158771652</c:v>
                </c:pt>
                <c:pt idx="81">
                  <c:v>541.11558368999272</c:v>
                </c:pt>
                <c:pt idx="82">
                  <c:v>584.65960239873141</c:v>
                </c:pt>
                <c:pt idx="83">
                  <c:v>679.16862304337974</c:v>
                </c:pt>
                <c:pt idx="84">
                  <c:v>606.93434298739032</c:v>
                </c:pt>
                <c:pt idx="85">
                  <c:v>433.18475987522947</c:v>
                </c:pt>
                <c:pt idx="86">
                  <c:v>298.68887661861731</c:v>
                </c:pt>
                <c:pt idx="87">
                  <c:v>286.05080422898118</c:v>
                </c:pt>
                <c:pt idx="88">
                  <c:v>273.22292336327888</c:v>
                </c:pt>
                <c:pt idx="89">
                  <c:v>313.57074518191939</c:v>
                </c:pt>
                <c:pt idx="90">
                  <c:v>462.14659541081062</c:v>
                </c:pt>
                <c:pt idx="91">
                  <c:v>553.88081216300327</c:v>
                </c:pt>
                <c:pt idx="92">
                  <c:v>525.3377276525855</c:v>
                </c:pt>
                <c:pt idx="93">
                  <c:v>391.08861117402722</c:v>
                </c:pt>
                <c:pt idx="94">
                  <c:v>452.86812604193148</c:v>
                </c:pt>
                <c:pt idx="95">
                  <c:v>499.20470466012898</c:v>
                </c:pt>
                <c:pt idx="96">
                  <c:v>613.60621463368636</c:v>
                </c:pt>
                <c:pt idx="97">
                  <c:v>668.75227053538936</c:v>
                </c:pt>
                <c:pt idx="98">
                  <c:v>831.93725553944728</c:v>
                </c:pt>
                <c:pt idx="99">
                  <c:v>954.12467444764309</c:v>
                </c:pt>
                <c:pt idx="100">
                  <c:v>610.06197855074208</c:v>
                </c:pt>
                <c:pt idx="101">
                  <c:v>511.00460946384669</c:v>
                </c:pt>
                <c:pt idx="102">
                  <c:v>644.39922531611751</c:v>
                </c:pt>
                <c:pt idx="103">
                  <c:v>32.490030815503147</c:v>
                </c:pt>
                <c:pt idx="104">
                  <c:v>44.215478132768688</c:v>
                </c:pt>
                <c:pt idx="105">
                  <c:v>47.629504377045372</c:v>
                </c:pt>
                <c:pt idx="106">
                  <c:v>37.307649292924587</c:v>
                </c:pt>
                <c:pt idx="107">
                  <c:v>44.763775978340682</c:v>
                </c:pt>
                <c:pt idx="108">
                  <c:v>33.38740546185354</c:v>
                </c:pt>
                <c:pt idx="109">
                  <c:v>29.851250761065671</c:v>
                </c:pt>
                <c:pt idx="110">
                  <c:v>16.79812359394078</c:v>
                </c:pt>
                <c:pt idx="111">
                  <c:v>20.20552024147376</c:v>
                </c:pt>
                <c:pt idx="112">
                  <c:v>16.684943120333251</c:v>
                </c:pt>
                <c:pt idx="113">
                  <c:v>18.068383801555509</c:v>
                </c:pt>
                <c:pt idx="114">
                  <c:v>11.05067763032446</c:v>
                </c:pt>
                <c:pt idx="115">
                  <c:v>11.443260661576151</c:v>
                </c:pt>
                <c:pt idx="116">
                  <c:v>10.40904789150599</c:v>
                </c:pt>
                <c:pt idx="117">
                  <c:v>9.7805216088630988</c:v>
                </c:pt>
                <c:pt idx="118">
                  <c:v>10.60103076586832</c:v>
                </c:pt>
                <c:pt idx="119">
                  <c:v>9.643284159876174</c:v>
                </c:pt>
                <c:pt idx="120">
                  <c:v>8.1105770056625346</c:v>
                </c:pt>
                <c:pt idx="121">
                  <c:v>7.5478068903756039</c:v>
                </c:pt>
                <c:pt idx="122">
                  <c:v>14.1342622857448</c:v>
                </c:pt>
                <c:pt idx="123">
                  <c:v>12.59624753488262</c:v>
                </c:pt>
                <c:pt idx="124">
                  <c:v>15.75237535524168</c:v>
                </c:pt>
                <c:pt idx="125">
                  <c:v>25.25391977971146</c:v>
                </c:pt>
                <c:pt idx="126">
                  <c:v>26.09579203637885</c:v>
                </c:pt>
                <c:pt idx="127">
                  <c:v>29.634546071108002</c:v>
                </c:pt>
                <c:pt idx="128">
                  <c:v>37.995235578211457</c:v>
                </c:pt>
                <c:pt idx="129">
                  <c:v>63.958559594118753</c:v>
                </c:pt>
                <c:pt idx="130">
                  <c:v>73.27598918667303</c:v>
                </c:pt>
                <c:pt idx="131">
                  <c:v>95.026287040714593</c:v>
                </c:pt>
                <c:pt idx="132">
                  <c:v>91.601607184532199</c:v>
                </c:pt>
                <c:pt idx="133">
                  <c:v>79.659910138530606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BA0-7B4C-83A2-2D9A6A607B58}"/>
            </c:ext>
          </c:extLst>
        </c:ser>
        <c:ser>
          <c:idx val="6"/>
          <c:order val="6"/>
          <c:tx>
            <c:strRef>
              <c:f>ＧＢＲＴ再投資累積報酬!$C$29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ＧＢＲＴ再投資累積報酬!$D$22:$EG$22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ＧＢＲＴ再投資累積報酬!$D$29:$EG$29</c:f>
              <c:numCache>
                <c:formatCode>General</c:formatCode>
                <c:ptCount val="134"/>
                <c:pt idx="0">
                  <c:v>-1.744677053939037E-2</c:v>
                </c:pt>
                <c:pt idx="1">
                  <c:v>2.893123339404724E-3</c:v>
                </c:pt>
                <c:pt idx="2">
                  <c:v>2.6944635852046869E-2</c:v>
                </c:pt>
                <c:pt idx="3">
                  <c:v>2.0210365301730041E-2</c:v>
                </c:pt>
                <c:pt idx="4">
                  <c:v>5.269909680859941E-2</c:v>
                </c:pt>
                <c:pt idx="5">
                  <c:v>8.8857766197530053E-2</c:v>
                </c:pt>
                <c:pt idx="6">
                  <c:v>7.9869318529145472E-2</c:v>
                </c:pt>
                <c:pt idx="7">
                  <c:v>9.3738646464063713E-2</c:v>
                </c:pt>
                <c:pt idx="8">
                  <c:v>3.7937714394164157E-2</c:v>
                </c:pt>
                <c:pt idx="9">
                  <c:v>3.8844812525307137E-2</c:v>
                </c:pt>
                <c:pt idx="10">
                  <c:v>6.3142951706360639E-2</c:v>
                </c:pt>
                <c:pt idx="11">
                  <c:v>7.6952085951054405E-2</c:v>
                </c:pt>
                <c:pt idx="12">
                  <c:v>8.3257197491512391E-2</c:v>
                </c:pt>
                <c:pt idx="13">
                  <c:v>0.11295275081672609</c:v>
                </c:pt>
                <c:pt idx="14">
                  <c:v>0.1088204283509331</c:v>
                </c:pt>
                <c:pt idx="15">
                  <c:v>0.13551706985268061</c:v>
                </c:pt>
                <c:pt idx="16">
                  <c:v>0.12167508804368481</c:v>
                </c:pt>
                <c:pt idx="17">
                  <c:v>7.7088976461827885E-2</c:v>
                </c:pt>
                <c:pt idx="18">
                  <c:v>-1.7059521199481731E-3</c:v>
                </c:pt>
                <c:pt idx="19">
                  <c:v>-5.9866792867339091E-2</c:v>
                </c:pt>
                <c:pt idx="20">
                  <c:v>-5.9140260213613523E-2</c:v>
                </c:pt>
                <c:pt idx="21">
                  <c:v>-1.7185893241652209E-2</c:v>
                </c:pt>
                <c:pt idx="22">
                  <c:v>-4.4409529547694393E-2</c:v>
                </c:pt>
                <c:pt idx="23">
                  <c:v>-4.2407561826578573E-2</c:v>
                </c:pt>
                <c:pt idx="24">
                  <c:v>-6.481575250614946E-2</c:v>
                </c:pt>
                <c:pt idx="25">
                  <c:v>-3.4768870774049443E-2</c:v>
                </c:pt>
                <c:pt idx="26">
                  <c:v>2.7817794451217011E-3</c:v>
                </c:pt>
                <c:pt idx="27">
                  <c:v>-4.0202844765013457E-2</c:v>
                </c:pt>
                <c:pt idx="28">
                  <c:v>-2.23053204826642E-2</c:v>
                </c:pt>
                <c:pt idx="29">
                  <c:v>-7.4152570234460313E-3</c:v>
                </c:pt>
                <c:pt idx="30">
                  <c:v>2.8334274381314421E-2</c:v>
                </c:pt>
                <c:pt idx="31">
                  <c:v>3.7953941892352683E-2</c:v>
                </c:pt>
                <c:pt idx="32">
                  <c:v>4.9110131735873752E-2</c:v>
                </c:pt>
                <c:pt idx="33">
                  <c:v>6.3123886850196875E-2</c:v>
                </c:pt>
                <c:pt idx="34">
                  <c:v>5.7454515782098918E-2</c:v>
                </c:pt>
                <c:pt idx="35">
                  <c:v>5.8917118987427568E-2</c:v>
                </c:pt>
                <c:pt idx="36">
                  <c:v>8.0938283596681648E-2</c:v>
                </c:pt>
                <c:pt idx="37">
                  <c:v>0.11500697453770201</c:v>
                </c:pt>
                <c:pt idx="38">
                  <c:v>0.1219665320054517</c:v>
                </c:pt>
                <c:pt idx="39">
                  <c:v>0.12886130991117531</c:v>
                </c:pt>
                <c:pt idx="40">
                  <c:v>0.14799139743631429</c:v>
                </c:pt>
                <c:pt idx="41">
                  <c:v>0.18780698843660251</c:v>
                </c:pt>
                <c:pt idx="42">
                  <c:v>0.19148751365039929</c:v>
                </c:pt>
                <c:pt idx="43">
                  <c:v>0.20945675046088999</c:v>
                </c:pt>
                <c:pt idx="44">
                  <c:v>0.18617324550329581</c:v>
                </c:pt>
                <c:pt idx="45">
                  <c:v>0.23209180697664691</c:v>
                </c:pt>
                <c:pt idx="46">
                  <c:v>0.205162036556817</c:v>
                </c:pt>
                <c:pt idx="47">
                  <c:v>0.21453132863303209</c:v>
                </c:pt>
                <c:pt idx="48">
                  <c:v>0.2660241129922889</c:v>
                </c:pt>
                <c:pt idx="49">
                  <c:v>0.23271631642995261</c:v>
                </c:pt>
                <c:pt idx="50">
                  <c:v>0.2445155679795841</c:v>
                </c:pt>
                <c:pt idx="51">
                  <c:v>0.21433638745422809</c:v>
                </c:pt>
                <c:pt idx="52">
                  <c:v>0.2388215063710388</c:v>
                </c:pt>
                <c:pt idx="53">
                  <c:v>0.23447943849994909</c:v>
                </c:pt>
                <c:pt idx="54">
                  <c:v>0.25935658802508499</c:v>
                </c:pt>
                <c:pt idx="55">
                  <c:v>0.26008869763716319</c:v>
                </c:pt>
                <c:pt idx="56">
                  <c:v>0.2535114114609236</c:v>
                </c:pt>
                <c:pt idx="57">
                  <c:v>0.10826483627727621</c:v>
                </c:pt>
                <c:pt idx="58">
                  <c:v>0.11793469710078749</c:v>
                </c:pt>
                <c:pt idx="59">
                  <c:v>9.9625988810205346E-2</c:v>
                </c:pt>
                <c:pt idx="60">
                  <c:v>0.12254260303831389</c:v>
                </c:pt>
                <c:pt idx="61">
                  <c:v>0.17302993558174001</c:v>
                </c:pt>
                <c:pt idx="62">
                  <c:v>0.20112905370185399</c:v>
                </c:pt>
                <c:pt idx="63">
                  <c:v>0.237450116940952</c:v>
                </c:pt>
                <c:pt idx="64">
                  <c:v>0.18334151222801379</c:v>
                </c:pt>
                <c:pt idx="65">
                  <c:v>0.209244230248715</c:v>
                </c:pt>
                <c:pt idx="66">
                  <c:v>0.21967690051673561</c:v>
                </c:pt>
                <c:pt idx="67">
                  <c:v>0.1962676978767699</c:v>
                </c:pt>
                <c:pt idx="68">
                  <c:v>0.21987619627534569</c:v>
                </c:pt>
                <c:pt idx="69">
                  <c:v>0.27805738326883361</c:v>
                </c:pt>
                <c:pt idx="70">
                  <c:v>0.29269729646247922</c:v>
                </c:pt>
                <c:pt idx="71">
                  <c:v>0.34857881761669129</c:v>
                </c:pt>
                <c:pt idx="72">
                  <c:v>0.2909305384219143</c:v>
                </c:pt>
                <c:pt idx="73">
                  <c:v>0.26793739709811137</c:v>
                </c:pt>
                <c:pt idx="74">
                  <c:v>7.628473289061688E-2</c:v>
                </c:pt>
                <c:pt idx="75">
                  <c:v>0.2099851314449144</c:v>
                </c:pt>
                <c:pt idx="76">
                  <c:v>0.20447092205281339</c:v>
                </c:pt>
                <c:pt idx="77">
                  <c:v>0.27699361006036599</c:v>
                </c:pt>
                <c:pt idx="78">
                  <c:v>0.38680488733361829</c:v>
                </c:pt>
                <c:pt idx="79">
                  <c:v>0.37874965946081551</c:v>
                </c:pt>
                <c:pt idx="80">
                  <c:v>0.37042015435709108</c:v>
                </c:pt>
                <c:pt idx="81">
                  <c:v>0.37378086910184649</c:v>
                </c:pt>
                <c:pt idx="82">
                  <c:v>0.49692143719092191</c:v>
                </c:pt>
                <c:pt idx="83">
                  <c:v>0.603191980394987</c:v>
                </c:pt>
                <c:pt idx="84">
                  <c:v>0.64675173719730239</c:v>
                </c:pt>
                <c:pt idx="85">
                  <c:v>0.73315421285472704</c:v>
                </c:pt>
                <c:pt idx="86">
                  <c:v>0.7842487445659152</c:v>
                </c:pt>
                <c:pt idx="87">
                  <c:v>0.90348131155309508</c:v>
                </c:pt>
                <c:pt idx="88">
                  <c:v>0.8487139113221478</c:v>
                </c:pt>
                <c:pt idx="89">
                  <c:v>0.92166881344527685</c:v>
                </c:pt>
                <c:pt idx="90">
                  <c:v>0.86588067898046694</c:v>
                </c:pt>
                <c:pt idx="91">
                  <c:v>0.89197293519067467</c:v>
                </c:pt>
                <c:pt idx="92">
                  <c:v>0.83090579105751727</c:v>
                </c:pt>
                <c:pt idx="93">
                  <c:v>0.83658814745105547</c:v>
                </c:pt>
                <c:pt idx="94">
                  <c:v>0.88358984642415717</c:v>
                </c:pt>
                <c:pt idx="95">
                  <c:v>0.9672059526983301</c:v>
                </c:pt>
                <c:pt idx="96">
                  <c:v>0.90752297284093331</c:v>
                </c:pt>
                <c:pt idx="97">
                  <c:v>0.90512335385454468</c:v>
                </c:pt>
                <c:pt idx="98">
                  <c:v>0.90957440110152876</c:v>
                </c:pt>
                <c:pt idx="99">
                  <c:v>0.78685723504233995</c:v>
                </c:pt>
                <c:pt idx="100">
                  <c:v>0.80992516787144164</c:v>
                </c:pt>
                <c:pt idx="101">
                  <c:v>0.58282101623526672</c:v>
                </c:pt>
                <c:pt idx="102">
                  <c:v>0.60132527488651344</c:v>
                </c:pt>
                <c:pt idx="103">
                  <c:v>0.61147422419279152</c:v>
                </c:pt>
                <c:pt idx="104">
                  <c:v>0.42243966588262949</c:v>
                </c:pt>
                <c:pt idx="105">
                  <c:v>0.37121637307647259</c:v>
                </c:pt>
                <c:pt idx="106">
                  <c:v>0.5616938276257708</c:v>
                </c:pt>
                <c:pt idx="107">
                  <c:v>0.48182332962932128</c:v>
                </c:pt>
                <c:pt idx="108">
                  <c:v>0.59552577817978314</c:v>
                </c:pt>
                <c:pt idx="109">
                  <c:v>0.62027043996328524</c:v>
                </c:pt>
                <c:pt idx="110">
                  <c:v>0.65789923395288952</c:v>
                </c:pt>
                <c:pt idx="111">
                  <c:v>0.62743885630809859</c:v>
                </c:pt>
                <c:pt idx="112">
                  <c:v>0.72866394865424411</c:v>
                </c:pt>
                <c:pt idx="113">
                  <c:v>0.76340716304992284</c:v>
                </c:pt>
                <c:pt idx="114">
                  <c:v>0.78721129009524526</c:v>
                </c:pt>
                <c:pt idx="115">
                  <c:v>0.73314419395664854</c:v>
                </c:pt>
                <c:pt idx="116">
                  <c:v>0.7036411650845571</c:v>
                </c:pt>
                <c:pt idx="117">
                  <c:v>0.666521339911188</c:v>
                </c:pt>
                <c:pt idx="118">
                  <c:v>0.80941825308633253</c:v>
                </c:pt>
                <c:pt idx="119">
                  <c:v>0.86027510799998974</c:v>
                </c:pt>
                <c:pt idx="120">
                  <c:v>0.85599059714061299</c:v>
                </c:pt>
                <c:pt idx="121">
                  <c:v>0.9645125910761998</c:v>
                </c:pt>
                <c:pt idx="122">
                  <c:v>1.097429448381251</c:v>
                </c:pt>
                <c:pt idx="123">
                  <c:v>1.1079601605760621</c:v>
                </c:pt>
                <c:pt idx="124">
                  <c:v>1.1868319851241951</c:v>
                </c:pt>
                <c:pt idx="125">
                  <c:v>1.370768618416941</c:v>
                </c:pt>
                <c:pt idx="126">
                  <c:v>1.2834475238077689</c:v>
                </c:pt>
                <c:pt idx="127">
                  <c:v>1.290507264949454</c:v>
                </c:pt>
                <c:pt idx="128">
                  <c:v>1.2860233033025421</c:v>
                </c:pt>
                <c:pt idx="129">
                  <c:v>1.346509430724685</c:v>
                </c:pt>
                <c:pt idx="130">
                  <c:v>1.2884273650883471</c:v>
                </c:pt>
                <c:pt idx="131">
                  <c:v>1.366498188226261</c:v>
                </c:pt>
                <c:pt idx="132">
                  <c:v>1.416341311511776</c:v>
                </c:pt>
                <c:pt idx="133">
                  <c:v>1.367344209826507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BA0-7B4C-83A2-2D9A6A607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4403024"/>
        <c:axId val="2104419824"/>
      </c:lineChart>
      <c:catAx>
        <c:axId val="210440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04419824"/>
        <c:crosses val="autoZero"/>
        <c:auto val="1"/>
        <c:lblAlgn val="ctr"/>
        <c:lblOffset val="100"/>
        <c:noMultiLvlLbl val="0"/>
      </c:catAx>
      <c:valAx>
        <c:axId val="210441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0440302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115</xdr:col>
      <xdr:colOff>7838</xdr:colOff>
      <xdr:row>29</xdr:row>
      <xdr:rowOff>180309</xdr:rowOff>
    </xdr:from>
    <xdr:to>
      <xdr:col>124</xdr:col>
      <xdr:colOff>650677</xdr:colOff>
      <xdr:row>45</xdr:row>
      <xdr:rowOff>54875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119</xdr:col>
      <xdr:colOff>168188</xdr:colOff>
      <xdr:row>31</xdr:row>
      <xdr:rowOff>14244</xdr:rowOff>
    </xdr:from>
    <xdr:to>
      <xdr:col>128</xdr:col>
      <xdr:colOff>420472</xdr:colOff>
      <xdr:row>46</xdr:row>
      <xdr:rowOff>163040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442783</xdr:colOff>
      <xdr:row>31</xdr:row>
      <xdr:rowOff>74312</xdr:rowOff>
    </xdr:from>
    <xdr:to>
      <xdr:col>18</xdr:col>
      <xdr:colOff>94392</xdr:colOff>
      <xdr:row>48</xdr:row>
      <xdr:rowOff>42905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180310</xdr:colOff>
      <xdr:row>31</xdr:row>
      <xdr:rowOff>193609</xdr:rowOff>
    </xdr:from>
    <xdr:ext cx="964258" cy="257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文字方塊 1">
              <a:extLst>
                <a:ext uri="{FF2B5EF4-FFF2-40B4-BE49-F238E27FC236}">
                  <a16:creationId xmlns:a16="http://schemas.microsoft.com/office/drawing/2014/main" id="{03090BB0-06E5-9748-BE97-5AFE8E03A1B9}"/>
                </a:ext>
              </a:extLst>
            </xdr:cNvPr>
            <xdr:cNvSpPr txBox="1"/>
          </xdr:nvSpPr>
          <xdr:spPr>
            <a:xfrm>
              <a:off x="180310" y="6556309"/>
              <a:ext cx="964258" cy="257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altLang="zh-TW" sz="16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6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p>
                        <m:r>
                          <a:rPr lang="en-US" altLang="zh-TW" sz="16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2" name="文字方塊 1">
              <a:extLst>
                <a:ext uri="{FF2B5EF4-FFF2-40B4-BE49-F238E27FC236}">
                  <a16:creationId xmlns:a16="http://schemas.microsoft.com/office/drawing/2014/main" id="{03090BB0-06E5-9748-BE97-5AFE8E03A1B9}"/>
                </a:ext>
              </a:extLst>
            </xdr:cNvPr>
            <xdr:cNvSpPr txBox="1"/>
          </xdr:nvSpPr>
          <xdr:spPr>
            <a:xfrm>
              <a:off x="180310" y="6556309"/>
              <a:ext cx="964258" cy="257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zh-TW" sz="1600" b="0" i="0">
                  <a:latin typeface="Cambria Math" panose="02040503050406030204" pitchFamily="18" charset="0"/>
                </a:rPr>
                <a:t>𝑅^2</a:t>
              </a:r>
              <a:endParaRPr lang="zh-TW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G54"/>
  <sheetViews>
    <sheetView topLeftCell="C31" zoomScale="132" workbookViewId="0">
      <selection activeCell="N41" sqref="N41:S44"/>
    </sheetView>
  </sheetViews>
  <sheetFormatPr baseColWidth="10" defaultColWidth="8.83203125" defaultRowHeight="15"/>
  <cols>
    <col min="1" max="1" width="8.83203125" style="39" customWidth="1"/>
    <col min="2" max="2" width="8.33203125" style="39" customWidth="1"/>
    <col min="3" max="10" width="8.83203125" style="3" bestFit="1" customWidth="1"/>
    <col min="11" max="11" width="8.1640625" style="39" customWidth="1"/>
    <col min="12" max="55" width="8.83203125" style="3" bestFit="1" customWidth="1"/>
    <col min="56" max="56" width="13.83203125" style="3" bestFit="1" customWidth="1"/>
    <col min="57" max="136" width="8.83203125" style="3" bestFit="1" customWidth="1"/>
    <col min="137" max="137" width="8.83203125" style="3" customWidth="1"/>
    <col min="138" max="16384" width="8.83203125" style="3"/>
  </cols>
  <sheetData>
    <row r="1" spans="1:137" ht="16" customHeight="1">
      <c r="A1" s="42" t="s">
        <v>236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37" ht="16" customHeight="1">
      <c r="A2" s="5"/>
      <c r="B2" s="6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14" t="s">
        <v>7</v>
      </c>
      <c r="I2" s="14" t="s">
        <v>8</v>
      </c>
      <c r="J2" s="14" t="s">
        <v>9</v>
      </c>
      <c r="K2" s="14" t="s">
        <v>10</v>
      </c>
      <c r="L2" s="14" t="s">
        <v>11</v>
      </c>
      <c r="M2" s="14" t="s">
        <v>12</v>
      </c>
      <c r="N2" s="14" t="s">
        <v>13</v>
      </c>
      <c r="O2" s="14" t="s">
        <v>14</v>
      </c>
      <c r="P2" s="14" t="s">
        <v>15</v>
      </c>
      <c r="Q2" s="14" t="s">
        <v>16</v>
      </c>
      <c r="R2" s="14" t="s">
        <v>17</v>
      </c>
      <c r="S2" s="14" t="s">
        <v>18</v>
      </c>
      <c r="T2" s="14" t="s">
        <v>19</v>
      </c>
      <c r="U2" s="14" t="s">
        <v>20</v>
      </c>
      <c r="V2" s="14" t="s">
        <v>21</v>
      </c>
      <c r="W2" s="14" t="s">
        <v>22</v>
      </c>
      <c r="X2" s="14" t="s">
        <v>23</v>
      </c>
      <c r="Y2" s="14" t="s">
        <v>24</v>
      </c>
      <c r="Z2" s="14" t="s">
        <v>25</v>
      </c>
      <c r="AA2" s="14" t="s">
        <v>26</v>
      </c>
      <c r="AB2" s="14" t="s">
        <v>27</v>
      </c>
      <c r="AC2" s="14" t="s">
        <v>28</v>
      </c>
      <c r="AD2" s="14" t="s">
        <v>29</v>
      </c>
      <c r="AE2" s="14" t="s">
        <v>30</v>
      </c>
      <c r="AF2" s="14" t="s">
        <v>31</v>
      </c>
      <c r="AG2" s="14" t="s">
        <v>32</v>
      </c>
      <c r="AH2" s="14" t="s">
        <v>33</v>
      </c>
      <c r="AI2" s="14" t="s">
        <v>34</v>
      </c>
      <c r="AJ2" s="14" t="s">
        <v>35</v>
      </c>
      <c r="AK2" s="14" t="s">
        <v>36</v>
      </c>
      <c r="AL2" s="14" t="s">
        <v>37</v>
      </c>
      <c r="AM2" s="14" t="s">
        <v>38</v>
      </c>
      <c r="AN2" s="14" t="s">
        <v>39</v>
      </c>
      <c r="AO2" s="14" t="s">
        <v>40</v>
      </c>
      <c r="AP2" s="14" t="s">
        <v>41</v>
      </c>
      <c r="AQ2" s="14" t="s">
        <v>42</v>
      </c>
      <c r="AR2" s="14" t="s">
        <v>43</v>
      </c>
      <c r="AS2" s="14" t="s">
        <v>44</v>
      </c>
      <c r="AT2" s="14" t="s">
        <v>45</v>
      </c>
      <c r="AU2" s="14" t="s">
        <v>46</v>
      </c>
      <c r="AV2" s="14" t="s">
        <v>47</v>
      </c>
      <c r="AW2" s="14" t="s">
        <v>48</v>
      </c>
      <c r="AX2" s="14" t="s">
        <v>49</v>
      </c>
      <c r="AY2" s="14" t="s">
        <v>50</v>
      </c>
      <c r="AZ2" s="14" t="s">
        <v>51</v>
      </c>
      <c r="BA2" s="14" t="s">
        <v>52</v>
      </c>
      <c r="BB2" s="14" t="s">
        <v>53</v>
      </c>
      <c r="BC2" s="14" t="s">
        <v>54</v>
      </c>
      <c r="BD2" s="14" t="s">
        <v>55</v>
      </c>
      <c r="BE2" s="14" t="s">
        <v>56</v>
      </c>
      <c r="BF2" s="14" t="s">
        <v>57</v>
      </c>
      <c r="BG2" s="14" t="s">
        <v>58</v>
      </c>
      <c r="BH2" s="14" t="s">
        <v>59</v>
      </c>
      <c r="BI2" s="14" t="s">
        <v>60</v>
      </c>
      <c r="BJ2" s="14" t="s">
        <v>61</v>
      </c>
      <c r="BK2" s="14" t="s">
        <v>62</v>
      </c>
      <c r="BL2" s="14" t="s">
        <v>63</v>
      </c>
      <c r="BM2" s="14" t="s">
        <v>64</v>
      </c>
      <c r="BN2" s="14" t="s">
        <v>65</v>
      </c>
      <c r="BO2" s="14" t="s">
        <v>66</v>
      </c>
      <c r="BP2" s="14" t="s">
        <v>67</v>
      </c>
      <c r="BQ2" s="14" t="s">
        <v>68</v>
      </c>
      <c r="BR2" s="14" t="s">
        <v>69</v>
      </c>
      <c r="BS2" s="14" t="s">
        <v>70</v>
      </c>
      <c r="BT2" s="14" t="s">
        <v>71</v>
      </c>
      <c r="BU2" s="14" t="s">
        <v>72</v>
      </c>
      <c r="BV2" s="14" t="s">
        <v>73</v>
      </c>
      <c r="BW2" s="14" t="s">
        <v>74</v>
      </c>
      <c r="BX2" s="14" t="s">
        <v>75</v>
      </c>
      <c r="BY2" s="14" t="s">
        <v>76</v>
      </c>
      <c r="BZ2" s="14" t="s">
        <v>77</v>
      </c>
      <c r="CA2" s="14" t="s">
        <v>78</v>
      </c>
      <c r="CB2" s="14" t="s">
        <v>79</v>
      </c>
      <c r="CC2" s="14" t="s">
        <v>80</v>
      </c>
      <c r="CD2" s="14" t="s">
        <v>81</v>
      </c>
      <c r="CE2" s="14" t="s">
        <v>82</v>
      </c>
      <c r="CF2" s="14" t="s">
        <v>83</v>
      </c>
      <c r="CG2" s="14" t="s">
        <v>84</v>
      </c>
      <c r="CH2" s="14" t="s">
        <v>85</v>
      </c>
      <c r="CI2" s="14" t="s">
        <v>86</v>
      </c>
      <c r="CJ2" s="14" t="s">
        <v>87</v>
      </c>
      <c r="CK2" s="14" t="s">
        <v>88</v>
      </c>
      <c r="CL2" s="14" t="s">
        <v>89</v>
      </c>
      <c r="CM2" s="14" t="s">
        <v>90</v>
      </c>
      <c r="CN2" s="14" t="s">
        <v>91</v>
      </c>
      <c r="CO2" s="14" t="s">
        <v>92</v>
      </c>
      <c r="CP2" s="14" t="s">
        <v>93</v>
      </c>
      <c r="CQ2" s="14" t="s">
        <v>94</v>
      </c>
      <c r="CR2" s="14" t="s">
        <v>95</v>
      </c>
      <c r="CS2" s="14" t="s">
        <v>96</v>
      </c>
      <c r="CT2" s="14" t="s">
        <v>97</v>
      </c>
      <c r="CU2" s="14" t="s">
        <v>98</v>
      </c>
      <c r="CV2" s="14" t="s">
        <v>99</v>
      </c>
      <c r="CW2" s="14" t="s">
        <v>100</v>
      </c>
      <c r="CX2" s="14" t="s">
        <v>101</v>
      </c>
      <c r="CY2" s="14" t="s">
        <v>102</v>
      </c>
      <c r="CZ2" s="14" t="s">
        <v>103</v>
      </c>
      <c r="DA2" s="14" t="s">
        <v>104</v>
      </c>
      <c r="DB2" s="14" t="s">
        <v>105</v>
      </c>
      <c r="DC2" s="14" t="s">
        <v>106</v>
      </c>
      <c r="DD2" s="14" t="s">
        <v>107</v>
      </c>
      <c r="DE2" s="14" t="s">
        <v>108</v>
      </c>
      <c r="DF2" s="14" t="s">
        <v>109</v>
      </c>
      <c r="DG2" s="14" t="s">
        <v>110</v>
      </c>
      <c r="DH2" s="14" t="s">
        <v>111</v>
      </c>
      <c r="DI2" s="14" t="s">
        <v>112</v>
      </c>
      <c r="DJ2" s="14" t="s">
        <v>113</v>
      </c>
      <c r="DK2" s="14" t="s">
        <v>114</v>
      </c>
      <c r="DL2" s="14" t="s">
        <v>115</v>
      </c>
      <c r="DM2" s="14" t="s">
        <v>116</v>
      </c>
      <c r="DN2" s="14" t="s">
        <v>117</v>
      </c>
      <c r="DO2" s="14" t="s">
        <v>118</v>
      </c>
      <c r="DP2" s="14" t="s">
        <v>119</v>
      </c>
      <c r="DQ2" s="14" t="s">
        <v>120</v>
      </c>
      <c r="DR2" s="14" t="s">
        <v>121</v>
      </c>
      <c r="DS2" s="14" t="s">
        <v>122</v>
      </c>
      <c r="DT2" s="14" t="s">
        <v>123</v>
      </c>
      <c r="DU2" s="14" t="s">
        <v>124</v>
      </c>
      <c r="DV2" s="14" t="s">
        <v>125</v>
      </c>
      <c r="DW2" s="14" t="s">
        <v>126</v>
      </c>
      <c r="DX2" s="14" t="s">
        <v>127</v>
      </c>
      <c r="DY2" s="14" t="s">
        <v>128</v>
      </c>
      <c r="DZ2" s="14" t="s">
        <v>129</v>
      </c>
      <c r="EA2" s="14" t="s">
        <v>130</v>
      </c>
      <c r="EB2" s="14" t="s">
        <v>131</v>
      </c>
      <c r="EC2" s="14" t="s">
        <v>132</v>
      </c>
      <c r="ED2" s="15" t="s">
        <v>133</v>
      </c>
      <c r="EE2" s="14" t="s">
        <v>134</v>
      </c>
      <c r="EF2" s="14" t="s">
        <v>135</v>
      </c>
    </row>
    <row r="3" spans="1:137" ht="16" customHeight="1">
      <c r="A3" s="5"/>
      <c r="B3" s="26" t="s">
        <v>136</v>
      </c>
      <c r="C3" s="31">
        <v>-8.429603670598744E-2</v>
      </c>
      <c r="D3" s="31">
        <v>-2.8453094355183509E-2</v>
      </c>
      <c r="E3" s="31">
        <v>-2.189673558976005E-2</v>
      </c>
      <c r="F3" s="31">
        <v>4.9927874598066002E-3</v>
      </c>
      <c r="G3" s="31">
        <v>-0.12759725107710429</v>
      </c>
      <c r="H3" s="31">
        <v>1.2816976342359719E-2</v>
      </c>
      <c r="I3" s="31">
        <v>-4.8252077588753918E-2</v>
      </c>
      <c r="J3" s="31">
        <v>-3.7695709693859387E-2</v>
      </c>
      <c r="K3" s="31">
        <v>-9.4919956827117749E-2</v>
      </c>
      <c r="L3" s="31">
        <v>-5.8099280150866649E-2</v>
      </c>
      <c r="M3" s="31">
        <v>-3.3822409699698831E-2</v>
      </c>
      <c r="N3" s="31">
        <v>8.961225742132652E-3</v>
      </c>
      <c r="O3" s="31">
        <v>-3.2121130195936792E-2</v>
      </c>
      <c r="P3" s="31">
        <v>-3.2817402836170961E-2</v>
      </c>
      <c r="Q3" s="31">
        <v>-4.6633805887103363E-2</v>
      </c>
      <c r="R3" s="31">
        <v>-1.8320593612796018E-2</v>
      </c>
      <c r="S3" s="31">
        <v>6.9135446653425794E-3</v>
      </c>
      <c r="T3" s="31">
        <v>6.1760095460787982E-3</v>
      </c>
      <c r="U3" s="31">
        <v>-3.1689832722602687E-2</v>
      </c>
      <c r="V3" s="31">
        <v>-3.0298885153137861E-2</v>
      </c>
      <c r="W3" s="31">
        <v>-2.1307535409495399E-3</v>
      </c>
      <c r="X3" s="31">
        <v>-8.6751883318852613E-2</v>
      </c>
      <c r="Y3" s="31">
        <v>-3.7445057390587108E-2</v>
      </c>
      <c r="Z3" s="31">
        <v>-4.6435733061716479E-2</v>
      </c>
      <c r="AA3" s="31">
        <v>-4.6019081170122191E-2</v>
      </c>
      <c r="AB3" s="31">
        <v>1.5009172006643661E-2</v>
      </c>
      <c r="AC3" s="31">
        <v>-8.2020304959678787E-3</v>
      </c>
      <c r="AD3" s="31">
        <v>8.0247192997532895E-3</v>
      </c>
      <c r="AE3" s="31">
        <v>-1.4694865267356199E-2</v>
      </c>
      <c r="AF3" s="31">
        <v>-2.536323449777915E-2</v>
      </c>
      <c r="AG3" s="31">
        <v>-6.2780938947660687E-3</v>
      </c>
      <c r="AH3" s="31">
        <v>-1.6290747013119989E-2</v>
      </c>
      <c r="AI3" s="31">
        <v>-2.3747913986364749E-2</v>
      </c>
      <c r="AJ3" s="31">
        <v>-4.2027210947840378E-3</v>
      </c>
      <c r="AK3" s="31">
        <v>-3.4839296562989612E-2</v>
      </c>
      <c r="AL3" s="31">
        <v>-8.603256023268871E-2</v>
      </c>
      <c r="AM3" s="31">
        <v>-1.0445527914776161E-2</v>
      </c>
      <c r="AN3" s="31">
        <v>-3.8234996216167251E-2</v>
      </c>
      <c r="AO3" s="31">
        <v>-5.3682827418385197E-2</v>
      </c>
      <c r="AP3" s="31">
        <v>-5.1607565085224127E-2</v>
      </c>
      <c r="AQ3" s="31">
        <v>-0.1057668660704561</v>
      </c>
      <c r="AR3" s="31">
        <v>-1.608388920302788E-2</v>
      </c>
      <c r="AS3" s="31">
        <v>-7.0025961534977421E-2</v>
      </c>
      <c r="AT3" s="31">
        <v>-2.5652004068212889E-2</v>
      </c>
      <c r="AU3" s="31">
        <v>-3.2847243481502177E-2</v>
      </c>
      <c r="AV3" s="31">
        <v>-2.1292942698152809E-2</v>
      </c>
      <c r="AW3" s="31">
        <v>-1.3342952691464859E-2</v>
      </c>
      <c r="AX3" s="31">
        <v>-3.1210135959572399E-3</v>
      </c>
      <c r="AY3" s="31">
        <v>-2.9055730389324231E-2</v>
      </c>
      <c r="AZ3" s="31">
        <v>-4.6051807599752784E-3</v>
      </c>
      <c r="BA3" s="31">
        <v>-1.9629734103372841E-2</v>
      </c>
      <c r="BB3" s="31">
        <v>-5.2320473774724742E-2</v>
      </c>
      <c r="BC3" s="31">
        <v>5.0930864916999351E-2</v>
      </c>
      <c r="BD3" s="31">
        <v>-1.924624929782847E-2</v>
      </c>
      <c r="BE3" s="31">
        <v>9.3228681284677033E-3</v>
      </c>
      <c r="BF3" s="31">
        <v>6.8709222035228557E-2</v>
      </c>
      <c r="BG3" s="31">
        <v>-5.0917387340051128E-2</v>
      </c>
      <c r="BH3" s="31">
        <v>-6.7289767486816057E-3</v>
      </c>
      <c r="BI3" s="31">
        <v>0.1016303390984352</v>
      </c>
      <c r="BJ3" s="31">
        <v>6.7263981434539488E-2</v>
      </c>
      <c r="BK3" s="31">
        <v>5.0972985229607859E-2</v>
      </c>
      <c r="BL3" s="31">
        <v>-4.6184890386919128E-2</v>
      </c>
      <c r="BM3" s="31">
        <v>2.5892875867364471E-2</v>
      </c>
      <c r="BN3" s="31">
        <v>-2.671033276380938E-2</v>
      </c>
      <c r="BO3" s="31">
        <v>-4.9927813423697759E-2</v>
      </c>
      <c r="BP3" s="31">
        <v>-7.1747728967514121E-3</v>
      </c>
      <c r="BQ3" s="31">
        <v>4.9605234395863418E-3</v>
      </c>
      <c r="BR3" s="31">
        <v>2.1221623732671471E-2</v>
      </c>
      <c r="BS3" s="31">
        <v>-2.0949280526751889E-2</v>
      </c>
      <c r="BT3" s="31">
        <v>-1.9188709318224549E-2</v>
      </c>
      <c r="BU3" s="31">
        <v>-8.4922409669360311E-3</v>
      </c>
      <c r="BV3" s="31">
        <v>9.4929292201117435E-4</v>
      </c>
      <c r="BW3" s="31">
        <v>7.6663618870091146E-3</v>
      </c>
      <c r="BX3" s="31">
        <v>-1.780618477908151E-2</v>
      </c>
      <c r="BY3" s="31">
        <v>-4.3971774630502627E-2</v>
      </c>
      <c r="BZ3" s="31">
        <v>3.0984032396892281E-2</v>
      </c>
      <c r="CA3" s="31">
        <v>-4.8069219951427339E-4</v>
      </c>
      <c r="CB3" s="31">
        <v>2.4421774280175199E-2</v>
      </c>
      <c r="CC3" s="31">
        <v>-3.1392559724719271E-2</v>
      </c>
      <c r="CD3" s="31">
        <v>1.164267431750987E-2</v>
      </c>
      <c r="CE3" s="31">
        <v>-2.0740706423887579E-2</v>
      </c>
      <c r="CF3" s="31">
        <v>-5.1309418295801351E-2</v>
      </c>
      <c r="CG3" s="31">
        <v>-5.0579962983245443E-2</v>
      </c>
      <c r="CH3" s="31">
        <v>-4.5668992771231993E-2</v>
      </c>
      <c r="CI3" s="31">
        <v>-4.1886812377985562E-2</v>
      </c>
      <c r="CJ3" s="31">
        <v>-1.3254799328362149E-2</v>
      </c>
      <c r="CK3" s="31">
        <v>-5.6820905314016637E-2</v>
      </c>
      <c r="CL3" s="31">
        <v>1.174160069405677E-2</v>
      </c>
      <c r="CM3" s="31">
        <v>-9.3584980205713621E-3</v>
      </c>
      <c r="CN3" s="31">
        <v>-4.7772207508421163E-2</v>
      </c>
      <c r="CO3" s="31">
        <v>-1.5664502952299469E-2</v>
      </c>
      <c r="CP3" s="31">
        <v>-3.0212115984057972E-2</v>
      </c>
      <c r="CQ3" s="31">
        <v>-2.015009076236424E-2</v>
      </c>
      <c r="CR3" s="31">
        <v>-2.206234995081641E-2</v>
      </c>
      <c r="CS3" s="31">
        <v>4.6777663787930822E-2</v>
      </c>
      <c r="CT3" s="31">
        <v>-7.035607214404746E-2</v>
      </c>
      <c r="CU3" s="31">
        <v>-5.259209843406671E-2</v>
      </c>
      <c r="CV3" s="31">
        <v>-2.2595183669130679E-2</v>
      </c>
      <c r="CW3" s="31">
        <v>-2.863497085763619E-2</v>
      </c>
      <c r="CX3" s="31">
        <v>-2.0095475714382902E-2</v>
      </c>
      <c r="CY3" s="31">
        <v>-6.8682507891461271E-3</v>
      </c>
      <c r="CZ3" s="31">
        <v>-8.3664721523415801E-3</v>
      </c>
      <c r="DA3" s="31">
        <v>-1.252714679609465E-2</v>
      </c>
      <c r="DB3" s="31">
        <v>-3.4742487142407331E-2</v>
      </c>
      <c r="DC3" s="31">
        <v>-3.5287016329989908E-2</v>
      </c>
      <c r="DD3" s="31">
        <v>-4.0320739370364921E-2</v>
      </c>
      <c r="DE3" s="31">
        <v>-1.8885247935566708E-2</v>
      </c>
      <c r="DF3" s="31">
        <v>-5.7070855171200341E-3</v>
      </c>
      <c r="DG3" s="31">
        <v>2.1545946483440478E-2</v>
      </c>
      <c r="DH3" s="31">
        <v>-2.0355161427642019E-2</v>
      </c>
      <c r="DI3" s="31">
        <v>1.277570739996689E-2</v>
      </c>
      <c r="DJ3" s="31">
        <v>-2.8843413177194171E-2</v>
      </c>
      <c r="DK3" s="31">
        <v>-1.3952374164494481E-2</v>
      </c>
      <c r="DL3" s="31">
        <v>-2.019265102715739E-2</v>
      </c>
      <c r="DM3" s="31">
        <v>-3.8524101566572509E-2</v>
      </c>
      <c r="DN3" s="31">
        <v>-3.6688151255884253E-2</v>
      </c>
      <c r="DO3" s="31">
        <v>-4.8332590170758319E-2</v>
      </c>
      <c r="DP3" s="31">
        <v>-2.8173828738575098E-2</v>
      </c>
      <c r="DQ3" s="31">
        <v>-4.0410748477300293E-2</v>
      </c>
      <c r="DR3" s="31">
        <v>-2.2062607332942689E-2</v>
      </c>
      <c r="DS3" s="31">
        <v>1.208152381299746E-2</v>
      </c>
      <c r="DT3" s="31">
        <v>-3.1258488389118412E-2</v>
      </c>
      <c r="DU3" s="31">
        <v>-3.8229012564871698E-2</v>
      </c>
      <c r="DV3" s="31">
        <v>-3.095133348021312E-2</v>
      </c>
      <c r="DW3" s="31">
        <v>-2.8482854394170951E-2</v>
      </c>
      <c r="DX3" s="31">
        <v>-1.8710656799514901E-2</v>
      </c>
      <c r="DY3" s="31">
        <v>-7.8415569930099602E-3</v>
      </c>
      <c r="DZ3" s="31">
        <v>-5.2340508647293407E-2</v>
      </c>
      <c r="EA3" s="31">
        <v>-7.7639695706951191E-4</v>
      </c>
      <c r="EB3" s="31">
        <v>-8.0836124983127491E-2</v>
      </c>
      <c r="EC3" s="31">
        <v>-2.8180414679363119E-2</v>
      </c>
      <c r="ED3" s="31">
        <v>-1.9637574344743249E-2</v>
      </c>
      <c r="EE3" s="31">
        <v>-2.7325424558614728E-2</v>
      </c>
      <c r="EF3" s="31">
        <v>-6.9995167886594363E-3</v>
      </c>
    </row>
    <row r="4" spans="1:137" ht="16" customHeight="1">
      <c r="A4" s="5"/>
      <c r="B4" s="26" t="s">
        <v>137</v>
      </c>
      <c r="C4" s="31">
        <v>3.1086562017614922E-2</v>
      </c>
      <c r="D4" s="31">
        <v>4.7767866074439398E-2</v>
      </c>
      <c r="E4" s="31">
        <v>2.9442858767467581E-2</v>
      </c>
      <c r="F4" s="31">
        <v>3.42562610572201E-2</v>
      </c>
      <c r="G4" s="31">
        <v>3.6325840606290127E-2</v>
      </c>
      <c r="H4" s="31">
        <v>6.3325989563785511E-3</v>
      </c>
      <c r="I4" s="31">
        <v>6.969222696993109E-2</v>
      </c>
      <c r="J4" s="31">
        <v>2.4401361138749269E-2</v>
      </c>
      <c r="K4" s="31">
        <v>4.5767937238663257E-2</v>
      </c>
      <c r="L4" s="31">
        <v>3.1477200440385308E-2</v>
      </c>
      <c r="M4" s="31">
        <v>4.2317700949589337E-2</v>
      </c>
      <c r="N4" s="31">
        <v>-1.8905536477247689E-3</v>
      </c>
      <c r="O4" s="31">
        <v>-1.0245774793506419E-2</v>
      </c>
      <c r="P4" s="31">
        <v>-1.9796768620016741E-3</v>
      </c>
      <c r="Q4" s="31">
        <v>1.753684731187774E-2</v>
      </c>
      <c r="R4" s="31">
        <v>1.762440573458724E-3</v>
      </c>
      <c r="S4" s="31">
        <v>2.1768037095609621E-2</v>
      </c>
      <c r="T4" s="31">
        <v>5.9442181018087396E-3</v>
      </c>
      <c r="U4" s="31">
        <v>3.946430190280148E-2</v>
      </c>
      <c r="V4" s="31">
        <v>6.8762140092548135E-2</v>
      </c>
      <c r="W4" s="31">
        <v>7.6546931193163054E-2</v>
      </c>
      <c r="X4" s="31">
        <v>3.142037484700555E-2</v>
      </c>
      <c r="Y4" s="31">
        <v>7.9660159694748586E-2</v>
      </c>
      <c r="Z4" s="31">
        <v>8.5053837994098935E-2</v>
      </c>
      <c r="AA4" s="31">
        <v>9.1527941671766491E-2</v>
      </c>
      <c r="AB4" s="31">
        <v>4.9242916811069813E-2</v>
      </c>
      <c r="AC4" s="31">
        <v>8.5711746226351082E-2</v>
      </c>
      <c r="AD4" s="31">
        <v>7.1048821703633552E-2</v>
      </c>
      <c r="AE4" s="31">
        <v>0.10226171691635939</v>
      </c>
      <c r="AF4" s="31">
        <v>6.9767585915637614E-2</v>
      </c>
      <c r="AG4" s="31">
        <v>4.3866200419990932E-2</v>
      </c>
      <c r="AH4" s="31">
        <v>2.1430809297785468E-2</v>
      </c>
      <c r="AI4" s="31">
        <v>7.9171443804792505E-2</v>
      </c>
      <c r="AJ4" s="31">
        <v>1.459323207818186E-2</v>
      </c>
      <c r="AK4" s="31">
        <v>1.5906455659644912E-2</v>
      </c>
      <c r="AL4" s="31">
        <v>1.227335617652308E-2</v>
      </c>
      <c r="AM4" s="31">
        <v>1.692299662077195E-2</v>
      </c>
      <c r="AN4" s="31">
        <v>1.1423359454151761E-2</v>
      </c>
      <c r="AO4" s="31">
        <v>2.6535956821140211E-2</v>
      </c>
      <c r="AP4" s="31">
        <v>1.174375645519797E-3</v>
      </c>
      <c r="AQ4" s="31">
        <v>1.2771089116512551E-2</v>
      </c>
      <c r="AR4" s="31">
        <v>1.031777454001114E-2</v>
      </c>
      <c r="AS4" s="31">
        <v>1.6975410459023319E-2</v>
      </c>
      <c r="AT4" s="31">
        <v>1.416661816296551E-2</v>
      </c>
      <c r="AU4" s="31">
        <v>8.2552446478443529E-3</v>
      </c>
      <c r="AV4" s="31">
        <v>2.3066346488062231E-2</v>
      </c>
      <c r="AW4" s="31">
        <v>2.3147919254929161E-2</v>
      </c>
      <c r="AX4" s="31">
        <v>2.3799648818368629E-2</v>
      </c>
      <c r="AY4" s="31">
        <v>1.4460876412209641E-2</v>
      </c>
      <c r="AZ4" s="31">
        <v>3.4728632796035101E-2</v>
      </c>
      <c r="BA4" s="31">
        <v>3.2672293676415873E-2</v>
      </c>
      <c r="BB4" s="31">
        <v>3.3982517110570078E-2</v>
      </c>
      <c r="BC4" s="31">
        <v>2.90359512742814E-2</v>
      </c>
      <c r="BD4" s="31">
        <v>2.028800563296055E-2</v>
      </c>
      <c r="BE4" s="31">
        <v>-2.8476375646501882E-4</v>
      </c>
      <c r="BF4" s="31">
        <v>6.2749562943551834E-3</v>
      </c>
      <c r="BG4" s="31">
        <v>1.7906542863161071E-2</v>
      </c>
      <c r="BH4" s="31">
        <v>6.3413702413501211E-3</v>
      </c>
      <c r="BI4" s="31">
        <v>6.8454634185270329E-3</v>
      </c>
      <c r="BJ4" s="31">
        <v>-6.0452062839624197E-2</v>
      </c>
      <c r="BK4" s="31">
        <v>-1.3397290686041161E-2</v>
      </c>
      <c r="BL4" s="31">
        <v>-3.4864652740761413E-2</v>
      </c>
      <c r="BM4" s="31">
        <v>-2.1633194985984969E-2</v>
      </c>
      <c r="BN4" s="31">
        <v>-1.6377984049195399E-2</v>
      </c>
      <c r="BO4" s="31">
        <v>-6.1762359357300572E-3</v>
      </c>
      <c r="BP4" s="31">
        <v>-1.111768634620681E-2</v>
      </c>
      <c r="BQ4" s="31">
        <v>-3.6182030084923588E-4</v>
      </c>
      <c r="BR4" s="31">
        <v>-1.1873785088533449E-2</v>
      </c>
      <c r="BS4" s="31">
        <v>-3.4710974945003229E-3</v>
      </c>
      <c r="BT4" s="31">
        <v>-2.5477535648933989E-2</v>
      </c>
      <c r="BU4" s="31">
        <v>6.9430725459985656E-3</v>
      </c>
      <c r="BV4" s="31">
        <v>-2.3398357392429459E-2</v>
      </c>
      <c r="BW4" s="31">
        <v>-1.8522725176781819E-2</v>
      </c>
      <c r="BX4" s="31">
        <v>5.9401306752944645E-4</v>
      </c>
      <c r="BY4" s="31">
        <v>-1.4444654343307901E-2</v>
      </c>
      <c r="BZ4" s="31">
        <v>2.8941467796544249E-2</v>
      </c>
      <c r="CA4" s="31">
        <v>1.022957490346592E-2</v>
      </c>
      <c r="CB4" s="31">
        <v>4.1552026559534341E-2</v>
      </c>
      <c r="CC4" s="31">
        <v>5.7523362093914133E-3</v>
      </c>
      <c r="CD4" s="31">
        <v>3.352312080223616E-3</v>
      </c>
      <c r="CE4" s="31">
        <v>1.4197074577809931E-2</v>
      </c>
      <c r="CF4" s="31">
        <v>-4.569375013317228E-3</v>
      </c>
      <c r="CG4" s="31">
        <v>-1.9029597473078221E-2</v>
      </c>
      <c r="CH4" s="31">
        <v>-1.078828377868199E-2</v>
      </c>
      <c r="CI4" s="31">
        <v>6.378389447033861E-4</v>
      </c>
      <c r="CJ4" s="31">
        <v>-1.410861394167664E-2</v>
      </c>
      <c r="CK4" s="31">
        <v>8.6953487232029059E-3</v>
      </c>
      <c r="CL4" s="31">
        <v>1.735977508200044E-3</v>
      </c>
      <c r="CM4" s="31">
        <v>4.0652306647892874E-3</v>
      </c>
      <c r="CN4" s="31">
        <v>1.599458250513771E-3</v>
      </c>
      <c r="CO4" s="31">
        <v>-4.3710700528488246E-3</v>
      </c>
      <c r="CP4" s="31">
        <v>6.9698802880730909E-3</v>
      </c>
      <c r="CQ4" s="31">
        <v>1.080805319400783E-2</v>
      </c>
      <c r="CR4" s="31">
        <v>6.7308184628707074E-3</v>
      </c>
      <c r="CS4" s="31">
        <v>3.9378842997400037E-3</v>
      </c>
      <c r="CT4" s="31">
        <v>2.3343906114171148E-3</v>
      </c>
      <c r="CU4" s="31">
        <v>1.416185231139584E-2</v>
      </c>
      <c r="CV4" s="31">
        <v>1.6578617053342692E-2</v>
      </c>
      <c r="CW4" s="31">
        <v>-5.376710860990742E-5</v>
      </c>
      <c r="CX4" s="31">
        <v>5.9573099053326292E-3</v>
      </c>
      <c r="CY4" s="31">
        <v>-3.159300236466362E-3</v>
      </c>
      <c r="CZ4" s="31">
        <v>4.5647167486379051E-2</v>
      </c>
      <c r="DA4" s="31">
        <v>-8.6543633156096651E-3</v>
      </c>
      <c r="DB4" s="31">
        <v>4.2922579657901656E-3</v>
      </c>
      <c r="DC4" s="31">
        <v>2.3703575286452758E-2</v>
      </c>
      <c r="DD4" s="31">
        <v>-1.6213709187740361E-2</v>
      </c>
      <c r="DE4" s="31">
        <v>-7.617669415694992E-3</v>
      </c>
      <c r="DF4" s="31">
        <v>-1.24751247509716E-2</v>
      </c>
      <c r="DG4" s="31">
        <v>9.2687207888571752E-3</v>
      </c>
      <c r="DH4" s="31">
        <v>2.2705825758782629E-2</v>
      </c>
      <c r="DI4" s="31">
        <v>2.3233119436897182E-2</v>
      </c>
      <c r="DJ4" s="31">
        <v>2.1631160020617948E-2</v>
      </c>
      <c r="DK4" s="31">
        <v>1.4060584661944989E-2</v>
      </c>
      <c r="DL4" s="31">
        <v>1.3527414001372759E-2</v>
      </c>
      <c r="DM4" s="31">
        <v>1.6738817987969008E-2</v>
      </c>
      <c r="DN4" s="31">
        <v>-3.7982044901072958E-3</v>
      </c>
      <c r="DO4" s="31">
        <v>-1.4217691108761031E-2</v>
      </c>
      <c r="DP4" s="31">
        <v>-1.130871406173896E-2</v>
      </c>
      <c r="DQ4" s="31">
        <v>-7.9768897261401784E-3</v>
      </c>
      <c r="DR4" s="31">
        <v>-2.1246793588885999E-2</v>
      </c>
      <c r="DS4" s="31">
        <v>-3.4573385345236939E-3</v>
      </c>
      <c r="DT4" s="31">
        <v>-3.190192289273106E-3</v>
      </c>
      <c r="DU4" s="31">
        <v>-5.5752804591476506E-3</v>
      </c>
      <c r="DV4" s="31">
        <v>1.2936464971217379E-3</v>
      </c>
      <c r="DW4" s="31">
        <v>9.9671657442681801E-3</v>
      </c>
      <c r="DX4" s="31">
        <v>2.3796674508214009E-2</v>
      </c>
      <c r="DY4" s="31">
        <v>1.742339065196764E-2</v>
      </c>
      <c r="DZ4" s="31">
        <v>2.4955597468828881E-2</v>
      </c>
      <c r="EA4" s="31">
        <v>1.5925090313129581E-2</v>
      </c>
      <c r="EB4" s="31">
        <v>2.0969356564657132E-2</v>
      </c>
      <c r="EC4" s="31">
        <v>3.5010762253000607E-2</v>
      </c>
      <c r="ED4" s="31">
        <v>2.4269624682826271E-2</v>
      </c>
      <c r="EE4" s="31">
        <v>2.7041591978138921E-2</v>
      </c>
      <c r="EF4" s="31">
        <v>3.3338078598236107E-2</v>
      </c>
      <c r="EG4" s="16"/>
    </row>
    <row r="5" spans="1:137" ht="16" customHeight="1">
      <c r="A5" s="5"/>
      <c r="B5" s="26" t="s">
        <v>138</v>
      </c>
      <c r="C5" s="31">
        <v>-1.276903423641129E-2</v>
      </c>
      <c r="D5" s="31">
        <v>-8.0379556774421962E-2</v>
      </c>
      <c r="E5" s="31">
        <v>-7.7795221627793218E-2</v>
      </c>
      <c r="F5" s="31">
        <v>3.2339974658819248E-3</v>
      </c>
      <c r="G5" s="31">
        <v>-4.9376851596867187E-2</v>
      </c>
      <c r="H5" s="31">
        <v>-4.7750874534698852E-4</v>
      </c>
      <c r="I5" s="31">
        <v>-6.4108659888108396E-3</v>
      </c>
      <c r="J5" s="31">
        <v>3.5346434275331188E-3</v>
      </c>
      <c r="K5" s="31">
        <v>3.7623829610121742E-2</v>
      </c>
      <c r="L5" s="31">
        <v>9.8663401218173838E-3</v>
      </c>
      <c r="M5" s="31">
        <v>4.9079599134880449E-2</v>
      </c>
      <c r="N5" s="31">
        <v>-5.2030404022897603E-2</v>
      </c>
      <c r="O5" s="31">
        <v>-4.4621880970520687E-2</v>
      </c>
      <c r="P5" s="31">
        <v>-4.4150300026948808E-2</v>
      </c>
      <c r="Q5" s="31">
        <v>-4.1312604531438132E-2</v>
      </c>
      <c r="R5" s="31">
        <v>-6.0858785202456633E-2</v>
      </c>
      <c r="S5" s="31">
        <v>-7.2576562071988487E-3</v>
      </c>
      <c r="T5" s="31">
        <v>-4.3309016613512262E-3</v>
      </c>
      <c r="U5" s="31">
        <v>2.972276040116109E-3</v>
      </c>
      <c r="V5" s="31">
        <v>-3.3837326644713478E-2</v>
      </c>
      <c r="W5" s="31">
        <v>-6.5398146658754458E-2</v>
      </c>
      <c r="X5" s="31">
        <v>4.2224768806785717E-2</v>
      </c>
      <c r="Y5" s="31">
        <v>3.1967888910205133E-2</v>
      </c>
      <c r="Z5" s="31">
        <v>3.1174126677241489E-2</v>
      </c>
      <c r="AA5" s="31">
        <v>1.9039589866032859E-2</v>
      </c>
      <c r="AB5" s="31">
        <v>-5.5678241139305418E-2</v>
      </c>
      <c r="AC5" s="31">
        <v>5.0430967887632218E-2</v>
      </c>
      <c r="AD5" s="31">
        <v>4.4867778116560217E-2</v>
      </c>
      <c r="AE5" s="31">
        <v>-1.0455356224387469E-2</v>
      </c>
      <c r="AF5" s="31">
        <v>-1.271131384880001E-2</v>
      </c>
      <c r="AG5" s="31">
        <v>-5.5209955766540961E-2</v>
      </c>
      <c r="AH5" s="31">
        <v>-3.4749333315611232E-2</v>
      </c>
      <c r="AI5" s="31">
        <v>-4.8839310805408813E-2</v>
      </c>
      <c r="AJ5" s="31">
        <v>-4.7042932884567873E-2</v>
      </c>
      <c r="AK5" s="31">
        <v>-3.1198327343008491E-2</v>
      </c>
      <c r="AL5" s="31">
        <v>-4.5546270327156593E-2</v>
      </c>
      <c r="AM5" s="31">
        <v>-3.41917036382237E-2</v>
      </c>
      <c r="AN5" s="31">
        <v>-3.058655475592463E-2</v>
      </c>
      <c r="AO5" s="31">
        <v>-2.868083947213719E-2</v>
      </c>
      <c r="AP5" s="31">
        <v>-3.1230965054815301E-2</v>
      </c>
      <c r="AQ5" s="31">
        <v>-3.0843958563632631E-2</v>
      </c>
      <c r="AR5" s="31">
        <v>-1.526355936226936E-2</v>
      </c>
      <c r="AS5" s="31">
        <v>-7.3979910720890531E-3</v>
      </c>
      <c r="AT5" s="31">
        <v>-2.334363137771015E-3</v>
      </c>
      <c r="AU5" s="31">
        <v>-1.5139698309381701E-2</v>
      </c>
      <c r="AV5" s="31">
        <v>-2.5649844052517872E-3</v>
      </c>
      <c r="AW5" s="31">
        <v>-1.668569186070761E-3</v>
      </c>
      <c r="AX5" s="31">
        <v>-7.7675324881669771E-3</v>
      </c>
      <c r="AY5" s="31">
        <v>-3.931777617504021E-3</v>
      </c>
      <c r="AZ5" s="31">
        <v>-1.7814331085823389E-2</v>
      </c>
      <c r="BA5" s="31">
        <v>-1.0207531665196711E-2</v>
      </c>
      <c r="BB5" s="31">
        <v>-2.2441412636840978E-3</v>
      </c>
      <c r="BC5" s="31">
        <v>-2.605351417700201E-2</v>
      </c>
      <c r="BD5" s="31">
        <v>-2.1648415194386279E-2</v>
      </c>
      <c r="BE5" s="31">
        <v>-2.0364467545819259E-2</v>
      </c>
      <c r="BF5" s="31">
        <v>-2.792040002396893E-3</v>
      </c>
      <c r="BG5" s="31">
        <v>-1.638011826199013E-2</v>
      </c>
      <c r="BH5" s="31">
        <v>-1.706880048060486E-2</v>
      </c>
      <c r="BI5" s="31">
        <v>1.317814481513154E-2</v>
      </c>
      <c r="BJ5" s="31">
        <v>-5.3697740439019878E-3</v>
      </c>
      <c r="BK5" s="31">
        <v>-3.232371011460896E-2</v>
      </c>
      <c r="BL5" s="31">
        <v>-4.6513129667255848E-2</v>
      </c>
      <c r="BM5" s="31">
        <v>-6.5427689159544264E-2</v>
      </c>
      <c r="BN5" s="31">
        <v>-2.834007893995057E-2</v>
      </c>
      <c r="BO5" s="31">
        <v>-6.8067015354060192E-2</v>
      </c>
      <c r="BP5" s="31">
        <v>-5.7393520983543833E-2</v>
      </c>
      <c r="BQ5" s="31">
        <v>-3.6663021358398287E-2</v>
      </c>
      <c r="BR5" s="31">
        <v>-3.1607123737363962E-2</v>
      </c>
      <c r="BS5" s="31">
        <v>1.1799890707074051E-2</v>
      </c>
      <c r="BT5" s="31">
        <v>-1.300951356952498E-2</v>
      </c>
      <c r="BU5" s="31">
        <v>-1.431128719077006E-2</v>
      </c>
      <c r="BV5" s="31">
        <v>1.811570148890078E-3</v>
      </c>
      <c r="BW5" s="31">
        <v>-3.074963920285477E-2</v>
      </c>
      <c r="BX5" s="31">
        <v>-1.8084769272886589E-2</v>
      </c>
      <c r="BY5" s="31">
        <v>9.8999111264047156E-4</v>
      </c>
      <c r="BZ5" s="31">
        <v>-1.3055744445046501E-2</v>
      </c>
      <c r="CA5" s="31">
        <v>-2.5328399954947799E-2</v>
      </c>
      <c r="CB5" s="31">
        <v>3.8353479288371108E-2</v>
      </c>
      <c r="CC5" s="31">
        <v>-1.6522259062889798E-2</v>
      </c>
      <c r="CD5" s="31">
        <v>-5.3755456494018912E-4</v>
      </c>
      <c r="CE5" s="31">
        <v>-1.125222353290794E-2</v>
      </c>
      <c r="CF5" s="31">
        <v>-1.52603093753312E-2</v>
      </c>
      <c r="CG5" s="31">
        <v>-1.53476726004833E-2</v>
      </c>
      <c r="CH5" s="31">
        <v>-2.5082186453729151E-2</v>
      </c>
      <c r="CI5" s="31">
        <v>-2.3339198487570791E-2</v>
      </c>
      <c r="CJ5" s="31">
        <v>-1.682036006053169E-2</v>
      </c>
      <c r="CK5" s="31">
        <v>-9.7529038500343435E-3</v>
      </c>
      <c r="CL5" s="31">
        <v>-3.4307648892497142E-2</v>
      </c>
      <c r="CM5" s="31">
        <v>-1.6145440877798289E-2</v>
      </c>
      <c r="CN5" s="31">
        <v>-5.2400767642859933E-2</v>
      </c>
      <c r="CO5" s="31">
        <v>-4.2581801615140788E-2</v>
      </c>
      <c r="CP5" s="31">
        <v>-4.655686839208896E-2</v>
      </c>
      <c r="CQ5" s="31">
        <v>-2.027232178660204E-2</v>
      </c>
      <c r="CR5" s="31">
        <v>-3.1058178965966909E-3</v>
      </c>
      <c r="CS5" s="31">
        <v>-8.7262057890671765E-4</v>
      </c>
      <c r="CT5" s="31">
        <v>-3.9574465846048887E-2</v>
      </c>
      <c r="CU5" s="31">
        <v>-2.9502152679233892E-2</v>
      </c>
      <c r="CV5" s="31">
        <v>-2.2976062921494639E-2</v>
      </c>
      <c r="CW5" s="31">
        <v>-8.3811044411202743E-3</v>
      </c>
      <c r="CX5" s="31">
        <v>-1.135324252400207E-2</v>
      </c>
      <c r="CY5" s="31">
        <v>-2.0845782084474889E-2</v>
      </c>
      <c r="CZ5" s="31">
        <v>-2.766233521734919E-2</v>
      </c>
      <c r="DA5" s="31">
        <v>-2.9502398659883081E-2</v>
      </c>
      <c r="DB5" s="31">
        <v>-2.2160845133663849E-2</v>
      </c>
      <c r="DC5" s="31">
        <v>-7.4919916539323672E-2</v>
      </c>
      <c r="DD5" s="31">
        <v>-5.8916671088211109E-2</v>
      </c>
      <c r="DE5" s="31">
        <v>-5.7093108023774951E-2</v>
      </c>
      <c r="DF5" s="31">
        <v>-5.3718019048533842E-2</v>
      </c>
      <c r="DG5" s="31">
        <v>-5.8042033624051137E-2</v>
      </c>
      <c r="DH5" s="31">
        <v>-4.5676488721785653E-2</v>
      </c>
      <c r="DI5" s="31">
        <v>-1.5917012763894619E-2</v>
      </c>
      <c r="DJ5" s="31">
        <v>-3.3235286664000122E-2</v>
      </c>
      <c r="DK5" s="31">
        <v>-1.8187098604843469E-2</v>
      </c>
      <c r="DL5" s="31">
        <v>-1.544584578937103E-2</v>
      </c>
      <c r="DM5" s="31">
        <v>-2.249726221125636E-2</v>
      </c>
      <c r="DN5" s="31">
        <v>-1.605208169523252E-2</v>
      </c>
      <c r="DO5" s="31">
        <v>-1.5928649706160682E-2</v>
      </c>
      <c r="DP5" s="31">
        <v>-2.0912628632926832E-2</v>
      </c>
      <c r="DQ5" s="31">
        <v>-2.2164841676978429E-2</v>
      </c>
      <c r="DR5" s="31">
        <v>-8.9371675669312929E-3</v>
      </c>
      <c r="DS5" s="31">
        <v>-1.098240409876333E-2</v>
      </c>
      <c r="DT5" s="31">
        <v>-1.0795642921424769E-2</v>
      </c>
      <c r="DU5" s="31">
        <v>-1.1575455014925851E-2</v>
      </c>
      <c r="DV5" s="31">
        <v>-3.6917770101867912E-2</v>
      </c>
      <c r="DW5" s="31">
        <v>-3.1998140788843887E-2</v>
      </c>
      <c r="DX5" s="31">
        <v>-2.6040725380935988E-2</v>
      </c>
      <c r="DY5" s="31">
        <v>-1.6413638129547631E-2</v>
      </c>
      <c r="DZ5" s="31">
        <v>-2.2523035595239261E-2</v>
      </c>
      <c r="EA5" s="31">
        <v>-3.0593761571648271E-2</v>
      </c>
      <c r="EB5" s="31">
        <v>-2.3293474687012108E-2</v>
      </c>
      <c r="EC5" s="31">
        <v>-2.7976746624741811E-2</v>
      </c>
      <c r="ED5" s="31">
        <v>-1.783417785468196E-2</v>
      </c>
      <c r="EE5" s="31">
        <v>-9.9851965650295429E-2</v>
      </c>
      <c r="EF5" s="31">
        <v>-1.1236466774279931E-2</v>
      </c>
      <c r="EG5" s="16"/>
    </row>
    <row r="6" spans="1:137" ht="16" customHeight="1">
      <c r="A6" s="5"/>
      <c r="B6" s="26" t="s">
        <v>139</v>
      </c>
      <c r="C6" s="31">
        <v>2.4781267200839532E-2</v>
      </c>
      <c r="D6" s="31">
        <v>-1.3055565789411099E-3</v>
      </c>
      <c r="E6" s="31">
        <v>1.608875249320281E-2</v>
      </c>
      <c r="F6" s="31">
        <v>2.4671315533627981E-2</v>
      </c>
      <c r="G6" s="31">
        <v>-3.162639901064353E-3</v>
      </c>
      <c r="H6" s="31">
        <v>1.7431697066357749E-2</v>
      </c>
      <c r="I6" s="31">
        <v>3.422480146831456E-2</v>
      </c>
      <c r="J6" s="31">
        <v>2.1370583560873811E-2</v>
      </c>
      <c r="K6" s="31">
        <v>4.0150458395306857E-2</v>
      </c>
      <c r="L6" s="31">
        <v>3.3348307529469962E-2</v>
      </c>
      <c r="M6" s="31">
        <v>3.4388556589353358E-2</v>
      </c>
      <c r="N6" s="31">
        <v>3.5428173652712662E-2</v>
      </c>
      <c r="O6" s="31">
        <v>2.6141637932049711E-2</v>
      </c>
      <c r="P6" s="31">
        <v>1.8742897836585191E-2</v>
      </c>
      <c r="Q6" s="31">
        <v>-9.3773208719438836E-4</v>
      </c>
      <c r="R6" s="31">
        <v>1.079295630792587E-2</v>
      </c>
      <c r="S6" s="31">
        <v>3.152027631550381E-2</v>
      </c>
      <c r="T6" s="31">
        <v>1.078063718230503E-2</v>
      </c>
      <c r="U6" s="31">
        <v>1.2518142192402109E-2</v>
      </c>
      <c r="V6" s="31">
        <v>1.477948987093089E-2</v>
      </c>
      <c r="W6" s="31">
        <v>-1.014984542391845E-3</v>
      </c>
      <c r="X6" s="31">
        <v>-1.55598676641233E-3</v>
      </c>
      <c r="Y6" s="31">
        <v>-3.9166885734630988E-3</v>
      </c>
      <c r="Z6" s="31">
        <v>3.9797344312131524E-3</v>
      </c>
      <c r="AA6" s="31">
        <v>-1.2931896458828321E-2</v>
      </c>
      <c r="AB6" s="31">
        <v>-3.6109544813227412E-3</v>
      </c>
      <c r="AC6" s="31">
        <v>-1.590180178324977E-3</v>
      </c>
      <c r="AD6" s="31">
        <v>6.5947133089347939E-3</v>
      </c>
      <c r="AE6" s="31">
        <v>9.0079003385393416E-3</v>
      </c>
      <c r="AF6" s="31">
        <v>5.167996022717892E-3</v>
      </c>
      <c r="AG6" s="31">
        <v>1.166480210328194E-2</v>
      </c>
      <c r="AH6" s="31">
        <v>7.5437547748470071E-2</v>
      </c>
      <c r="AI6" s="31">
        <v>1.7333287380158099E-2</v>
      </c>
      <c r="AJ6" s="31">
        <v>1.354700501647794E-2</v>
      </c>
      <c r="AK6" s="31">
        <v>5.6964666402779139E-3</v>
      </c>
      <c r="AL6" s="31">
        <v>1.9356861327155341E-2</v>
      </c>
      <c r="AM6" s="31">
        <v>2.0237431961993749E-2</v>
      </c>
      <c r="AN6" s="31">
        <v>1.3241047847869371E-2</v>
      </c>
      <c r="AO6" s="31">
        <v>7.1526960893376172E-3</v>
      </c>
      <c r="AP6" s="31">
        <v>1.545428361210225E-2</v>
      </c>
      <c r="AQ6" s="31">
        <v>3.3343225994607782E-2</v>
      </c>
      <c r="AR6" s="31">
        <v>2.1523283527663431E-2</v>
      </c>
      <c r="AS6" s="31">
        <v>2.595737831565019E-2</v>
      </c>
      <c r="AT6" s="31">
        <v>1.3557033199555471E-2</v>
      </c>
      <c r="AU6" s="31">
        <v>1.6235781199579739E-2</v>
      </c>
      <c r="AV6" s="31">
        <v>2.392446634226629E-2</v>
      </c>
      <c r="AW6" s="31">
        <v>1.231490848747469E-2</v>
      </c>
      <c r="AX6" s="31">
        <v>2.7608811437208201E-2</v>
      </c>
      <c r="AY6" s="31">
        <v>1.996872779917654E-2</v>
      </c>
      <c r="AZ6" s="31">
        <v>1.8852318839162829E-2</v>
      </c>
      <c r="BA6" s="31">
        <v>1.4060393575469111E-2</v>
      </c>
      <c r="BB6" s="31">
        <v>3.2051330875087568E-2</v>
      </c>
      <c r="BC6" s="31">
        <v>2.9666564239491652E-2</v>
      </c>
      <c r="BD6" s="31">
        <v>2.8976140089225309E-2</v>
      </c>
      <c r="BE6" s="31">
        <v>1.6734098316147111E-2</v>
      </c>
      <c r="BF6" s="31">
        <v>3.3082162179669777E-2</v>
      </c>
      <c r="BG6" s="31">
        <v>1.558207216165047E-2</v>
      </c>
      <c r="BH6" s="31">
        <v>9.3848798818102312E-3</v>
      </c>
      <c r="BI6" s="31">
        <v>2.2418834194505272E-2</v>
      </c>
      <c r="BJ6" s="31">
        <v>1.508065269020129E-2</v>
      </c>
      <c r="BK6" s="31">
        <v>1.496728948241398E-2</v>
      </c>
      <c r="BL6" s="31">
        <v>2.7962623448211971E-3</v>
      </c>
      <c r="BM6" s="31">
        <v>6.400178511550861E-3</v>
      </c>
      <c r="BN6" s="31">
        <v>5.9565526767230183E-3</v>
      </c>
      <c r="BO6" s="31">
        <v>1.049673092157379E-2</v>
      </c>
      <c r="BP6" s="31">
        <v>4.1071899048283119E-3</v>
      </c>
      <c r="BQ6" s="31">
        <v>7.2204176017996863E-3</v>
      </c>
      <c r="BR6" s="31">
        <v>1.2253608458149859E-2</v>
      </c>
      <c r="BS6" s="31">
        <v>9.6881159921888976E-3</v>
      </c>
      <c r="BT6" s="31">
        <v>2.7689998067733809E-2</v>
      </c>
      <c r="BU6" s="31">
        <v>3.7176813136260332E-2</v>
      </c>
      <c r="BV6" s="31">
        <v>2.2503001411651829E-2</v>
      </c>
      <c r="BW6" s="31">
        <v>2.3397136029649931E-2</v>
      </c>
      <c r="BX6" s="31">
        <v>2.480656631688416E-2</v>
      </c>
      <c r="BY6" s="31">
        <v>3.2843935313915711E-2</v>
      </c>
      <c r="BZ6" s="31">
        <v>3.3974648984394562E-2</v>
      </c>
      <c r="CA6" s="31">
        <v>3.9509159659096647E-2</v>
      </c>
      <c r="CB6" s="31">
        <v>8.3908379926236426E-2</v>
      </c>
      <c r="CC6" s="31">
        <v>2.5834605631543359E-2</v>
      </c>
      <c r="CD6" s="31">
        <v>2.4055734838958669E-2</v>
      </c>
      <c r="CE6" s="31">
        <v>2.3266114819983839E-2</v>
      </c>
      <c r="CF6" s="31">
        <v>1.373644968263679E-2</v>
      </c>
      <c r="CG6" s="31">
        <v>7.9774934076112334E-3</v>
      </c>
      <c r="CH6" s="31">
        <v>3.3776236728276038E-2</v>
      </c>
      <c r="CI6" s="31">
        <v>3.9098583471403797E-2</v>
      </c>
      <c r="CJ6" s="31">
        <v>9.4079956580735966E-2</v>
      </c>
      <c r="CK6" s="31">
        <v>2.4276764549051359E-2</v>
      </c>
      <c r="CL6" s="31">
        <v>2.212857318350395E-2</v>
      </c>
      <c r="CM6" s="31">
        <v>3.5010445306269712E-2</v>
      </c>
      <c r="CN6" s="31">
        <v>2.040106560066687E-2</v>
      </c>
      <c r="CO6" s="31">
        <v>2.7974486001637149E-2</v>
      </c>
      <c r="CP6" s="31">
        <v>2.7230711421953841E-2</v>
      </c>
      <c r="CQ6" s="31">
        <v>2.3250527277598531E-2</v>
      </c>
      <c r="CR6" s="31">
        <v>5.9947722885327218E-3</v>
      </c>
      <c r="CS6" s="31">
        <v>4.6918986846785126E-3</v>
      </c>
      <c r="CT6" s="31">
        <v>1.4269956673716781E-2</v>
      </c>
      <c r="CU6" s="31">
        <v>6.6048063471903576E-3</v>
      </c>
      <c r="CV6" s="31">
        <v>-2.853701244410783E-3</v>
      </c>
      <c r="CW6" s="31">
        <v>1.1713582017715111E-2</v>
      </c>
      <c r="CX6" s="31">
        <v>1.428089450034001E-2</v>
      </c>
      <c r="CY6" s="31">
        <v>1.4092544414494741E-2</v>
      </c>
      <c r="CZ6" s="31">
        <v>1.430785991608354E-2</v>
      </c>
      <c r="DA6" s="31">
        <v>1.638894060642291E-2</v>
      </c>
      <c r="DB6" s="31">
        <v>1.8640833873862658E-2</v>
      </c>
      <c r="DC6" s="31">
        <v>1.7264687974317211E-2</v>
      </c>
      <c r="DD6" s="31">
        <v>1.367079578077373E-2</v>
      </c>
      <c r="DE6" s="31">
        <v>1.598033144106726E-2</v>
      </c>
      <c r="DF6" s="31">
        <v>1.0148803863284791E-2</v>
      </c>
      <c r="DG6" s="31">
        <v>9.2175440306715168E-3</v>
      </c>
      <c r="DH6" s="31">
        <v>8.6918177487599561E-3</v>
      </c>
      <c r="DI6" s="31">
        <v>8.3922693782744178E-3</v>
      </c>
      <c r="DJ6" s="31">
        <v>1.2134253144492591E-2</v>
      </c>
      <c r="DK6" s="31">
        <v>7.8949548997025686E-3</v>
      </c>
      <c r="DL6" s="31">
        <v>8.6436134423099088E-3</v>
      </c>
      <c r="DM6" s="31">
        <v>7.1718550188898051E-3</v>
      </c>
      <c r="DN6" s="31">
        <v>1.189680536618898E-2</v>
      </c>
      <c r="DO6" s="31">
        <v>8.699709629232355E-2</v>
      </c>
      <c r="DP6" s="31">
        <v>9.2320821514673163E-2</v>
      </c>
      <c r="DQ6" s="31">
        <v>9.1081724304045278E-2</v>
      </c>
      <c r="DR6" s="31">
        <v>8.6032132250165649E-2</v>
      </c>
      <c r="DS6" s="31">
        <v>8.5301283791686805E-2</v>
      </c>
      <c r="DT6" s="31">
        <v>0.1041565042492031</v>
      </c>
      <c r="DU6" s="31">
        <v>0.11147644696708429</v>
      </c>
      <c r="DV6" s="31">
        <v>0.11222522581554389</v>
      </c>
      <c r="DW6" s="31">
        <v>0.1138274309818893</v>
      </c>
      <c r="DX6" s="31">
        <v>0.1196025912506227</v>
      </c>
      <c r="DY6" s="31">
        <v>0.1252888485306749</v>
      </c>
      <c r="DZ6" s="31">
        <v>0.1263966268246263</v>
      </c>
      <c r="EA6" s="31">
        <v>0.12674932582331719</v>
      </c>
      <c r="EB6" s="31">
        <v>0.13046922426681409</v>
      </c>
      <c r="EC6" s="31">
        <v>0.13362177999338981</v>
      </c>
      <c r="ED6" s="31">
        <v>1.9701395161749072E-3</v>
      </c>
      <c r="EE6" s="31">
        <v>2.8774188048903038E-3</v>
      </c>
      <c r="EF6" s="31">
        <v>1.3222361011934959E-3</v>
      </c>
      <c r="EG6" s="16"/>
    </row>
    <row r="7" spans="1:137" ht="16" customHeight="1">
      <c r="A7" s="5"/>
      <c r="B7" s="26" t="s">
        <v>140</v>
      </c>
      <c r="C7" s="31">
        <v>2.8323116205970649E-2</v>
      </c>
      <c r="D7" s="31">
        <v>1.220645087705181E-2</v>
      </c>
      <c r="E7" s="31">
        <v>3.7689314578788092E-3</v>
      </c>
      <c r="F7" s="31">
        <v>-8.9288017209798037E-3</v>
      </c>
      <c r="G7" s="31">
        <v>-2.9484001707404669E-2</v>
      </c>
      <c r="H7" s="31">
        <v>-3.4708549258569137E-2</v>
      </c>
      <c r="I7" s="31">
        <v>-5.1269568629370391E-2</v>
      </c>
      <c r="J7" s="31">
        <v>-3.1660114684653101E-2</v>
      </c>
      <c r="K7" s="31">
        <v>-2.0045521998210108E-2</v>
      </c>
      <c r="L7" s="31">
        <v>-1.946642190515354E-2</v>
      </c>
      <c r="M7" s="31">
        <v>-2.1515618928716389E-2</v>
      </c>
      <c r="N7" s="31">
        <v>-1.083706305143352E-2</v>
      </c>
      <c r="O7" s="31">
        <v>5.2283701946722813E-3</v>
      </c>
      <c r="P7" s="31">
        <v>1.0223189883993389E-2</v>
      </c>
      <c r="Q7" s="31">
        <v>1.7629327728845831E-2</v>
      </c>
      <c r="R7" s="31">
        <v>2.42507527371295E-2</v>
      </c>
      <c r="S7" s="31">
        <v>3.1586313437792307E-2</v>
      </c>
      <c r="T7" s="31">
        <v>4.6423106526677818E-2</v>
      </c>
      <c r="U7" s="31">
        <v>4.5126890420718303E-2</v>
      </c>
      <c r="V7" s="31">
        <v>-5.9353126628225519E-3</v>
      </c>
      <c r="W7" s="31">
        <v>6.2574474802079812E-3</v>
      </c>
      <c r="X7" s="31">
        <v>2.1909646310636671E-2</v>
      </c>
      <c r="Y7" s="31">
        <v>-1.9078750142578951E-2</v>
      </c>
      <c r="Z7" s="31">
        <v>5.1659428108109529E-3</v>
      </c>
      <c r="AA7" s="31">
        <v>-1.227951959204077E-2</v>
      </c>
      <c r="AB7" s="31">
        <v>-1.7069928724083431E-3</v>
      </c>
      <c r="AC7" s="31">
        <v>-7.5664343527085494E-4</v>
      </c>
      <c r="AD7" s="31">
        <v>-3.0775683873463318E-3</v>
      </c>
      <c r="AE7" s="31">
        <v>-1.0483985865871589E-2</v>
      </c>
      <c r="AF7" s="31">
        <v>-2.650219920235473E-3</v>
      </c>
      <c r="AG7" s="31">
        <v>8.0797789865460031E-5</v>
      </c>
      <c r="AH7" s="31">
        <v>-4.855947946520129E-3</v>
      </c>
      <c r="AI7" s="31">
        <v>-4.6092936292946567E-3</v>
      </c>
      <c r="AJ7" s="31">
        <v>-1.4472155809734859E-2</v>
      </c>
      <c r="AK7" s="31">
        <v>-1.290903943117051E-2</v>
      </c>
      <c r="AL7" s="31">
        <v>-1.5644125682714709E-2</v>
      </c>
      <c r="AM7" s="31">
        <v>-6.5867114533051316E-3</v>
      </c>
      <c r="AN7" s="31">
        <v>-1.6828039138058581E-2</v>
      </c>
      <c r="AO7" s="31">
        <v>-1.44767767559632E-2</v>
      </c>
      <c r="AP7" s="31">
        <v>-2.1091681513781539E-2</v>
      </c>
      <c r="AQ7" s="31">
        <v>-2.8551067900773702E-2</v>
      </c>
      <c r="AR7" s="31">
        <v>-7.815146644734235E-3</v>
      </c>
      <c r="AS7" s="31">
        <v>-1.0129083365470909E-2</v>
      </c>
      <c r="AT7" s="31">
        <v>-7.8955661712926811E-3</v>
      </c>
      <c r="AU7" s="31">
        <v>-9.0748824012586195E-3</v>
      </c>
      <c r="AV7" s="31">
        <v>2.1755521665491471E-2</v>
      </c>
      <c r="AW7" s="31">
        <v>2.5959517748677791E-2</v>
      </c>
      <c r="AX7" s="31">
        <v>1.0969239090769601E-2</v>
      </c>
      <c r="AY7" s="31">
        <v>1.9528500438089701E-2</v>
      </c>
      <c r="AZ7" s="31">
        <v>3.9109089557056873E-2</v>
      </c>
      <c r="BA7" s="31">
        <v>5.0277285509633403E-2</v>
      </c>
      <c r="BB7" s="31">
        <v>-4.1446395084688333E-3</v>
      </c>
      <c r="BC7" s="31">
        <v>1.506235820187214E-2</v>
      </c>
      <c r="BD7" s="31">
        <v>8.2699574246126279E-4</v>
      </c>
      <c r="BE7" s="31">
        <v>3.4352436066370259E-3</v>
      </c>
      <c r="BF7" s="31">
        <v>1.1414189226976179E-3</v>
      </c>
      <c r="BG7" s="31">
        <v>-2.9143660459482138E-3</v>
      </c>
      <c r="BH7" s="31">
        <v>9.9346355757370993E-3</v>
      </c>
      <c r="BI7" s="31">
        <v>5.9251983127507693E-3</v>
      </c>
      <c r="BJ7" s="31">
        <v>-5.6623803040730357E-3</v>
      </c>
      <c r="BK7" s="31">
        <v>-2.0464909442552111E-3</v>
      </c>
      <c r="BL7" s="31">
        <v>-3.8359611766034568E-3</v>
      </c>
      <c r="BM7" s="31">
        <v>-8.7151659096519896E-3</v>
      </c>
      <c r="BN7" s="31">
        <v>-1.832571489778549E-3</v>
      </c>
      <c r="BO7" s="31">
        <v>-4.4087481904577924E-3</v>
      </c>
      <c r="BP7" s="31">
        <v>-2.891257891708336E-3</v>
      </c>
      <c r="BQ7" s="31">
        <v>-6.1427376331082313E-3</v>
      </c>
      <c r="BR7" s="31">
        <v>-9.9651227238089233E-4</v>
      </c>
      <c r="BS7" s="31">
        <v>6.4362376317152262E-3</v>
      </c>
      <c r="BT7" s="31">
        <v>4.6488175320688841E-3</v>
      </c>
      <c r="BU7" s="31">
        <v>-1.2628115860533549E-3</v>
      </c>
      <c r="BV7" s="31">
        <v>8.6401318779156799E-3</v>
      </c>
      <c r="BW7" s="31">
        <v>1.6261705068177271E-2</v>
      </c>
      <c r="BX7" s="31">
        <v>2.7921778864699799E-2</v>
      </c>
      <c r="BY7" s="31">
        <v>2.063472509326976E-2</v>
      </c>
      <c r="BZ7" s="31">
        <v>2.2316884120747841E-2</v>
      </c>
      <c r="CA7" s="31">
        <v>3.4580544379991729E-3</v>
      </c>
      <c r="CB7" s="31">
        <v>-3.5781520047250561E-4</v>
      </c>
      <c r="CC7" s="31">
        <v>-1.84133247490101E-3</v>
      </c>
      <c r="CD7" s="31">
        <v>1.620762306198292E-3</v>
      </c>
      <c r="CE7" s="31">
        <v>4.9775066885598641E-3</v>
      </c>
      <c r="CF7" s="31">
        <v>-1.2314831660388379E-2</v>
      </c>
      <c r="CG7" s="31">
        <v>-1.51438918338312E-2</v>
      </c>
      <c r="CH7" s="31">
        <v>-1.250415618066782E-2</v>
      </c>
      <c r="CI7" s="31">
        <v>-8.4800575413573175E-3</v>
      </c>
      <c r="CJ7" s="31">
        <v>-8.2879515233858761E-4</v>
      </c>
      <c r="CK7" s="31">
        <v>5.4167268423041181E-3</v>
      </c>
      <c r="CL7" s="31">
        <v>8.2758180384598454E-3</v>
      </c>
      <c r="CM7" s="31">
        <v>8.7966919088218604E-3</v>
      </c>
      <c r="CN7" s="31">
        <v>1.4065471313855859E-2</v>
      </c>
      <c r="CO7" s="31">
        <v>4.6390608616348429E-3</v>
      </c>
      <c r="CP7" s="31">
        <v>1.7356225502970501E-2</v>
      </c>
      <c r="CQ7" s="31">
        <v>1.293129772227289E-2</v>
      </c>
      <c r="CR7" s="31">
        <v>1.426078471993762E-2</v>
      </c>
      <c r="CS7" s="31">
        <v>1.001240032010085E-2</v>
      </c>
      <c r="CT7" s="31">
        <v>1.4104360742096001E-2</v>
      </c>
      <c r="CU7" s="31">
        <v>7.4970201242530064E-3</v>
      </c>
      <c r="CV7" s="31">
        <v>1.451765648853795E-3</v>
      </c>
      <c r="CW7" s="31">
        <v>4.1397841096599318E-4</v>
      </c>
      <c r="CX7" s="31">
        <v>-4.7169750035794579E-3</v>
      </c>
      <c r="CY7" s="31">
        <v>-3.6579019011274642E-3</v>
      </c>
      <c r="CZ7" s="31">
        <v>-3.174916961075335E-3</v>
      </c>
      <c r="DA7" s="31">
        <v>-4.190890033522179E-3</v>
      </c>
      <c r="DB7" s="31">
        <v>-5.0241843991830556E-3</v>
      </c>
      <c r="DC7" s="31">
        <v>-2.061699191471476E-3</v>
      </c>
      <c r="DD7" s="31">
        <v>3.8595740338514262E-3</v>
      </c>
      <c r="DE7" s="31">
        <v>9.4969409784354431E-5</v>
      </c>
      <c r="DF7" s="31">
        <v>-1.7685341040774819E-4</v>
      </c>
      <c r="DG7" s="31">
        <v>1.6713109063221389E-3</v>
      </c>
      <c r="DH7" s="31">
        <v>5.819328903155915E-4</v>
      </c>
      <c r="DI7" s="31">
        <v>3.8134948709455378E-4</v>
      </c>
      <c r="DJ7" s="31">
        <v>-7.0806785542101838E-3</v>
      </c>
      <c r="DK7" s="31">
        <v>-3.751803548952918E-3</v>
      </c>
      <c r="DL7" s="31">
        <v>-5.0886448123400386E-4</v>
      </c>
      <c r="DM7" s="31">
        <v>-2.6977714334621311E-3</v>
      </c>
      <c r="DN7" s="31">
        <v>4.5161168072374802E-4</v>
      </c>
      <c r="DO7" s="31">
        <v>-1.260303871118466E-2</v>
      </c>
      <c r="DP7" s="31">
        <v>-9.2454616550252579E-3</v>
      </c>
      <c r="DQ7" s="31">
        <v>-4.2401797109490524E-3</v>
      </c>
      <c r="DR7" s="31">
        <v>3.1142192352477849E-3</v>
      </c>
      <c r="DS7" s="31">
        <v>-2.0752695358667449E-3</v>
      </c>
      <c r="DT7" s="31">
        <v>6.954270407677373E-3</v>
      </c>
      <c r="DU7" s="31">
        <v>8.8154032132534621E-4</v>
      </c>
      <c r="DV7" s="31">
        <v>-7.7751542774112095E-4</v>
      </c>
      <c r="DW7" s="31">
        <v>-2.8298684672772019E-3</v>
      </c>
      <c r="DX7" s="31">
        <v>-5.0638239411524857E-4</v>
      </c>
      <c r="DY7" s="31">
        <v>5.8338742954088382E-3</v>
      </c>
      <c r="DZ7" s="31">
        <v>6.0715890265439622E-4</v>
      </c>
      <c r="EA7" s="31">
        <v>-3.785089003194287E-3</v>
      </c>
      <c r="EB7" s="31">
        <v>2.689984028990627E-3</v>
      </c>
      <c r="EC7" s="31">
        <v>2.1806230143573292E-3</v>
      </c>
      <c r="ED7" s="31">
        <v>6.3146460627895714E-3</v>
      </c>
      <c r="EE7" s="31">
        <v>6.4540842212046732E-3</v>
      </c>
      <c r="EF7" s="31">
        <v>6.2494522616986167E-3</v>
      </c>
    </row>
    <row r="8" spans="1:137" ht="16" customHeight="1">
      <c r="A8" s="54" t="s">
        <v>141</v>
      </c>
      <c r="B8" s="55"/>
      <c r="C8" s="19">
        <f t="array" ref="C8">MATCH(MAX(ABS(C3:C7)), ABS(C3:C7), 0)</f>
        <v>1</v>
      </c>
      <c r="D8" s="19">
        <f t="array" ref="D8">MATCH(MAX(ABS(D3:D7)), ABS(D3:D7), 0)</f>
        <v>3</v>
      </c>
      <c r="E8" s="19">
        <f t="array" ref="E8">MATCH(MAX(ABS(E3:E7)), ABS(E3:E7), 0)</f>
        <v>3</v>
      </c>
      <c r="F8" s="19">
        <f t="array" ref="F8">MATCH(MAX(ABS(F3:F7)), ABS(F3:F7), 0)</f>
        <v>2</v>
      </c>
      <c r="G8" s="19">
        <f t="array" ref="G8">MATCH(MAX(ABS(G3:G7)), ABS(G3:G7), 0)</f>
        <v>1</v>
      </c>
      <c r="H8" s="19">
        <f t="array" ref="H8">MATCH(MAX(ABS(H3:H7)), ABS(H3:H7), 0)</f>
        <v>5</v>
      </c>
      <c r="I8" s="19">
        <f t="array" ref="I8">MATCH(MAX(ABS(I3:I7)), ABS(I3:I7), 0)</f>
        <v>2</v>
      </c>
      <c r="J8" s="19">
        <f t="array" ref="J8">MATCH(MAX(ABS(J3:J7)), ABS(J3:J7), 0)</f>
        <v>1</v>
      </c>
      <c r="K8" s="19">
        <f t="array" ref="K8">MATCH(MAX(ABS(K3:K7)), ABS(K3:K7), 0)</f>
        <v>1</v>
      </c>
      <c r="L8" s="19">
        <f t="array" ref="L8">MATCH(MAX(ABS(L3:L7)), ABS(L3:L7), 0)</f>
        <v>1</v>
      </c>
      <c r="M8" s="19">
        <f t="array" ref="M8">MATCH(MAX(ABS(M3:M7)), ABS(M3:M7), 0)</f>
        <v>3</v>
      </c>
      <c r="N8" s="19">
        <f t="array" ref="N8">MATCH(MAX(ABS(N3:N7)), ABS(N3:N7), 0)</f>
        <v>3</v>
      </c>
      <c r="O8" s="19">
        <f t="array" ref="O8">MATCH(MAX(ABS(O3:O7)), ABS(O3:O7), 0)</f>
        <v>3</v>
      </c>
      <c r="P8" s="19">
        <f t="array" ref="P8">MATCH(MAX(ABS(P3:P7)), ABS(P3:P7), 0)</f>
        <v>3</v>
      </c>
      <c r="Q8" s="19">
        <f t="array" ref="Q8">MATCH(MAX(ABS(Q3:Q7)), ABS(Q3:Q7), 0)</f>
        <v>1</v>
      </c>
      <c r="R8" s="19">
        <f t="array" ref="R8">MATCH(MAX(ABS(R3:R7)), ABS(R3:R7), 0)</f>
        <v>3</v>
      </c>
      <c r="S8" s="19">
        <f t="array" ref="S8">MATCH(MAX(ABS(S3:S7)), ABS(S3:S7), 0)</f>
        <v>5</v>
      </c>
      <c r="T8" s="19">
        <f t="array" ref="T8">MATCH(MAX(ABS(T3:T7)), ABS(T3:T7), 0)</f>
        <v>5</v>
      </c>
      <c r="U8" s="19">
        <f t="array" ref="U8">MATCH(MAX(ABS(U3:U7)), ABS(U3:U7), 0)</f>
        <v>5</v>
      </c>
      <c r="V8" s="19">
        <f t="array" ref="V8">MATCH(MAX(ABS(V3:V7)), ABS(V3:V7), 0)</f>
        <v>2</v>
      </c>
      <c r="W8" s="19">
        <f t="array" ref="W8">MATCH(MAX(ABS(W3:W7)), ABS(W3:W7), 0)</f>
        <v>2</v>
      </c>
      <c r="X8" s="19">
        <f t="array" ref="X8">MATCH(MAX(ABS(X3:X7)), ABS(X3:X7), 0)</f>
        <v>1</v>
      </c>
      <c r="Y8" s="19">
        <f t="array" ref="Y8">MATCH(MAX(ABS(Y3:Y7)), ABS(Y3:Y7), 0)</f>
        <v>2</v>
      </c>
      <c r="Z8" s="19">
        <f t="array" ref="Z8">MATCH(MAX(ABS(Z3:Z7)), ABS(Z3:Z7), 0)</f>
        <v>2</v>
      </c>
      <c r="AA8" s="19">
        <f t="array" ref="AA8">MATCH(MAX(ABS(AA3:AA7)), ABS(AA3:AA7), 0)</f>
        <v>2</v>
      </c>
      <c r="AB8" s="19">
        <f t="array" ref="AB8">MATCH(MAX(ABS(AB3:AB7)), ABS(AB3:AB7), 0)</f>
        <v>3</v>
      </c>
      <c r="AC8" s="19">
        <f t="array" ref="AC8">MATCH(MAX(ABS(AC3:AC7)), ABS(AC3:AC7), 0)</f>
        <v>2</v>
      </c>
      <c r="AD8" s="19">
        <f t="array" ref="AD8">MATCH(MAX(ABS(AD3:AD7)), ABS(AD3:AD7), 0)</f>
        <v>2</v>
      </c>
      <c r="AE8" s="19">
        <f t="array" ref="AE8">MATCH(MAX(ABS(AE3:AE7)), ABS(AE3:AE7), 0)</f>
        <v>2</v>
      </c>
      <c r="AF8" s="19">
        <f t="array" ref="AF8">MATCH(MAX(ABS(AF3:AF7)), ABS(AF3:AF7), 0)</f>
        <v>2</v>
      </c>
      <c r="AG8" s="19">
        <f t="array" ref="AG8">MATCH(MAX(ABS(AG3:AG7)), ABS(AG3:AG7), 0)</f>
        <v>3</v>
      </c>
      <c r="AH8" s="19">
        <f t="array" ref="AH8">MATCH(MAX(ABS(AH3:AH7)), ABS(AH3:AH7), 0)</f>
        <v>4</v>
      </c>
      <c r="AI8" s="19">
        <f t="array" ref="AI8">MATCH(MAX(ABS(AI3:AI7)), ABS(AI3:AI7), 0)</f>
        <v>2</v>
      </c>
      <c r="AJ8" s="19">
        <f t="array" ref="AJ8">MATCH(MAX(ABS(AJ3:AJ7)), ABS(AJ3:AJ7), 0)</f>
        <v>3</v>
      </c>
      <c r="AK8" s="19">
        <f t="array" ref="AK8">MATCH(MAX(ABS(AK3:AK7)), ABS(AK3:AK7), 0)</f>
        <v>1</v>
      </c>
      <c r="AL8" s="19">
        <f t="array" ref="AL8">MATCH(MAX(ABS(AL3:AL7)), ABS(AL3:AL7), 0)</f>
        <v>1</v>
      </c>
      <c r="AM8" s="19">
        <f t="array" ref="AM8">MATCH(MAX(ABS(AM3:AM7)), ABS(AM3:AM7), 0)</f>
        <v>3</v>
      </c>
      <c r="AN8" s="19">
        <f t="array" ref="AN8">MATCH(MAX(ABS(AN3:AN7)), ABS(AN3:AN7), 0)</f>
        <v>1</v>
      </c>
      <c r="AO8" s="19">
        <f t="array" ref="AO8">MATCH(MAX(ABS(AO3:AO7)), ABS(AO3:AO7), 0)</f>
        <v>1</v>
      </c>
      <c r="AP8" s="19">
        <f t="array" ref="AP8">MATCH(MAX(ABS(AP3:AP7)), ABS(AP3:AP7), 0)</f>
        <v>1</v>
      </c>
      <c r="AQ8" s="19">
        <f t="array" ref="AQ8">MATCH(MAX(ABS(AQ3:AQ7)), ABS(AQ3:AQ7), 0)</f>
        <v>1</v>
      </c>
      <c r="AR8" s="19">
        <f t="array" ref="AR8">MATCH(MAX(ABS(AR3:AR7)), ABS(AR3:AR7), 0)</f>
        <v>4</v>
      </c>
      <c r="AS8" s="19">
        <f t="array" ref="AS8">MATCH(MAX(ABS(AS3:AS7)), ABS(AS3:AS7), 0)</f>
        <v>1</v>
      </c>
      <c r="AT8" s="19">
        <f t="array" ref="AT8">MATCH(MAX(ABS(AT3:AT7)), ABS(AT3:AT7), 0)</f>
        <v>1</v>
      </c>
      <c r="AU8" s="19">
        <f t="array" ref="AU8">MATCH(MAX(ABS(AU3:AU7)), ABS(AU3:AU7), 0)</f>
        <v>1</v>
      </c>
      <c r="AV8" s="19">
        <f t="array" ref="AV8">MATCH(MAX(ABS(AV3:AV7)), ABS(AV3:AV7), 0)</f>
        <v>4</v>
      </c>
      <c r="AW8" s="19">
        <f t="array" ref="AW8">MATCH(MAX(ABS(AW3:AW7)), ABS(AW3:AW7), 0)</f>
        <v>5</v>
      </c>
      <c r="AX8" s="19">
        <f t="array" ref="AX8">MATCH(MAX(ABS(AX3:AX7)), ABS(AX3:AX7), 0)</f>
        <v>4</v>
      </c>
      <c r="AY8" s="19">
        <f t="array" ref="AY8">MATCH(MAX(ABS(AY3:AY7)), ABS(AY3:AY7), 0)</f>
        <v>1</v>
      </c>
      <c r="AZ8" s="19">
        <f t="array" ref="AZ8">MATCH(MAX(ABS(AZ3:AZ7)), ABS(AZ3:AZ7), 0)</f>
        <v>5</v>
      </c>
      <c r="BA8" s="19">
        <f t="array" ref="BA8">MATCH(MAX(ABS(BA3:BA7)), ABS(BA3:BA7), 0)</f>
        <v>5</v>
      </c>
      <c r="BB8" s="19">
        <f t="array" ref="BB8">MATCH(MAX(ABS(BB3:BB7)), ABS(BB3:BB7), 0)</f>
        <v>1</v>
      </c>
      <c r="BC8" s="19">
        <f t="array" ref="BC8">MATCH(MAX(ABS(BC3:BC7)), ABS(BC3:BC7), 0)</f>
        <v>1</v>
      </c>
      <c r="BD8" s="19">
        <f t="array" ref="BD8">MATCH(MAX(ABS(BD3:BD7)), ABS(BD3:BD7), 0)</f>
        <v>4</v>
      </c>
      <c r="BE8" s="19">
        <f t="array" ref="BE8">MATCH(MAX(ABS(BE3:BE7)), ABS(BE3:BE7), 0)</f>
        <v>3</v>
      </c>
      <c r="BF8" s="19">
        <f t="array" ref="BF8">MATCH(MAX(ABS(BF3:BF7)), ABS(BF3:BF7), 0)</f>
        <v>1</v>
      </c>
      <c r="BG8" s="19">
        <f t="array" ref="BG8">MATCH(MAX(ABS(BG3:BG7)), ABS(BG3:BG7), 0)</f>
        <v>1</v>
      </c>
      <c r="BH8" s="19">
        <f t="array" ref="BH8">MATCH(MAX(ABS(BH3:BH7)), ABS(BH3:BH7), 0)</f>
        <v>3</v>
      </c>
      <c r="BI8" s="19">
        <f t="array" ref="BI8">MATCH(MAX(ABS(BI3:BI7)), ABS(BI3:BI7), 0)</f>
        <v>1</v>
      </c>
      <c r="BJ8" s="19">
        <f t="array" ref="BJ8">MATCH(MAX(ABS(BJ3:BJ7)), ABS(BJ3:BJ7), 0)</f>
        <v>1</v>
      </c>
      <c r="BK8" s="19">
        <f t="array" ref="BK8">MATCH(MAX(ABS(BK3:BK7)), ABS(BK3:BK7), 0)</f>
        <v>1</v>
      </c>
      <c r="BL8" s="19">
        <f t="array" ref="BL8">MATCH(MAX(ABS(BL3:BL7)), ABS(BL3:BL7), 0)</f>
        <v>3</v>
      </c>
      <c r="BM8" s="19">
        <f t="array" ref="BM8">MATCH(MAX(ABS(BM3:BM7)), ABS(BM3:BM7), 0)</f>
        <v>3</v>
      </c>
      <c r="BN8" s="19">
        <f t="array" ref="BN8">MATCH(MAX(ABS(BN3:BN7)), ABS(BN3:BN7), 0)</f>
        <v>3</v>
      </c>
      <c r="BO8" s="19">
        <f t="array" ref="BO8">MATCH(MAX(ABS(BO3:BO7)), ABS(BO3:BO7), 0)</f>
        <v>3</v>
      </c>
      <c r="BP8" s="19">
        <f t="array" ref="BP8">MATCH(MAX(ABS(BP3:BP7)), ABS(BP3:BP7), 0)</f>
        <v>3</v>
      </c>
      <c r="BQ8" s="19">
        <f t="array" ref="BQ8">MATCH(MAX(ABS(BQ3:BQ7)), ABS(BQ3:BQ7), 0)</f>
        <v>3</v>
      </c>
      <c r="BR8" s="19">
        <f t="array" ref="BR8">MATCH(MAX(ABS(BR3:BR7)), ABS(BR3:BR7), 0)</f>
        <v>3</v>
      </c>
      <c r="BS8" s="19">
        <f t="array" ref="BS8">MATCH(MAX(ABS(BS3:BS7)), ABS(BS3:BS7), 0)</f>
        <v>1</v>
      </c>
      <c r="BT8" s="19">
        <f t="array" ref="BT8">MATCH(MAX(ABS(BT3:BT7)), ABS(BT3:BT7), 0)</f>
        <v>4</v>
      </c>
      <c r="BU8" s="19">
        <f t="array" ref="BU8">MATCH(MAX(ABS(BU3:BU7)), ABS(BU3:BU7), 0)</f>
        <v>4</v>
      </c>
      <c r="BV8" s="19">
        <f t="array" ref="BV8">MATCH(MAX(ABS(BV3:BV7)), ABS(BV3:BV7), 0)</f>
        <v>2</v>
      </c>
      <c r="BW8" s="19">
        <f t="array" ref="BW8">MATCH(MAX(ABS(BW3:BW7)), ABS(BW3:BW7), 0)</f>
        <v>3</v>
      </c>
      <c r="BX8" s="19">
        <f t="array" ref="BX8">MATCH(MAX(ABS(BX3:BX7)), ABS(BX3:BX7), 0)</f>
        <v>5</v>
      </c>
      <c r="BY8" s="19">
        <f t="array" ref="BY8">MATCH(MAX(ABS(BY3:BY7)), ABS(BY3:BY7), 0)</f>
        <v>1</v>
      </c>
      <c r="BZ8" s="19">
        <f t="array" ref="BZ8">MATCH(MAX(ABS(BZ3:BZ7)), ABS(BZ3:BZ7), 0)</f>
        <v>4</v>
      </c>
      <c r="CA8" s="19">
        <f t="array" ref="CA8">MATCH(MAX(ABS(CA3:CA7)), ABS(CA3:CA7), 0)</f>
        <v>4</v>
      </c>
      <c r="CB8" s="19">
        <f t="array" ref="CB8">MATCH(MAX(ABS(CB3:CB7)), ABS(CB3:CB7), 0)</f>
        <v>4</v>
      </c>
      <c r="CC8" s="19">
        <f t="array" ref="CC8">MATCH(MAX(ABS(CC3:CC7)), ABS(CC3:CC7), 0)</f>
        <v>1</v>
      </c>
      <c r="CD8" s="19">
        <f t="array" ref="CD8">MATCH(MAX(ABS(CD3:CD7)), ABS(CD3:CD7), 0)</f>
        <v>4</v>
      </c>
      <c r="CE8" s="19">
        <f t="array" ref="CE8">MATCH(MAX(ABS(CE3:CE7)), ABS(CE3:CE7), 0)</f>
        <v>4</v>
      </c>
      <c r="CF8" s="19">
        <f t="array" ref="CF8">MATCH(MAX(ABS(CF3:CF7)), ABS(CF3:CF7), 0)</f>
        <v>1</v>
      </c>
      <c r="CG8" s="19">
        <f t="array" ref="CG8">MATCH(MAX(ABS(CG3:CG7)), ABS(CG3:CG7), 0)</f>
        <v>1</v>
      </c>
      <c r="CH8" s="19">
        <f t="array" ref="CH8">MATCH(MAX(ABS(CH3:CH7)), ABS(CH3:CH7), 0)</f>
        <v>1</v>
      </c>
      <c r="CI8" s="19">
        <f t="array" ref="CI8">MATCH(MAX(ABS(CI3:CI7)), ABS(CI3:CI7), 0)</f>
        <v>1</v>
      </c>
      <c r="CJ8" s="19">
        <f t="array" ref="CJ8">MATCH(MAX(ABS(CJ3:CJ7)), ABS(CJ3:CJ7), 0)</f>
        <v>4</v>
      </c>
      <c r="CK8" s="19">
        <f t="array" ref="CK8">MATCH(MAX(ABS(CK3:CK7)), ABS(CK3:CK7), 0)</f>
        <v>1</v>
      </c>
      <c r="CL8" s="19">
        <f t="array" ref="CL8">MATCH(MAX(ABS(CL3:CL7)), ABS(CL3:CL7), 0)</f>
        <v>3</v>
      </c>
      <c r="CM8" s="19">
        <f t="array" ref="CM8">MATCH(MAX(ABS(CM3:CM7)), ABS(CM3:CM7), 0)</f>
        <v>4</v>
      </c>
      <c r="CN8" s="19">
        <f t="array" ref="CN8">MATCH(MAX(ABS(CN3:CN7)), ABS(CN3:CN7), 0)</f>
        <v>3</v>
      </c>
      <c r="CO8" s="19">
        <f t="array" ref="CO8">MATCH(MAX(ABS(CO3:CO7)), ABS(CO3:CO7), 0)</f>
        <v>3</v>
      </c>
      <c r="CP8" s="19">
        <f t="array" ref="CP8">MATCH(MAX(ABS(CP3:CP7)), ABS(CP3:CP7), 0)</f>
        <v>3</v>
      </c>
      <c r="CQ8" s="19">
        <f t="array" ref="CQ8">MATCH(MAX(ABS(CQ3:CQ7)), ABS(CQ3:CQ7), 0)</f>
        <v>4</v>
      </c>
      <c r="CR8" s="19">
        <f t="array" ref="CR8">MATCH(MAX(ABS(CR3:CR7)), ABS(CR3:CR7), 0)</f>
        <v>1</v>
      </c>
      <c r="CS8" s="19">
        <f t="array" ref="CS8">MATCH(MAX(ABS(CS3:CS7)), ABS(CS3:CS7), 0)</f>
        <v>1</v>
      </c>
      <c r="CT8" s="19">
        <f t="array" ref="CT8">MATCH(MAX(ABS(CT3:CT7)), ABS(CT3:CT7), 0)</f>
        <v>1</v>
      </c>
      <c r="CU8" s="19">
        <f t="array" ref="CU8">MATCH(MAX(ABS(CU3:CU7)), ABS(CU3:CU7), 0)</f>
        <v>1</v>
      </c>
      <c r="CV8" s="19">
        <f t="array" ref="CV8">MATCH(MAX(ABS(CV3:CV7)), ABS(CV3:CV7), 0)</f>
        <v>3</v>
      </c>
      <c r="CW8" s="19">
        <f t="array" ref="CW8">MATCH(MAX(ABS(CW3:CW7)), ABS(CW3:CW7), 0)</f>
        <v>1</v>
      </c>
      <c r="CX8" s="19">
        <f t="array" ref="CX8">MATCH(MAX(ABS(CX3:CX7)), ABS(CX3:CX7), 0)</f>
        <v>1</v>
      </c>
      <c r="CY8" s="19">
        <f t="array" ref="CY8">MATCH(MAX(ABS(CY3:CY7)), ABS(CY3:CY7), 0)</f>
        <v>3</v>
      </c>
      <c r="CZ8" s="19">
        <f t="array" ref="CZ8">MATCH(MAX(ABS(CZ3:CZ7)), ABS(CZ3:CZ7), 0)</f>
        <v>2</v>
      </c>
      <c r="DA8" s="19">
        <f t="array" ref="DA8">MATCH(MAX(ABS(DA3:DA7)), ABS(DA3:DA7), 0)</f>
        <v>3</v>
      </c>
      <c r="DB8" s="19">
        <f t="array" ref="DB8">MATCH(MAX(ABS(DB3:DB7)), ABS(DB3:DB7), 0)</f>
        <v>1</v>
      </c>
      <c r="DC8" s="19">
        <f t="array" ref="DC8">MATCH(MAX(ABS(DC3:DC7)), ABS(DC3:DC7), 0)</f>
        <v>3</v>
      </c>
      <c r="DD8" s="19">
        <f t="array" ref="DD8">MATCH(MAX(ABS(DD3:DD7)), ABS(DD3:DD7), 0)</f>
        <v>3</v>
      </c>
      <c r="DE8" s="19">
        <f t="array" ref="DE8">MATCH(MAX(ABS(DE3:DE7)), ABS(DE3:DE7), 0)</f>
        <v>3</v>
      </c>
      <c r="DF8" s="19">
        <f t="array" ref="DF8">MATCH(MAX(ABS(DF3:DF7)), ABS(DF3:DF7), 0)</f>
        <v>3</v>
      </c>
      <c r="DG8" s="19">
        <f t="array" ref="DG8">MATCH(MAX(ABS(DG3:DG7)), ABS(DG3:DG7), 0)</f>
        <v>3</v>
      </c>
      <c r="DH8" s="19">
        <f t="array" ref="DH8">MATCH(MAX(ABS(DH3:DH7)), ABS(DH3:DH7), 0)</f>
        <v>3</v>
      </c>
      <c r="DI8" s="19">
        <f t="array" ref="DI8">MATCH(MAX(ABS(DI3:DI7)), ABS(DI3:DI7), 0)</f>
        <v>2</v>
      </c>
      <c r="DJ8" s="19">
        <f t="array" ref="DJ8">MATCH(MAX(ABS(DJ3:DJ7)), ABS(DJ3:DJ7), 0)</f>
        <v>3</v>
      </c>
      <c r="DK8" s="19">
        <f t="array" ref="DK8">MATCH(MAX(ABS(DK3:DK7)), ABS(DK3:DK7), 0)</f>
        <v>3</v>
      </c>
      <c r="DL8" s="19">
        <f t="array" ref="DL8">MATCH(MAX(ABS(DL3:DL7)), ABS(DL3:DL7), 0)</f>
        <v>1</v>
      </c>
      <c r="DM8" s="19">
        <f t="array" ref="DM8">MATCH(MAX(ABS(DM3:DM7)), ABS(DM3:DM7), 0)</f>
        <v>1</v>
      </c>
      <c r="DN8" s="19">
        <f t="array" ref="DN8">MATCH(MAX(ABS(DN3:DN7)), ABS(DN3:DN7), 0)</f>
        <v>1</v>
      </c>
      <c r="DO8" s="19">
        <f t="array" ref="DO8">MATCH(MAX(ABS(DO3:DO7)), ABS(DO3:DO7), 0)</f>
        <v>4</v>
      </c>
      <c r="DP8" s="19">
        <f t="array" ref="DP8">MATCH(MAX(ABS(DP3:DP7)), ABS(DP3:DP7), 0)</f>
        <v>4</v>
      </c>
      <c r="DQ8" s="19">
        <f t="array" ref="DQ8">MATCH(MAX(ABS(DQ3:DQ7)), ABS(DQ3:DQ7), 0)</f>
        <v>4</v>
      </c>
      <c r="DR8" s="19">
        <f t="array" ref="DR8">MATCH(MAX(ABS(DR3:DR7)), ABS(DR3:DR7), 0)</f>
        <v>4</v>
      </c>
      <c r="DS8" s="19">
        <f t="array" ref="DS8">MATCH(MAX(ABS(DS3:DS7)), ABS(DS3:DS7), 0)</f>
        <v>4</v>
      </c>
      <c r="DT8" s="19">
        <f t="array" ref="DT8">MATCH(MAX(ABS(DT3:DT7)), ABS(DT3:DT7), 0)</f>
        <v>4</v>
      </c>
      <c r="DU8" s="19">
        <f t="array" ref="DU8">MATCH(MAX(ABS(DU3:DU7)), ABS(DU3:DU7), 0)</f>
        <v>4</v>
      </c>
      <c r="DV8" s="19">
        <f t="array" ref="DV8">MATCH(MAX(ABS(DV3:DV7)), ABS(DV3:DV7), 0)</f>
        <v>4</v>
      </c>
      <c r="DW8" s="19">
        <f t="array" ref="DW8">MATCH(MAX(ABS(DW3:DW7)), ABS(DW3:DW7), 0)</f>
        <v>4</v>
      </c>
      <c r="DX8" s="19">
        <f t="array" ref="DX8">MATCH(MAX(ABS(DX3:DX7)), ABS(DX3:DX7), 0)</f>
        <v>4</v>
      </c>
      <c r="DY8" s="19">
        <f t="array" ref="DY8">MATCH(MAX(ABS(DY3:DY7)), ABS(DY3:DY7), 0)</f>
        <v>4</v>
      </c>
      <c r="DZ8" s="19">
        <f t="array" ref="DZ8">MATCH(MAX(ABS(DZ3:DZ7)), ABS(DZ3:DZ7), 0)</f>
        <v>4</v>
      </c>
      <c r="EA8" s="19">
        <f t="array" ref="EA8">MATCH(MAX(ABS(EA3:EA7)), ABS(EA3:EA7), 0)</f>
        <v>4</v>
      </c>
      <c r="EB8" s="19">
        <f t="array" ref="EB8">MATCH(MAX(ABS(EB3:EB7)), ABS(EB3:EB7), 0)</f>
        <v>4</v>
      </c>
      <c r="EC8" s="19">
        <f t="array" ref="EC8">MATCH(MAX(ABS(EC3:EC7)), ABS(EC3:EC7), 0)</f>
        <v>4</v>
      </c>
      <c r="ED8" s="19">
        <f t="array" ref="ED8">MATCH(MAX(ABS(ED3:ED7)), ABS(ED3:ED7), 0)</f>
        <v>2</v>
      </c>
      <c r="EE8" s="19">
        <f t="array" ref="EE8">MATCH(MAX(ABS(EE3:EE7)), ABS(EE3:EE7), 0)</f>
        <v>3</v>
      </c>
      <c r="EF8" s="23">
        <v>2</v>
      </c>
    </row>
    <row r="9" spans="1:137" ht="16" customHeight="1">
      <c r="A9" s="5"/>
      <c r="B9" s="17"/>
      <c r="C9" s="19" t="str">
        <f t="shared" ref="C9:AH9" si="0">IF(C8=1,"mom1",
IF(C8=2,"mom12",
IF(C8=3,"chmom",
IF(C8=4,"retvol",
IF(C8=5,"maxret","")))))</f>
        <v>mom1</v>
      </c>
      <c r="D9" s="19" t="str">
        <f t="shared" si="0"/>
        <v>chmom</v>
      </c>
      <c r="E9" s="19" t="str">
        <f t="shared" si="0"/>
        <v>chmom</v>
      </c>
      <c r="F9" s="19" t="str">
        <f t="shared" si="0"/>
        <v>mom12</v>
      </c>
      <c r="G9" s="19" t="str">
        <f t="shared" si="0"/>
        <v>mom1</v>
      </c>
      <c r="H9" s="19" t="str">
        <f t="shared" si="0"/>
        <v>maxret</v>
      </c>
      <c r="I9" s="19" t="str">
        <f t="shared" si="0"/>
        <v>mom12</v>
      </c>
      <c r="J9" s="19" t="str">
        <f t="shared" si="0"/>
        <v>mom1</v>
      </c>
      <c r="K9" s="19" t="str">
        <f t="shared" si="0"/>
        <v>mom1</v>
      </c>
      <c r="L9" s="19" t="str">
        <f t="shared" si="0"/>
        <v>mom1</v>
      </c>
      <c r="M9" s="19" t="str">
        <f t="shared" si="0"/>
        <v>chmom</v>
      </c>
      <c r="N9" s="19" t="str">
        <f t="shared" si="0"/>
        <v>chmom</v>
      </c>
      <c r="O9" s="19" t="str">
        <f t="shared" si="0"/>
        <v>chmom</v>
      </c>
      <c r="P9" s="19" t="str">
        <f t="shared" si="0"/>
        <v>chmom</v>
      </c>
      <c r="Q9" s="19" t="str">
        <f t="shared" si="0"/>
        <v>mom1</v>
      </c>
      <c r="R9" s="19" t="str">
        <f t="shared" si="0"/>
        <v>chmom</v>
      </c>
      <c r="S9" s="19" t="str">
        <f t="shared" si="0"/>
        <v>maxret</v>
      </c>
      <c r="T9" s="19" t="str">
        <f t="shared" si="0"/>
        <v>maxret</v>
      </c>
      <c r="U9" s="19" t="str">
        <f t="shared" si="0"/>
        <v>maxret</v>
      </c>
      <c r="V9" s="19" t="str">
        <f t="shared" si="0"/>
        <v>mom12</v>
      </c>
      <c r="W9" s="19" t="str">
        <f t="shared" si="0"/>
        <v>mom12</v>
      </c>
      <c r="X9" s="19" t="str">
        <f t="shared" si="0"/>
        <v>mom1</v>
      </c>
      <c r="Y9" s="19" t="str">
        <f t="shared" si="0"/>
        <v>mom12</v>
      </c>
      <c r="Z9" s="19" t="str">
        <f t="shared" si="0"/>
        <v>mom12</v>
      </c>
      <c r="AA9" s="19" t="str">
        <f t="shared" si="0"/>
        <v>mom12</v>
      </c>
      <c r="AB9" s="19" t="str">
        <f t="shared" si="0"/>
        <v>chmom</v>
      </c>
      <c r="AC9" s="19" t="str">
        <f t="shared" si="0"/>
        <v>mom12</v>
      </c>
      <c r="AD9" s="19" t="str">
        <f t="shared" si="0"/>
        <v>mom12</v>
      </c>
      <c r="AE9" s="19" t="str">
        <f t="shared" si="0"/>
        <v>mom12</v>
      </c>
      <c r="AF9" s="19" t="str">
        <f t="shared" si="0"/>
        <v>mom12</v>
      </c>
      <c r="AG9" s="19" t="str">
        <f t="shared" si="0"/>
        <v>chmom</v>
      </c>
      <c r="AH9" s="19" t="str">
        <f t="shared" si="0"/>
        <v>retvol</v>
      </c>
      <c r="AI9" s="19" t="str">
        <f t="shared" ref="AI9:BN9" si="1">IF(AI8=1,"mom1",
IF(AI8=2,"mom12",
IF(AI8=3,"chmom",
IF(AI8=4,"retvol",
IF(AI8=5,"maxret","")))))</f>
        <v>mom12</v>
      </c>
      <c r="AJ9" s="19" t="str">
        <f t="shared" si="1"/>
        <v>chmom</v>
      </c>
      <c r="AK9" s="19" t="str">
        <f t="shared" si="1"/>
        <v>mom1</v>
      </c>
      <c r="AL9" s="19" t="str">
        <f t="shared" si="1"/>
        <v>mom1</v>
      </c>
      <c r="AM9" s="19" t="str">
        <f t="shared" si="1"/>
        <v>chmom</v>
      </c>
      <c r="AN9" s="19" t="str">
        <f t="shared" si="1"/>
        <v>mom1</v>
      </c>
      <c r="AO9" s="19" t="str">
        <f t="shared" si="1"/>
        <v>mom1</v>
      </c>
      <c r="AP9" s="19" t="str">
        <f t="shared" si="1"/>
        <v>mom1</v>
      </c>
      <c r="AQ9" s="19" t="str">
        <f t="shared" si="1"/>
        <v>mom1</v>
      </c>
      <c r="AR9" s="19" t="str">
        <f t="shared" si="1"/>
        <v>retvol</v>
      </c>
      <c r="AS9" s="19" t="str">
        <f t="shared" si="1"/>
        <v>mom1</v>
      </c>
      <c r="AT9" s="19" t="str">
        <f t="shared" si="1"/>
        <v>mom1</v>
      </c>
      <c r="AU9" s="19" t="str">
        <f t="shared" si="1"/>
        <v>mom1</v>
      </c>
      <c r="AV9" s="19" t="str">
        <f t="shared" si="1"/>
        <v>retvol</v>
      </c>
      <c r="AW9" s="19" t="str">
        <f t="shared" si="1"/>
        <v>maxret</v>
      </c>
      <c r="AX9" s="19" t="str">
        <f t="shared" si="1"/>
        <v>retvol</v>
      </c>
      <c r="AY9" s="19" t="str">
        <f t="shared" si="1"/>
        <v>mom1</v>
      </c>
      <c r="AZ9" s="19" t="str">
        <f t="shared" si="1"/>
        <v>maxret</v>
      </c>
      <c r="BA9" s="19" t="str">
        <f t="shared" si="1"/>
        <v>maxret</v>
      </c>
      <c r="BB9" s="19" t="str">
        <f t="shared" si="1"/>
        <v>mom1</v>
      </c>
      <c r="BC9" s="19" t="str">
        <f t="shared" si="1"/>
        <v>mom1</v>
      </c>
      <c r="BD9" s="19" t="str">
        <f t="shared" si="1"/>
        <v>retvol</v>
      </c>
      <c r="BE9" s="19" t="str">
        <f t="shared" si="1"/>
        <v>chmom</v>
      </c>
      <c r="BF9" s="19" t="str">
        <f t="shared" si="1"/>
        <v>mom1</v>
      </c>
      <c r="BG9" s="19" t="str">
        <f t="shared" si="1"/>
        <v>mom1</v>
      </c>
      <c r="BH9" s="19" t="str">
        <f t="shared" si="1"/>
        <v>chmom</v>
      </c>
      <c r="BI9" s="19" t="str">
        <f t="shared" si="1"/>
        <v>mom1</v>
      </c>
      <c r="BJ9" s="19" t="str">
        <f t="shared" si="1"/>
        <v>mom1</v>
      </c>
      <c r="BK9" s="19" t="str">
        <f t="shared" si="1"/>
        <v>mom1</v>
      </c>
      <c r="BL9" s="19" t="str">
        <f t="shared" si="1"/>
        <v>chmom</v>
      </c>
      <c r="BM9" s="19" t="str">
        <f t="shared" si="1"/>
        <v>chmom</v>
      </c>
      <c r="BN9" s="19" t="str">
        <f t="shared" si="1"/>
        <v>chmom</v>
      </c>
      <c r="BO9" s="19" t="str">
        <f t="shared" ref="BO9:CT9" si="2">IF(BO8=1,"mom1",
IF(BO8=2,"mom12",
IF(BO8=3,"chmom",
IF(BO8=4,"retvol",
IF(BO8=5,"maxret","")))))</f>
        <v>chmom</v>
      </c>
      <c r="BP9" s="19" t="str">
        <f t="shared" si="2"/>
        <v>chmom</v>
      </c>
      <c r="BQ9" s="19" t="str">
        <f t="shared" si="2"/>
        <v>chmom</v>
      </c>
      <c r="BR9" s="19" t="str">
        <f t="shared" si="2"/>
        <v>chmom</v>
      </c>
      <c r="BS9" s="19" t="str">
        <f t="shared" si="2"/>
        <v>mom1</v>
      </c>
      <c r="BT9" s="19" t="str">
        <f t="shared" si="2"/>
        <v>retvol</v>
      </c>
      <c r="BU9" s="19" t="str">
        <f t="shared" si="2"/>
        <v>retvol</v>
      </c>
      <c r="BV9" s="19" t="str">
        <f t="shared" si="2"/>
        <v>mom12</v>
      </c>
      <c r="BW9" s="19" t="str">
        <f t="shared" si="2"/>
        <v>chmom</v>
      </c>
      <c r="BX9" s="19" t="str">
        <f t="shared" si="2"/>
        <v>maxret</v>
      </c>
      <c r="BY9" s="19" t="str">
        <f t="shared" si="2"/>
        <v>mom1</v>
      </c>
      <c r="BZ9" s="19" t="str">
        <f t="shared" si="2"/>
        <v>retvol</v>
      </c>
      <c r="CA9" s="19" t="str">
        <f t="shared" si="2"/>
        <v>retvol</v>
      </c>
      <c r="CB9" s="19" t="str">
        <f t="shared" si="2"/>
        <v>retvol</v>
      </c>
      <c r="CC9" s="19" t="str">
        <f t="shared" si="2"/>
        <v>mom1</v>
      </c>
      <c r="CD9" s="19" t="str">
        <f t="shared" si="2"/>
        <v>retvol</v>
      </c>
      <c r="CE9" s="19" t="str">
        <f t="shared" si="2"/>
        <v>retvol</v>
      </c>
      <c r="CF9" s="19" t="str">
        <f t="shared" si="2"/>
        <v>mom1</v>
      </c>
      <c r="CG9" s="19" t="str">
        <f t="shared" si="2"/>
        <v>mom1</v>
      </c>
      <c r="CH9" s="19" t="str">
        <f t="shared" si="2"/>
        <v>mom1</v>
      </c>
      <c r="CI9" s="19" t="str">
        <f t="shared" si="2"/>
        <v>mom1</v>
      </c>
      <c r="CJ9" s="19" t="str">
        <f t="shared" si="2"/>
        <v>retvol</v>
      </c>
      <c r="CK9" s="19" t="str">
        <f t="shared" si="2"/>
        <v>mom1</v>
      </c>
      <c r="CL9" s="19" t="str">
        <f t="shared" si="2"/>
        <v>chmom</v>
      </c>
      <c r="CM9" s="19" t="str">
        <f t="shared" si="2"/>
        <v>retvol</v>
      </c>
      <c r="CN9" s="19" t="str">
        <f t="shared" si="2"/>
        <v>chmom</v>
      </c>
      <c r="CO9" s="19" t="str">
        <f t="shared" si="2"/>
        <v>chmom</v>
      </c>
      <c r="CP9" s="19" t="str">
        <f t="shared" si="2"/>
        <v>chmom</v>
      </c>
      <c r="CQ9" s="19" t="str">
        <f t="shared" si="2"/>
        <v>retvol</v>
      </c>
      <c r="CR9" s="19" t="str">
        <f t="shared" si="2"/>
        <v>mom1</v>
      </c>
      <c r="CS9" s="19" t="str">
        <f t="shared" si="2"/>
        <v>mom1</v>
      </c>
      <c r="CT9" s="19" t="str">
        <f t="shared" si="2"/>
        <v>mom1</v>
      </c>
      <c r="CU9" s="19" t="str">
        <f t="shared" ref="CU9:DZ9" si="3">IF(CU8=1,"mom1",
IF(CU8=2,"mom12",
IF(CU8=3,"chmom",
IF(CU8=4,"retvol",
IF(CU8=5,"maxret","")))))</f>
        <v>mom1</v>
      </c>
      <c r="CV9" s="19" t="str">
        <f t="shared" si="3"/>
        <v>chmom</v>
      </c>
      <c r="CW9" s="19" t="str">
        <f t="shared" si="3"/>
        <v>mom1</v>
      </c>
      <c r="CX9" s="19" t="str">
        <f t="shared" si="3"/>
        <v>mom1</v>
      </c>
      <c r="CY9" s="19" t="str">
        <f t="shared" si="3"/>
        <v>chmom</v>
      </c>
      <c r="CZ9" s="19" t="str">
        <f t="shared" si="3"/>
        <v>mom12</v>
      </c>
      <c r="DA9" s="19" t="str">
        <f t="shared" si="3"/>
        <v>chmom</v>
      </c>
      <c r="DB9" s="19" t="str">
        <f t="shared" si="3"/>
        <v>mom1</v>
      </c>
      <c r="DC9" s="19" t="str">
        <f t="shared" si="3"/>
        <v>chmom</v>
      </c>
      <c r="DD9" s="19" t="str">
        <f t="shared" si="3"/>
        <v>chmom</v>
      </c>
      <c r="DE9" s="19" t="str">
        <f t="shared" si="3"/>
        <v>chmom</v>
      </c>
      <c r="DF9" s="19" t="str">
        <f t="shared" si="3"/>
        <v>chmom</v>
      </c>
      <c r="DG9" s="19" t="str">
        <f t="shared" si="3"/>
        <v>chmom</v>
      </c>
      <c r="DH9" s="19" t="str">
        <f t="shared" si="3"/>
        <v>chmom</v>
      </c>
      <c r="DI9" s="19" t="str">
        <f t="shared" si="3"/>
        <v>mom12</v>
      </c>
      <c r="DJ9" s="19" t="str">
        <f t="shared" si="3"/>
        <v>chmom</v>
      </c>
      <c r="DK9" s="19" t="str">
        <f t="shared" si="3"/>
        <v>chmom</v>
      </c>
      <c r="DL9" s="19" t="str">
        <f t="shared" si="3"/>
        <v>mom1</v>
      </c>
      <c r="DM9" s="19" t="str">
        <f t="shared" si="3"/>
        <v>mom1</v>
      </c>
      <c r="DN9" s="19" t="str">
        <f t="shared" si="3"/>
        <v>mom1</v>
      </c>
      <c r="DO9" s="19" t="str">
        <f t="shared" si="3"/>
        <v>retvol</v>
      </c>
      <c r="DP9" s="19" t="str">
        <f t="shared" si="3"/>
        <v>retvol</v>
      </c>
      <c r="DQ9" s="19" t="str">
        <f t="shared" si="3"/>
        <v>retvol</v>
      </c>
      <c r="DR9" s="19" t="str">
        <f t="shared" si="3"/>
        <v>retvol</v>
      </c>
      <c r="DS9" s="19" t="str">
        <f t="shared" si="3"/>
        <v>retvol</v>
      </c>
      <c r="DT9" s="19" t="str">
        <f t="shared" si="3"/>
        <v>retvol</v>
      </c>
      <c r="DU9" s="19" t="str">
        <f t="shared" si="3"/>
        <v>retvol</v>
      </c>
      <c r="DV9" s="19" t="str">
        <f t="shared" si="3"/>
        <v>retvol</v>
      </c>
      <c r="DW9" s="19" t="str">
        <f t="shared" si="3"/>
        <v>retvol</v>
      </c>
      <c r="DX9" s="19" t="str">
        <f t="shared" si="3"/>
        <v>retvol</v>
      </c>
      <c r="DY9" s="19" t="str">
        <f t="shared" si="3"/>
        <v>retvol</v>
      </c>
      <c r="DZ9" s="19" t="str">
        <f t="shared" si="3"/>
        <v>retvol</v>
      </c>
      <c r="EA9" s="19" t="str">
        <f t="shared" ref="EA9:EF9" si="4">IF(EA8=1,"mom1",
IF(EA8=2,"mom12",
IF(EA8=3,"chmom",
IF(EA8=4,"retvol",
IF(EA8=5,"maxret","")))))</f>
        <v>retvol</v>
      </c>
      <c r="EB9" s="19" t="str">
        <f t="shared" si="4"/>
        <v>retvol</v>
      </c>
      <c r="EC9" s="19" t="str">
        <f t="shared" si="4"/>
        <v>retvol</v>
      </c>
      <c r="ED9" s="19" t="str">
        <f t="shared" si="4"/>
        <v>mom12</v>
      </c>
      <c r="EE9" s="19" t="str">
        <f t="shared" si="4"/>
        <v>chmom</v>
      </c>
      <c r="EF9" s="19" t="str">
        <f t="shared" si="4"/>
        <v>mom12</v>
      </c>
    </row>
    <row r="10" spans="1:137" ht="16" customHeight="1">
      <c r="A10" s="5"/>
      <c r="B10" s="17"/>
      <c r="C10" s="19">
        <f t="shared" ref="C10:AH10" si="5">IF(C8=1,C3,IF(C8=2,C4,IF(C8=3,C5,IF(C8=4,C6,IF(C8=5,C7)))))</f>
        <v>-8.429603670598744E-2</v>
      </c>
      <c r="D10" s="19">
        <f t="shared" si="5"/>
        <v>-8.0379556774421962E-2</v>
      </c>
      <c r="E10" s="19">
        <f t="shared" si="5"/>
        <v>-7.7795221627793218E-2</v>
      </c>
      <c r="F10" s="19">
        <f t="shared" si="5"/>
        <v>3.42562610572201E-2</v>
      </c>
      <c r="G10" s="19">
        <f t="shared" si="5"/>
        <v>-0.12759725107710429</v>
      </c>
      <c r="H10" s="19">
        <f t="shared" si="5"/>
        <v>-3.4708549258569137E-2</v>
      </c>
      <c r="I10" s="19">
        <f t="shared" si="5"/>
        <v>6.969222696993109E-2</v>
      </c>
      <c r="J10" s="19">
        <f t="shared" si="5"/>
        <v>-3.7695709693859387E-2</v>
      </c>
      <c r="K10" s="19">
        <f t="shared" si="5"/>
        <v>-9.4919956827117749E-2</v>
      </c>
      <c r="L10" s="19">
        <f t="shared" si="5"/>
        <v>-5.8099280150866649E-2</v>
      </c>
      <c r="M10" s="19">
        <f t="shared" si="5"/>
        <v>4.9079599134880449E-2</v>
      </c>
      <c r="N10" s="19">
        <f t="shared" si="5"/>
        <v>-5.2030404022897603E-2</v>
      </c>
      <c r="O10" s="19">
        <f t="shared" si="5"/>
        <v>-4.4621880970520687E-2</v>
      </c>
      <c r="P10" s="19">
        <f t="shared" si="5"/>
        <v>-4.4150300026948808E-2</v>
      </c>
      <c r="Q10" s="19">
        <f t="shared" si="5"/>
        <v>-4.6633805887103363E-2</v>
      </c>
      <c r="R10" s="19">
        <f t="shared" si="5"/>
        <v>-6.0858785202456633E-2</v>
      </c>
      <c r="S10" s="19">
        <f t="shared" si="5"/>
        <v>3.1586313437792307E-2</v>
      </c>
      <c r="T10" s="19">
        <f t="shared" si="5"/>
        <v>4.6423106526677818E-2</v>
      </c>
      <c r="U10" s="19">
        <f t="shared" si="5"/>
        <v>4.5126890420718303E-2</v>
      </c>
      <c r="V10" s="19">
        <f t="shared" si="5"/>
        <v>6.8762140092548135E-2</v>
      </c>
      <c r="W10" s="19">
        <f t="shared" si="5"/>
        <v>7.6546931193163054E-2</v>
      </c>
      <c r="X10" s="19">
        <f t="shared" si="5"/>
        <v>-8.6751883318852613E-2</v>
      </c>
      <c r="Y10" s="19">
        <f t="shared" si="5"/>
        <v>7.9660159694748586E-2</v>
      </c>
      <c r="Z10" s="19">
        <f t="shared" si="5"/>
        <v>8.5053837994098935E-2</v>
      </c>
      <c r="AA10" s="19">
        <f t="shared" si="5"/>
        <v>9.1527941671766491E-2</v>
      </c>
      <c r="AB10" s="19">
        <f t="shared" si="5"/>
        <v>-5.5678241139305418E-2</v>
      </c>
      <c r="AC10" s="19">
        <f t="shared" si="5"/>
        <v>8.5711746226351082E-2</v>
      </c>
      <c r="AD10" s="19">
        <f t="shared" si="5"/>
        <v>7.1048821703633552E-2</v>
      </c>
      <c r="AE10" s="19">
        <f t="shared" si="5"/>
        <v>0.10226171691635939</v>
      </c>
      <c r="AF10" s="19">
        <f t="shared" si="5"/>
        <v>6.9767585915637614E-2</v>
      </c>
      <c r="AG10" s="19">
        <f t="shared" si="5"/>
        <v>-5.5209955766540961E-2</v>
      </c>
      <c r="AH10" s="19">
        <f t="shared" si="5"/>
        <v>7.5437547748470071E-2</v>
      </c>
      <c r="AI10" s="19">
        <f t="shared" ref="AI10:BN10" si="6">IF(AI8=1,AI3,IF(AI8=2,AI4,IF(AI8=3,AI5,IF(AI8=4,AI6,IF(AI8=5,AI7)))))</f>
        <v>7.9171443804792505E-2</v>
      </c>
      <c r="AJ10" s="19">
        <f t="shared" si="6"/>
        <v>-4.7042932884567873E-2</v>
      </c>
      <c r="AK10" s="19">
        <f t="shared" si="6"/>
        <v>-3.4839296562989612E-2</v>
      </c>
      <c r="AL10" s="19">
        <f t="shared" si="6"/>
        <v>-8.603256023268871E-2</v>
      </c>
      <c r="AM10" s="19">
        <f t="shared" si="6"/>
        <v>-3.41917036382237E-2</v>
      </c>
      <c r="AN10" s="19">
        <f t="shared" si="6"/>
        <v>-3.8234996216167251E-2</v>
      </c>
      <c r="AO10" s="19">
        <f t="shared" si="6"/>
        <v>-5.3682827418385197E-2</v>
      </c>
      <c r="AP10" s="19">
        <f t="shared" si="6"/>
        <v>-5.1607565085224127E-2</v>
      </c>
      <c r="AQ10" s="19">
        <f t="shared" si="6"/>
        <v>-0.1057668660704561</v>
      </c>
      <c r="AR10" s="19">
        <f t="shared" si="6"/>
        <v>2.1523283527663431E-2</v>
      </c>
      <c r="AS10" s="19">
        <f t="shared" si="6"/>
        <v>-7.0025961534977421E-2</v>
      </c>
      <c r="AT10" s="19">
        <f t="shared" si="6"/>
        <v>-2.5652004068212889E-2</v>
      </c>
      <c r="AU10" s="19">
        <f t="shared" si="6"/>
        <v>-3.2847243481502177E-2</v>
      </c>
      <c r="AV10" s="19">
        <f t="shared" si="6"/>
        <v>2.392446634226629E-2</v>
      </c>
      <c r="AW10" s="19">
        <f t="shared" si="6"/>
        <v>2.5959517748677791E-2</v>
      </c>
      <c r="AX10" s="19">
        <f t="shared" si="6"/>
        <v>2.7608811437208201E-2</v>
      </c>
      <c r="AY10" s="19">
        <f t="shared" si="6"/>
        <v>-2.9055730389324231E-2</v>
      </c>
      <c r="AZ10" s="19">
        <f t="shared" si="6"/>
        <v>3.9109089557056873E-2</v>
      </c>
      <c r="BA10" s="19">
        <f t="shared" si="6"/>
        <v>5.0277285509633403E-2</v>
      </c>
      <c r="BB10" s="19">
        <f t="shared" si="6"/>
        <v>-5.2320473774724742E-2</v>
      </c>
      <c r="BC10" s="19">
        <f t="shared" si="6"/>
        <v>5.0930864916999351E-2</v>
      </c>
      <c r="BD10" s="19">
        <f t="shared" si="6"/>
        <v>2.8976140089225309E-2</v>
      </c>
      <c r="BE10" s="19">
        <f t="shared" si="6"/>
        <v>-2.0364467545819259E-2</v>
      </c>
      <c r="BF10" s="19">
        <f t="shared" si="6"/>
        <v>6.8709222035228557E-2</v>
      </c>
      <c r="BG10" s="19">
        <f t="shared" si="6"/>
        <v>-5.0917387340051128E-2</v>
      </c>
      <c r="BH10" s="19">
        <f t="shared" si="6"/>
        <v>-1.706880048060486E-2</v>
      </c>
      <c r="BI10" s="19">
        <f t="shared" si="6"/>
        <v>0.1016303390984352</v>
      </c>
      <c r="BJ10" s="19">
        <f t="shared" si="6"/>
        <v>6.7263981434539488E-2</v>
      </c>
      <c r="BK10" s="19">
        <f t="shared" si="6"/>
        <v>5.0972985229607859E-2</v>
      </c>
      <c r="BL10" s="19">
        <f t="shared" si="6"/>
        <v>-4.6513129667255848E-2</v>
      </c>
      <c r="BM10" s="19">
        <f t="shared" si="6"/>
        <v>-6.5427689159544264E-2</v>
      </c>
      <c r="BN10" s="19">
        <f t="shared" si="6"/>
        <v>-2.834007893995057E-2</v>
      </c>
      <c r="BO10" s="19">
        <f t="shared" ref="BO10:CT10" si="7">IF(BO8=1,BO3,IF(BO8=2,BO4,IF(BO8=3,BO5,IF(BO8=4,BO6,IF(BO8=5,BO7)))))</f>
        <v>-6.8067015354060192E-2</v>
      </c>
      <c r="BP10" s="19">
        <f t="shared" si="7"/>
        <v>-5.7393520983543833E-2</v>
      </c>
      <c r="BQ10" s="19">
        <f t="shared" si="7"/>
        <v>-3.6663021358398287E-2</v>
      </c>
      <c r="BR10" s="19">
        <f t="shared" si="7"/>
        <v>-3.1607123737363962E-2</v>
      </c>
      <c r="BS10" s="19">
        <f t="shared" si="7"/>
        <v>-2.0949280526751889E-2</v>
      </c>
      <c r="BT10" s="19">
        <f t="shared" si="7"/>
        <v>2.7689998067733809E-2</v>
      </c>
      <c r="BU10" s="19">
        <f t="shared" si="7"/>
        <v>3.7176813136260332E-2</v>
      </c>
      <c r="BV10" s="19">
        <f t="shared" si="7"/>
        <v>-2.3398357392429459E-2</v>
      </c>
      <c r="BW10" s="19">
        <f t="shared" si="7"/>
        <v>-3.074963920285477E-2</v>
      </c>
      <c r="BX10" s="19">
        <f t="shared" si="7"/>
        <v>2.7921778864699799E-2</v>
      </c>
      <c r="BY10" s="19">
        <f t="shared" si="7"/>
        <v>-4.3971774630502627E-2</v>
      </c>
      <c r="BZ10" s="19">
        <f t="shared" si="7"/>
        <v>3.3974648984394562E-2</v>
      </c>
      <c r="CA10" s="19">
        <f t="shared" si="7"/>
        <v>3.9509159659096647E-2</v>
      </c>
      <c r="CB10" s="19">
        <f t="shared" si="7"/>
        <v>8.3908379926236426E-2</v>
      </c>
      <c r="CC10" s="19">
        <f t="shared" si="7"/>
        <v>-3.1392559724719271E-2</v>
      </c>
      <c r="CD10" s="19">
        <f t="shared" si="7"/>
        <v>2.4055734838958669E-2</v>
      </c>
      <c r="CE10" s="19">
        <f t="shared" si="7"/>
        <v>2.3266114819983839E-2</v>
      </c>
      <c r="CF10" s="19">
        <f t="shared" si="7"/>
        <v>-5.1309418295801351E-2</v>
      </c>
      <c r="CG10" s="19">
        <f t="shared" si="7"/>
        <v>-5.0579962983245443E-2</v>
      </c>
      <c r="CH10" s="19">
        <f t="shared" si="7"/>
        <v>-4.5668992771231993E-2</v>
      </c>
      <c r="CI10" s="19">
        <f t="shared" si="7"/>
        <v>-4.1886812377985562E-2</v>
      </c>
      <c r="CJ10" s="19">
        <f t="shared" si="7"/>
        <v>9.4079956580735966E-2</v>
      </c>
      <c r="CK10" s="19">
        <f t="shared" si="7"/>
        <v>-5.6820905314016637E-2</v>
      </c>
      <c r="CL10" s="19">
        <f t="shared" si="7"/>
        <v>-3.4307648892497142E-2</v>
      </c>
      <c r="CM10" s="19">
        <f t="shared" si="7"/>
        <v>3.5010445306269712E-2</v>
      </c>
      <c r="CN10" s="19">
        <f t="shared" si="7"/>
        <v>-5.2400767642859933E-2</v>
      </c>
      <c r="CO10" s="19">
        <f t="shared" si="7"/>
        <v>-4.2581801615140788E-2</v>
      </c>
      <c r="CP10" s="19">
        <f t="shared" si="7"/>
        <v>-4.655686839208896E-2</v>
      </c>
      <c r="CQ10" s="19">
        <f t="shared" si="7"/>
        <v>2.3250527277598531E-2</v>
      </c>
      <c r="CR10" s="19">
        <f t="shared" si="7"/>
        <v>-2.206234995081641E-2</v>
      </c>
      <c r="CS10" s="19">
        <f t="shared" si="7"/>
        <v>4.6777663787930822E-2</v>
      </c>
      <c r="CT10" s="19">
        <f t="shared" si="7"/>
        <v>-7.035607214404746E-2</v>
      </c>
      <c r="CU10" s="19">
        <f t="shared" ref="CU10:DZ10" si="8">IF(CU8=1,CU3,IF(CU8=2,CU4,IF(CU8=3,CU5,IF(CU8=4,CU6,IF(CU8=5,CU7)))))</f>
        <v>-5.259209843406671E-2</v>
      </c>
      <c r="CV10" s="19">
        <f t="shared" si="8"/>
        <v>-2.2976062921494639E-2</v>
      </c>
      <c r="CW10" s="19">
        <f t="shared" si="8"/>
        <v>-2.863497085763619E-2</v>
      </c>
      <c r="CX10" s="19">
        <f t="shared" si="8"/>
        <v>-2.0095475714382902E-2</v>
      </c>
      <c r="CY10" s="19">
        <f t="shared" si="8"/>
        <v>-2.0845782084474889E-2</v>
      </c>
      <c r="CZ10" s="19">
        <f t="shared" si="8"/>
        <v>4.5647167486379051E-2</v>
      </c>
      <c r="DA10" s="19">
        <f t="shared" si="8"/>
        <v>-2.9502398659883081E-2</v>
      </c>
      <c r="DB10" s="19">
        <f t="shared" si="8"/>
        <v>-3.4742487142407331E-2</v>
      </c>
      <c r="DC10" s="19">
        <f t="shared" si="8"/>
        <v>-7.4919916539323672E-2</v>
      </c>
      <c r="DD10" s="19">
        <f t="shared" si="8"/>
        <v>-5.8916671088211109E-2</v>
      </c>
      <c r="DE10" s="19">
        <f t="shared" si="8"/>
        <v>-5.7093108023774951E-2</v>
      </c>
      <c r="DF10" s="19">
        <f t="shared" si="8"/>
        <v>-5.3718019048533842E-2</v>
      </c>
      <c r="DG10" s="19">
        <f t="shared" si="8"/>
        <v>-5.8042033624051137E-2</v>
      </c>
      <c r="DH10" s="19">
        <f t="shared" si="8"/>
        <v>-4.5676488721785653E-2</v>
      </c>
      <c r="DI10" s="19">
        <f t="shared" si="8"/>
        <v>2.3233119436897182E-2</v>
      </c>
      <c r="DJ10" s="19">
        <f t="shared" si="8"/>
        <v>-3.3235286664000122E-2</v>
      </c>
      <c r="DK10" s="19">
        <f t="shared" si="8"/>
        <v>-1.8187098604843469E-2</v>
      </c>
      <c r="DL10" s="19">
        <f t="shared" si="8"/>
        <v>-2.019265102715739E-2</v>
      </c>
      <c r="DM10" s="19">
        <f t="shared" si="8"/>
        <v>-3.8524101566572509E-2</v>
      </c>
      <c r="DN10" s="19">
        <f t="shared" si="8"/>
        <v>-3.6688151255884253E-2</v>
      </c>
      <c r="DO10" s="19">
        <f t="shared" si="8"/>
        <v>8.699709629232355E-2</v>
      </c>
      <c r="DP10" s="19">
        <f t="shared" si="8"/>
        <v>9.2320821514673163E-2</v>
      </c>
      <c r="DQ10" s="19">
        <f t="shared" si="8"/>
        <v>9.1081724304045278E-2</v>
      </c>
      <c r="DR10" s="19">
        <f t="shared" si="8"/>
        <v>8.6032132250165649E-2</v>
      </c>
      <c r="DS10" s="19">
        <f t="shared" si="8"/>
        <v>8.5301283791686805E-2</v>
      </c>
      <c r="DT10" s="19">
        <f t="shared" si="8"/>
        <v>0.1041565042492031</v>
      </c>
      <c r="DU10" s="19">
        <f t="shared" si="8"/>
        <v>0.11147644696708429</v>
      </c>
      <c r="DV10" s="19">
        <f t="shared" si="8"/>
        <v>0.11222522581554389</v>
      </c>
      <c r="DW10" s="19">
        <f t="shared" si="8"/>
        <v>0.1138274309818893</v>
      </c>
      <c r="DX10" s="19">
        <f t="shared" si="8"/>
        <v>0.1196025912506227</v>
      </c>
      <c r="DY10" s="19">
        <f t="shared" si="8"/>
        <v>0.1252888485306749</v>
      </c>
      <c r="DZ10" s="19">
        <f t="shared" si="8"/>
        <v>0.1263966268246263</v>
      </c>
      <c r="EA10" s="19">
        <f t="shared" ref="EA10:EF10" si="9">IF(EA8=1,EA3,IF(EA8=2,EA4,IF(EA8=3,EA5,IF(EA8=4,EA6,IF(EA8=5,EA7)))))</f>
        <v>0.12674932582331719</v>
      </c>
      <c r="EB10" s="19">
        <f t="shared" si="9"/>
        <v>0.13046922426681409</v>
      </c>
      <c r="EC10" s="19">
        <f t="shared" si="9"/>
        <v>0.13362177999338981</v>
      </c>
      <c r="ED10" s="19">
        <f t="shared" si="9"/>
        <v>2.4269624682826271E-2</v>
      </c>
      <c r="EE10" s="19">
        <f t="shared" si="9"/>
        <v>-9.9851965650295429E-2</v>
      </c>
      <c r="EF10" s="19">
        <f t="shared" si="9"/>
        <v>3.3338078598236107E-2</v>
      </c>
    </row>
    <row r="12" spans="1:137" ht="16" customHeight="1">
      <c r="A12" s="54" t="s">
        <v>142</v>
      </c>
      <c r="B12" s="55"/>
      <c r="C12" s="10" t="s">
        <v>143</v>
      </c>
      <c r="D12" s="10">
        <v>964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37" ht="18" customHeight="1">
      <c r="A13" s="7" t="s">
        <v>144</v>
      </c>
      <c r="B13" s="8" t="s">
        <v>145</v>
      </c>
      <c r="C13" s="14" t="s">
        <v>3</v>
      </c>
      <c r="D13" s="14" t="s">
        <v>4</v>
      </c>
      <c r="E13" s="14" t="s">
        <v>5</v>
      </c>
      <c r="F13" s="14" t="s">
        <v>6</v>
      </c>
      <c r="G13" s="14" t="s">
        <v>7</v>
      </c>
      <c r="H13" s="14" t="s">
        <v>8</v>
      </c>
      <c r="I13" s="14" t="s">
        <v>9</v>
      </c>
      <c r="J13" s="14" t="s">
        <v>10</v>
      </c>
      <c r="K13" s="14" t="s">
        <v>11</v>
      </c>
      <c r="L13" s="14" t="s">
        <v>12</v>
      </c>
      <c r="M13" s="14" t="s">
        <v>13</v>
      </c>
      <c r="N13" s="14" t="s">
        <v>14</v>
      </c>
      <c r="O13" s="14" t="s">
        <v>15</v>
      </c>
      <c r="P13" s="14" t="s">
        <v>16</v>
      </c>
      <c r="Q13" s="14" t="s">
        <v>17</v>
      </c>
      <c r="R13" s="14" t="s">
        <v>18</v>
      </c>
      <c r="S13" s="14" t="s">
        <v>19</v>
      </c>
      <c r="T13" s="14" t="s">
        <v>20</v>
      </c>
      <c r="U13" s="14" t="s">
        <v>21</v>
      </c>
      <c r="V13" s="14" t="s">
        <v>22</v>
      </c>
      <c r="W13" s="14" t="s">
        <v>23</v>
      </c>
      <c r="X13" s="14" t="s">
        <v>24</v>
      </c>
      <c r="Y13" s="14" t="s">
        <v>25</v>
      </c>
      <c r="Z13" s="14" t="s">
        <v>26</v>
      </c>
      <c r="AA13" s="14" t="s">
        <v>27</v>
      </c>
      <c r="AB13" s="14" t="s">
        <v>28</v>
      </c>
      <c r="AC13" s="14" t="s">
        <v>29</v>
      </c>
      <c r="AD13" s="14" t="s">
        <v>30</v>
      </c>
      <c r="AE13" s="14" t="s">
        <v>31</v>
      </c>
      <c r="AF13" s="14" t="s">
        <v>32</v>
      </c>
      <c r="AG13" s="14" t="s">
        <v>33</v>
      </c>
      <c r="AH13" s="14" t="s">
        <v>34</v>
      </c>
      <c r="AI13" s="14" t="s">
        <v>35</v>
      </c>
      <c r="AJ13" s="14" t="s">
        <v>36</v>
      </c>
      <c r="AK13" s="14" t="s">
        <v>37</v>
      </c>
      <c r="AL13" s="14" t="s">
        <v>38</v>
      </c>
      <c r="AM13" s="14" t="s">
        <v>39</v>
      </c>
      <c r="AN13" s="14" t="s">
        <v>40</v>
      </c>
      <c r="AO13" s="14" t="s">
        <v>41</v>
      </c>
      <c r="AP13" s="14" t="s">
        <v>42</v>
      </c>
      <c r="AQ13" s="14" t="s">
        <v>43</v>
      </c>
      <c r="AR13" s="14" t="s">
        <v>44</v>
      </c>
      <c r="AS13" s="14" t="s">
        <v>45</v>
      </c>
      <c r="AT13" s="14" t="s">
        <v>46</v>
      </c>
      <c r="AU13" s="14" t="s">
        <v>47</v>
      </c>
      <c r="AV13" s="14" t="s">
        <v>48</v>
      </c>
      <c r="AW13" s="14" t="s">
        <v>49</v>
      </c>
      <c r="AX13" s="14" t="s">
        <v>50</v>
      </c>
      <c r="AY13" s="14" t="s">
        <v>51</v>
      </c>
      <c r="AZ13" s="14" t="s">
        <v>52</v>
      </c>
      <c r="BA13" s="14" t="s">
        <v>53</v>
      </c>
      <c r="BB13" s="14" t="s">
        <v>54</v>
      </c>
      <c r="BC13" s="14" t="s">
        <v>55</v>
      </c>
      <c r="BD13" s="14" t="s">
        <v>56</v>
      </c>
      <c r="BE13" s="14" t="s">
        <v>57</v>
      </c>
      <c r="BF13" s="14" t="s">
        <v>58</v>
      </c>
      <c r="BG13" s="14" t="s">
        <v>59</v>
      </c>
      <c r="BH13" s="14" t="s">
        <v>60</v>
      </c>
      <c r="BI13" s="14" t="s">
        <v>61</v>
      </c>
      <c r="BJ13" s="14" t="s">
        <v>62</v>
      </c>
      <c r="BK13" s="14" t="s">
        <v>63</v>
      </c>
      <c r="BL13" s="14" t="s">
        <v>64</v>
      </c>
      <c r="BM13" s="14" t="s">
        <v>65</v>
      </c>
      <c r="BN13" s="14" t="s">
        <v>66</v>
      </c>
      <c r="BO13" s="14" t="s">
        <v>67</v>
      </c>
      <c r="BP13" s="14" t="s">
        <v>68</v>
      </c>
      <c r="BQ13" s="14" t="s">
        <v>69</v>
      </c>
      <c r="BR13" s="14" t="s">
        <v>70</v>
      </c>
      <c r="BS13" s="14" t="s">
        <v>71</v>
      </c>
      <c r="BT13" s="14" t="s">
        <v>72</v>
      </c>
      <c r="BU13" s="14" t="s">
        <v>73</v>
      </c>
      <c r="BV13" s="14" t="s">
        <v>74</v>
      </c>
      <c r="BW13" s="14" t="s">
        <v>75</v>
      </c>
      <c r="BX13" s="14" t="s">
        <v>76</v>
      </c>
      <c r="BY13" s="14" t="s">
        <v>77</v>
      </c>
      <c r="BZ13" s="14" t="s">
        <v>78</v>
      </c>
      <c r="CA13" s="14" t="s">
        <v>79</v>
      </c>
      <c r="CB13" s="14" t="s">
        <v>80</v>
      </c>
      <c r="CC13" s="14" t="s">
        <v>81</v>
      </c>
      <c r="CD13" s="14" t="s">
        <v>82</v>
      </c>
      <c r="CE13" s="14" t="s">
        <v>83</v>
      </c>
      <c r="CF13" s="14" t="s">
        <v>84</v>
      </c>
      <c r="CG13" s="14" t="s">
        <v>85</v>
      </c>
      <c r="CH13" s="14" t="s">
        <v>86</v>
      </c>
      <c r="CI13" s="14" t="s">
        <v>87</v>
      </c>
      <c r="CJ13" s="14" t="s">
        <v>88</v>
      </c>
      <c r="CK13" s="14" t="s">
        <v>89</v>
      </c>
      <c r="CL13" s="14" t="s">
        <v>90</v>
      </c>
      <c r="CM13" s="14" t="s">
        <v>91</v>
      </c>
      <c r="CN13" s="14" t="s">
        <v>92</v>
      </c>
      <c r="CO13" s="14" t="s">
        <v>93</v>
      </c>
      <c r="CP13" s="14" t="s">
        <v>94</v>
      </c>
      <c r="CQ13" s="14" t="s">
        <v>95</v>
      </c>
      <c r="CR13" s="14" t="s">
        <v>96</v>
      </c>
      <c r="CS13" s="14" t="s">
        <v>97</v>
      </c>
      <c r="CT13" s="14" t="s">
        <v>98</v>
      </c>
      <c r="CU13" s="14" t="s">
        <v>99</v>
      </c>
      <c r="CV13" s="14" t="s">
        <v>100</v>
      </c>
      <c r="CW13" s="14" t="s">
        <v>101</v>
      </c>
      <c r="CX13" s="14" t="s">
        <v>102</v>
      </c>
      <c r="CY13" s="14" t="s">
        <v>103</v>
      </c>
      <c r="CZ13" s="14" t="s">
        <v>104</v>
      </c>
      <c r="DA13" s="14" t="s">
        <v>105</v>
      </c>
      <c r="DB13" s="14" t="s">
        <v>106</v>
      </c>
      <c r="DC13" s="14" t="s">
        <v>107</v>
      </c>
      <c r="DD13" s="14" t="s">
        <v>108</v>
      </c>
      <c r="DE13" s="14" t="s">
        <v>109</v>
      </c>
      <c r="DF13" s="14" t="s">
        <v>110</v>
      </c>
      <c r="DG13" s="14" t="s">
        <v>111</v>
      </c>
      <c r="DH13" s="14" t="s">
        <v>112</v>
      </c>
      <c r="DI13" s="14" t="s">
        <v>113</v>
      </c>
      <c r="DJ13" s="14" t="s">
        <v>114</v>
      </c>
      <c r="DK13" s="14" t="s">
        <v>115</v>
      </c>
      <c r="DL13" s="14" t="s">
        <v>116</v>
      </c>
      <c r="DM13" s="14" t="s">
        <v>117</v>
      </c>
      <c r="DN13" s="14" t="s">
        <v>118</v>
      </c>
      <c r="DO13" s="14" t="s">
        <v>119</v>
      </c>
      <c r="DP13" s="14" t="s">
        <v>120</v>
      </c>
      <c r="DQ13" s="14" t="s">
        <v>121</v>
      </c>
      <c r="DR13" s="14" t="s">
        <v>122</v>
      </c>
      <c r="DS13" s="14" t="s">
        <v>123</v>
      </c>
      <c r="DT13" s="14" t="s">
        <v>124</v>
      </c>
      <c r="DU13" s="14" t="s">
        <v>125</v>
      </c>
      <c r="DV13" s="14" t="s">
        <v>126</v>
      </c>
      <c r="DW13" s="14" t="s">
        <v>127</v>
      </c>
      <c r="DX13" s="14" t="s">
        <v>128</v>
      </c>
      <c r="DY13" s="14" t="s">
        <v>129</v>
      </c>
      <c r="DZ13" s="14" t="s">
        <v>130</v>
      </c>
      <c r="EA13" s="14" t="s">
        <v>131</v>
      </c>
      <c r="EB13" s="14" t="s">
        <v>132</v>
      </c>
      <c r="EC13" s="14" t="s">
        <v>133</v>
      </c>
      <c r="ED13" s="14" t="s">
        <v>134</v>
      </c>
      <c r="EE13" s="14" t="s">
        <v>135</v>
      </c>
      <c r="EF13" s="14" t="s">
        <v>146</v>
      </c>
    </row>
    <row r="14" spans="1:137" ht="16" customHeight="1">
      <c r="A14" s="6">
        <v>10</v>
      </c>
      <c r="B14" s="6">
        <v>96</v>
      </c>
      <c r="C14" s="9">
        <v>-1.7914421842699049E-2</v>
      </c>
      <c r="D14" s="9">
        <v>1.474378970380893E-2</v>
      </c>
      <c r="E14" s="9">
        <v>-1.220422881196128E-2</v>
      </c>
      <c r="F14" s="9">
        <v>-5.3147374060507513E-2</v>
      </c>
      <c r="G14" s="9">
        <v>4.0128401040815408E-2</v>
      </c>
      <c r="H14" s="9">
        <v>-2.9291092607415119E-2</v>
      </c>
      <c r="I14" s="9">
        <v>8.9899690018041996E-3</v>
      </c>
      <c r="J14" s="9">
        <v>2.3382661497843338E-2</v>
      </c>
      <c r="K14" s="9">
        <v>2.1930042666051659E-2</v>
      </c>
      <c r="L14" s="2">
        <v>-2.6964100422260159E-2</v>
      </c>
      <c r="M14" s="2">
        <v>4.2054112120953821E-2</v>
      </c>
      <c r="N14" s="2">
        <v>-6.2779238108227678E-2</v>
      </c>
      <c r="O14" s="1">
        <v>1.6232899199816509E-2</v>
      </c>
      <c r="P14" s="1">
        <v>1.219346936440982E-2</v>
      </c>
      <c r="Q14" s="1">
        <v>7.6230884598885509E-3</v>
      </c>
      <c r="R14" s="1">
        <v>1.8116052841339759E-2</v>
      </c>
      <c r="S14" s="1">
        <v>7.7262327680240397E-3</v>
      </c>
      <c r="T14" s="1">
        <v>1.6864847318456819E-2</v>
      </c>
      <c r="U14" s="1">
        <v>2.3544394150456099E-2</v>
      </c>
      <c r="V14" s="1">
        <v>7.1100018738297216E-3</v>
      </c>
      <c r="W14" s="1">
        <v>3.43255125592884E-3</v>
      </c>
      <c r="X14" s="1">
        <v>-1.4388567878124051E-2</v>
      </c>
      <c r="Y14" s="1">
        <v>-1.7673309383524221E-2</v>
      </c>
      <c r="Z14" s="1">
        <v>1.5356014871550829E-2</v>
      </c>
      <c r="AA14" s="1">
        <v>-2.0238780333728709E-2</v>
      </c>
      <c r="AB14" s="1">
        <v>-1.5252852755029359E-2</v>
      </c>
      <c r="AC14" s="1">
        <v>5.231622382683708E-2</v>
      </c>
      <c r="AD14" s="1">
        <v>1.384140597774253E-2</v>
      </c>
      <c r="AE14" s="1">
        <v>-4.3800236468731338E-2</v>
      </c>
      <c r="AF14" s="1">
        <v>3.4362666848402418E-2</v>
      </c>
      <c r="AG14" s="1">
        <v>-1.1394645755971179E-3</v>
      </c>
      <c r="AH14" s="1">
        <v>-1.134381411134695E-2</v>
      </c>
      <c r="AI14" s="1">
        <v>-2.757807834002388E-2</v>
      </c>
      <c r="AJ14" s="1">
        <v>8.4470293146592622E-3</v>
      </c>
      <c r="AK14" s="1">
        <v>1.2210251760889339E-2</v>
      </c>
      <c r="AL14" s="1">
        <v>7.8536442822714318E-4</v>
      </c>
      <c r="AM14" s="1">
        <v>-1.518979734973013E-2</v>
      </c>
      <c r="AN14" s="1">
        <v>-3.112030284255482E-3</v>
      </c>
      <c r="AO14" s="1">
        <v>-1.2258226624805611E-2</v>
      </c>
      <c r="AP14" s="1">
        <v>1.114920659659451E-2</v>
      </c>
      <c r="AQ14" s="1">
        <v>-1.786014967578791E-3</v>
      </c>
      <c r="AR14" s="1">
        <v>-5.8911143132273878E-3</v>
      </c>
      <c r="AS14" s="1">
        <v>-4.1443953507243137E-3</v>
      </c>
      <c r="AT14" s="1">
        <v>2.6630815078405829E-2</v>
      </c>
      <c r="AU14" s="1">
        <v>2.6437148093430139E-2</v>
      </c>
      <c r="AV14" s="1">
        <v>2.0173675130762229E-3</v>
      </c>
      <c r="AW14" s="1">
        <v>-9.1094250629805713E-3</v>
      </c>
      <c r="AX14" s="1">
        <v>-3.1902493966315948E-3</v>
      </c>
      <c r="AY14" s="1">
        <v>1.7877521262458621E-2</v>
      </c>
      <c r="AZ14" s="1">
        <v>-2.4840243218085751E-3</v>
      </c>
      <c r="BA14" s="1">
        <v>-3.2672665755019252E-2</v>
      </c>
      <c r="BB14" s="1">
        <v>-2.8447327343395591E-2</v>
      </c>
      <c r="BC14" s="1">
        <v>5.6434854076242644E-3</v>
      </c>
      <c r="BD14" s="1">
        <v>1.4524690046123351E-3</v>
      </c>
      <c r="BE14" s="1">
        <v>-1.0464923375325079E-2</v>
      </c>
      <c r="BF14" s="1">
        <v>5.3348006769328186E-3</v>
      </c>
      <c r="BG14" s="1">
        <v>-2.809115066557703E-2</v>
      </c>
      <c r="BH14" s="1">
        <v>-0.10111457241970639</v>
      </c>
      <c r="BI14" s="1">
        <v>-7.9817935703529852E-2</v>
      </c>
      <c r="BJ14" s="1">
        <v>-1.8070249348722211E-2</v>
      </c>
      <c r="BK14" s="1">
        <v>1.168387447602767E-3</v>
      </c>
      <c r="BL14" s="1">
        <v>2.739623564726935E-3</v>
      </c>
      <c r="BM14" s="1">
        <v>1.2795198381079041E-2</v>
      </c>
      <c r="BN14" s="1">
        <v>1.179990269990471E-2</v>
      </c>
      <c r="BO14" s="1">
        <v>-9.4684797512695207E-4</v>
      </c>
      <c r="BP14" s="1">
        <v>3.0534430696555408E-2</v>
      </c>
      <c r="BQ14" s="1">
        <v>3.7879716818741099E-3</v>
      </c>
      <c r="BR14" s="1">
        <v>4.4921120795654822E-2</v>
      </c>
      <c r="BS14" s="1">
        <v>-2.915721921904355E-3</v>
      </c>
      <c r="BT14" s="1">
        <v>1.835007434454014E-2</v>
      </c>
      <c r="BU14" s="1">
        <v>1.554190531921905E-2</v>
      </c>
      <c r="BV14" s="1">
        <v>-2.7131051001634241E-2</v>
      </c>
      <c r="BW14" s="1">
        <v>3.723338565588194E-4</v>
      </c>
      <c r="BX14" s="1">
        <v>2.532173784195367E-2</v>
      </c>
      <c r="BY14" s="1">
        <v>-3.6592154191665033E-2</v>
      </c>
      <c r="BZ14" s="1">
        <v>-8.0121838496088893E-4</v>
      </c>
      <c r="CA14" s="1">
        <v>-1.9830259655484769E-3</v>
      </c>
      <c r="CB14" s="1">
        <v>2.127472127871043E-2</v>
      </c>
      <c r="CC14" s="1">
        <v>-1.9468784655097181E-2</v>
      </c>
      <c r="CD14" s="1">
        <v>-1.4153331560770459E-2</v>
      </c>
      <c r="CE14" s="1">
        <v>4.6425814144740563E-2</v>
      </c>
      <c r="CF14" s="1">
        <v>-3.5742395641818317E-2</v>
      </c>
      <c r="CG14" s="1">
        <v>2.174929450228702E-2</v>
      </c>
      <c r="CH14" s="1">
        <v>-1.9303361940192609E-2</v>
      </c>
      <c r="CI14" s="1">
        <v>1.888479911939814E-3</v>
      </c>
      <c r="CJ14" s="1">
        <v>3.3818883906059881E-2</v>
      </c>
      <c r="CK14" s="1">
        <v>1.7029971592780191E-6</v>
      </c>
      <c r="CL14" s="1">
        <v>-9.1623579195184837E-2</v>
      </c>
      <c r="CM14" s="1">
        <v>-4.6818754911895077E-3</v>
      </c>
      <c r="CN14" s="1">
        <v>5.5908726340877998E-2</v>
      </c>
      <c r="CO14" s="1">
        <v>3.344168978436176E-2</v>
      </c>
      <c r="CP14" s="1">
        <v>-1.6988097207479149E-2</v>
      </c>
      <c r="CQ14" s="1">
        <v>-1.325930555435539E-2</v>
      </c>
      <c r="CR14" s="1">
        <v>-1.7079857948838349E-2</v>
      </c>
      <c r="CS14" s="1">
        <v>-2.6031772424052121E-3</v>
      </c>
      <c r="CT14" s="1">
        <v>3.6180570272809673E-2</v>
      </c>
      <c r="CU14" s="1">
        <v>2.5473000557669091E-2</v>
      </c>
      <c r="CV14" s="1">
        <v>-2.74201835473174E-2</v>
      </c>
      <c r="CW14" s="1">
        <v>-1.7227962320302569E-2</v>
      </c>
      <c r="CX14" s="1">
        <v>-1.0624493015806351E-3</v>
      </c>
      <c r="CY14" s="1">
        <v>6.0544406813263056E-3</v>
      </c>
      <c r="CZ14" s="1">
        <v>3.4360348939773577E-2</v>
      </c>
      <c r="DA14" s="1">
        <v>1.5074513720204699E-2</v>
      </c>
      <c r="DB14" s="1">
        <v>3.1380159075681739E-3</v>
      </c>
      <c r="DC14" s="1">
        <v>3.7955986058094568E-2</v>
      </c>
      <c r="DD14" s="1">
        <v>-3.234851182316148E-2</v>
      </c>
      <c r="DE14" s="1">
        <v>-2.0822889825702059E-2</v>
      </c>
      <c r="DF14" s="1">
        <v>-8.0424789636259972E-4</v>
      </c>
      <c r="DG14" s="1">
        <v>-2.995097285561869E-2</v>
      </c>
      <c r="DH14" s="1">
        <v>-2.2791280370557322E-2</v>
      </c>
      <c r="DI14" s="1">
        <v>-1.6653315269241121E-2</v>
      </c>
      <c r="DJ14" s="1">
        <v>3.5436351526692902E-2</v>
      </c>
      <c r="DK14" s="1">
        <v>3.1399638572025129E-3</v>
      </c>
      <c r="DL14" s="1">
        <v>-1.042276547464217E-2</v>
      </c>
      <c r="DM14" s="1">
        <v>-2.913602208904346E-3</v>
      </c>
      <c r="DN14" s="1">
        <v>3.5085274565524578E-2</v>
      </c>
      <c r="DO14" s="1">
        <v>-1.682492579458824E-2</v>
      </c>
      <c r="DP14" s="1">
        <v>8.91404107622327E-3</v>
      </c>
      <c r="DQ14" s="1">
        <v>-9.4653304698479046E-4</v>
      </c>
      <c r="DR14" s="1">
        <v>1.263137852535665E-3</v>
      </c>
      <c r="DS14" s="1">
        <v>2.1131864406688891E-2</v>
      </c>
      <c r="DT14" s="1">
        <v>1.006055306949484E-2</v>
      </c>
      <c r="DU14" s="1">
        <v>-1.846138161309685E-2</v>
      </c>
      <c r="DV14" s="1">
        <v>7.8079075955071048E-3</v>
      </c>
      <c r="DW14" s="1">
        <v>1.6063479850346039E-2</v>
      </c>
      <c r="DX14" s="1">
        <v>-7.6204184093789269E-3</v>
      </c>
      <c r="DY14" s="1">
        <v>-4.6646486716549326E-3</v>
      </c>
      <c r="DZ14" s="1">
        <v>-1.9807221197795159E-2</v>
      </c>
      <c r="EA14" s="1">
        <v>1.3475792343897799E-2</v>
      </c>
      <c r="EB14" s="1">
        <v>1.3961429045686209E-2</v>
      </c>
      <c r="EC14" s="1">
        <v>2.655438080858353E-3</v>
      </c>
      <c r="ED14" s="1">
        <v>1.540423258108153E-2</v>
      </c>
      <c r="EE14" s="1">
        <v>-1.604334985213025E-2</v>
      </c>
      <c r="EF14" s="1">
        <v>3.662233751047364E-3</v>
      </c>
    </row>
    <row r="15" spans="1:137" ht="16" customHeight="1">
      <c r="A15" s="6">
        <v>20</v>
      </c>
      <c r="B15" s="6">
        <v>48</v>
      </c>
      <c r="C15" s="9">
        <v>-3.9502830356475064E-3</v>
      </c>
      <c r="D15" s="9">
        <v>-2.50849340435487E-3</v>
      </c>
      <c r="E15" s="9">
        <v>-6.0947418053839322E-3</v>
      </c>
      <c r="F15" s="9">
        <v>-5.5185485190787607E-2</v>
      </c>
      <c r="G15" s="9">
        <v>4.8132934010708818E-2</v>
      </c>
      <c r="H15" s="9">
        <v>-4.1932638660583263E-2</v>
      </c>
      <c r="I15" s="9">
        <v>3.1606175439380269E-2</v>
      </c>
      <c r="J15" s="9">
        <v>2.1767520525823258E-2</v>
      </c>
      <c r="K15" s="9">
        <v>4.2399896244409131E-2</v>
      </c>
      <c r="L15" s="2">
        <v>-3.5107971270962858E-2</v>
      </c>
      <c r="M15" s="2">
        <v>6.6044613662358281E-2</v>
      </c>
      <c r="N15" s="2">
        <v>-7.2815627871102212E-2</v>
      </c>
      <c r="O15" s="1">
        <v>3.0584032757180451E-2</v>
      </c>
      <c r="P15" s="1">
        <v>5.5538611045586666E-3</v>
      </c>
      <c r="Q15" s="1">
        <v>2.4820848177511019E-2</v>
      </c>
      <c r="R15" s="1">
        <v>1.9114632557013591E-2</v>
      </c>
      <c r="S15" s="1">
        <v>1.043453069492707E-2</v>
      </c>
      <c r="T15" s="1">
        <v>1.94591612470091E-2</v>
      </c>
      <c r="U15" s="1">
        <v>3.18202076198109E-2</v>
      </c>
      <c r="V15" s="1">
        <v>-1.08245607836891E-2</v>
      </c>
      <c r="W15" s="1">
        <v>6.9474787952295003E-4</v>
      </c>
      <c r="X15" s="1">
        <v>-3.3582969450053887E-2</v>
      </c>
      <c r="Y15" s="1">
        <v>-3.7065107111094717E-2</v>
      </c>
      <c r="Z15" s="1">
        <v>1.9560792609810831E-2</v>
      </c>
      <c r="AA15" s="1">
        <v>-4.2959050872121547E-2</v>
      </c>
      <c r="AB15" s="1">
        <v>-1.8608172077492921E-2</v>
      </c>
      <c r="AC15" s="1">
        <v>4.9468074728763543E-2</v>
      </c>
      <c r="AD15" s="1">
        <v>1.628721173826761E-2</v>
      </c>
      <c r="AE15" s="1">
        <v>-5.6550969186526592E-2</v>
      </c>
      <c r="AF15" s="1">
        <v>5.8299592710403893E-2</v>
      </c>
      <c r="AG15" s="1">
        <v>4.6532492666161024E-3</v>
      </c>
      <c r="AH15" s="1">
        <v>-2.9585737808503921E-3</v>
      </c>
      <c r="AI15" s="1">
        <v>2.9685834931656579E-3</v>
      </c>
      <c r="AJ15" s="1">
        <v>1.9346109707632269E-2</v>
      </c>
      <c r="AK15" s="1">
        <v>4.151579062506512E-3</v>
      </c>
      <c r="AL15" s="1">
        <v>-1.91435761916183E-2</v>
      </c>
      <c r="AM15" s="1">
        <v>7.3082269714530579E-4</v>
      </c>
      <c r="AN15" s="1">
        <v>-1.363347138968574E-2</v>
      </c>
      <c r="AO15" s="1">
        <v>-8.0974079810390356E-3</v>
      </c>
      <c r="AP15" s="1">
        <v>1.2356175972321149E-2</v>
      </c>
      <c r="AQ15" s="1">
        <v>8.4706180676946928E-3</v>
      </c>
      <c r="AR15" s="1">
        <v>1.541459083187526E-2</v>
      </c>
      <c r="AS15" s="1">
        <v>1.7405365065281331E-2</v>
      </c>
      <c r="AT15" s="1">
        <v>-8.7288883959554409E-3</v>
      </c>
      <c r="AU15" s="1">
        <v>4.55688207047798E-2</v>
      </c>
      <c r="AV15" s="1">
        <v>2.1763861054222501E-3</v>
      </c>
      <c r="AW15" s="1">
        <v>9.943620826164231E-3</v>
      </c>
      <c r="AX15" s="1">
        <v>2.1568868754416569E-3</v>
      </c>
      <c r="AY15" s="1">
        <v>2.4207463747493191E-2</v>
      </c>
      <c r="AZ15" s="1">
        <v>7.6985173169988892E-3</v>
      </c>
      <c r="BA15" s="1">
        <v>-2.8348353214114979E-2</v>
      </c>
      <c r="BB15" s="1">
        <v>-3.5372515519861439E-2</v>
      </c>
      <c r="BC15" s="1">
        <v>-1.169286858288004E-2</v>
      </c>
      <c r="BD15" s="1">
        <v>2.1076726852589111E-2</v>
      </c>
      <c r="BE15" s="1">
        <v>4.1405111031895953E-3</v>
      </c>
      <c r="BF15" s="1">
        <v>-2.310757646749078E-2</v>
      </c>
      <c r="BG15" s="1">
        <v>-1.1187910884177119E-2</v>
      </c>
      <c r="BH15" s="1">
        <v>-0.117289926616888</v>
      </c>
      <c r="BI15" s="1">
        <v>-8.5489923281716784E-2</v>
      </c>
      <c r="BJ15" s="1">
        <v>-2.8021215420803041E-3</v>
      </c>
      <c r="BK15" s="1">
        <v>1.5026011560285371E-2</v>
      </c>
      <c r="BL15" s="1">
        <v>1.081186312291655E-2</v>
      </c>
      <c r="BM15" s="1">
        <v>-1.0779226398856671E-3</v>
      </c>
      <c r="BN15" s="1">
        <v>2.7556243146382871E-3</v>
      </c>
      <c r="BO15" s="1">
        <v>4.9250298664318681E-3</v>
      </c>
      <c r="BP15" s="1">
        <v>5.4043901852385071E-2</v>
      </c>
      <c r="BQ15" s="1">
        <v>1.1818775918042141E-2</v>
      </c>
      <c r="BR15" s="1">
        <v>6.9886901649431371E-2</v>
      </c>
      <c r="BS15" s="1">
        <v>1.333768448079455E-3</v>
      </c>
      <c r="BT15" s="1">
        <v>1.0025934916475269E-2</v>
      </c>
      <c r="BU15" s="1">
        <v>3.5692110003136171E-2</v>
      </c>
      <c r="BV15" s="1">
        <v>-4.2122786567110188E-2</v>
      </c>
      <c r="BW15" s="1">
        <v>6.8643351937636016E-3</v>
      </c>
      <c r="BX15" s="1">
        <v>4.5067547003904862E-2</v>
      </c>
      <c r="BY15" s="1">
        <v>-3.9873584234913939E-2</v>
      </c>
      <c r="BZ15" s="1">
        <v>2.0573891823710559E-3</v>
      </c>
      <c r="CA15" s="1">
        <v>6.8027678604008403E-3</v>
      </c>
      <c r="CB15" s="1">
        <v>5.9118242457537329E-2</v>
      </c>
      <c r="CC15" s="1">
        <v>3.9295205989161308E-3</v>
      </c>
      <c r="CD15" s="1">
        <v>-2.4752281688174518E-2</v>
      </c>
      <c r="CE15" s="1">
        <v>5.0895924136985772E-2</v>
      </c>
      <c r="CF15" s="1">
        <v>-1.6859165330128299E-2</v>
      </c>
      <c r="CG15" s="1">
        <v>2.8115600911513682E-2</v>
      </c>
      <c r="CH15" s="1">
        <v>-5.6158762908239943E-2</v>
      </c>
      <c r="CI15" s="1">
        <v>-1.0421872224478891E-2</v>
      </c>
      <c r="CJ15" s="1">
        <v>1.7601346635307911E-2</v>
      </c>
      <c r="CK15" s="1">
        <v>5.0814085650828927E-3</v>
      </c>
      <c r="CL15" s="1">
        <v>-8.8658969569905557E-2</v>
      </c>
      <c r="CM15" s="1">
        <v>-2.531400130513153E-2</v>
      </c>
      <c r="CN15" s="1">
        <v>6.5478156764048223E-2</v>
      </c>
      <c r="CO15" s="1">
        <v>4.7109007611624232E-2</v>
      </c>
      <c r="CP15" s="1">
        <v>-1.792687087805746E-3</v>
      </c>
      <c r="CQ15" s="1">
        <v>-1.6009899291080491E-2</v>
      </c>
      <c r="CR15" s="1">
        <v>-1.0522433706147669E-2</v>
      </c>
      <c r="CS15" s="1">
        <v>1.4141764110060301E-2</v>
      </c>
      <c r="CT15" s="1">
        <v>1.5788784293196381E-2</v>
      </c>
      <c r="CU15" s="1">
        <v>3.7858174242835371E-2</v>
      </c>
      <c r="CV15" s="1">
        <v>-2.093145982946281E-2</v>
      </c>
      <c r="CW15" s="1">
        <v>-3.1107906340564598E-2</v>
      </c>
      <c r="CX15" s="1">
        <v>-1.450445422612159E-2</v>
      </c>
      <c r="CY15" s="1">
        <v>2.2843923745434699E-2</v>
      </c>
      <c r="CZ15" s="1">
        <v>2.2392373481616379E-2</v>
      </c>
      <c r="DA15" s="1">
        <v>3.8088297431717551E-2</v>
      </c>
      <c r="DB15" s="1">
        <v>-4.449956037147855E-2</v>
      </c>
      <c r="DC15" s="1">
        <v>1.1632379540509889E-3</v>
      </c>
      <c r="DD15" s="1">
        <v>-2.5719971111076122E-2</v>
      </c>
      <c r="DE15" s="1">
        <v>9.0249523987623731E-3</v>
      </c>
      <c r="DF15" s="1">
        <v>-3.7510554725946779E-3</v>
      </c>
      <c r="DG15" s="1">
        <v>-4.5978920319513061E-2</v>
      </c>
      <c r="DH15" s="1">
        <v>-1.1428907534828239E-2</v>
      </c>
      <c r="DI15" s="1">
        <v>-2.248657833556884E-2</v>
      </c>
      <c r="DJ15" s="1">
        <v>2.507037391302424E-2</v>
      </c>
      <c r="DK15" s="1">
        <v>2.5608913579155339E-2</v>
      </c>
      <c r="DL15" s="1">
        <v>-3.2432534579048447E-2</v>
      </c>
      <c r="DM15" s="1">
        <v>9.5464669616867649E-4</v>
      </c>
      <c r="DN15" s="1">
        <v>4.3622926852256043E-2</v>
      </c>
      <c r="DO15" s="1">
        <v>-3.1128307108875559E-2</v>
      </c>
      <c r="DP15" s="1">
        <v>-8.4223614563663351E-3</v>
      </c>
      <c r="DQ15" s="1">
        <v>1.0897442511567171E-2</v>
      </c>
      <c r="DR15" s="1">
        <v>6.7693858998403274E-3</v>
      </c>
      <c r="DS15" s="1">
        <v>8.1973444715962903E-3</v>
      </c>
      <c r="DT15" s="1">
        <v>-6.7101916380512688E-3</v>
      </c>
      <c r="DU15" s="1">
        <v>1.0343276646851611E-2</v>
      </c>
      <c r="DV15" s="1">
        <v>2.994935575297843E-2</v>
      </c>
      <c r="DW15" s="1">
        <v>3.8626989524779311E-2</v>
      </c>
      <c r="DX15" s="1">
        <v>-3.4424866297868957E-2</v>
      </c>
      <c r="DY15" s="1">
        <v>2.105817652041363E-2</v>
      </c>
      <c r="DZ15" s="1">
        <v>-2.8400032907874101E-2</v>
      </c>
      <c r="EA15" s="1">
        <v>1.2309623745502259E-2</v>
      </c>
      <c r="EB15" s="1">
        <v>3.6744406519350008E-2</v>
      </c>
      <c r="EC15" s="1">
        <v>-2.888077896179138E-3</v>
      </c>
      <c r="ED15" s="1">
        <v>-1.1140574304479201E-2</v>
      </c>
      <c r="EE15" s="1">
        <v>3.7713156322426791E-3</v>
      </c>
      <c r="EF15" s="1">
        <v>2.201548844627458E-2</v>
      </c>
    </row>
    <row r="16" spans="1:137" ht="16" customHeight="1">
      <c r="A16" s="6">
        <v>50</v>
      </c>
      <c r="B16" s="6">
        <v>19</v>
      </c>
      <c r="C16" s="9">
        <v>-3.3019748374950491E-3</v>
      </c>
      <c r="D16" s="9">
        <v>-6.4571216359655154E-2</v>
      </c>
      <c r="E16" s="9">
        <v>-4.835496992287195E-3</v>
      </c>
      <c r="F16" s="9">
        <v>3.2352589455362901E-2</v>
      </c>
      <c r="G16" s="9">
        <v>8.6666882614377966E-2</v>
      </c>
      <c r="H16" s="9">
        <v>-5.9818486883071731E-3</v>
      </c>
      <c r="I16" s="9">
        <v>8.6349550859664378E-2</v>
      </c>
      <c r="J16" s="9">
        <v>1.6257159192828721E-3</v>
      </c>
      <c r="K16" s="9">
        <v>3.0400410522700819E-2</v>
      </c>
      <c r="L16" s="2">
        <v>-7.1342897446627127E-2</v>
      </c>
      <c r="M16" s="2">
        <v>7.0043856871079904E-3</v>
      </c>
      <c r="N16" s="2">
        <v>-0.1376100625677382</v>
      </c>
      <c r="O16" s="1">
        <v>3.6485842226226882E-2</v>
      </c>
      <c r="P16" s="1">
        <v>-1.6283972142136759E-4</v>
      </c>
      <c r="Q16" s="1">
        <v>-1.030765517633824E-2</v>
      </c>
      <c r="R16" s="1">
        <v>3.5589056382983493E-2</v>
      </c>
      <c r="S16" s="1">
        <v>1.391138519927655E-2</v>
      </c>
      <c r="T16" s="1">
        <v>-1.002475931759998E-2</v>
      </c>
      <c r="U16" s="1">
        <v>4.8520727734536903E-2</v>
      </c>
      <c r="V16" s="1">
        <v>2.1086276040897439E-2</v>
      </c>
      <c r="W16" s="1">
        <v>5.315918594865672E-2</v>
      </c>
      <c r="X16" s="1">
        <v>-1.198519571509968E-2</v>
      </c>
      <c r="Y16" s="1">
        <v>8.3469225630070573E-3</v>
      </c>
      <c r="Z16" s="1">
        <v>0.10277158749026299</v>
      </c>
      <c r="AA16" s="1">
        <v>-3.4522748323940713E-2</v>
      </c>
      <c r="AB16" s="1">
        <v>-1.460762701518062E-2</v>
      </c>
      <c r="AC16" s="1">
        <v>7.4341695380483089E-2</v>
      </c>
      <c r="AD16" s="1">
        <v>3.4693644005051517E-2</v>
      </c>
      <c r="AE16" s="1">
        <v>-6.1821971202671647E-2</v>
      </c>
      <c r="AF16" s="1">
        <v>0.13590868517846511</v>
      </c>
      <c r="AG16" s="1">
        <v>-7.9502293075202901E-3</v>
      </c>
      <c r="AH16" s="1">
        <v>-1.093017497699003E-2</v>
      </c>
      <c r="AI16" s="1">
        <v>1.6370663389627341E-2</v>
      </c>
      <c r="AJ16" s="1">
        <v>4.6961947830451413E-2</v>
      </c>
      <c r="AK16" s="1">
        <v>-3.2260638622532492E-2</v>
      </c>
      <c r="AL16" s="1">
        <v>-2.9968038218009471E-2</v>
      </c>
      <c r="AM16" s="1">
        <v>-5.0937932994962021E-2</v>
      </c>
      <c r="AN16" s="1">
        <v>3.5739293937755059E-2</v>
      </c>
      <c r="AO16" s="1">
        <v>-2.5596765897330471E-2</v>
      </c>
      <c r="AP16" s="1">
        <v>1.2189463311379561E-3</v>
      </c>
      <c r="AQ16" s="1">
        <v>-4.1504465095972339E-2</v>
      </c>
      <c r="AR16" s="1">
        <v>2.5335573192172601E-2</v>
      </c>
      <c r="AS16" s="1">
        <v>1.0097589168314229E-2</v>
      </c>
      <c r="AT16" s="1">
        <v>-1.08110707434225E-2</v>
      </c>
      <c r="AU16" s="1">
        <v>4.3261428705649772E-2</v>
      </c>
      <c r="AV16" s="1">
        <v>-1.0847927545667369E-2</v>
      </c>
      <c r="AW16" s="1">
        <v>4.1307411234281924E-3</v>
      </c>
      <c r="AX16" s="1">
        <v>-5.308412868221004E-3</v>
      </c>
      <c r="AY16" s="1">
        <v>2.8490601434090369E-2</v>
      </c>
      <c r="AZ16" s="1">
        <v>1.2086328841120909E-2</v>
      </c>
      <c r="BA16" s="1">
        <v>-2.8568877346458649E-2</v>
      </c>
      <c r="BB16" s="1">
        <v>-4.7089721589936837E-2</v>
      </c>
      <c r="BC16" s="1">
        <v>3.0207846405070411E-2</v>
      </c>
      <c r="BD16" s="1">
        <v>7.8092959026040257E-2</v>
      </c>
      <c r="BE16" s="1">
        <v>-2.4172807732251101E-2</v>
      </c>
      <c r="BF16" s="1">
        <v>-2.4511704431119791E-2</v>
      </c>
      <c r="BG16" s="1">
        <v>-5.8406285227182442E-3</v>
      </c>
      <c r="BH16" s="1">
        <v>-0.13175056788750469</v>
      </c>
      <c r="BI16" s="1">
        <v>-7.2657390617014789E-2</v>
      </c>
      <c r="BJ16" s="1">
        <v>-2.2907705083258852E-2</v>
      </c>
      <c r="BK16" s="1">
        <v>-5.2793619590294188E-2</v>
      </c>
      <c r="BL16" s="1">
        <v>3.2758446748501001E-2</v>
      </c>
      <c r="BM16" s="1">
        <v>-1.3292609378384531E-2</v>
      </c>
      <c r="BN16" s="1">
        <v>-2.5230123572686669E-2</v>
      </c>
      <c r="BO16" s="1">
        <v>-5.2015306168098373E-2</v>
      </c>
      <c r="BP16" s="1">
        <v>8.0501308811100819E-2</v>
      </c>
      <c r="BQ16" s="1">
        <v>3.450322067948122E-3</v>
      </c>
      <c r="BR16" s="1">
        <v>5.8227597767122448E-2</v>
      </c>
      <c r="BS16" s="1">
        <v>-1.044226726324143E-2</v>
      </c>
      <c r="BT16" s="1">
        <v>-9.0245965628959098E-3</v>
      </c>
      <c r="BU16" s="1">
        <v>3.5357455364966588E-2</v>
      </c>
      <c r="BV16" s="1">
        <v>-0.11695795484951341</v>
      </c>
      <c r="BW16" s="1">
        <v>7.0233929553182931E-2</v>
      </c>
      <c r="BX16" s="1">
        <v>6.932021116236492E-2</v>
      </c>
      <c r="BY16" s="1">
        <v>1.257896675532094E-2</v>
      </c>
      <c r="BZ16" s="1">
        <v>7.6876374434440842E-3</v>
      </c>
      <c r="CA16" s="1">
        <v>-8.3220958854486327E-3</v>
      </c>
      <c r="CB16" s="1">
        <v>5.7043682089688158E-2</v>
      </c>
      <c r="CC16" s="1">
        <v>-1.763397825662506E-2</v>
      </c>
      <c r="CD16" s="1">
        <v>-5.3812125069753872E-2</v>
      </c>
      <c r="CE16" s="1">
        <v>7.9259114397832231E-2</v>
      </c>
      <c r="CF16" s="1">
        <v>2.231875187674677E-2</v>
      </c>
      <c r="CG16" s="1">
        <v>-2.0837134633929489E-2</v>
      </c>
      <c r="CH16" s="1">
        <v>-5.5070141986857002E-2</v>
      </c>
      <c r="CI16" s="1">
        <v>4.7076614107195137E-2</v>
      </c>
      <c r="CJ16" s="1">
        <v>2.158376680030916E-2</v>
      </c>
      <c r="CK16" s="1">
        <v>6.5144966532907434E-3</v>
      </c>
      <c r="CL16" s="1">
        <v>-0.12647090181363341</v>
      </c>
      <c r="CM16" s="1">
        <v>-3.4181103808414742E-2</v>
      </c>
      <c r="CN16" s="1">
        <v>8.6151891348197521E-2</v>
      </c>
      <c r="CO16" s="1">
        <v>6.4133155755865145E-2</v>
      </c>
      <c r="CP16" s="1">
        <v>-1.951309425521606E-3</v>
      </c>
      <c r="CQ16" s="1">
        <v>-4.0113810409926592E-2</v>
      </c>
      <c r="CR16" s="1">
        <v>-7.3959473157178574E-2</v>
      </c>
      <c r="CS16" s="1">
        <v>2.965383143853868E-2</v>
      </c>
      <c r="CT16" s="1">
        <v>3.2080199525180042E-2</v>
      </c>
      <c r="CU16" s="1">
        <v>9.479207019738102E-2</v>
      </c>
      <c r="CV16" s="1">
        <v>2.7207997525226849E-2</v>
      </c>
      <c r="CW16" s="1">
        <v>-3.0757687710672148E-2</v>
      </c>
      <c r="CX16" s="1">
        <v>-5.3997377289634468E-3</v>
      </c>
      <c r="CY16" s="1">
        <v>5.3652026666105378E-2</v>
      </c>
      <c r="CZ16" s="1">
        <v>5.2085286282828033E-2</v>
      </c>
      <c r="DA16" s="1">
        <v>7.0693033322797125E-2</v>
      </c>
      <c r="DB16" s="1">
        <v>-2.7102043956039702E-2</v>
      </c>
      <c r="DC16" s="1">
        <v>3.2284748408587531E-3</v>
      </c>
      <c r="DD16" s="1">
        <v>-3.8924516037698538E-2</v>
      </c>
      <c r="DE16" s="1">
        <v>6.0802243146356211E-2</v>
      </c>
      <c r="DF16" s="1">
        <v>-7.3598301489739962E-2</v>
      </c>
      <c r="DG16" s="1">
        <v>-5.176335219477958E-2</v>
      </c>
      <c r="DH16" s="1">
        <v>-2.3530661300338311E-2</v>
      </c>
      <c r="DI16" s="1">
        <v>-6.0491997630465991E-2</v>
      </c>
      <c r="DJ16" s="1">
        <v>6.6055156753981992E-2</v>
      </c>
      <c r="DK16" s="1">
        <v>-7.1598137411976806E-3</v>
      </c>
      <c r="DL16" s="1">
        <v>-7.0838604202261263E-2</v>
      </c>
      <c r="DM16" s="1">
        <v>-1.980471688493567E-2</v>
      </c>
      <c r="DN16" s="1">
        <v>3.916398172171285E-2</v>
      </c>
      <c r="DO16" s="1">
        <v>-5.2839321748063148E-2</v>
      </c>
      <c r="DP16" s="1">
        <v>-5.7975536489147349E-3</v>
      </c>
      <c r="DQ16" s="1">
        <v>3.056670244085723E-2</v>
      </c>
      <c r="DR16" s="1">
        <v>1.901125840400635E-3</v>
      </c>
      <c r="DS16" s="1">
        <v>2.1013096121656478E-2</v>
      </c>
      <c r="DT16" s="1">
        <v>-1.4455568514554691E-2</v>
      </c>
      <c r="DU16" s="1">
        <v>4.0471274697901093E-2</v>
      </c>
      <c r="DV16" s="1">
        <v>8.2461398009308656E-2</v>
      </c>
      <c r="DW16" s="1">
        <v>4.3423894376059917E-2</v>
      </c>
      <c r="DX16" s="1">
        <v>-4.2781675919029143E-2</v>
      </c>
      <c r="DY16" s="1">
        <v>7.1405323742898194E-3</v>
      </c>
      <c r="DZ16" s="1">
        <v>-8.0220212135256458E-2</v>
      </c>
      <c r="EA16" s="1">
        <v>-3.1474481989657507E-2</v>
      </c>
      <c r="EB16" s="1">
        <v>1.121367509600533E-2</v>
      </c>
      <c r="EC16" s="1">
        <v>-1.05763769696803E-2</v>
      </c>
      <c r="ED16" s="1">
        <v>1.3813553628239361E-2</v>
      </c>
      <c r="EE16" s="1">
        <v>-1.3121094928709821E-2</v>
      </c>
      <c r="EF16" s="1">
        <v>5.4841655678130347E-2</v>
      </c>
    </row>
    <row r="17" spans="1:136" ht="16" customHeight="1">
      <c r="A17" s="6">
        <v>100</v>
      </c>
      <c r="B17" s="6">
        <v>10</v>
      </c>
      <c r="C17" s="9">
        <v>6.50249954433373E-2</v>
      </c>
      <c r="D17" s="9">
        <v>-7.703699653303879E-2</v>
      </c>
      <c r="E17" s="9">
        <v>-3.0786204323724241E-3</v>
      </c>
      <c r="F17" s="9">
        <v>3.8184382343993947E-2</v>
      </c>
      <c r="G17" s="9">
        <v>9.3175457174951182E-2</v>
      </c>
      <c r="H17" s="9">
        <v>7.2814307601010014E-3</v>
      </c>
      <c r="I17" s="9">
        <v>8.9156758443414724E-2</v>
      </c>
      <c r="J17" s="9">
        <v>1.657412023691765E-2</v>
      </c>
      <c r="K17" s="9">
        <v>4.7793938261830218E-2</v>
      </c>
      <c r="L17" s="2">
        <v>1.2082396539034999E-2</v>
      </c>
      <c r="M17" s="2">
        <v>-3.2627992821770271E-2</v>
      </c>
      <c r="N17" s="2">
        <v>-0.1460634869417736</v>
      </c>
      <c r="O17" s="1">
        <v>4.2228512255836667E-2</v>
      </c>
      <c r="P17" s="1">
        <v>3.4199147290024309E-5</v>
      </c>
      <c r="Q17" s="1">
        <v>4.0930211325861152E-2</v>
      </c>
      <c r="R17" s="1">
        <v>7.8809605165304872E-2</v>
      </c>
      <c r="S17" s="1">
        <v>3.8629632369577671E-2</v>
      </c>
      <c r="T17" s="1">
        <v>-8.6051017472147523E-4</v>
      </c>
      <c r="U17" s="1">
        <v>0.1132691225099806</v>
      </c>
      <c r="V17" s="1">
        <v>4.5889133239756658E-2</v>
      </c>
      <c r="W17" s="1">
        <v>7.8215745650141416E-2</v>
      </c>
      <c r="X17" s="1">
        <v>6.0228400387077538E-3</v>
      </c>
      <c r="Y17" s="1">
        <v>-3.9359624745840337E-2</v>
      </c>
      <c r="Z17" s="1">
        <v>4.8588148447053191E-2</v>
      </c>
      <c r="AA17" s="1">
        <v>-4.1170903405267613E-2</v>
      </c>
      <c r="AB17" s="1">
        <v>2.402031420654338E-3</v>
      </c>
      <c r="AC17" s="1">
        <v>6.6863788151314635E-2</v>
      </c>
      <c r="AD17" s="1">
        <v>3.4624052083755297E-2</v>
      </c>
      <c r="AE17" s="1">
        <v>-8.3110883426504467E-2</v>
      </c>
      <c r="AF17" s="1">
        <v>0.1189622742165217</v>
      </c>
      <c r="AG17" s="1">
        <v>-2.2942839409251889E-2</v>
      </c>
      <c r="AH17" s="1">
        <v>-4.4426445911475557E-2</v>
      </c>
      <c r="AI17" s="1">
        <v>6.8890798891112839E-2</v>
      </c>
      <c r="AJ17" s="1">
        <v>5.1665748882060547E-2</v>
      </c>
      <c r="AK17" s="1">
        <v>-8.849373295572488E-2</v>
      </c>
      <c r="AL17" s="1">
        <v>-1.2042584695246661E-2</v>
      </c>
      <c r="AM17" s="1">
        <v>-2.371227465789115E-2</v>
      </c>
      <c r="AN17" s="1">
        <v>7.8691126476077511E-2</v>
      </c>
      <c r="AO17" s="1">
        <v>-3.8788003448913089E-2</v>
      </c>
      <c r="AP17" s="1">
        <v>-2.2826350360227649E-2</v>
      </c>
      <c r="AQ17" s="1">
        <v>-6.9999892127376492E-2</v>
      </c>
      <c r="AR17" s="1">
        <v>3.4428829482407497E-2</v>
      </c>
      <c r="AS17" s="1">
        <v>5.3876963361986991E-3</v>
      </c>
      <c r="AT17" s="1">
        <v>-4.9657416530282973E-2</v>
      </c>
      <c r="AU17" s="1">
        <v>3.334805480714436E-2</v>
      </c>
      <c r="AV17" s="1">
        <v>1.282674846745888E-2</v>
      </c>
      <c r="AW17" s="1">
        <v>-9.3101334321308675E-3</v>
      </c>
      <c r="AX17" s="1">
        <v>-3.8227576281291198E-2</v>
      </c>
      <c r="AY17" s="1">
        <v>5.6601081369623378E-2</v>
      </c>
      <c r="AZ17" s="1">
        <v>4.8493021098514298E-3</v>
      </c>
      <c r="BA17" s="1">
        <v>4.5373530821934396E-3</v>
      </c>
      <c r="BB17" s="1">
        <v>-4.7840444326566478E-2</v>
      </c>
      <c r="BC17" s="1">
        <v>-5.0583705759983666E-4</v>
      </c>
      <c r="BD17" s="1">
        <v>5.2737819374050948E-2</v>
      </c>
      <c r="BE17" s="1">
        <v>-1.9801786629512139E-2</v>
      </c>
      <c r="BF17" s="1">
        <v>-5.0648466054314049E-2</v>
      </c>
      <c r="BG17" s="1">
        <v>4.752406324557952E-2</v>
      </c>
      <c r="BH17" s="1">
        <v>-9.7079008481573803E-2</v>
      </c>
      <c r="BI17" s="1">
        <v>-7.7627795725099286E-2</v>
      </c>
      <c r="BJ17" s="1">
        <v>-3.5742294430387567E-2</v>
      </c>
      <c r="BK17" s="1">
        <v>-2.2313901159072481E-2</v>
      </c>
      <c r="BL17" s="1">
        <v>2.392466472610924E-2</v>
      </c>
      <c r="BM17" s="1">
        <v>7.4932597570417396E-3</v>
      </c>
      <c r="BN17" s="1">
        <v>-7.0567260644144938E-2</v>
      </c>
      <c r="BO17" s="1">
        <v>-7.3820280114559919E-2</v>
      </c>
      <c r="BP17" s="1">
        <v>0.1051470522994855</v>
      </c>
      <c r="BQ17" s="1">
        <v>4.1747415892197513E-2</v>
      </c>
      <c r="BR17" s="1">
        <v>0.16043770007088959</v>
      </c>
      <c r="BS17" s="1">
        <v>-2.3733970808237251E-2</v>
      </c>
      <c r="BT17" s="1">
        <v>3.2657327911130171E-2</v>
      </c>
      <c r="BU17" s="1">
        <v>5.4206578830696343E-2</v>
      </c>
      <c r="BV17" s="1">
        <v>-7.9065835864225331E-2</v>
      </c>
      <c r="BW17" s="1">
        <v>6.8269621836506936E-2</v>
      </c>
      <c r="BX17" s="1">
        <v>6.469693840065352E-2</v>
      </c>
      <c r="BY17" s="1">
        <v>7.3249581195127755E-2</v>
      </c>
      <c r="BZ17" s="1">
        <v>6.867305494114434E-3</v>
      </c>
      <c r="CA17" s="1">
        <v>-9.3570307481396914E-3</v>
      </c>
      <c r="CB17" s="1">
        <v>3.2233263764230267E-2</v>
      </c>
      <c r="CC17" s="1">
        <v>-6.8775568434688988E-4</v>
      </c>
      <c r="CD17" s="1">
        <v>-4.1271664424885161E-2</v>
      </c>
      <c r="CE17" s="1">
        <v>4.5042189825714729E-2</v>
      </c>
      <c r="CF17" s="1">
        <v>-6.7171528780891276E-2</v>
      </c>
      <c r="CG17" s="1">
        <v>-2.7427638887119989E-2</v>
      </c>
      <c r="CH17" s="1">
        <v>-8.0336016617785513E-2</v>
      </c>
      <c r="CI17" s="1">
        <v>0.19284501268760271</v>
      </c>
      <c r="CJ17" s="1">
        <v>-7.9055461964399887E-3</v>
      </c>
      <c r="CK17" s="1">
        <v>8.978459593765678E-2</v>
      </c>
      <c r="CL17" s="1">
        <v>-0.16580276967192889</v>
      </c>
      <c r="CM17" s="1">
        <v>-5.5442971137553691E-2</v>
      </c>
      <c r="CN17" s="1">
        <v>0.10225893161321289</v>
      </c>
      <c r="CO17" s="1">
        <v>3.1612142061911867E-2</v>
      </c>
      <c r="CP17" s="1">
        <v>3.8180731775548329E-2</v>
      </c>
      <c r="CQ17" s="1">
        <v>-2.6617494565023959E-3</v>
      </c>
      <c r="CR17" s="1">
        <v>-6.6644806429492706E-2</v>
      </c>
      <c r="CS17" s="1">
        <v>5.0923181887802961E-2</v>
      </c>
      <c r="CT17" s="1">
        <v>2.0256879049295799E-2</v>
      </c>
      <c r="CU17" s="1">
        <v>8.1219749011149756E-2</v>
      </c>
      <c r="CV17" s="1">
        <v>8.5248867534769346E-2</v>
      </c>
      <c r="CW17" s="1">
        <v>-3.5724889626127673E-2</v>
      </c>
      <c r="CX17" s="1">
        <v>-4.7706024614872347E-2</v>
      </c>
      <c r="CY17" s="1">
        <v>-1.1989745197112619E-2</v>
      </c>
      <c r="CZ17" s="1">
        <v>0.1105606813653012</v>
      </c>
      <c r="DA17" s="1">
        <v>4.9430427289727012E-2</v>
      </c>
      <c r="DB17" s="1">
        <v>-7.0449385600946948E-2</v>
      </c>
      <c r="DC17" s="1">
        <v>-9.1739531055504975E-3</v>
      </c>
      <c r="DD17" s="1">
        <v>-2.8451422353577421E-2</v>
      </c>
      <c r="DE17" s="1">
        <v>7.890561857040973E-2</v>
      </c>
      <c r="DF17" s="1">
        <v>-6.3266400365170256E-2</v>
      </c>
      <c r="DG17" s="1">
        <v>-7.3699837158143183E-2</v>
      </c>
      <c r="DH17" s="1">
        <v>-7.9285532863510255E-2</v>
      </c>
      <c r="DI17" s="1">
        <v>-8.1947619023741064E-2</v>
      </c>
      <c r="DJ17" s="1">
        <v>0.1361786649636412</v>
      </c>
      <c r="DK17" s="1">
        <v>-0.1203308973644969</v>
      </c>
      <c r="DL17" s="1">
        <v>-5.023304108787062E-2</v>
      </c>
      <c r="DM17" s="1">
        <v>-2.9395194541119218E-2</v>
      </c>
      <c r="DN17" s="1">
        <v>5.301348821178771E-2</v>
      </c>
      <c r="DO17" s="1">
        <v>-0.1297237121112827</v>
      </c>
      <c r="DP17" s="1">
        <v>-9.8689453724267878E-3</v>
      </c>
      <c r="DQ17" s="1">
        <v>4.7617061826976892E-2</v>
      </c>
      <c r="DR17" s="1">
        <v>2.421209256738116E-2</v>
      </c>
      <c r="DS17" s="1">
        <v>8.2711255869603595E-3</v>
      </c>
      <c r="DT17" s="1">
        <v>-2.484681017915381E-2</v>
      </c>
      <c r="DU17" s="1">
        <v>-8.3973020200944423E-4</v>
      </c>
      <c r="DV17" s="1">
        <v>0.1279625370035363</v>
      </c>
      <c r="DW17" s="1">
        <v>-1.540539226224961E-2</v>
      </c>
      <c r="DX17" s="1">
        <v>-4.1381167671105633E-2</v>
      </c>
      <c r="DY17" s="1">
        <v>3.1451600242020018E-2</v>
      </c>
      <c r="DZ17" s="1">
        <v>-7.806921058958477E-2</v>
      </c>
      <c r="EA17" s="1">
        <v>-6.6039030020211872E-2</v>
      </c>
      <c r="EB17" s="1">
        <v>-2.9080516878887189E-2</v>
      </c>
      <c r="EC17" s="1">
        <v>-2.6393045252638969E-2</v>
      </c>
      <c r="ED17" s="1">
        <v>-4.4477234780817478E-2</v>
      </c>
      <c r="EE17" s="1">
        <v>1.7437441634007081E-2</v>
      </c>
      <c r="EF17" s="1">
        <v>5.3625957743149953E-2</v>
      </c>
    </row>
    <row r="18" spans="1:136" ht="16" customHeight="1">
      <c r="A18" s="6">
        <v>107</v>
      </c>
      <c r="B18" s="6">
        <v>9</v>
      </c>
      <c r="C18" s="9">
        <v>1.2727346334157331E-2</v>
      </c>
      <c r="D18" s="9">
        <v>-8.1178361371415347E-2</v>
      </c>
      <c r="E18" s="9">
        <v>2.3442655940863592E-2</v>
      </c>
      <c r="F18" s="9">
        <v>3.1865825738505292E-2</v>
      </c>
      <c r="G18" s="9">
        <v>0.1369482872688142</v>
      </c>
      <c r="H18" s="9">
        <v>-5.438514380510788E-3</v>
      </c>
      <c r="I18" s="9">
        <v>7.7893729578915979E-2</v>
      </c>
      <c r="J18" s="9">
        <v>2.594339806607001E-2</v>
      </c>
      <c r="K18" s="9">
        <v>5.9629680003936598E-2</v>
      </c>
      <c r="L18" s="2">
        <v>-1.4826749617097601E-2</v>
      </c>
      <c r="M18" s="2">
        <v>-0.13201408562391079</v>
      </c>
      <c r="N18" s="2">
        <v>-0.14366252944961749</v>
      </c>
      <c r="O18" s="1">
        <v>4.2807526844649772E-2</v>
      </c>
      <c r="P18" s="1">
        <v>2.46037835346035E-3</v>
      </c>
      <c r="Q18" s="1">
        <v>3.7730238480865583E-2</v>
      </c>
      <c r="R18" s="1">
        <v>8.3950398113872879E-2</v>
      </c>
      <c r="S18" s="1">
        <v>3.124321547183392E-2</v>
      </c>
      <c r="T18" s="1">
        <v>1.3066300977178369E-4</v>
      </c>
      <c r="U18" s="1">
        <v>0.1188934631368815</v>
      </c>
      <c r="V18" s="1">
        <v>4.5323599409075738E-2</v>
      </c>
      <c r="W18" s="1">
        <v>7.6963671247168533E-2</v>
      </c>
      <c r="X18" s="1">
        <v>1.4484534779504789E-2</v>
      </c>
      <c r="Y18" s="1">
        <v>-3.4463445738876899E-2</v>
      </c>
      <c r="Z18" s="1">
        <v>5.0091717475553431E-2</v>
      </c>
      <c r="AA18" s="1">
        <v>-4.3064620478704199E-2</v>
      </c>
      <c r="AB18" s="1">
        <v>-4.9527631488232218E-3</v>
      </c>
      <c r="AC18" s="1">
        <v>8.0335562816492234E-2</v>
      </c>
      <c r="AD18" s="1">
        <v>4.9880522040330451E-2</v>
      </c>
      <c r="AE18" s="1">
        <v>-7.4208739050392408E-2</v>
      </c>
      <c r="AF18" s="1">
        <v>0.1211938372478067</v>
      </c>
      <c r="AG18" s="1">
        <v>8.2207018312194999E-3</v>
      </c>
      <c r="AH18" s="1">
        <v>-5.6626904765828247E-2</v>
      </c>
      <c r="AI18" s="1">
        <v>9.0039638246077899E-2</v>
      </c>
      <c r="AJ18" s="1">
        <v>5.4373028113403478E-2</v>
      </c>
      <c r="AK18" s="1">
        <v>-0.10006972725559291</v>
      </c>
      <c r="AL18" s="1">
        <v>-5.0455211092167267E-2</v>
      </c>
      <c r="AM18" s="1">
        <v>-4.829039838918775E-4</v>
      </c>
      <c r="AN18" s="1">
        <v>9.2246965846445483E-2</v>
      </c>
      <c r="AO18" s="1">
        <v>-7.7982406844543939E-2</v>
      </c>
      <c r="AP18" s="1">
        <v>-3.4824531468872558E-2</v>
      </c>
      <c r="AQ18" s="1">
        <v>-8.1982254183986927E-2</v>
      </c>
      <c r="AR18" s="1">
        <v>5.3434668181279898E-2</v>
      </c>
      <c r="AS18" s="1">
        <v>-2.3885240941049119E-2</v>
      </c>
      <c r="AT18" s="1">
        <v>1.0714471654195781E-2</v>
      </c>
      <c r="AU18" s="1">
        <v>3.7533086304277097E-2</v>
      </c>
      <c r="AV18" s="1">
        <v>1.9593644845331801E-2</v>
      </c>
      <c r="AW18" s="1">
        <v>-2.0035219231967188E-2</v>
      </c>
      <c r="AX18" s="1">
        <v>-4.2937574148260417E-2</v>
      </c>
      <c r="AY18" s="1">
        <v>7.5887326870443014E-2</v>
      </c>
      <c r="AZ18" s="1">
        <v>4.1182583638768484E-3</v>
      </c>
      <c r="BA18" s="1">
        <v>2.1082282188683129E-2</v>
      </c>
      <c r="BB18" s="1">
        <v>-5.221492251463121E-2</v>
      </c>
      <c r="BC18" s="1">
        <v>-1.9536550513639811E-3</v>
      </c>
      <c r="BD18" s="1">
        <v>6.8012371798242266E-2</v>
      </c>
      <c r="BE18" s="1">
        <v>1.7384474948009671E-2</v>
      </c>
      <c r="BF18" s="1">
        <v>-5.2819587304300739E-2</v>
      </c>
      <c r="BG18" s="1">
        <v>5.6580512316010183E-2</v>
      </c>
      <c r="BH18" s="1">
        <v>-8.1853736364483343E-2</v>
      </c>
      <c r="BI18" s="1">
        <v>-7.9212078110367512E-2</v>
      </c>
      <c r="BJ18" s="1">
        <v>-6.3145987190952171E-2</v>
      </c>
      <c r="BK18" s="1">
        <v>-1.6675767791737978E-2</v>
      </c>
      <c r="BL18" s="1">
        <v>3.6493375482421077E-2</v>
      </c>
      <c r="BM18" s="1">
        <v>-4.7397804852120778E-4</v>
      </c>
      <c r="BN18" s="1">
        <v>-0.1042941210774357</v>
      </c>
      <c r="BO18" s="1">
        <v>-6.9432375036616811E-2</v>
      </c>
      <c r="BP18" s="1">
        <v>0.1156315792096803</v>
      </c>
      <c r="BQ18" s="1">
        <v>4.3169933276580398E-2</v>
      </c>
      <c r="BR18" s="1">
        <v>0.1618537612997544</v>
      </c>
      <c r="BS18" s="1">
        <v>-3.9722352242764887E-2</v>
      </c>
      <c r="BT18" s="1">
        <v>4.3696697009945627E-2</v>
      </c>
      <c r="BU18" s="1">
        <v>5.5504622895669667E-2</v>
      </c>
      <c r="BV18" s="1">
        <v>-0.10039696801729341</v>
      </c>
      <c r="BW18" s="1">
        <v>6.8018451951025682E-2</v>
      </c>
      <c r="BX18" s="1">
        <v>7.2551485253444389E-2</v>
      </c>
      <c r="BY18" s="1">
        <v>7.1764632364093917E-2</v>
      </c>
      <c r="BZ18" s="1">
        <v>2.098590418954482E-2</v>
      </c>
      <c r="CA18" s="1">
        <v>-1.0393544938029979E-2</v>
      </c>
      <c r="CB18" s="1">
        <v>4.7089121978573581E-2</v>
      </c>
      <c r="CC18" s="1">
        <v>1.9810438723189081E-2</v>
      </c>
      <c r="CD18" s="1">
        <v>-3.7983874830716982E-2</v>
      </c>
      <c r="CE18" s="1">
        <v>5.5828567206639507E-2</v>
      </c>
      <c r="CF18" s="1">
        <v>-8.0704041365459778E-2</v>
      </c>
      <c r="CG18" s="1">
        <v>-2.9303664898848111E-2</v>
      </c>
      <c r="CH18" s="1">
        <v>-9.8431929116989336E-2</v>
      </c>
      <c r="CI18" s="1">
        <v>0.18956144613241471</v>
      </c>
      <c r="CJ18" s="1">
        <v>-2.2028240556287999E-2</v>
      </c>
      <c r="CK18" s="1">
        <v>0.1369115426962475</v>
      </c>
      <c r="CL18" s="1">
        <v>-0.16744910114945241</v>
      </c>
      <c r="CM18" s="1">
        <v>-4.5612276583068302E-2</v>
      </c>
      <c r="CN18" s="1">
        <v>9.3722238714878142E-2</v>
      </c>
      <c r="CO18" s="1">
        <v>3.7338084855707422E-2</v>
      </c>
      <c r="CP18" s="1">
        <v>5.2863945585534533E-3</v>
      </c>
      <c r="CQ18" s="1">
        <v>1.845484444023061E-2</v>
      </c>
      <c r="CR18" s="1">
        <v>-4.1941292875537078E-2</v>
      </c>
      <c r="CS18" s="1">
        <v>5.8571332193400077E-2</v>
      </c>
      <c r="CT18" s="1">
        <v>2.4741169923618141E-2</v>
      </c>
      <c r="CU18" s="1">
        <v>8.4904466128635364E-2</v>
      </c>
      <c r="CV18" s="1">
        <v>7.5509124165371186E-2</v>
      </c>
      <c r="CW18" s="1">
        <v>-4.6448024905785701E-2</v>
      </c>
      <c r="CX18" s="1">
        <v>-4.4795599681362083E-2</v>
      </c>
      <c r="CY18" s="1">
        <v>7.6395826088936809E-3</v>
      </c>
      <c r="CZ18" s="1">
        <v>8.0269508785132421E-2</v>
      </c>
      <c r="DA18" s="1">
        <v>6.0609862832963927E-2</v>
      </c>
      <c r="DB18" s="1">
        <v>-6.4855598536665698E-2</v>
      </c>
      <c r="DC18" s="1">
        <v>-4.5653848799343283E-2</v>
      </c>
      <c r="DD18" s="1">
        <v>-1.9305858885494021E-2</v>
      </c>
      <c r="DE18" s="1">
        <v>6.8800740508181052E-2</v>
      </c>
      <c r="DF18" s="1">
        <v>-4.3022385847838393E-2</v>
      </c>
      <c r="DG18" s="1">
        <v>-7.6482322494264385E-2</v>
      </c>
      <c r="DH18" s="1">
        <v>-8.6660966186198188E-2</v>
      </c>
      <c r="DI18" s="1">
        <v>-7.7294866950776003E-2</v>
      </c>
      <c r="DJ18" s="1">
        <v>0.1558369239269505</v>
      </c>
      <c r="DK18" s="1">
        <v>-0.11555866834282701</v>
      </c>
      <c r="DL18" s="1">
        <v>-7.3965348984809901E-2</v>
      </c>
      <c r="DM18" s="1">
        <v>-3.5445016243594918E-2</v>
      </c>
      <c r="DN18" s="1">
        <v>5.4443676188277279E-2</v>
      </c>
      <c r="DO18" s="1">
        <v>-5.1423223303966488E-2</v>
      </c>
      <c r="DP18" s="1">
        <v>-1.0825690343010711E-2</v>
      </c>
      <c r="DQ18" s="1">
        <v>4.7499555189982598E-2</v>
      </c>
      <c r="DR18" s="1">
        <v>3.122626021372055E-2</v>
      </c>
      <c r="DS18" s="1">
        <v>1.132328780334056E-2</v>
      </c>
      <c r="DT18" s="1">
        <v>-2.623771973611266E-2</v>
      </c>
      <c r="DU18" s="1">
        <v>1.180325695683488E-2</v>
      </c>
      <c r="DV18" s="1">
        <v>0.14184335609073789</v>
      </c>
      <c r="DW18" s="1">
        <v>-5.8804942044774662E-2</v>
      </c>
      <c r="DX18" s="1">
        <v>-4.336682600779071E-2</v>
      </c>
      <c r="DY18" s="1">
        <v>6.5202632762829615E-2</v>
      </c>
      <c r="DZ18" s="1">
        <v>-5.7107412615168857E-2</v>
      </c>
      <c r="EA18" s="1">
        <v>-7.531326235783195E-2</v>
      </c>
      <c r="EB18" s="1">
        <v>-2.9394572178659931E-2</v>
      </c>
      <c r="EC18" s="1">
        <v>-4.4447660999968001E-3</v>
      </c>
      <c r="ED18" s="1">
        <v>-5.1872164479342522E-2</v>
      </c>
      <c r="EE18" s="1">
        <v>1.1620678370096151E-2</v>
      </c>
      <c r="EF18" s="1">
        <v>6.5544713018521467E-2</v>
      </c>
    </row>
    <row r="19" spans="1:136" ht="16" customHeight="1">
      <c r="A19" s="6">
        <v>120</v>
      </c>
      <c r="B19" s="6">
        <v>8</v>
      </c>
      <c r="C19" s="9">
        <v>3.443052165985146E-3</v>
      </c>
      <c r="D19" s="9">
        <v>-3.4114759477065493E-2</v>
      </c>
      <c r="E19" s="9">
        <v>2.1229930355090309E-2</v>
      </c>
      <c r="F19" s="9">
        <v>8.0752164152319103E-2</v>
      </c>
      <c r="G19" s="9">
        <v>0.14170195333464089</v>
      </c>
      <c r="H19" s="9">
        <v>-2.533448680829942E-2</v>
      </c>
      <c r="I19" s="9">
        <v>0.13403569479334951</v>
      </c>
      <c r="J19" s="9">
        <v>3.3237528399950637E-2</v>
      </c>
      <c r="K19" s="9">
        <v>8.0449042046546626E-2</v>
      </c>
      <c r="L19" s="2">
        <v>1.286852030610734E-3</v>
      </c>
      <c r="M19" s="2">
        <v>-8.5573118112855201E-2</v>
      </c>
      <c r="N19" s="2">
        <v>-0.2077083382689732</v>
      </c>
      <c r="O19" s="1">
        <v>6.0431164310222392E-2</v>
      </c>
      <c r="P19" s="1">
        <v>-3.9117031929030727E-3</v>
      </c>
      <c r="Q19" s="1">
        <v>3.9351449580892282E-2</v>
      </c>
      <c r="R19" s="1">
        <v>1.6659024504467459E-2</v>
      </c>
      <c r="S19" s="1">
        <v>3.0947620374772711E-2</v>
      </c>
      <c r="T19" s="1">
        <v>1.7684873277377909E-2</v>
      </c>
      <c r="U19" s="1">
        <v>0.12956222073383031</v>
      </c>
      <c r="V19" s="1">
        <v>2.7569841050647571E-2</v>
      </c>
      <c r="W19" s="1">
        <v>0.107253567444009</v>
      </c>
      <c r="X19" s="1">
        <v>2.6242628496368631E-3</v>
      </c>
      <c r="Y19" s="1">
        <v>-9.9203728606397784E-3</v>
      </c>
      <c r="Z19" s="1">
        <v>6.0105553630568041E-2</v>
      </c>
      <c r="AA19" s="1">
        <v>-3.1296668535777873E-2</v>
      </c>
      <c r="AB19" s="1">
        <v>-3.2246492702427729E-2</v>
      </c>
      <c r="AC19" s="1">
        <v>6.772225619862024E-2</v>
      </c>
      <c r="AD19" s="1">
        <v>4.0802296981476041E-2</v>
      </c>
      <c r="AE19" s="1">
        <v>-7.9743368130775164E-2</v>
      </c>
      <c r="AF19" s="1">
        <v>0.13710219191513451</v>
      </c>
      <c r="AG19" s="1">
        <v>-4.5273803678921379E-3</v>
      </c>
      <c r="AH19" s="1">
        <v>-5.3106563624169427E-2</v>
      </c>
      <c r="AI19" s="1">
        <v>0.109361908169034</v>
      </c>
      <c r="AJ19" s="1">
        <v>6.7225917371099453E-2</v>
      </c>
      <c r="AK19" s="1">
        <v>-0.1064952966648819</v>
      </c>
      <c r="AL19" s="1">
        <v>-2.720069107724821E-2</v>
      </c>
      <c r="AM19" s="1">
        <v>1.177973386593256E-4</v>
      </c>
      <c r="AN19" s="1">
        <v>0.11960125757266531</v>
      </c>
      <c r="AO19" s="1">
        <v>-0.1211823932649128</v>
      </c>
      <c r="AP19" s="1">
        <v>-2.678496047142526E-2</v>
      </c>
      <c r="AQ19" s="1">
        <v>-0.1241366613098132</v>
      </c>
      <c r="AR19" s="1">
        <v>3.7953856556245863E-2</v>
      </c>
      <c r="AS19" s="1">
        <v>-7.6907374501020663E-3</v>
      </c>
      <c r="AT19" s="1">
        <v>2.1772348873311819E-2</v>
      </c>
      <c r="AU19" s="1">
        <v>4.1176678864625012E-2</v>
      </c>
      <c r="AV19" s="1">
        <v>1.3933229848211199E-2</v>
      </c>
      <c r="AW19" s="1">
        <v>-4.5093542880509777E-2</v>
      </c>
      <c r="AX19" s="1">
        <v>-2.7095513181899011E-2</v>
      </c>
      <c r="AY19" s="1">
        <v>3.4718199941447092E-2</v>
      </c>
      <c r="AZ19" s="1">
        <v>2.0305983734255829E-2</v>
      </c>
      <c r="BA19" s="1">
        <v>7.8602069416975982E-3</v>
      </c>
      <c r="BB19" s="1">
        <v>-8.0636653959692203E-2</v>
      </c>
      <c r="BC19" s="1">
        <v>-3.5577806489836307E-2</v>
      </c>
      <c r="BD19" s="1">
        <v>5.0031577569579738E-2</v>
      </c>
      <c r="BE19" s="1">
        <v>1.1238807062846679E-2</v>
      </c>
      <c r="BF19" s="1">
        <v>-7.5746702523224185E-2</v>
      </c>
      <c r="BG19" s="1">
        <v>0.1027779389569823</v>
      </c>
      <c r="BH19" s="1">
        <v>-0.1060003976269016</v>
      </c>
      <c r="BI19" s="1">
        <v>-8.8462214688004498E-2</v>
      </c>
      <c r="BJ19" s="1">
        <v>-7.4190564581785468E-2</v>
      </c>
      <c r="BK19" s="1">
        <v>-7.4480784721223728E-3</v>
      </c>
      <c r="BL19" s="1">
        <v>5.1117339101453482E-2</v>
      </c>
      <c r="BM19" s="1">
        <v>-1.425208329947625E-2</v>
      </c>
      <c r="BN19" s="1">
        <v>-0.1055243638504041</v>
      </c>
      <c r="BO19" s="1">
        <v>4.892689701538902E-3</v>
      </c>
      <c r="BP19" s="1">
        <v>0.1108198297340572</v>
      </c>
      <c r="BQ19" s="1">
        <v>5.4395196568104903E-2</v>
      </c>
      <c r="BR19" s="1">
        <v>0.18345257111104499</v>
      </c>
      <c r="BS19" s="1">
        <v>-3.2903309965414088E-2</v>
      </c>
      <c r="BT19" s="1">
        <v>4.5901122721393753E-2</v>
      </c>
      <c r="BU19" s="1">
        <v>5.0221349386738751E-2</v>
      </c>
      <c r="BV19" s="1">
        <v>-9.6397570916667813E-2</v>
      </c>
      <c r="BW19" s="1">
        <v>6.3098423468145981E-2</v>
      </c>
      <c r="BX19" s="1">
        <v>7.8919709069768071E-2</v>
      </c>
      <c r="BY19" s="1">
        <v>8.74469286299068E-2</v>
      </c>
      <c r="BZ19" s="1">
        <v>2.1993623210089991E-2</v>
      </c>
      <c r="CA19" s="1">
        <v>-1.611307818188025E-2</v>
      </c>
      <c r="CB19" s="1">
        <v>5.8471606340049297E-2</v>
      </c>
      <c r="CC19" s="1">
        <v>4.4744317559964192E-3</v>
      </c>
      <c r="CD19" s="1">
        <v>-6.1376690248334323E-2</v>
      </c>
      <c r="CE19" s="1">
        <v>7.9841683111972678E-2</v>
      </c>
      <c r="CF19" s="1">
        <v>-8.6335718445396295E-2</v>
      </c>
      <c r="CG19" s="1">
        <v>-9.5754132744059042E-2</v>
      </c>
      <c r="CH19" s="1">
        <v>-0.1387024662400006</v>
      </c>
      <c r="CI19" s="1">
        <v>0.21388534686517591</v>
      </c>
      <c r="CJ19" s="1">
        <v>-3.2625239533657299E-3</v>
      </c>
      <c r="CK19" s="1">
        <v>0.14369066852396209</v>
      </c>
      <c r="CL19" s="1">
        <v>-0.24847889250851229</v>
      </c>
      <c r="CM19" s="1">
        <v>-4.3715366830074397E-2</v>
      </c>
      <c r="CN19" s="1">
        <v>0.13476320693594029</v>
      </c>
      <c r="CO19" s="1">
        <v>2.1559553114810202E-2</v>
      </c>
      <c r="CP19" s="1">
        <v>-6.4980884391919042E-3</v>
      </c>
      <c r="CQ19" s="1">
        <v>1.113508197098401E-2</v>
      </c>
      <c r="CR19" s="1">
        <v>-3.3683178980567108E-2</v>
      </c>
      <c r="CS19" s="1">
        <v>6.3773272949255527E-2</v>
      </c>
      <c r="CT19" s="1">
        <v>2.0322815198319449E-2</v>
      </c>
      <c r="CU19" s="1">
        <v>9.4327424593509457E-2</v>
      </c>
      <c r="CV19" s="1">
        <v>7.9651411763067476E-2</v>
      </c>
      <c r="CW19" s="1">
        <v>-2.6165505721630389E-2</v>
      </c>
      <c r="CX19" s="1">
        <v>-2.9866927657574659E-2</v>
      </c>
      <c r="CY19" s="1">
        <v>1.086727751879764E-2</v>
      </c>
      <c r="CZ19" s="1">
        <v>9.0082651319275592E-2</v>
      </c>
      <c r="DA19" s="1">
        <v>6.7902275575140017E-2</v>
      </c>
      <c r="DB19" s="1">
        <v>-5.9817300332527648E-2</v>
      </c>
      <c r="DC19" s="1">
        <v>-4.4965286850071173E-2</v>
      </c>
      <c r="DD19" s="1">
        <v>-1.705163833493932E-2</v>
      </c>
      <c r="DE19" s="1">
        <v>9.704523832710088E-3</v>
      </c>
      <c r="DF19" s="1">
        <v>-4.6826104659249808E-2</v>
      </c>
      <c r="DG19" s="1">
        <v>-0.10240227946389741</v>
      </c>
      <c r="DH19" s="1">
        <v>-9.2184712298342103E-2</v>
      </c>
      <c r="DI19" s="1">
        <v>-7.1179830582593889E-2</v>
      </c>
      <c r="DJ19" s="1">
        <v>0.16726497627614781</v>
      </c>
      <c r="DK19" s="1">
        <v>-0.10156020183390251</v>
      </c>
      <c r="DL19" s="1">
        <v>-7.4861807757463594E-2</v>
      </c>
      <c r="DM19" s="1">
        <v>-2.483124976871439E-2</v>
      </c>
      <c r="DN19" s="1">
        <v>4.3606220310141858E-2</v>
      </c>
      <c r="DO19" s="1">
        <v>-5.9281068017541801E-2</v>
      </c>
      <c r="DP19" s="1">
        <v>-1.417958518061865E-2</v>
      </c>
      <c r="DQ19" s="1">
        <v>3.5883976774519821E-2</v>
      </c>
      <c r="DR19" s="1">
        <v>3.6688961331499272E-2</v>
      </c>
      <c r="DS19" s="1">
        <v>1.990323839921113E-2</v>
      </c>
      <c r="DT19" s="1">
        <v>-7.5344898290225781E-3</v>
      </c>
      <c r="DU19" s="1">
        <v>1.599755608009364E-2</v>
      </c>
      <c r="DV19" s="1">
        <v>0.144340554513502</v>
      </c>
      <c r="DW19" s="1">
        <v>-3.8731474396507107E-2</v>
      </c>
      <c r="DX19" s="1">
        <v>-4.2663210800563477E-2</v>
      </c>
      <c r="DY19" s="1">
        <v>7.8164814601063407E-2</v>
      </c>
      <c r="DZ19" s="1">
        <v>-1.83556775109764E-3</v>
      </c>
      <c r="EA19" s="1">
        <v>-5.6364518553972592E-2</v>
      </c>
      <c r="EB19" s="1">
        <v>-3.2955059489295113E-2</v>
      </c>
      <c r="EC19" s="1">
        <v>4.2087431423108454E-3</v>
      </c>
      <c r="ED19" s="1">
        <v>-1.9877495232507019E-2</v>
      </c>
      <c r="EE19" s="1">
        <v>1.7924510205338289E-2</v>
      </c>
      <c r="EF19" s="1">
        <v>6.9255381110723879E-2</v>
      </c>
    </row>
    <row r="20" spans="1:136" ht="16" customHeight="1">
      <c r="A20" s="6">
        <v>137</v>
      </c>
      <c r="B20" s="6">
        <v>7</v>
      </c>
      <c r="C20" s="9">
        <v>2.0288327461452829E-2</v>
      </c>
      <c r="D20" s="9">
        <v>-1.381809617291975E-2</v>
      </c>
      <c r="E20" s="9">
        <v>2.6501157485152631E-2</v>
      </c>
      <c r="F20" s="9">
        <v>0.11938296010218979</v>
      </c>
      <c r="G20" s="9">
        <v>0.15796013924768751</v>
      </c>
      <c r="H20" s="9">
        <v>-4.313556281768155E-2</v>
      </c>
      <c r="I20" s="9">
        <v>0.15623011933530459</v>
      </c>
      <c r="J20" s="9">
        <v>5.4282230355079397E-2</v>
      </c>
      <c r="K20" s="9">
        <v>0.1150541670370385</v>
      </c>
      <c r="L20" s="2">
        <v>2.2842861682269909E-3</v>
      </c>
      <c r="M20" s="2">
        <v>-8.8122790405250201E-2</v>
      </c>
      <c r="N20" s="2">
        <v>-0.2994010877480881</v>
      </c>
      <c r="O20" s="1">
        <v>6.9386189513415325E-2</v>
      </c>
      <c r="P20" s="1">
        <v>9.4140371955634874E-3</v>
      </c>
      <c r="Q20" s="1">
        <v>-3.5206997205469041E-2</v>
      </c>
      <c r="R20" s="1">
        <v>2.937833538504599E-2</v>
      </c>
      <c r="S20" s="1">
        <v>3.4228435931449773E-2</v>
      </c>
      <c r="T20" s="1">
        <v>1.561175977211751E-2</v>
      </c>
      <c r="U20" s="1">
        <v>0.13272604755332609</v>
      </c>
      <c r="V20" s="1">
        <v>2.4136735458464311E-2</v>
      </c>
      <c r="W20" s="1">
        <v>0.1011943013606538</v>
      </c>
      <c r="X20" s="1">
        <v>6.6850736899666738E-3</v>
      </c>
      <c r="Y20" s="1">
        <v>-2.0388838884732401E-2</v>
      </c>
      <c r="Z20" s="1">
        <v>8.0471110522480224E-2</v>
      </c>
      <c r="AA20" s="1">
        <v>-1.9210040808898789E-2</v>
      </c>
      <c r="AB20" s="1">
        <v>-3.3295599859126737E-2</v>
      </c>
      <c r="AC20" s="1">
        <v>8.2927243480150431E-2</v>
      </c>
      <c r="AD20" s="1">
        <v>2.9847712504455341E-2</v>
      </c>
      <c r="AE20" s="1">
        <v>-8.4368786931791159E-2</v>
      </c>
      <c r="AF20" s="1">
        <v>0.13145645134750139</v>
      </c>
      <c r="AG20" s="1">
        <v>-3.3355881456541212E-2</v>
      </c>
      <c r="AH20" s="1">
        <v>-5.2692404719030722E-2</v>
      </c>
      <c r="AI20" s="1">
        <v>0.1492000281163573</v>
      </c>
      <c r="AJ20" s="1">
        <v>6.6902633427558145E-2</v>
      </c>
      <c r="AK20" s="1">
        <v>-7.550061204617739E-2</v>
      </c>
      <c r="AL20" s="1">
        <v>-2.3756311233894749E-2</v>
      </c>
      <c r="AM20" s="1">
        <v>-8.3278952856205971E-2</v>
      </c>
      <c r="AN20" s="1">
        <v>0.1079464722256796</v>
      </c>
      <c r="AO20" s="1">
        <v>-0.1179445138119545</v>
      </c>
      <c r="AP20" s="1">
        <v>-3.5985909651518717E-2</v>
      </c>
      <c r="AQ20" s="1">
        <v>-0.14940016678503859</v>
      </c>
      <c r="AR20" s="1">
        <v>5.3599691208490348E-2</v>
      </c>
      <c r="AS20" s="1">
        <v>1.16821276576312E-2</v>
      </c>
      <c r="AT20" s="1">
        <v>1.4017357210960431E-2</v>
      </c>
      <c r="AU20" s="1">
        <v>3.1818795061018361E-2</v>
      </c>
      <c r="AV20" s="1">
        <v>-6.1904767728544934E-3</v>
      </c>
      <c r="AW20" s="1">
        <v>-2.7428949452237492E-2</v>
      </c>
      <c r="AX20" s="1">
        <v>-2.7068058812423908E-2</v>
      </c>
      <c r="AY20" s="1">
        <v>-1.244299907949642E-2</v>
      </c>
      <c r="AZ20" s="1">
        <v>2.3144841828750609E-2</v>
      </c>
      <c r="BA20" s="1">
        <v>1.153337228462349E-2</v>
      </c>
      <c r="BB20" s="1">
        <v>-9.4841437173290952E-2</v>
      </c>
      <c r="BC20" s="1">
        <v>-4.4226476798638392E-2</v>
      </c>
      <c r="BD20" s="1">
        <v>6.4860699394588939E-2</v>
      </c>
      <c r="BE20" s="1">
        <v>1.027340211433495E-2</v>
      </c>
      <c r="BF20" s="1">
        <v>-0.1010595283226879</v>
      </c>
      <c r="BG20" s="1">
        <v>0.13354478295205249</v>
      </c>
      <c r="BH20" s="1">
        <v>-8.4087318247830001E-2</v>
      </c>
      <c r="BI20" s="1">
        <v>-0.1191894742075409</v>
      </c>
      <c r="BJ20" s="1">
        <v>-6.0352260801196309E-2</v>
      </c>
      <c r="BK20" s="1">
        <v>-4.2345115988512844E-3</v>
      </c>
      <c r="BL20" s="1">
        <v>3.4624583669256102E-2</v>
      </c>
      <c r="BM20" s="1">
        <v>-2.186348543245616E-2</v>
      </c>
      <c r="BN20" s="1">
        <v>-9.4393283814396281E-2</v>
      </c>
      <c r="BO20" s="1">
        <v>8.269134952580727E-3</v>
      </c>
      <c r="BP20" s="1">
        <v>3.9488146777132527E-2</v>
      </c>
      <c r="BQ20" s="1">
        <v>3.7730243638668233E-2</v>
      </c>
      <c r="BR20" s="1">
        <v>0.1690921940525579</v>
      </c>
      <c r="BS20" s="1">
        <v>-1.9097795375240461E-2</v>
      </c>
      <c r="BT20" s="1">
        <v>3.5004755851051568E-2</v>
      </c>
      <c r="BU20" s="1">
        <v>5.3120184893243022E-2</v>
      </c>
      <c r="BV20" s="1">
        <v>-0.100718763866418</v>
      </c>
      <c r="BW20" s="1">
        <v>3.2666591099208983E-2</v>
      </c>
      <c r="BX20" s="1">
        <v>9.3900045679794111E-2</v>
      </c>
      <c r="BY20" s="1">
        <v>9.5998433367774028E-2</v>
      </c>
      <c r="BZ20" s="1">
        <v>-6.7785243482561028E-2</v>
      </c>
      <c r="CA20" s="1">
        <v>-1.2267472791204879E-2</v>
      </c>
      <c r="CB20" s="1">
        <v>7.2911257098072113E-2</v>
      </c>
      <c r="CC20" s="1">
        <v>6.2139534871519554E-3</v>
      </c>
      <c r="CD20" s="1">
        <v>-4.8949304062818152E-2</v>
      </c>
      <c r="CE20" s="1">
        <v>9.0608748116032076E-2</v>
      </c>
      <c r="CF20" s="1">
        <v>-7.691461405571004E-2</v>
      </c>
      <c r="CG20" s="1">
        <v>-9.8265490172105896E-2</v>
      </c>
      <c r="CH20" s="1">
        <v>-0.19591305439972431</v>
      </c>
      <c r="CI20" s="1">
        <v>0.21915735764603889</v>
      </c>
      <c r="CJ20" s="1">
        <v>-6.9570763296422714E-3</v>
      </c>
      <c r="CK20" s="1">
        <v>0.10336265776610511</v>
      </c>
      <c r="CL20" s="1">
        <v>-0.2863774463615375</v>
      </c>
      <c r="CM20" s="1">
        <v>-6.7531468768333741E-2</v>
      </c>
      <c r="CN20" s="1">
        <v>0.14096812871176889</v>
      </c>
      <c r="CO20" s="1">
        <v>7.7970069111449991E-2</v>
      </c>
      <c r="CP20" s="1">
        <v>-1.7809151208515939E-2</v>
      </c>
      <c r="CQ20" s="1">
        <v>-1.9469468995862401E-3</v>
      </c>
      <c r="CR20" s="1">
        <v>-5.6637101406453352E-2</v>
      </c>
      <c r="CS20" s="1">
        <v>9.3034541030060453E-2</v>
      </c>
      <c r="CT20" s="1">
        <v>3.4971913027281661E-3</v>
      </c>
      <c r="CU20" s="1">
        <v>9.9623079532007663E-2</v>
      </c>
      <c r="CV20" s="1">
        <v>8.8968179387851828E-2</v>
      </c>
      <c r="CW20" s="1">
        <v>-5.5074298363009283E-2</v>
      </c>
      <c r="CX20" s="1">
        <v>-4.2436429107341543E-2</v>
      </c>
      <c r="CY20" s="1">
        <v>4.8722399510826436E-3</v>
      </c>
      <c r="CZ20" s="1">
        <v>6.8762931036658759E-2</v>
      </c>
      <c r="DA20" s="1">
        <v>7.241707495588158E-2</v>
      </c>
      <c r="DB20" s="1">
        <v>-8.646060410001738E-2</v>
      </c>
      <c r="DC20" s="1">
        <v>-6.008320403123607E-2</v>
      </c>
      <c r="DD20" s="1">
        <v>-4.8806127584805958E-2</v>
      </c>
      <c r="DE20" s="1">
        <v>2.462831500347297E-2</v>
      </c>
      <c r="DF20" s="1">
        <v>-4.8374214960734338E-2</v>
      </c>
      <c r="DG20" s="1">
        <v>-0.1255710716683778</v>
      </c>
      <c r="DH20" s="1">
        <v>-0.1024305836751717</v>
      </c>
      <c r="DI20" s="1">
        <v>-8.1066381842120255E-2</v>
      </c>
      <c r="DJ20" s="1">
        <v>0.18304163249965419</v>
      </c>
      <c r="DK20" s="1">
        <v>-9.9041062347003217E-2</v>
      </c>
      <c r="DL20" s="1">
        <v>-4.6438539631352943E-2</v>
      </c>
      <c r="DM20" s="1">
        <v>-5.2897131209722198E-2</v>
      </c>
      <c r="DN20" s="1">
        <v>8.8925924152682967E-3</v>
      </c>
      <c r="DO20" s="1">
        <v>-6.725939513472029E-2</v>
      </c>
      <c r="DP20" s="1">
        <v>-1.4209129262767531E-2</v>
      </c>
      <c r="DQ20" s="1">
        <v>3.4218915785406867E-2</v>
      </c>
      <c r="DR20" s="1">
        <v>5.1452051693385847E-2</v>
      </c>
      <c r="DS20" s="1">
        <v>1.395379991897093E-2</v>
      </c>
      <c r="DT20" s="1">
        <v>-5.2117230466174752E-3</v>
      </c>
      <c r="DU20" s="1">
        <v>5.6573756485610305E-4</v>
      </c>
      <c r="DV20" s="1">
        <v>5.9036258987718089E-2</v>
      </c>
      <c r="DW20" s="1">
        <v>-5.3528114904581918E-2</v>
      </c>
      <c r="DX20" s="1">
        <v>-5.3717702471494891E-2</v>
      </c>
      <c r="DY20" s="1">
        <v>5.3488378695806901E-2</v>
      </c>
      <c r="DZ20" s="1">
        <v>-1.240547219871589E-2</v>
      </c>
      <c r="EA20" s="1">
        <v>-6.0673147483992863E-2</v>
      </c>
      <c r="EB20" s="1">
        <v>-3.3054230528019903E-2</v>
      </c>
      <c r="EC20" s="1">
        <v>1.4852473367186E-2</v>
      </c>
      <c r="ED20" s="1">
        <v>-2.631580563823778E-2</v>
      </c>
      <c r="EE20" s="1">
        <v>2.5600682698436409E-2</v>
      </c>
      <c r="EF20" s="1">
        <v>7.9182483709144366E-2</v>
      </c>
    </row>
    <row r="21" spans="1:136" ht="16" customHeight="1">
      <c r="A21" s="6">
        <v>160</v>
      </c>
      <c r="B21" s="6">
        <v>6</v>
      </c>
      <c r="C21" s="9">
        <v>1.417061362584035E-2</v>
      </c>
      <c r="D21" s="9">
        <v>3.738942649264027E-3</v>
      </c>
      <c r="E21" s="9">
        <v>2.9561051994036261E-2</v>
      </c>
      <c r="F21" s="9">
        <v>0.1776886618055605</v>
      </c>
      <c r="G21" s="9">
        <v>0.12538655935667489</v>
      </c>
      <c r="H21" s="9">
        <v>5.2119611263637539E-3</v>
      </c>
      <c r="I21" s="9">
        <v>0.18530146379764539</v>
      </c>
      <c r="J21" s="9">
        <v>8.4289728356281152E-2</v>
      </c>
      <c r="K21" s="9">
        <v>0.13535885985527671</v>
      </c>
      <c r="L21" s="2">
        <v>1.6273317780561219E-2</v>
      </c>
      <c r="M21" s="2">
        <v>-6.6788099197594639E-2</v>
      </c>
      <c r="N21" s="2">
        <v>-0.29842616270883998</v>
      </c>
      <c r="O21" s="1">
        <v>8.2510445811965497E-2</v>
      </c>
      <c r="P21" s="1">
        <v>2.847115841292993E-2</v>
      </c>
      <c r="Q21" s="1">
        <v>-6.6220950754096619E-2</v>
      </c>
      <c r="R21" s="1">
        <v>1.1653818192036459E-2</v>
      </c>
      <c r="S21" s="1">
        <v>3.9573074285040408E-2</v>
      </c>
      <c r="T21" s="1">
        <v>3.2498889807820397E-2</v>
      </c>
      <c r="U21" s="1">
        <v>9.5375372349739085E-2</v>
      </c>
      <c r="V21" s="1">
        <v>-4.2103525563890742E-3</v>
      </c>
      <c r="W21" s="1">
        <v>9.3906669543040652E-2</v>
      </c>
      <c r="X21" s="1">
        <v>3.1896124106812369E-2</v>
      </c>
      <c r="Y21" s="1">
        <v>-4.3088843283800332E-2</v>
      </c>
      <c r="Z21" s="1">
        <v>0.1049984911106354</v>
      </c>
      <c r="AA21" s="1">
        <v>-1.197237302549841E-2</v>
      </c>
      <c r="AB21" s="1">
        <v>-2.8261486646657528E-2</v>
      </c>
      <c r="AC21" s="1">
        <v>8.2957630715251959E-2</v>
      </c>
      <c r="AD21" s="1">
        <v>7.5010147203702096E-2</v>
      </c>
      <c r="AE21" s="1">
        <v>-5.8804323861905441E-2</v>
      </c>
      <c r="AF21" s="1">
        <v>7.3773497411348657E-2</v>
      </c>
      <c r="AG21" s="1">
        <v>4.5374131544293761E-3</v>
      </c>
      <c r="AH21" s="1">
        <v>-6.4313304249439027E-2</v>
      </c>
      <c r="AI21" s="1">
        <v>0.17788052051411779</v>
      </c>
      <c r="AJ21" s="1">
        <v>4.3796787648090307E-2</v>
      </c>
      <c r="AK21" s="1">
        <v>-9.5792501257339679E-2</v>
      </c>
      <c r="AL21" s="1">
        <v>-6.1708845939544753E-2</v>
      </c>
      <c r="AM21" s="1">
        <v>-9.0506590665753159E-2</v>
      </c>
      <c r="AN21" s="1">
        <v>0.1155595412104507</v>
      </c>
      <c r="AO21" s="1">
        <v>-7.8897676831437724E-2</v>
      </c>
      <c r="AP21" s="1">
        <v>-0.10438704605833959</v>
      </c>
      <c r="AQ21" s="1">
        <v>-0.13674694226173109</v>
      </c>
      <c r="AR21" s="1">
        <v>6.0928759296855248E-2</v>
      </c>
      <c r="AS21" s="1">
        <v>4.8554025694427273E-2</v>
      </c>
      <c r="AT21" s="1">
        <v>6.4221133879635538E-3</v>
      </c>
      <c r="AU21" s="1">
        <v>4.5615300670792697E-2</v>
      </c>
      <c r="AV21" s="1">
        <v>-1.7717024707103759E-2</v>
      </c>
      <c r="AW21" s="1">
        <v>-2.8836933181371351E-2</v>
      </c>
      <c r="AX21" s="1">
        <v>-5.4653745741173026E-3</v>
      </c>
      <c r="AY21" s="1">
        <v>2.9063425346645931E-2</v>
      </c>
      <c r="AZ21" s="1">
        <v>5.8566475739364708E-3</v>
      </c>
      <c r="BA21" s="1">
        <v>1.8003839555209199E-2</v>
      </c>
      <c r="BB21" s="1">
        <v>-0.114650324572797</v>
      </c>
      <c r="BC21" s="1">
        <v>-6.559755200053452E-2</v>
      </c>
      <c r="BD21" s="1">
        <v>8.3771202009185419E-2</v>
      </c>
      <c r="BE21" s="1">
        <v>-6.579428952886851E-4</v>
      </c>
      <c r="BF21" s="1">
        <v>-0.1234697962283955</v>
      </c>
      <c r="BG21" s="1">
        <v>0.15400692613680311</v>
      </c>
      <c r="BH21" s="1">
        <v>-0.1080103220364243</v>
      </c>
      <c r="BI21" s="1">
        <v>-0.12757213451658411</v>
      </c>
      <c r="BJ21" s="1">
        <v>-6.0711577932139479E-2</v>
      </c>
      <c r="BK21" s="1">
        <v>-1.932791243711587E-2</v>
      </c>
      <c r="BL21" s="1">
        <v>4.2692696355930003E-2</v>
      </c>
      <c r="BM21" s="1">
        <v>-1.2294533445539071E-2</v>
      </c>
      <c r="BN21" s="1">
        <v>-8.3750817310277878E-2</v>
      </c>
      <c r="BO21" s="1">
        <v>-1.2680735901555971E-2</v>
      </c>
      <c r="BP21" s="1">
        <v>5.6761406573451141E-2</v>
      </c>
      <c r="BQ21" s="1">
        <v>3.0274652429513479E-2</v>
      </c>
      <c r="BR21" s="1">
        <v>0.102126663029042</v>
      </c>
      <c r="BS21" s="1">
        <v>9.5808992419894323E-3</v>
      </c>
      <c r="BT21" s="1">
        <v>4.1864956612230303E-2</v>
      </c>
      <c r="BU21" s="1">
        <v>6.9234332013254379E-2</v>
      </c>
      <c r="BV21" s="1">
        <v>-0.1291369849969092</v>
      </c>
      <c r="BW21" s="1">
        <v>4.6771460956974313E-2</v>
      </c>
      <c r="BX21" s="1">
        <v>0.1175696318381606</v>
      </c>
      <c r="BY21" s="1">
        <v>0.1123063552768796</v>
      </c>
      <c r="BZ21" s="1">
        <v>-3.23742949104526E-2</v>
      </c>
      <c r="CA21" s="1">
        <v>5.8178939889110687E-3</v>
      </c>
      <c r="CB21" s="1">
        <v>9.0264913235887978E-2</v>
      </c>
      <c r="CC21" s="1">
        <v>-2.4711040335052031E-2</v>
      </c>
      <c r="CD21" s="1">
        <v>-2.6261220951159341E-2</v>
      </c>
      <c r="CE21" s="1">
        <v>8.8850250272785869E-2</v>
      </c>
      <c r="CF21" s="1">
        <v>-7.552170896408808E-2</v>
      </c>
      <c r="CG21" s="1">
        <v>-8.7640012204966339E-2</v>
      </c>
      <c r="CH21" s="1">
        <v>-0.19610873223685629</v>
      </c>
      <c r="CI21" s="1">
        <v>0.29376096477372698</v>
      </c>
      <c r="CJ21" s="1">
        <v>-4.9615594320264614E-3</v>
      </c>
      <c r="CK21" s="1">
        <v>0.1048151767026481</v>
      </c>
      <c r="CL21" s="1">
        <v>-0.31598367202914679</v>
      </c>
      <c r="CM21" s="1">
        <v>-4.8507977416137042E-2</v>
      </c>
      <c r="CN21" s="1">
        <v>0.16662778750632981</v>
      </c>
      <c r="CO21" s="1">
        <v>4.6133096081600801E-2</v>
      </c>
      <c r="CP21" s="1">
        <v>-2.1714649435103751E-2</v>
      </c>
      <c r="CQ21" s="1">
        <v>-3.5615340231966931E-3</v>
      </c>
      <c r="CR21" s="1">
        <v>-8.1896281327090538E-4</v>
      </c>
      <c r="CS21" s="1">
        <v>0.1359034507508714</v>
      </c>
      <c r="CT21" s="1">
        <v>4.2926339087781679E-3</v>
      </c>
      <c r="CU21" s="1">
        <v>9.5412972406613478E-2</v>
      </c>
      <c r="CV21" s="1">
        <v>8.0332616977563442E-2</v>
      </c>
      <c r="CW21" s="1">
        <v>-5.220439999492521E-2</v>
      </c>
      <c r="CX21" s="1">
        <v>2.17244800150516E-2</v>
      </c>
      <c r="CY21" s="1">
        <v>1.41541879145435E-2</v>
      </c>
      <c r="CZ21" s="1">
        <v>8.3234747331811368E-2</v>
      </c>
      <c r="DA21" s="1">
        <v>5.681066874461374E-2</v>
      </c>
      <c r="DB21" s="1">
        <v>-9.4786783239331054E-2</v>
      </c>
      <c r="DC21" s="1">
        <v>-8.1591936128784653E-2</v>
      </c>
      <c r="DD21" s="1">
        <v>-1.5168702729372039E-3</v>
      </c>
      <c r="DE21" s="1">
        <v>6.0590485510163772E-2</v>
      </c>
      <c r="DF21" s="1">
        <v>-5.8060000446423773E-2</v>
      </c>
      <c r="DG21" s="1">
        <v>-9.7925719967743297E-2</v>
      </c>
      <c r="DH21" s="1">
        <v>-9.7100983136316793E-2</v>
      </c>
      <c r="DI21" s="1">
        <v>-7.799075059875725E-2</v>
      </c>
      <c r="DJ21" s="1">
        <v>0.17965000040780779</v>
      </c>
      <c r="DK21" s="1">
        <v>-0.13347011261847511</v>
      </c>
      <c r="DL21" s="1">
        <v>-4.1539196071656619E-2</v>
      </c>
      <c r="DM21" s="1">
        <v>-5.248297834857886E-2</v>
      </c>
      <c r="DN21" s="1">
        <v>2.5084353420257499E-2</v>
      </c>
      <c r="DO21" s="1">
        <v>-6.5203127954196097E-2</v>
      </c>
      <c r="DP21" s="1">
        <v>-2.579965964023212E-2</v>
      </c>
      <c r="DQ21" s="1">
        <v>7.5013927664844826E-3</v>
      </c>
      <c r="DR21" s="1">
        <v>6.6572909555215526E-2</v>
      </c>
      <c r="DS21" s="1">
        <v>-2.289179433063403E-3</v>
      </c>
      <c r="DT21" s="1">
        <v>5.5367513005972938E-2</v>
      </c>
      <c r="DU21" s="1">
        <v>-2.5836396073543631E-2</v>
      </c>
      <c r="DV21" s="1">
        <v>2.1412870985947411E-2</v>
      </c>
      <c r="DW21" s="1">
        <v>-5.2603057804992352E-2</v>
      </c>
      <c r="DX21" s="1">
        <v>3.3962205076641178E-4</v>
      </c>
      <c r="DY21" s="1">
        <v>7.7069099560074114E-2</v>
      </c>
      <c r="DZ21" s="1">
        <v>2.9567304560442619E-2</v>
      </c>
      <c r="EA21" s="1">
        <v>-9.3776578229457522E-2</v>
      </c>
      <c r="EB21" s="1">
        <v>-1.6968324257334889E-2</v>
      </c>
      <c r="EC21" s="1">
        <v>1.7932049490555321E-2</v>
      </c>
      <c r="ED21" s="1">
        <v>1.7901103391088271E-2</v>
      </c>
      <c r="EE21" s="1">
        <v>4.2735042995316552E-2</v>
      </c>
      <c r="EF21" s="1">
        <v>0.1029289139073024</v>
      </c>
    </row>
    <row r="22" spans="1:136" ht="16" customHeight="1">
      <c r="A22" s="6">
        <v>192</v>
      </c>
      <c r="B22" s="6">
        <v>5</v>
      </c>
      <c r="C22" s="9">
        <v>1.2696408260164469E-2</v>
      </c>
      <c r="D22" s="9">
        <v>5.7359618397013756E-3</v>
      </c>
      <c r="E22" s="9">
        <v>4.5567491176533102E-2</v>
      </c>
      <c r="F22" s="9">
        <v>0.15058182001928919</v>
      </c>
      <c r="G22" s="9">
        <v>0.14069840818617521</v>
      </c>
      <c r="H22" s="9">
        <v>2.53085483986118E-2</v>
      </c>
      <c r="I22" s="9">
        <v>0.24044579545920111</v>
      </c>
      <c r="J22" s="9">
        <v>1.24737477965142E-2</v>
      </c>
      <c r="K22" s="9">
        <v>0.13236028109223871</v>
      </c>
      <c r="L22" s="2">
        <v>6.646266323671754E-3</v>
      </c>
      <c r="M22" s="2">
        <v>-6.9602727833061179E-2</v>
      </c>
      <c r="N22" s="2">
        <v>-0.32558226207308749</v>
      </c>
      <c r="O22" s="1">
        <v>0.1020897696818665</v>
      </c>
      <c r="P22" s="1">
        <v>4.5990059185474802E-2</v>
      </c>
      <c r="Q22" s="1">
        <v>-6.632942501780352E-2</v>
      </c>
      <c r="R22" s="1">
        <v>-1.447158022093956E-2</v>
      </c>
      <c r="S22" s="1">
        <v>0.1057584697400826</v>
      </c>
      <c r="T22" s="1">
        <v>-1.213181047035046E-3</v>
      </c>
      <c r="U22" s="1">
        <v>9.3152443915675495E-2</v>
      </c>
      <c r="V22" s="1">
        <v>-2.2429716421404591E-2</v>
      </c>
      <c r="W22" s="1">
        <v>0.1082329136815615</v>
      </c>
      <c r="X22" s="1">
        <v>3.7686843559318443E-2</v>
      </c>
      <c r="Y22" s="1">
        <v>-6.242034189386237E-2</v>
      </c>
      <c r="Z22" s="1">
        <v>4.4118992520568917E-2</v>
      </c>
      <c r="AA22" s="1">
        <v>-1.004256780953937E-3</v>
      </c>
      <c r="AB22" s="1">
        <v>-2.5291440814533571E-2</v>
      </c>
      <c r="AC22" s="1">
        <v>0.100446244266209</v>
      </c>
      <c r="AD22" s="1">
        <v>0.11238290989510211</v>
      </c>
      <c r="AE22" s="1">
        <v>-9.9604830772072293E-3</v>
      </c>
      <c r="AF22" s="1">
        <v>0.1239292341698264</v>
      </c>
      <c r="AG22" s="1">
        <v>-5.3414692959672383E-3</v>
      </c>
      <c r="AH22" s="1">
        <v>-8.3068787823135752E-3</v>
      </c>
      <c r="AI22" s="1">
        <v>0.11068999565095219</v>
      </c>
      <c r="AJ22" s="1">
        <v>3.0571089946334111E-2</v>
      </c>
      <c r="AK22" s="1">
        <v>-1.4601133818832251E-2</v>
      </c>
      <c r="AL22" s="1">
        <v>-4.1326249555269687E-2</v>
      </c>
      <c r="AM22" s="1">
        <v>-8.6731530440894863E-2</v>
      </c>
      <c r="AN22" s="1">
        <v>6.892085522241885E-2</v>
      </c>
      <c r="AO22" s="1">
        <v>-3.6974260760940063E-2</v>
      </c>
      <c r="AP22" s="1">
        <v>-0.13315504364063699</v>
      </c>
      <c r="AQ22" s="1">
        <v>-0.18588105751585321</v>
      </c>
      <c r="AR22" s="1">
        <v>5.0828797334364698E-2</v>
      </c>
      <c r="AS22" s="1">
        <v>-7.8027456346561504E-3</v>
      </c>
      <c r="AT22" s="1">
        <v>3.8176590088387372E-3</v>
      </c>
      <c r="AU22" s="1">
        <v>6.0437710763012367E-2</v>
      </c>
      <c r="AV22" s="1">
        <v>1.1480871347052E-2</v>
      </c>
      <c r="AW22" s="1">
        <v>-6.3432406024735891E-2</v>
      </c>
      <c r="AX22" s="1">
        <v>-3.4367648539104362E-5</v>
      </c>
      <c r="AY22" s="1">
        <v>2.7198161772156899E-2</v>
      </c>
      <c r="AZ22" s="1">
        <v>2.876873931701357E-3</v>
      </c>
      <c r="BA22" s="1">
        <v>1.6297836270521011E-2</v>
      </c>
      <c r="BB22" s="1">
        <v>-0.1034907040901325</v>
      </c>
      <c r="BC22" s="1">
        <v>-0.13043548925418191</v>
      </c>
      <c r="BD22" s="1">
        <v>0.1091900953518411</v>
      </c>
      <c r="BE22" s="1">
        <v>4.7507091165572626E-3</v>
      </c>
      <c r="BF22" s="1">
        <v>-0.1206034471089288</v>
      </c>
      <c r="BG22" s="1">
        <v>0.18801365925543129</v>
      </c>
      <c r="BH22" s="1">
        <v>-8.1000614240678837E-2</v>
      </c>
      <c r="BI22" s="1">
        <v>-0.14975676980343641</v>
      </c>
      <c r="BJ22" s="1">
        <v>-6.1310161855819612E-2</v>
      </c>
      <c r="BK22" s="1">
        <v>-4.3094689483328397E-2</v>
      </c>
      <c r="BL22" s="1">
        <v>3.1001588405153459E-2</v>
      </c>
      <c r="BM22" s="1">
        <v>-7.3533752292080246E-3</v>
      </c>
      <c r="BN22" s="1">
        <v>-0.16284259333078971</v>
      </c>
      <c r="BO22" s="1">
        <v>8.734178990193478E-3</v>
      </c>
      <c r="BP22" s="1">
        <v>3.8429686864486702E-2</v>
      </c>
      <c r="BQ22" s="1">
        <v>3.9131730329335812E-2</v>
      </c>
      <c r="BR22" s="1">
        <v>0.1265030210723137</v>
      </c>
      <c r="BS22" s="1">
        <v>1.408639447718241E-2</v>
      </c>
      <c r="BT22" s="1">
        <v>-1.097223413907028E-2</v>
      </c>
      <c r="BU22" s="1">
        <v>6.7903221352710597E-2</v>
      </c>
      <c r="BV22" s="1">
        <v>-0.1249247587742181</v>
      </c>
      <c r="BW22" s="1">
        <v>1.496849506321192E-2</v>
      </c>
      <c r="BX22" s="1">
        <v>0.13992720499002689</v>
      </c>
      <c r="BY22" s="1">
        <v>0.17776287539458899</v>
      </c>
      <c r="BZ22" s="1">
        <v>-5.8495425834911491E-2</v>
      </c>
      <c r="CA22" s="1">
        <v>1.9973455264247621E-2</v>
      </c>
      <c r="CB22" s="1">
        <v>0.1058294080600201</v>
      </c>
      <c r="CC22" s="1">
        <v>-2.8887093134229321E-2</v>
      </c>
      <c r="CD22" s="1">
        <v>-7.4761637084660132E-2</v>
      </c>
      <c r="CE22" s="1">
        <v>0.11312962154046061</v>
      </c>
      <c r="CF22" s="1">
        <v>-5.160335811908863E-2</v>
      </c>
      <c r="CG22" s="1">
        <v>-0.112872147015928</v>
      </c>
      <c r="CH22" s="1">
        <v>-0.14207978977354119</v>
      </c>
      <c r="CI22" s="1">
        <v>0.36047328945940449</v>
      </c>
      <c r="CJ22" s="1">
        <v>2.2798546802083319E-3</v>
      </c>
      <c r="CK22" s="1">
        <v>0.14437849435096969</v>
      </c>
      <c r="CL22" s="1">
        <v>-0.42611894157260782</v>
      </c>
      <c r="CM22" s="1">
        <v>-3.9561564930700649E-2</v>
      </c>
      <c r="CN22" s="1">
        <v>0.20150550768288111</v>
      </c>
      <c r="CO22" s="1">
        <v>7.8565939699159634E-2</v>
      </c>
      <c r="CP22" s="1">
        <v>-1.6808345874954941E-2</v>
      </c>
      <c r="CQ22" s="1">
        <v>-2.628810040604513E-2</v>
      </c>
      <c r="CR22" s="1">
        <v>2.18652643080928E-2</v>
      </c>
      <c r="CS22" s="1">
        <v>0.19521080538150851</v>
      </c>
      <c r="CT22" s="1">
        <v>-5.8479647114615327E-2</v>
      </c>
      <c r="CU22" s="1">
        <v>0.14876302254739451</v>
      </c>
      <c r="CV22" s="1">
        <v>0.1241006092719527</v>
      </c>
      <c r="CW22" s="1">
        <v>-3.7250590141754927E-2</v>
      </c>
      <c r="CX22" s="1">
        <v>-1.4766062358645931E-2</v>
      </c>
      <c r="CY22" s="1">
        <v>2.9813079061651041E-2</v>
      </c>
      <c r="CZ22" s="1">
        <v>5.8829339887199773E-2</v>
      </c>
      <c r="DA22" s="1">
        <v>5.4476170193358132E-2</v>
      </c>
      <c r="DB22" s="1">
        <v>-6.9940938042718379E-2</v>
      </c>
      <c r="DC22" s="1">
        <v>-7.5149732129636632E-2</v>
      </c>
      <c r="DD22" s="1">
        <v>-6.7729867452021475E-2</v>
      </c>
      <c r="DE22" s="1">
        <v>5.3891432837552412E-2</v>
      </c>
      <c r="DF22" s="1">
        <v>-7.8747990000193474E-2</v>
      </c>
      <c r="DG22" s="1">
        <v>-0.16125763252639391</v>
      </c>
      <c r="DH22" s="1">
        <v>-0.1073663289861326</v>
      </c>
      <c r="DI22" s="1">
        <v>-0.10727767265738131</v>
      </c>
      <c r="DJ22" s="1">
        <v>0.13412919558411979</v>
      </c>
      <c r="DK22" s="1">
        <v>-9.6606814253205248E-2</v>
      </c>
      <c r="DL22" s="1">
        <v>-1.3837065549073341E-4</v>
      </c>
      <c r="DM22" s="1">
        <v>-1.8109702345287752E-2</v>
      </c>
      <c r="DN22" s="1">
        <v>3.4113444859626758E-2</v>
      </c>
      <c r="DO22" s="1">
        <v>-5.6789559489344242E-2</v>
      </c>
      <c r="DP22" s="1">
        <v>-2.5117061119112358E-2</v>
      </c>
      <c r="DQ22" s="1">
        <v>-1.3742982763854741E-2</v>
      </c>
      <c r="DR22" s="1">
        <v>5.4787553605990677E-2</v>
      </c>
      <c r="DS22" s="1">
        <v>-7.4842879216982863E-4</v>
      </c>
      <c r="DT22" s="1">
        <v>5.1025246134429797E-2</v>
      </c>
      <c r="DU22" s="1">
        <v>-4.4304974776529997E-2</v>
      </c>
      <c r="DV22" s="1">
        <v>1.6997759664116291E-2</v>
      </c>
      <c r="DW22" s="1">
        <v>-4.2731048936854248E-2</v>
      </c>
      <c r="DX22" s="1">
        <v>7.1212896338931813E-3</v>
      </c>
      <c r="DY22" s="1">
        <v>9.0467789074340624E-2</v>
      </c>
      <c r="DZ22" s="1">
        <v>3.3861853072296229E-2</v>
      </c>
      <c r="EA22" s="1">
        <v>-9.4898744775131147E-2</v>
      </c>
      <c r="EB22" s="1">
        <v>5.5127370752319382E-2</v>
      </c>
      <c r="EC22" s="1">
        <v>-1.7822573185333378E-2</v>
      </c>
      <c r="ED22" s="1">
        <v>-1.098055133320504E-2</v>
      </c>
      <c r="EE22" s="1">
        <v>4.1577904724648507E-2</v>
      </c>
      <c r="EF22" s="1">
        <v>8.0705723795211987E-2</v>
      </c>
    </row>
    <row r="23" spans="1:136" ht="16" customHeight="1">
      <c r="A23" s="6">
        <v>241</v>
      </c>
      <c r="B23" s="6">
        <v>4</v>
      </c>
      <c r="C23" s="9">
        <v>1.7768557544988659E-2</v>
      </c>
      <c r="D23" s="9">
        <v>3.6293738465006391E-3</v>
      </c>
      <c r="E23" s="9">
        <v>3.3365453971383789E-2</v>
      </c>
      <c r="F23" s="9">
        <v>0.18403858160612999</v>
      </c>
      <c r="G23" s="9">
        <v>0.13182636817610929</v>
      </c>
      <c r="H23" s="9">
        <v>-3.3901707594463662E-2</v>
      </c>
      <c r="I23" s="9">
        <v>0.2197238180783119</v>
      </c>
      <c r="J23" s="9">
        <v>2.3901226164043991E-2</v>
      </c>
      <c r="K23" s="9">
        <v>8.1136136844890572E-2</v>
      </c>
      <c r="L23" s="2">
        <v>5.7345986776430199E-2</v>
      </c>
      <c r="M23" s="2">
        <v>-1.7826516571285662E-2</v>
      </c>
      <c r="N23" s="2">
        <v>-0.35858597454359697</v>
      </c>
      <c r="O23" s="1">
        <v>0.11877781856491811</v>
      </c>
      <c r="P23" s="1">
        <v>5.1670152446557663E-2</v>
      </c>
      <c r="Q23" s="1">
        <v>-5.4608635836631059E-2</v>
      </c>
      <c r="R23" s="1">
        <v>-2.1618604037915639E-2</v>
      </c>
      <c r="S23" s="1">
        <v>0.1061627575800808</v>
      </c>
      <c r="T23" s="1">
        <v>1.510548356461142E-2</v>
      </c>
      <c r="U23" s="1">
        <v>8.5449085490407473E-2</v>
      </c>
      <c r="V23" s="1">
        <v>2.583971298913228E-2</v>
      </c>
      <c r="W23" s="1">
        <v>4.4941371743242253E-2</v>
      </c>
      <c r="X23" s="1">
        <v>5.087592905360816E-2</v>
      </c>
      <c r="Y23" s="1">
        <v>-6.0508536713148743E-2</v>
      </c>
      <c r="Z23" s="1">
        <v>3.4319390552439967E-2</v>
      </c>
      <c r="AA23" s="1">
        <v>-6.4744736753799409E-2</v>
      </c>
      <c r="AB23" s="1">
        <v>1.7717561138728889E-2</v>
      </c>
      <c r="AC23" s="1">
        <v>0.13907030783542859</v>
      </c>
      <c r="AD23" s="1">
        <v>9.6590874812191668E-2</v>
      </c>
      <c r="AE23" s="1">
        <v>-4.8736242234559211E-2</v>
      </c>
      <c r="AF23" s="1">
        <v>0.12865816779772271</v>
      </c>
      <c r="AG23" s="1">
        <v>-3.3132070610938397E-2</v>
      </c>
      <c r="AH23" s="1">
        <v>-2.3778884689535099E-2</v>
      </c>
      <c r="AI23" s="1">
        <v>9.3260164262647965E-2</v>
      </c>
      <c r="AJ23" s="1">
        <v>1.6259809010618138E-2</v>
      </c>
      <c r="AK23" s="1">
        <v>-5.0449209010242253E-2</v>
      </c>
      <c r="AL23" s="1">
        <v>-2.904096130706282E-2</v>
      </c>
      <c r="AM23" s="1">
        <v>-0.10952467058464289</v>
      </c>
      <c r="AN23" s="1">
        <v>0.11474379825602431</v>
      </c>
      <c r="AO23" s="1">
        <v>3.1320906124784789E-2</v>
      </c>
      <c r="AP23" s="1">
        <v>-0.1876958823981002</v>
      </c>
      <c r="AQ23" s="1">
        <v>-0.14243250214834971</v>
      </c>
      <c r="AR23" s="1">
        <v>2.9043929313240929E-2</v>
      </c>
      <c r="AS23" s="1">
        <v>-1.6452133346676098E-2</v>
      </c>
      <c r="AT23" s="1">
        <v>1.6240971944304499E-2</v>
      </c>
      <c r="AU23" s="1">
        <v>3.6693166887805252E-2</v>
      </c>
      <c r="AV23" s="1">
        <v>6.4710434901475503E-3</v>
      </c>
      <c r="AW23" s="1">
        <v>-7.8632266583492164E-2</v>
      </c>
      <c r="AX23" s="1">
        <v>-3.6202549566612431E-3</v>
      </c>
      <c r="AY23" s="1">
        <v>-6.6584051928471541E-3</v>
      </c>
      <c r="AZ23" s="1">
        <v>4.3636806264680063E-2</v>
      </c>
      <c r="BA23" s="1">
        <v>1.5310521143556251E-2</v>
      </c>
      <c r="BB23" s="1">
        <v>-0.1205648180822174</v>
      </c>
      <c r="BC23" s="1">
        <v>-9.0689495801512782E-2</v>
      </c>
      <c r="BD23" s="1">
        <v>7.4106514114735664E-2</v>
      </c>
      <c r="BE23" s="1">
        <v>6.1631802539145221E-2</v>
      </c>
      <c r="BF23" s="1">
        <v>-0.14126018159736989</v>
      </c>
      <c r="BG23" s="1">
        <v>0.25976445879144539</v>
      </c>
      <c r="BH23" s="1">
        <v>-8.7023734732878749E-2</v>
      </c>
      <c r="BI23" s="1">
        <v>-0.16329974891972229</v>
      </c>
      <c r="BJ23" s="1">
        <v>-4.6496824641444751E-3</v>
      </c>
      <c r="BK23" s="1">
        <v>-3.270940095162083E-2</v>
      </c>
      <c r="BL23" s="1">
        <v>2.1576634812928281E-2</v>
      </c>
      <c r="BM23" s="1">
        <v>-5.6008615970615412E-2</v>
      </c>
      <c r="BN23" s="1">
        <v>-4.7873293060955877E-2</v>
      </c>
      <c r="BO23" s="1">
        <v>-1.9005871093345509E-2</v>
      </c>
      <c r="BP23" s="1">
        <v>6.5180889989970223E-2</v>
      </c>
      <c r="BQ23" s="1">
        <v>6.4890394242131916E-2</v>
      </c>
      <c r="BR23" s="1">
        <v>8.047238059209498E-2</v>
      </c>
      <c r="BS23" s="1">
        <v>2.9805534138836031E-2</v>
      </c>
      <c r="BT23" s="1">
        <v>3.8373337057271292E-2</v>
      </c>
      <c r="BU23" s="1">
        <v>3.5994218127241677E-2</v>
      </c>
      <c r="BV23" s="1">
        <v>-2.5965389053403398E-3</v>
      </c>
      <c r="BW23" s="1">
        <v>-1.4293919040549019E-2</v>
      </c>
      <c r="BX23" s="1">
        <v>6.6021929881958902E-2</v>
      </c>
      <c r="BY23" s="1">
        <v>0.18970453807283069</v>
      </c>
      <c r="BZ23" s="1">
        <v>-0.10725505804596409</v>
      </c>
      <c r="CA23" s="1">
        <v>5.7609562998702818E-2</v>
      </c>
      <c r="CB23" s="1">
        <v>0.12801693466920649</v>
      </c>
      <c r="CC23" s="1">
        <v>-2.4582376267163631E-2</v>
      </c>
      <c r="CD23" s="1">
        <v>-0.1006330169973616</v>
      </c>
      <c r="CE23" s="1">
        <v>0.1184977566555645</v>
      </c>
      <c r="CF23" s="1">
        <v>-6.849126344052725E-2</v>
      </c>
      <c r="CG23" s="1">
        <v>-8.0124953564404217E-2</v>
      </c>
      <c r="CH23" s="1">
        <v>-0.1424634196209365</v>
      </c>
      <c r="CI23" s="1">
        <v>0.42336065084456692</v>
      </c>
      <c r="CJ23" s="1">
        <v>-7.2806889015216009E-3</v>
      </c>
      <c r="CK23" s="1">
        <v>0.1598676785471797</v>
      </c>
      <c r="CL23" s="1">
        <v>-0.35889913945510638</v>
      </c>
      <c r="CM23" s="1">
        <v>-2.074214126028329E-2</v>
      </c>
      <c r="CN23" s="1">
        <v>0.27224844918615537</v>
      </c>
      <c r="CO23" s="1">
        <v>9.1276524621318939E-2</v>
      </c>
      <c r="CP23" s="1">
        <v>-6.9024374701481664E-2</v>
      </c>
      <c r="CQ23" s="1">
        <v>-2.1689423486713998E-2</v>
      </c>
      <c r="CR23" s="1">
        <v>3.3343085642355087E-2</v>
      </c>
      <c r="CS23" s="1">
        <v>0.19386830962193671</v>
      </c>
      <c r="CT23" s="1">
        <v>-3.478501159732119E-2</v>
      </c>
      <c r="CU23" s="1">
        <v>0.1043815490054235</v>
      </c>
      <c r="CV23" s="1">
        <v>0.1005319885468406</v>
      </c>
      <c r="CW23" s="1">
        <v>-2.888480758601274E-2</v>
      </c>
      <c r="CX23" s="1">
        <v>-8.8659967424927558E-2</v>
      </c>
      <c r="CY23" s="1">
        <v>7.9509194561538266E-2</v>
      </c>
      <c r="CZ23" s="1">
        <v>2.7976579764917311E-2</v>
      </c>
      <c r="DA23" s="1">
        <v>3.0745402933177322E-2</v>
      </c>
      <c r="DB23" s="1">
        <v>-6.1865797617067203E-2</v>
      </c>
      <c r="DC23" s="1">
        <v>-0.10851452850448549</v>
      </c>
      <c r="DD23" s="1">
        <v>-8.0548522189097221E-2</v>
      </c>
      <c r="DE23" s="1">
        <v>8.6208573781547088E-2</v>
      </c>
      <c r="DF23" s="1">
        <v>-9.219703351053421E-2</v>
      </c>
      <c r="DG23" s="1">
        <v>-0.1250326769926067</v>
      </c>
      <c r="DH23" s="1">
        <v>-0.1013665143771027</v>
      </c>
      <c r="DI23" s="1">
        <v>-0.1153033435412187</v>
      </c>
      <c r="DJ23" s="1">
        <v>0.13260214688944821</v>
      </c>
      <c r="DK23" s="1">
        <v>-8.0880373393345778E-2</v>
      </c>
      <c r="DL23" s="1">
        <v>1.5517063335353831E-2</v>
      </c>
      <c r="DM23" s="1">
        <v>1.0108938673436509E-2</v>
      </c>
      <c r="DN23" s="1">
        <v>7.658781745288476E-2</v>
      </c>
      <c r="DO23" s="1">
        <v>-3.6377545254188272E-2</v>
      </c>
      <c r="DP23" s="1">
        <v>-2.027529359618958E-2</v>
      </c>
      <c r="DQ23" s="1">
        <v>-1.1067563827388831E-3</v>
      </c>
      <c r="DR23" s="1">
        <v>5.1945145537278692E-2</v>
      </c>
      <c r="DS23" s="1">
        <v>3.7581956536756021E-3</v>
      </c>
      <c r="DT23" s="1">
        <v>6.0108355365498113E-2</v>
      </c>
      <c r="DU23" s="1">
        <v>-6.8452401550071207E-2</v>
      </c>
      <c r="DV23" s="1">
        <v>2.7650714230741801E-2</v>
      </c>
      <c r="DW23" s="1">
        <v>-5.2355674399077068E-2</v>
      </c>
      <c r="DX23" s="1">
        <v>-1.018078737255715E-2</v>
      </c>
      <c r="DY23" s="1">
        <v>0.1583580473514162</v>
      </c>
      <c r="DZ23" s="1">
        <v>5.1267416111806401E-2</v>
      </c>
      <c r="EA23" s="1">
        <v>-7.5067436504996185E-2</v>
      </c>
      <c r="EB23" s="1">
        <v>4.9217697095324968E-2</v>
      </c>
      <c r="EC23" s="1">
        <v>-2.3638998433344969E-2</v>
      </c>
      <c r="ED23" s="1">
        <v>2.479137776986703E-3</v>
      </c>
      <c r="EE23" s="1">
        <v>8.1987457100339542E-2</v>
      </c>
      <c r="EF23" s="1">
        <v>9.8831202334046936E-2</v>
      </c>
    </row>
    <row r="24" spans="1:136" ht="16" customHeight="1">
      <c r="A24" s="6">
        <v>321</v>
      </c>
      <c r="B24" s="6">
        <v>3</v>
      </c>
      <c r="C24" s="9">
        <v>-6.3062694489166519E-3</v>
      </c>
      <c r="D24" s="9">
        <v>-4.869163028523138E-3</v>
      </c>
      <c r="E24" s="9">
        <v>-1.972368218911421E-2</v>
      </c>
      <c r="F24" s="9">
        <v>6.7831060921277567E-2</v>
      </c>
      <c r="G24" s="9">
        <v>0.18159614516159489</v>
      </c>
      <c r="H24" s="9">
        <v>4.0275060846008258E-2</v>
      </c>
      <c r="I24" s="9">
        <v>0.24653947319584449</v>
      </c>
      <c r="J24" s="9">
        <v>-2.2304674947199649E-2</v>
      </c>
      <c r="K24" s="9">
        <v>0.17301942406462231</v>
      </c>
      <c r="L24" s="2">
        <v>0.11131510691571229</v>
      </c>
      <c r="M24" s="2">
        <v>-2.901701104707392E-2</v>
      </c>
      <c r="N24" s="2">
        <v>-0.22759173296506</v>
      </c>
      <c r="O24" s="1">
        <v>0.1252836794948386</v>
      </c>
      <c r="P24" s="1">
        <v>2.0624945378134259E-2</v>
      </c>
      <c r="Q24" s="1">
        <v>3.5129305590993039E-2</v>
      </c>
      <c r="R24" s="1">
        <v>-4.362657550340051E-2</v>
      </c>
      <c r="S24" s="1">
        <v>0.10027709728817021</v>
      </c>
      <c r="T24" s="1">
        <v>3.8207711361990908E-2</v>
      </c>
      <c r="U24" s="1">
        <v>0.108819751254475</v>
      </c>
      <c r="V24" s="1">
        <v>3.9304239189461583E-2</v>
      </c>
      <c r="W24" s="1">
        <v>7.5881253944101862E-2</v>
      </c>
      <c r="X24" s="1">
        <v>-4.7154922278898198E-3</v>
      </c>
      <c r="Y24" s="1">
        <v>-6.6619024692480308E-2</v>
      </c>
      <c r="Z24" s="1">
        <v>2.9560574576931831E-2</v>
      </c>
      <c r="AA24" s="1">
        <v>-1.9168415048834962E-2</v>
      </c>
      <c r="AB24" s="1">
        <v>2.0918382745629321E-2</v>
      </c>
      <c r="AC24" s="1">
        <v>2.1426172310830049E-2</v>
      </c>
      <c r="AD24" s="1">
        <v>0.1052430370118258</v>
      </c>
      <c r="AE24" s="1">
        <v>-1.081405620093143E-2</v>
      </c>
      <c r="AF24" s="1">
        <v>8.5420811594141277E-2</v>
      </c>
      <c r="AG24" s="1">
        <v>-9.626250370201174E-2</v>
      </c>
      <c r="AH24" s="1">
        <v>-2.9239321669734551E-2</v>
      </c>
      <c r="AI24" s="1">
        <v>9.6775906940392259E-2</v>
      </c>
      <c r="AJ24" s="1">
        <v>1.9238961327071352E-2</v>
      </c>
      <c r="AK24" s="1">
        <v>-7.2907422094311974E-2</v>
      </c>
      <c r="AL24" s="1">
        <v>-4.1616186089741408E-4</v>
      </c>
      <c r="AM24" s="1">
        <v>-9.6481459558264454E-2</v>
      </c>
      <c r="AN24" s="1">
        <v>0.108767848291321</v>
      </c>
      <c r="AO24" s="1">
        <v>2.0795467507940289E-2</v>
      </c>
      <c r="AP24" s="1">
        <v>-0.23470321878539921</v>
      </c>
      <c r="AQ24" s="1">
        <v>-0.18056535388522399</v>
      </c>
      <c r="AR24" s="1">
        <v>9.3209520412341432E-3</v>
      </c>
      <c r="AS24" s="1">
        <v>-5.6958808851156811E-2</v>
      </c>
      <c r="AT24" s="1">
        <v>2.0018043540685201E-2</v>
      </c>
      <c r="AU24" s="1">
        <v>9.9998295234840259E-2</v>
      </c>
      <c r="AV24" s="1">
        <v>6.1910958300828732E-2</v>
      </c>
      <c r="AW24" s="1">
        <v>-6.9264748144504396E-2</v>
      </c>
      <c r="AX24" s="1">
        <v>-6.9511224296344744E-3</v>
      </c>
      <c r="AY24" s="1">
        <v>1.163289030575208E-2</v>
      </c>
      <c r="AZ24" s="1">
        <v>0.1084679808679918</v>
      </c>
      <c r="BA24" s="1">
        <v>-9.0978694573972951E-3</v>
      </c>
      <c r="BB24" s="1">
        <v>-0.23225639802188061</v>
      </c>
      <c r="BC24" s="1">
        <v>-8.6937837665089376E-2</v>
      </c>
      <c r="BD24" s="1">
        <v>8.3377874630950602E-2</v>
      </c>
      <c r="BE24" s="1">
        <v>3.9816065643703338E-2</v>
      </c>
      <c r="BF24" s="1">
        <v>-0.19663621782011509</v>
      </c>
      <c r="BG24" s="1">
        <v>0.2993201290705047</v>
      </c>
      <c r="BH24" s="1">
        <v>1.9983486349214371E-2</v>
      </c>
      <c r="BI24" s="1">
        <v>-0.1986242852000337</v>
      </c>
      <c r="BJ24" s="1">
        <v>0.1112540533377466</v>
      </c>
      <c r="BK24" s="1">
        <v>-5.1393366098050189E-2</v>
      </c>
      <c r="BL24" s="1">
        <v>4.9826376529938862E-2</v>
      </c>
      <c r="BM24" s="1">
        <v>-0.10431372627143071</v>
      </c>
      <c r="BN24" s="1">
        <v>-6.1547943466082923E-2</v>
      </c>
      <c r="BO24" s="1">
        <v>-8.3627883352677124E-3</v>
      </c>
      <c r="BP24" s="1">
        <v>6.2981806320227193E-2</v>
      </c>
      <c r="BQ24" s="1">
        <v>7.4121564303359866E-2</v>
      </c>
      <c r="BR24" s="1">
        <v>9.7648744149618355E-2</v>
      </c>
      <c r="BS24" s="1">
        <v>-2.6147767477670041E-2</v>
      </c>
      <c r="BT24" s="1">
        <v>4.6516775165889097E-2</v>
      </c>
      <c r="BU24" s="1">
        <v>5.3464220826829147E-2</v>
      </c>
      <c r="BV24" s="1">
        <v>0.1091235631799951</v>
      </c>
      <c r="BW24" s="1">
        <v>-4.1536123964306837E-2</v>
      </c>
      <c r="BX24" s="1">
        <v>0.10968823402048861</v>
      </c>
      <c r="BY24" s="1">
        <v>0.25496002967285469</v>
      </c>
      <c r="BZ24" s="1">
        <v>-0.14784458709288109</v>
      </c>
      <c r="CA24" s="1">
        <v>6.1790226463393737E-2</v>
      </c>
      <c r="CB24" s="1">
        <v>8.6682850302251396E-2</v>
      </c>
      <c r="CC24" s="1">
        <v>-3.2948818171207269E-3</v>
      </c>
      <c r="CD24" s="1">
        <v>-6.9298645013978255E-2</v>
      </c>
      <c r="CE24" s="1">
        <v>0.14968583762314749</v>
      </c>
      <c r="CF24" s="1">
        <v>-0.1726322656109395</v>
      </c>
      <c r="CG24" s="1">
        <v>-2.7718504361559981E-2</v>
      </c>
      <c r="CH24" s="1">
        <v>-0.13880495637537671</v>
      </c>
      <c r="CI24" s="1">
        <v>0.49887149696342642</v>
      </c>
      <c r="CJ24" s="1">
        <v>-3.8237946783272067E-2</v>
      </c>
      <c r="CK24" s="1">
        <v>0.19282319269388651</v>
      </c>
      <c r="CL24" s="1">
        <v>-0.2355913308038203</v>
      </c>
      <c r="CM24" s="1">
        <v>2.900390554799528E-3</v>
      </c>
      <c r="CN24" s="1">
        <v>0.35538732949250501</v>
      </c>
      <c r="CO24" s="1">
        <v>0.1058051877338685</v>
      </c>
      <c r="CP24" s="1">
        <v>-6.7433001151066332E-2</v>
      </c>
      <c r="CQ24" s="1">
        <v>-2.2709820732653489E-2</v>
      </c>
      <c r="CR24" s="1">
        <v>8.5028480848209388E-3</v>
      </c>
      <c r="CS24" s="1">
        <v>0.27548717705375098</v>
      </c>
      <c r="CT24" s="1">
        <v>-4.753911222530284E-2</v>
      </c>
      <c r="CU24" s="1">
        <v>0.1128842190840323</v>
      </c>
      <c r="CV24" s="1">
        <v>7.83999015852367E-2</v>
      </c>
      <c r="CW24" s="1">
        <v>-2.4774013341636789E-2</v>
      </c>
      <c r="CX24" s="1">
        <v>-0.18173615853769379</v>
      </c>
      <c r="CY24" s="1">
        <v>0.11810957883783051</v>
      </c>
      <c r="CZ24" s="1">
        <v>8.9602014023614035E-2</v>
      </c>
      <c r="DA24" s="1">
        <v>0.13290260687893221</v>
      </c>
      <c r="DB24" s="1">
        <v>-0.14650552243290729</v>
      </c>
      <c r="DC24" s="1">
        <v>-0.16784516583316519</v>
      </c>
      <c r="DD24" s="1">
        <v>-6.7394626895727047E-2</v>
      </c>
      <c r="DE24" s="1">
        <v>8.6433857937583958E-2</v>
      </c>
      <c r="DF24" s="1">
        <v>-0.1223511760766428</v>
      </c>
      <c r="DG24" s="1">
        <v>-8.2917716789695659E-2</v>
      </c>
      <c r="DH24" s="1">
        <v>-6.3375236481075384E-3</v>
      </c>
      <c r="DI24" s="1">
        <v>-0.15864166567601259</v>
      </c>
      <c r="DJ24" s="1">
        <v>0.19682174628132579</v>
      </c>
      <c r="DK24" s="1">
        <v>-0.1350989216838267</v>
      </c>
      <c r="DL24" s="1">
        <v>5.6736339706765044E-3</v>
      </c>
      <c r="DM24" s="1">
        <v>8.0068753762810776E-3</v>
      </c>
      <c r="DN24" s="1">
        <v>5.8503042051950838E-2</v>
      </c>
      <c r="DO24" s="1">
        <v>-2.9333553967765741E-2</v>
      </c>
      <c r="DP24" s="1">
        <v>-3.4563659230275823E-2</v>
      </c>
      <c r="DQ24" s="1">
        <v>5.0752036802284156E-3</v>
      </c>
      <c r="DR24" s="1">
        <v>-2.8489142242539012E-2</v>
      </c>
      <c r="DS24" s="1">
        <v>2.7487495887142811E-2</v>
      </c>
      <c r="DT24" s="1">
        <v>5.9239907162325578E-2</v>
      </c>
      <c r="DU24" s="1">
        <v>-5.9237544540331921E-2</v>
      </c>
      <c r="DV24" s="1">
        <v>4.7527442081500851E-2</v>
      </c>
      <c r="DW24" s="1">
        <v>-0.10587876074551369</v>
      </c>
      <c r="DX24" s="1">
        <v>3.9786367198426688E-2</v>
      </c>
      <c r="DY24" s="1">
        <v>0.29163649261962671</v>
      </c>
      <c r="DZ24" s="1">
        <v>6.9418288477725423E-2</v>
      </c>
      <c r="EA24" s="1">
        <v>-4.0301101410427129E-2</v>
      </c>
      <c r="EB24" s="1">
        <v>7.6117642217217438E-2</v>
      </c>
      <c r="EC24" s="1">
        <v>-8.6707860158814737E-2</v>
      </c>
      <c r="ED24" s="1">
        <v>1.999578201100255E-2</v>
      </c>
      <c r="EE24" s="1">
        <v>6.1664882927584451E-2</v>
      </c>
      <c r="EF24" s="1">
        <v>0.1083450141709638</v>
      </c>
    </row>
    <row r="25" spans="1:136" ht="16" customHeight="1">
      <c r="A25" s="6">
        <v>482</v>
      </c>
      <c r="B25" s="6">
        <v>2</v>
      </c>
      <c r="C25" s="9">
        <v>-1.1176635397692329E-2</v>
      </c>
      <c r="D25" s="9">
        <v>0.1017058544638421</v>
      </c>
      <c r="E25" s="9">
        <v>1.7298065238810919E-3</v>
      </c>
      <c r="F25" s="9">
        <v>0.1823960753208787</v>
      </c>
      <c r="G25" s="9">
        <v>0.13597330557678319</v>
      </c>
      <c r="H25" s="9">
        <v>0.11748259892180229</v>
      </c>
      <c r="I25" s="9">
        <v>0.27196118188721707</v>
      </c>
      <c r="J25" s="9">
        <v>3.8118738486228633E-2</v>
      </c>
      <c r="K25" s="9">
        <v>0.20235700582264121</v>
      </c>
      <c r="L25" s="2">
        <v>0.2059938621028467</v>
      </c>
      <c r="M25" s="2">
        <v>-5.6184856427256062E-2</v>
      </c>
      <c r="N25" s="2">
        <v>-0.10897848735113939</v>
      </c>
      <c r="O25" s="1">
        <v>0.10707325379920581</v>
      </c>
      <c r="P25" s="1">
        <v>2.440991021637957E-2</v>
      </c>
      <c r="Q25" s="1">
        <v>0.13040002594655131</v>
      </c>
      <c r="R25" s="1">
        <v>-0.1114556941139858</v>
      </c>
      <c r="S25" s="1">
        <v>0.15875879811098359</v>
      </c>
      <c r="T25" s="1">
        <v>-0.15453823332994071</v>
      </c>
      <c r="U25" s="1">
        <v>6.0416741150262993E-2</v>
      </c>
      <c r="V25" s="1">
        <v>1.2586623976376721E-2</v>
      </c>
      <c r="W25" s="1">
        <v>8.279603653765201E-2</v>
      </c>
      <c r="X25" s="1">
        <v>2.5317077380880432E-2</v>
      </c>
      <c r="Y25" s="1">
        <v>-8.1813473647399326E-2</v>
      </c>
      <c r="Z25" s="1">
        <v>0.13850190489188549</v>
      </c>
      <c r="AA25" s="1">
        <v>-7.4478125919974894E-2</v>
      </c>
      <c r="AB25" s="1">
        <v>6.7539195942208641E-2</v>
      </c>
      <c r="AC25" s="1">
        <v>-3.9342472677110212E-2</v>
      </c>
      <c r="AD25" s="1">
        <v>0.1400063739576935</v>
      </c>
      <c r="AE25" s="1">
        <v>-1.6441839287021719E-2</v>
      </c>
      <c r="AF25" s="1">
        <v>-4.656553119136049E-2</v>
      </c>
      <c r="AG25" s="1">
        <v>-9.0288917285312853E-2</v>
      </c>
      <c r="AH25" s="1">
        <v>-1.4882818362244589E-2</v>
      </c>
      <c r="AI25" s="1">
        <v>5.4506319604153197E-2</v>
      </c>
      <c r="AJ25" s="1">
        <v>-6.7327504333120972E-2</v>
      </c>
      <c r="AK25" s="1">
        <v>-5.3778446543676563E-2</v>
      </c>
      <c r="AL25" s="1">
        <v>3.5359790360734833E-2</v>
      </c>
      <c r="AM25" s="1">
        <v>-0.13989795624362411</v>
      </c>
      <c r="AN25" s="1">
        <v>1.8071933045002288E-2</v>
      </c>
      <c r="AO25" s="1">
        <v>1.7285819697287191E-2</v>
      </c>
      <c r="AP25" s="1">
        <v>-0.26878315307720091</v>
      </c>
      <c r="AQ25" s="1">
        <v>-0.1778657567916081</v>
      </c>
      <c r="AR25" s="1">
        <v>-6.0289305469053023E-3</v>
      </c>
      <c r="AS25" s="1">
        <v>-1.7369852614536089E-3</v>
      </c>
      <c r="AT25" s="1">
        <v>-2.1738456786016859E-2</v>
      </c>
      <c r="AU25" s="1">
        <v>8.9617388766367628E-2</v>
      </c>
      <c r="AV25" s="1">
        <v>6.6312772002082437E-2</v>
      </c>
      <c r="AW25" s="1">
        <v>-0.146328600726572</v>
      </c>
      <c r="AX25" s="1">
        <v>-3.6610450268814522E-2</v>
      </c>
      <c r="AY25" s="1">
        <v>3.9620455230382018E-2</v>
      </c>
      <c r="AZ25" s="1">
        <v>0.2127199228411942</v>
      </c>
      <c r="BA25" s="1">
        <v>1.0230411461854071E-2</v>
      </c>
      <c r="BB25" s="1">
        <v>-0.40590381996941932</v>
      </c>
      <c r="BC25" s="1">
        <v>-0.25872777779329781</v>
      </c>
      <c r="BD25" s="1">
        <v>6.8750755073092557E-2</v>
      </c>
      <c r="BE25" s="1">
        <v>4.8838023870078281E-3</v>
      </c>
      <c r="BF25" s="1">
        <v>-7.8079992990361419E-2</v>
      </c>
      <c r="BG25" s="1">
        <v>0.28204446614517931</v>
      </c>
      <c r="BH25" s="1">
        <v>7.869241285093509E-2</v>
      </c>
      <c r="BI25" s="1">
        <v>-0.20510938647173901</v>
      </c>
      <c r="BJ25" s="1">
        <v>0.1208633971895671</v>
      </c>
      <c r="BK25" s="1">
        <v>6.5382534939776277E-2</v>
      </c>
      <c r="BL25" s="1">
        <v>-2.6370013375987409E-2</v>
      </c>
      <c r="BM25" s="1">
        <v>-8.5424442236395629E-2</v>
      </c>
      <c r="BN25" s="1">
        <v>-0.28180431800044542</v>
      </c>
      <c r="BO25" s="1">
        <v>1.0006677186349931E-2</v>
      </c>
      <c r="BP25" s="1">
        <v>7.4523471870586569E-2</v>
      </c>
      <c r="BQ25" s="1">
        <v>2.8943449463485829E-2</v>
      </c>
      <c r="BR25" s="1">
        <v>0.1037300642101959</v>
      </c>
      <c r="BS25" s="1">
        <v>-1.7801571878259061E-2</v>
      </c>
      <c r="BT25" s="1">
        <v>2.947025744155778E-3</v>
      </c>
      <c r="BU25" s="1">
        <v>5.3515140012071638E-2</v>
      </c>
      <c r="BV25" s="1">
        <v>6.1355668392797137E-2</v>
      </c>
      <c r="BW25" s="1">
        <v>7.6821221925844424E-2</v>
      </c>
      <c r="BX25" s="1">
        <v>0.1164855883416844</v>
      </c>
      <c r="BY25" s="1">
        <v>0.25922077110363689</v>
      </c>
      <c r="BZ25" s="1">
        <v>-5.4013620888694797E-2</v>
      </c>
      <c r="CA25" s="1">
        <v>-6.3292141727192164E-2</v>
      </c>
      <c r="CB25" s="1">
        <v>5.037651067305017E-2</v>
      </c>
      <c r="CC25" s="1">
        <v>-5.4953001889277042E-2</v>
      </c>
      <c r="CD25" s="1">
        <v>-4.7401119874468767E-2</v>
      </c>
      <c r="CE25" s="1">
        <v>-2.6251390901640682E-2</v>
      </c>
      <c r="CF25" s="1">
        <v>-9.7597849040728268E-2</v>
      </c>
      <c r="CG25" s="1">
        <v>-0.12614547986649721</v>
      </c>
      <c r="CH25" s="1">
        <v>-0.1965486677071365</v>
      </c>
      <c r="CI25" s="1">
        <v>0.24210088653679049</v>
      </c>
      <c r="CJ25" s="1">
        <v>-3.021847674768895E-2</v>
      </c>
      <c r="CK25" s="1">
        <v>0.1949186160196773</v>
      </c>
      <c r="CL25" s="1">
        <v>-0.26704515195579032</v>
      </c>
      <c r="CM25" s="1">
        <v>7.0337667920157387E-2</v>
      </c>
      <c r="CN25" s="1">
        <v>0.38307225012371582</v>
      </c>
      <c r="CO25" s="1">
        <v>0.2432325272263734</v>
      </c>
      <c r="CP25" s="1">
        <v>-8.426717332978699E-2</v>
      </c>
      <c r="CQ25" s="1">
        <v>-1.196549196764421E-2</v>
      </c>
      <c r="CR25" s="1">
        <v>6.2754605262825947E-2</v>
      </c>
      <c r="CS25" s="1">
        <v>0.30874973828746533</v>
      </c>
      <c r="CT25" s="1">
        <v>-6.238689319144209E-2</v>
      </c>
      <c r="CU25" s="1">
        <v>-6.3346803569921339E-2</v>
      </c>
      <c r="CV25" s="1">
        <v>8.1010744495212797E-2</v>
      </c>
      <c r="CW25" s="1">
        <v>-5.0220955670807019E-2</v>
      </c>
      <c r="CX25" s="1">
        <v>-9.6371400170513322E-2</v>
      </c>
      <c r="CY25" s="1">
        <v>0.17675246314135121</v>
      </c>
      <c r="CZ25" s="1">
        <v>6.9488822513388282E-2</v>
      </c>
      <c r="DA25" s="1">
        <v>0.25064704577170122</v>
      </c>
      <c r="DB25" s="1">
        <v>-0.21468138697964639</v>
      </c>
      <c r="DC25" s="1">
        <v>-0.2079647076334204</v>
      </c>
      <c r="DD25" s="1">
        <v>-0.1214572814367675</v>
      </c>
      <c r="DE25" s="1">
        <v>0.17933134583388399</v>
      </c>
      <c r="DF25" s="1">
        <v>-0.14752329381699719</v>
      </c>
      <c r="DG25" s="1">
        <v>-8.339346702929698E-2</v>
      </c>
      <c r="DH25" s="1">
        <v>7.8069361975731416E-2</v>
      </c>
      <c r="DI25" s="1">
        <v>-0.12881936442746231</v>
      </c>
      <c r="DJ25" s="1">
        <v>0.1223186324341745</v>
      </c>
      <c r="DK25" s="1">
        <v>-2.1390825138809921E-2</v>
      </c>
      <c r="DL25" s="1">
        <v>-2.9152109710336542E-3</v>
      </c>
      <c r="DM25" s="1">
        <v>5.4019009095150783E-2</v>
      </c>
      <c r="DN25" s="1">
        <v>1.076211748783428E-2</v>
      </c>
      <c r="DO25" s="1">
        <v>-3.6036683021156223E-2</v>
      </c>
      <c r="DP25" s="1">
        <v>-2.2379992012505349E-2</v>
      </c>
      <c r="DQ25" s="1">
        <v>-2.4876989943931241E-2</v>
      </c>
      <c r="DR25" s="1">
        <v>2.451806220912664E-3</v>
      </c>
      <c r="DS25" s="1">
        <v>5.7046335108949228E-2</v>
      </c>
      <c r="DT25" s="1">
        <v>5.4242171047005953E-2</v>
      </c>
      <c r="DU25" s="1">
        <v>4.078558858304962E-2</v>
      </c>
      <c r="DV25" s="1">
        <v>7.5101079929500852E-3</v>
      </c>
      <c r="DW25" s="1">
        <v>-0.1168458844607229</v>
      </c>
      <c r="DX25" s="1">
        <v>4.0656364616804802E-2</v>
      </c>
      <c r="DY25" s="1">
        <v>0.30069223079817181</v>
      </c>
      <c r="DZ25" s="1">
        <v>5.8520647841665718E-2</v>
      </c>
      <c r="EA25" s="1">
        <v>-4.2626528235966819E-2</v>
      </c>
      <c r="EB25" s="1">
        <v>9.8940549319175453E-2</v>
      </c>
      <c r="EC25" s="1">
        <v>5.6814080318295851E-2</v>
      </c>
      <c r="ED25" s="1">
        <v>-2.231844169999089E-2</v>
      </c>
      <c r="EE25" s="1">
        <v>0.1080716885389183</v>
      </c>
      <c r="EF25" s="1">
        <v>0.15302670969919099</v>
      </c>
    </row>
    <row r="26" spans="1:136" ht="16" customHeight="1">
      <c r="A26" s="6">
        <v>964</v>
      </c>
      <c r="B26" s="6">
        <v>1</v>
      </c>
      <c r="C26" s="9">
        <v>-2.397827262489214E-2</v>
      </c>
      <c r="D26" s="9">
        <v>0.1074668426285946</v>
      </c>
      <c r="E26" s="9">
        <v>8.1880334610397495E-2</v>
      </c>
      <c r="F26" s="9">
        <v>0.20154571887164621</v>
      </c>
      <c r="G26" s="9">
        <v>-3.0122759455108301E-2</v>
      </c>
      <c r="H26" s="9">
        <v>0.46015339819355161</v>
      </c>
      <c r="I26" s="9">
        <v>0.13279745646808361</v>
      </c>
      <c r="J26" s="9">
        <v>-0.13980471397482319</v>
      </c>
      <c r="K26" s="9">
        <v>6.657371792337248E-2</v>
      </c>
      <c r="L26" s="2">
        <v>7.8228279730046799E-2</v>
      </c>
      <c r="M26" s="2">
        <v>-0.10199865858902479</v>
      </c>
      <c r="N26" s="2">
        <v>-4.5513036897265921E-2</v>
      </c>
      <c r="O26" s="1">
        <v>5.9180833949199957E-2</v>
      </c>
      <c r="P26" s="1">
        <v>-9.7279322230834613E-3</v>
      </c>
      <c r="Q26" s="1">
        <v>-2.19237633294057E-2</v>
      </c>
      <c r="R26" s="1">
        <v>-0.17737141393444411</v>
      </c>
      <c r="S26" s="1">
        <v>0.35409217262327541</v>
      </c>
      <c r="T26" s="1">
        <v>-0.32186608423185092</v>
      </c>
      <c r="U26" s="1">
        <v>0.12158004290383841</v>
      </c>
      <c r="V26" s="1">
        <v>1.8085837861962412E-2</v>
      </c>
      <c r="W26" s="1">
        <v>-8.3245266993240266E-2</v>
      </c>
      <c r="X26" s="1">
        <v>-1.1084832424492959E-2</v>
      </c>
      <c r="Y26" s="1">
        <v>-0.1343495973489485</v>
      </c>
      <c r="Z26" s="1">
        <v>0.3029822242618031</v>
      </c>
      <c r="AA26" s="1">
        <v>-6.4650776205474367E-2</v>
      </c>
      <c r="AB26" s="1">
        <v>0.29886182767946068</v>
      </c>
      <c r="AC26" s="1">
        <v>-0.1199897241996761</v>
      </c>
      <c r="AD26" s="1">
        <v>2.6312997438532049E-3</v>
      </c>
      <c r="AE26" s="1">
        <v>0.27206647150981772</v>
      </c>
      <c r="AF26" s="1">
        <v>5.6712084888107278E-2</v>
      </c>
      <c r="AG26" s="1">
        <v>-0.16788087263916021</v>
      </c>
      <c r="AH26" s="1">
        <v>1.1082145256576859E-3</v>
      </c>
      <c r="AI26" s="1">
        <v>9.374965388051637E-2</v>
      </c>
      <c r="AJ26" s="1">
        <v>9.9353040758460853E-3</v>
      </c>
      <c r="AK26" s="1">
        <v>-0.20923944858273699</v>
      </c>
      <c r="AL26" s="1">
        <v>5.1245019478863688E-2</v>
      </c>
      <c r="AM26" s="1">
        <v>4.1787711640214061E-2</v>
      </c>
      <c r="AN26" s="1">
        <v>2.2585701491153801E-2</v>
      </c>
      <c r="AO26" s="1">
        <v>0.25746018414715283</v>
      </c>
      <c r="AP26" s="1">
        <v>-0.1252037380785373</v>
      </c>
      <c r="AQ26" s="1">
        <v>-6.472567315234104E-2</v>
      </c>
      <c r="AR26" s="1">
        <v>1.7315274301530841E-2</v>
      </c>
      <c r="AS26" s="1">
        <v>0.15366090388995471</v>
      </c>
      <c r="AT26" s="1">
        <v>-7.3778943607527417E-2</v>
      </c>
      <c r="AU26" s="1">
        <v>7.8874832059266223E-2</v>
      </c>
      <c r="AV26" s="1">
        <v>7.6121549857557119E-2</v>
      </c>
      <c r="AW26" s="1">
        <v>-0.22850363294976711</v>
      </c>
      <c r="AX26" s="1">
        <v>-5.4109392388275467E-2</v>
      </c>
      <c r="AY26" s="1">
        <v>-0.33258448458340317</v>
      </c>
      <c r="AZ26" s="1">
        <v>0.44422923858109209</v>
      </c>
      <c r="BA26" s="1">
        <v>-8.1321871386234312E-2</v>
      </c>
      <c r="BB26" s="1">
        <v>-0.57777575290265071</v>
      </c>
      <c r="BC26" s="1">
        <v>-0.36462735238366278</v>
      </c>
      <c r="BD26" s="1">
        <v>-2.9082265239732341E-2</v>
      </c>
      <c r="BE26" s="1">
        <v>-0.15545515595392831</v>
      </c>
      <c r="BF26" s="1">
        <v>0.22423064379795971</v>
      </c>
      <c r="BG26" s="1">
        <v>7.2909503612259161E-2</v>
      </c>
      <c r="BH26" s="1">
        <v>-0.1272724181183274</v>
      </c>
      <c r="BI26" s="1">
        <v>-8.8317144313354287E-2</v>
      </c>
      <c r="BJ26" s="1">
        <v>-5.8521571619655953E-2</v>
      </c>
      <c r="BK26" s="1">
        <v>-1.000500333583447E-3</v>
      </c>
      <c r="BL26" s="1">
        <v>-9.1837888969591719E-3</v>
      </c>
      <c r="BM26" s="1">
        <v>-0.18523762192489099</v>
      </c>
      <c r="BN26" s="1">
        <v>-0.23863077880541311</v>
      </c>
      <c r="BO26" s="1">
        <v>-4.4829258038111552E-2</v>
      </c>
      <c r="BP26" s="1">
        <v>6.9861207582933585E-2</v>
      </c>
      <c r="BQ26" s="1">
        <v>0.11785997944898111</v>
      </c>
      <c r="BR26" s="1">
        <v>0.25295734153499139</v>
      </c>
      <c r="BS26" s="1">
        <v>7.5707377394247877E-2</v>
      </c>
      <c r="BT26" s="1">
        <v>8.1280215544621559E-3</v>
      </c>
      <c r="BU26" s="1">
        <v>0.10139313897097239</v>
      </c>
      <c r="BV26" s="1">
        <v>0.15057537116013159</v>
      </c>
      <c r="BW26" s="1">
        <v>1.3813921363985239E-2</v>
      </c>
      <c r="BX26" s="1">
        <v>0.44324424123638229</v>
      </c>
      <c r="BY26" s="1">
        <v>0.20360345365667271</v>
      </c>
      <c r="BZ26" s="1">
        <v>-0.1048376053826649</v>
      </c>
      <c r="CA26" s="1">
        <v>-2.511808234358421E-2</v>
      </c>
      <c r="CB26" s="1">
        <v>1.031555266980203E-2</v>
      </c>
      <c r="CC26" s="1">
        <v>0.1273600820845717</v>
      </c>
      <c r="CD26" s="1">
        <v>-0.1653921916695397</v>
      </c>
      <c r="CE26" s="1">
        <v>-2.7341345604321068E-2</v>
      </c>
      <c r="CF26" s="1">
        <v>-0.20924058316052921</v>
      </c>
      <c r="CG26" s="1">
        <v>2.2968880995469229E-5</v>
      </c>
      <c r="CH26" s="1">
        <v>-5.4275700415670702E-2</v>
      </c>
      <c r="CI26" s="1">
        <v>-3.512420545780226E-2</v>
      </c>
      <c r="CJ26" s="1">
        <v>-2.9492149645956488E-2</v>
      </c>
      <c r="CK26" s="1">
        <v>-2.4112795848419081E-2</v>
      </c>
      <c r="CL26" s="1">
        <v>-0.31770505721251319</v>
      </c>
      <c r="CM26" s="1">
        <v>0.15087950601455649</v>
      </c>
      <c r="CN26" s="1">
        <v>0.61572720776034739</v>
      </c>
      <c r="CO26" s="1">
        <v>0.3308949279712623</v>
      </c>
      <c r="CP26" s="1">
        <v>-0.13311928001549739</v>
      </c>
      <c r="CQ26" s="1">
        <v>-4.3926427739531038E-2</v>
      </c>
      <c r="CR26" s="1">
        <v>-1.8817212958095859E-2</v>
      </c>
      <c r="CS26" s="1">
        <v>0.1160361213105537</v>
      </c>
      <c r="CT26" s="1">
        <v>0.10590234095197899</v>
      </c>
      <c r="CU26" s="1">
        <v>-4.9885679281278322E-2</v>
      </c>
      <c r="CV26" s="1">
        <v>0.1809712377700877</v>
      </c>
      <c r="CW26" s="1">
        <v>-5.5481234025061443E-2</v>
      </c>
      <c r="CX26" s="1">
        <v>2.8276544794653141E-4</v>
      </c>
      <c r="CY26" s="1">
        <v>0.4022226868047441</v>
      </c>
      <c r="CZ26" s="1">
        <v>0.1489714278280958</v>
      </c>
      <c r="DA26" s="1">
        <v>4.6293283970844902E-2</v>
      </c>
      <c r="DB26" s="1">
        <v>-0.29234256969676109</v>
      </c>
      <c r="DC26" s="1">
        <v>-0.34795665462323427</v>
      </c>
      <c r="DD26" s="1">
        <v>0.2154271266243577</v>
      </c>
      <c r="DE26" s="1">
        <v>0.19912842850908691</v>
      </c>
      <c r="DF26" s="1">
        <v>-9.0697090661079408E-2</v>
      </c>
      <c r="DG26" s="1">
        <v>-0.13032742910620199</v>
      </c>
      <c r="DH26" s="1">
        <v>0.1063188290996378</v>
      </c>
      <c r="DI26" s="1">
        <v>9.2112155334545004E-2</v>
      </c>
      <c r="DJ26" s="1">
        <v>0.28429457033390099</v>
      </c>
      <c r="DK26" s="1">
        <v>0.18393473390785489</v>
      </c>
      <c r="DL26" s="1">
        <v>9.0323205603472623E-2</v>
      </c>
      <c r="DM26" s="1">
        <v>0.45836075171528878</v>
      </c>
      <c r="DN26" s="1">
        <v>0.13803354713330829</v>
      </c>
      <c r="DO26" s="1">
        <v>-5.8539410869663709E-2</v>
      </c>
      <c r="DP26" s="1">
        <v>6.6723921489478061E-2</v>
      </c>
      <c r="DQ26" s="1">
        <v>-9.9914946191073106E-2</v>
      </c>
      <c r="DR26" s="1">
        <v>-2.5269916655573571E-2</v>
      </c>
      <c r="DS26" s="1">
        <v>0.12412695126985331</v>
      </c>
      <c r="DT26" s="1">
        <v>6.2242989010295659E-2</v>
      </c>
      <c r="DU26" s="1">
        <v>-5.2845280922532829E-2</v>
      </c>
      <c r="DV26" s="1">
        <v>-1.8501180348737579E-2</v>
      </c>
      <c r="DW26" s="1">
        <v>3.0684045682453379E-2</v>
      </c>
      <c r="DX26" s="1">
        <v>6.3391654437357286E-3</v>
      </c>
      <c r="DY26" s="1">
        <v>0.14062865449528411</v>
      </c>
      <c r="DZ26" s="1">
        <v>5.4973545195608833E-2</v>
      </c>
      <c r="EA26" s="1">
        <v>-7.3102723301121733E-2</v>
      </c>
      <c r="EB26" s="1">
        <v>4.0453048516888981E-2</v>
      </c>
      <c r="EC26" s="1">
        <v>0.1209027256446402</v>
      </c>
      <c r="ED26" s="1">
        <v>3.6871482436997109E-3</v>
      </c>
      <c r="EE26" s="1">
        <v>4.138827801689874E-2</v>
      </c>
      <c r="EF26" s="1">
        <v>8.8642827168659802E-2</v>
      </c>
    </row>
    <row r="27" spans="1:136" ht="16" customHeight="1">
      <c r="A27" s="6" t="s">
        <v>147</v>
      </c>
      <c r="B27" s="6" t="s">
        <v>148</v>
      </c>
      <c r="C27" s="20">
        <v>-1.7446770539390338E-2</v>
      </c>
      <c r="D27" s="20">
        <v>2.070106053181563E-2</v>
      </c>
      <c r="E27" s="20">
        <v>2.3982129254766709E-2</v>
      </c>
      <c r="F27" s="20">
        <v>-6.557578972823077E-3</v>
      </c>
      <c r="G27" s="20">
        <v>3.1845129800519692E-2</v>
      </c>
      <c r="H27" s="20">
        <v>3.4348532736990518E-2</v>
      </c>
      <c r="I27" s="20">
        <v>-8.2549327813252367E-3</v>
      </c>
      <c r="J27" s="20">
        <v>1.2843524394052759E-2</v>
      </c>
      <c r="K27" s="20">
        <v>-5.1018524626790823E-2</v>
      </c>
      <c r="L27" s="20">
        <v>8.7394274103658827E-4</v>
      </c>
      <c r="M27" s="20">
        <v>2.3389575505495919E-2</v>
      </c>
      <c r="N27" s="20">
        <v>1.2988972200332851E-2</v>
      </c>
      <c r="O27" s="20">
        <v>5.8545887256348812E-3</v>
      </c>
      <c r="P27" s="20">
        <v>2.7413206571790558E-2</v>
      </c>
      <c r="Q27" s="20">
        <v>-3.7129361176928542E-3</v>
      </c>
      <c r="R27" s="20">
        <v>2.4076614047823328E-2</v>
      </c>
      <c r="S27" s="20">
        <v>-1.219002529903996E-2</v>
      </c>
      <c r="T27" s="20">
        <v>-3.9749578159589592E-2</v>
      </c>
      <c r="U27" s="20">
        <v>-7.3155449831649552E-2</v>
      </c>
      <c r="V27" s="20">
        <v>-5.8260229910114661E-2</v>
      </c>
      <c r="W27" s="20">
        <v>7.7279756550837221E-4</v>
      </c>
      <c r="X27" s="20">
        <v>4.459152113521897E-2</v>
      </c>
      <c r="Y27" s="20">
        <v>-2.7699680050213091E-2</v>
      </c>
      <c r="Z27" s="20">
        <v>2.0950059497436462E-3</v>
      </c>
      <c r="AA27" s="20">
        <v>-2.340055099256411E-2</v>
      </c>
      <c r="AB27" s="20">
        <v>3.2129371097322189E-2</v>
      </c>
      <c r="AC27" s="20">
        <v>3.890327309406643E-2</v>
      </c>
      <c r="AD27" s="20">
        <v>-4.286538217110427E-2</v>
      </c>
      <c r="AE27" s="20">
        <v>1.8647194550152159E-2</v>
      </c>
      <c r="AF27" s="20">
        <v>1.5229768322528949E-2</v>
      </c>
      <c r="AG27" s="20">
        <v>3.6016603778892417E-2</v>
      </c>
      <c r="AH27" s="20">
        <v>9.3546113853161701E-3</v>
      </c>
      <c r="AI27" s="20">
        <v>1.0748251336838139E-2</v>
      </c>
      <c r="AJ27" s="20">
        <v>1.335775405308097E-2</v>
      </c>
      <c r="AK27" s="20">
        <v>-5.3327473290953921E-3</v>
      </c>
      <c r="AL27" s="20">
        <v>1.383135807261675E-3</v>
      </c>
      <c r="AM27" s="20">
        <v>2.079592842007446E-2</v>
      </c>
      <c r="AN27" s="20">
        <v>3.1517702220390638E-2</v>
      </c>
      <c r="AO27" s="20">
        <v>6.2417165333294418E-3</v>
      </c>
      <c r="AP27" s="20">
        <v>6.1452616535713897E-3</v>
      </c>
      <c r="AQ27" s="20">
        <v>1.694635767669651E-2</v>
      </c>
      <c r="AR27" s="20">
        <v>3.4682830454308228E-2</v>
      </c>
      <c r="AS27" s="20">
        <v>3.0985886171969678E-3</v>
      </c>
      <c r="AT27" s="20">
        <v>1.508134714348611E-2</v>
      </c>
      <c r="AU27" s="20">
        <v>-1.9251209229863991E-2</v>
      </c>
      <c r="AV27" s="20">
        <v>3.8711513387631437E-2</v>
      </c>
      <c r="AW27" s="20">
        <v>-2.1856951135736599E-2</v>
      </c>
      <c r="AX27" s="20">
        <v>7.7743007097896798E-3</v>
      </c>
      <c r="AY27" s="20">
        <v>4.2397246695325942E-2</v>
      </c>
      <c r="AZ27" s="20">
        <v>-2.630897486115975E-2</v>
      </c>
      <c r="BA27" s="20">
        <v>9.5717493087162323E-3</v>
      </c>
      <c r="BB27" s="20">
        <v>-2.424974126627483E-2</v>
      </c>
      <c r="BC27" s="20">
        <v>2.0163374143915822E-2</v>
      </c>
      <c r="BD27" s="20">
        <v>-3.5049987821160239E-3</v>
      </c>
      <c r="BE27" s="20">
        <v>2.0151935098542271E-2</v>
      </c>
      <c r="BF27" s="20">
        <v>5.8133623077027128E-4</v>
      </c>
      <c r="BG27" s="20">
        <v>-5.2197009532526043E-3</v>
      </c>
      <c r="BH27" s="20">
        <v>-0.11587176140213</v>
      </c>
      <c r="BI27" s="20">
        <v>8.7252256924373536E-3</v>
      </c>
      <c r="BJ27" s="20">
        <v>-1.6377260977822151E-2</v>
      </c>
      <c r="BK27" s="20">
        <v>2.0840371600260421E-2</v>
      </c>
      <c r="BL27" s="20">
        <v>4.4975872102114713E-2</v>
      </c>
      <c r="BM27" s="20">
        <v>2.3954306081863871E-2</v>
      </c>
      <c r="BN27" s="20">
        <v>3.0239101391442601E-2</v>
      </c>
      <c r="BO27" s="20">
        <v>-4.372588759108751E-2</v>
      </c>
      <c r="BP27" s="20">
        <v>2.1889469568198618E-2</v>
      </c>
      <c r="BQ27" s="20">
        <v>8.6274302635084028E-3</v>
      </c>
      <c r="BR27" s="20">
        <v>-1.9192953994658781E-2</v>
      </c>
      <c r="BS27" s="20">
        <v>1.973512988813305E-2</v>
      </c>
      <c r="BT27" s="20">
        <v>4.7694337483699438E-2</v>
      </c>
      <c r="BU27" s="20">
        <v>1.145481680658339E-2</v>
      </c>
      <c r="BV27" s="20">
        <v>4.3228620735213191E-2</v>
      </c>
      <c r="BW27" s="20">
        <v>-4.2747430436922793E-2</v>
      </c>
      <c r="BX27" s="20">
        <v>-1.781129242779457E-2</v>
      </c>
      <c r="BY27" s="20">
        <v>-0.1511530968690756</v>
      </c>
      <c r="BZ27" s="20">
        <v>0.12422400361957529</v>
      </c>
      <c r="CA27" s="20">
        <v>-4.5572538445296431E-3</v>
      </c>
      <c r="CB27" s="20">
        <v>6.0211240204911178E-2</v>
      </c>
      <c r="CC27" s="20">
        <v>8.5992033482502284E-2</v>
      </c>
      <c r="CD27" s="20">
        <v>-5.8084795823660634E-3</v>
      </c>
      <c r="CE27" s="20">
        <v>-6.0413469889680736E-3</v>
      </c>
      <c r="CF27" s="20">
        <v>2.4523243722520739E-3</v>
      </c>
      <c r="CG27" s="20">
        <v>8.963625193702289E-2</v>
      </c>
      <c r="CH27" s="20">
        <v>7.099273252675789E-2</v>
      </c>
      <c r="CI27" s="20">
        <v>2.7170642901783448E-2</v>
      </c>
      <c r="CJ27" s="20">
        <v>5.2468428425330033E-2</v>
      </c>
      <c r="CK27" s="20">
        <v>2.9480660943049509E-2</v>
      </c>
      <c r="CL27" s="20">
        <v>6.6825081060201283E-2</v>
      </c>
      <c r="CM27" s="20">
        <v>-2.8772229019816971E-2</v>
      </c>
      <c r="CN27" s="20">
        <v>3.9462515901637851E-2</v>
      </c>
      <c r="CO27" s="20">
        <v>-2.9031086977359909E-2</v>
      </c>
      <c r="CP27" s="20">
        <v>1.3983882519467901E-2</v>
      </c>
      <c r="CQ27" s="20">
        <v>-3.2276964959333833E-2</v>
      </c>
      <c r="CR27" s="20">
        <v>3.1035766128940231E-3</v>
      </c>
      <c r="CS27" s="20">
        <v>2.5591855767083171E-2</v>
      </c>
      <c r="CT27" s="20">
        <v>4.4391886287193302E-2</v>
      </c>
      <c r="CU27" s="20">
        <v>-3.0338958549577438E-2</v>
      </c>
      <c r="CV27" s="20">
        <v>-1.2579764545717069E-3</v>
      </c>
      <c r="CW27" s="20">
        <v>2.336356455857952E-3</v>
      </c>
      <c r="CX27" s="20">
        <v>-6.4264144925906069E-2</v>
      </c>
      <c r="CY27" s="20">
        <v>1.2909779458992439E-2</v>
      </c>
      <c r="CZ27" s="20">
        <v>-0.12547709467085871</v>
      </c>
      <c r="DA27" s="20">
        <v>1.1690682939792569E-2</v>
      </c>
      <c r="DB27" s="20">
        <v>6.3378437007417512E-3</v>
      </c>
      <c r="DC27" s="20">
        <v>-0.1173053564693855</v>
      </c>
      <c r="DD27" s="20">
        <v>-3.6010872049446613E-2</v>
      </c>
      <c r="DE27" s="20">
        <v>0.1389113040722679</v>
      </c>
      <c r="DF27" s="20">
        <v>-5.1143506226105737E-2</v>
      </c>
      <c r="DG27" s="20">
        <v>7.6731447181969059E-2</v>
      </c>
      <c r="DH27" s="20">
        <v>1.550878219700816E-2</v>
      </c>
      <c r="DI27" s="20">
        <v>2.3223773674755831E-2</v>
      </c>
      <c r="DJ27" s="20">
        <v>-1.8372876361227891E-2</v>
      </c>
      <c r="DK27" s="20">
        <v>6.2199014085099431E-2</v>
      </c>
      <c r="DL27" s="20">
        <v>2.0098304486957191E-2</v>
      </c>
      <c r="DM27" s="20">
        <v>1.349893974806809E-2</v>
      </c>
      <c r="DN27" s="20">
        <v>-3.025221272842088E-2</v>
      </c>
      <c r="DO27" s="20">
        <v>-1.7022835708053841E-2</v>
      </c>
      <c r="DP27" s="20">
        <v>-2.1788523272461981E-2</v>
      </c>
      <c r="DQ27" s="20">
        <v>8.5745624585137223E-2</v>
      </c>
      <c r="DR27" s="20">
        <v>2.8106743604973752E-2</v>
      </c>
      <c r="DS27" s="20">
        <v>-2.3031598073594501E-3</v>
      </c>
      <c r="DT27" s="20">
        <v>5.8471198131487503E-2</v>
      </c>
      <c r="DU27" s="20">
        <v>6.7658949048647651E-2</v>
      </c>
      <c r="DV27" s="20">
        <v>5.0207706404322644E-3</v>
      </c>
      <c r="DW27" s="20">
        <v>3.7416183675207063E-2</v>
      </c>
      <c r="DX27" s="20">
        <v>8.4111003746042121E-2</v>
      </c>
      <c r="DY27" s="20">
        <v>-3.6832398544012837E-2</v>
      </c>
      <c r="DZ27" s="20">
        <v>3.0917028169369942E-3</v>
      </c>
      <c r="EA27" s="20">
        <v>-1.957628214294549E-3</v>
      </c>
      <c r="EB27" s="20">
        <v>2.6459103603519739E-2</v>
      </c>
      <c r="EC27" s="20">
        <v>-2.4752538760690269E-2</v>
      </c>
      <c r="ED27" s="20">
        <v>3.4115490982559941E-2</v>
      </c>
      <c r="EE27" s="20">
        <v>2.1061973989032982E-2</v>
      </c>
      <c r="EF27" s="20">
        <v>-2.0277392706005919E-2</v>
      </c>
    </row>
    <row r="28" spans="1:136">
      <c r="A28" s="3"/>
      <c r="B28" s="3"/>
      <c r="K28" s="3"/>
    </row>
    <row r="29" spans="1:136">
      <c r="C29" s="38">
        <v>1101</v>
      </c>
      <c r="D29" s="38">
        <v>2484</v>
      </c>
      <c r="E29" s="38">
        <v>1233</v>
      </c>
      <c r="F29" s="38">
        <v>2524</v>
      </c>
      <c r="G29" s="38">
        <v>2611</v>
      </c>
      <c r="H29" s="38">
        <v>1233</v>
      </c>
      <c r="I29" s="38">
        <v>2379</v>
      </c>
      <c r="J29" s="38">
        <v>2379</v>
      </c>
      <c r="K29" s="38">
        <v>2524</v>
      </c>
      <c r="L29" s="38">
        <v>1233</v>
      </c>
      <c r="M29" s="38">
        <v>2524</v>
      </c>
      <c r="N29" s="38">
        <v>1805</v>
      </c>
      <c r="O29" s="38">
        <v>2538</v>
      </c>
      <c r="P29" s="38">
        <v>3033</v>
      </c>
      <c r="Q29" s="38">
        <v>2385</v>
      </c>
      <c r="R29" s="38">
        <v>3024</v>
      </c>
      <c r="S29" s="38">
        <v>3024</v>
      </c>
      <c r="T29" s="38">
        <v>1314</v>
      </c>
      <c r="U29" s="38">
        <v>3024</v>
      </c>
      <c r="V29" s="38">
        <v>3024</v>
      </c>
      <c r="W29" s="38">
        <v>5521</v>
      </c>
      <c r="X29" s="38">
        <v>2535</v>
      </c>
      <c r="Y29" s="38">
        <v>3033</v>
      </c>
      <c r="Z29" s="38">
        <v>5201</v>
      </c>
      <c r="AA29" s="38">
        <v>2535</v>
      </c>
      <c r="AB29" s="38">
        <v>5201</v>
      </c>
      <c r="AC29" s="38">
        <v>5471</v>
      </c>
      <c r="AD29" s="38">
        <v>5521</v>
      </c>
      <c r="AE29" s="38">
        <v>2023</v>
      </c>
      <c r="AF29" s="38">
        <v>2023</v>
      </c>
      <c r="AG29" s="38">
        <v>3017</v>
      </c>
      <c r="AH29" s="38">
        <v>3033</v>
      </c>
      <c r="AI29" s="38">
        <v>1464</v>
      </c>
      <c r="AJ29" s="38">
        <v>2451</v>
      </c>
      <c r="AK29" s="38">
        <v>2451</v>
      </c>
      <c r="AL29" s="38">
        <v>4413</v>
      </c>
      <c r="AM29" s="38">
        <v>2451</v>
      </c>
      <c r="AN29" s="38">
        <v>2451</v>
      </c>
      <c r="AO29" s="38">
        <v>6121</v>
      </c>
      <c r="AP29" s="38">
        <v>2451</v>
      </c>
      <c r="AQ29" s="38">
        <v>1805</v>
      </c>
      <c r="AR29" s="38">
        <v>4416</v>
      </c>
      <c r="AS29" s="38">
        <v>5523</v>
      </c>
      <c r="AT29" s="38">
        <v>2524</v>
      </c>
      <c r="AU29" s="38">
        <v>1436</v>
      </c>
      <c r="AV29" s="38">
        <v>2338</v>
      </c>
      <c r="AW29" s="38">
        <v>5212</v>
      </c>
      <c r="AX29" s="38">
        <v>2338</v>
      </c>
      <c r="AY29" s="38">
        <v>6186</v>
      </c>
      <c r="AZ29" s="38">
        <v>5523</v>
      </c>
      <c r="BA29" s="38">
        <v>5523</v>
      </c>
      <c r="BB29" s="38">
        <v>5443</v>
      </c>
      <c r="BC29" s="38">
        <v>3051</v>
      </c>
      <c r="BD29" s="38">
        <v>5523</v>
      </c>
      <c r="BE29" s="38">
        <v>3051</v>
      </c>
      <c r="BF29" s="38">
        <v>3051</v>
      </c>
      <c r="BG29" s="38">
        <v>3051</v>
      </c>
      <c r="BH29" s="38">
        <v>6186</v>
      </c>
      <c r="BI29" s="38">
        <v>6186</v>
      </c>
      <c r="BJ29" s="38">
        <v>2537</v>
      </c>
      <c r="BK29" s="38">
        <v>2537</v>
      </c>
      <c r="BL29" s="38">
        <v>2488</v>
      </c>
      <c r="BM29" s="38">
        <v>6192</v>
      </c>
      <c r="BN29" s="38">
        <v>8927</v>
      </c>
      <c r="BO29" s="38">
        <v>2537</v>
      </c>
      <c r="BP29" s="38">
        <v>4416</v>
      </c>
      <c r="BQ29" s="38">
        <v>2537</v>
      </c>
      <c r="BR29" s="38">
        <v>6128</v>
      </c>
      <c r="BS29" s="38">
        <v>3002</v>
      </c>
      <c r="BT29" s="38">
        <v>5007</v>
      </c>
      <c r="BU29" s="38">
        <v>4109</v>
      </c>
      <c r="BV29" s="38">
        <v>6128</v>
      </c>
      <c r="BW29" s="38">
        <v>8085</v>
      </c>
      <c r="BX29" s="38">
        <v>8927</v>
      </c>
      <c r="BY29" s="38">
        <v>1737</v>
      </c>
      <c r="BZ29" s="38">
        <v>6242</v>
      </c>
      <c r="CA29" s="38">
        <v>6242</v>
      </c>
      <c r="CB29" s="38">
        <v>8927</v>
      </c>
      <c r="CC29" s="38">
        <v>8927</v>
      </c>
      <c r="CD29" s="38">
        <v>6242</v>
      </c>
      <c r="CE29" s="38">
        <v>8927</v>
      </c>
      <c r="CF29" s="38">
        <v>6242</v>
      </c>
      <c r="CG29" s="38">
        <v>8050</v>
      </c>
      <c r="CH29" s="38">
        <v>6242</v>
      </c>
      <c r="CI29" s="38">
        <v>6242</v>
      </c>
      <c r="CJ29" s="38">
        <v>8050</v>
      </c>
      <c r="CK29" s="38">
        <v>8050</v>
      </c>
      <c r="CL29" s="38">
        <v>6242</v>
      </c>
      <c r="CM29" s="38">
        <v>4402</v>
      </c>
      <c r="CN29" s="38">
        <v>3016</v>
      </c>
      <c r="CO29" s="38">
        <v>1436</v>
      </c>
      <c r="CP29" s="38">
        <v>6242</v>
      </c>
      <c r="CQ29" s="38">
        <v>3016</v>
      </c>
      <c r="CR29" s="38">
        <v>6242</v>
      </c>
      <c r="CS29" s="38">
        <v>3005</v>
      </c>
      <c r="CT29" s="38">
        <v>2493</v>
      </c>
      <c r="CU29" s="38">
        <v>2423</v>
      </c>
      <c r="CV29" s="38">
        <v>1734</v>
      </c>
      <c r="CW29" s="38">
        <v>5306</v>
      </c>
      <c r="CX29" s="38">
        <v>4402</v>
      </c>
      <c r="CY29" s="38">
        <v>9904</v>
      </c>
      <c r="CZ29" s="38">
        <v>8072</v>
      </c>
      <c r="DA29" s="38">
        <v>5007</v>
      </c>
      <c r="DB29" s="38">
        <v>9904</v>
      </c>
      <c r="DC29" s="38">
        <v>8072</v>
      </c>
      <c r="DD29" s="38">
        <v>6021</v>
      </c>
      <c r="DE29" s="38">
        <v>3232</v>
      </c>
      <c r="DF29" s="38">
        <v>2538</v>
      </c>
      <c r="DG29" s="38">
        <v>2538</v>
      </c>
      <c r="DH29" s="38">
        <v>5306</v>
      </c>
      <c r="DI29" s="38">
        <v>2538</v>
      </c>
      <c r="DJ29" s="38">
        <v>2434</v>
      </c>
      <c r="DK29" s="38">
        <v>2538</v>
      </c>
      <c r="DL29" s="38">
        <v>6020</v>
      </c>
      <c r="DM29" s="38">
        <v>2538</v>
      </c>
      <c r="DN29" s="38">
        <v>4402</v>
      </c>
      <c r="DO29" s="38">
        <v>2538</v>
      </c>
      <c r="DP29" s="38">
        <v>5425</v>
      </c>
      <c r="DQ29" s="38">
        <v>5425</v>
      </c>
      <c r="DR29" s="38">
        <v>4402</v>
      </c>
      <c r="DS29" s="38">
        <v>6291</v>
      </c>
      <c r="DT29" s="38">
        <v>2031</v>
      </c>
      <c r="DU29" s="38">
        <v>6291</v>
      </c>
      <c r="DV29" s="38">
        <v>3232</v>
      </c>
      <c r="DW29" s="38">
        <v>2538</v>
      </c>
      <c r="DX29" s="38">
        <v>6291</v>
      </c>
      <c r="DY29" s="38">
        <v>2538</v>
      </c>
      <c r="DZ29" s="38">
        <v>2538</v>
      </c>
      <c r="EA29" s="38">
        <v>8074</v>
      </c>
      <c r="EB29" s="38">
        <v>8074</v>
      </c>
      <c r="EC29" s="38">
        <v>3232</v>
      </c>
      <c r="ED29" s="38">
        <v>4402</v>
      </c>
      <c r="EE29" s="38">
        <v>2538</v>
      </c>
      <c r="EF29" s="38">
        <v>2538</v>
      </c>
    </row>
    <row r="30" spans="1:136">
      <c r="C30" s="38" t="s">
        <v>149</v>
      </c>
      <c r="D30" s="38" t="s">
        <v>150</v>
      </c>
      <c r="E30" s="38" t="s">
        <v>151</v>
      </c>
      <c r="F30" s="38" t="s">
        <v>152</v>
      </c>
      <c r="G30" s="38" t="s">
        <v>153</v>
      </c>
      <c r="H30" s="38" t="s">
        <v>151</v>
      </c>
      <c r="I30" s="38" t="s">
        <v>154</v>
      </c>
      <c r="J30" s="38" t="s">
        <v>154</v>
      </c>
      <c r="K30" s="38" t="s">
        <v>152</v>
      </c>
      <c r="L30" s="38" t="s">
        <v>151</v>
      </c>
      <c r="M30" s="38" t="s">
        <v>152</v>
      </c>
      <c r="N30" s="38" t="s">
        <v>155</v>
      </c>
      <c r="O30" s="38" t="s">
        <v>156</v>
      </c>
      <c r="P30" s="38" t="s">
        <v>157</v>
      </c>
      <c r="Q30" s="38" t="s">
        <v>158</v>
      </c>
      <c r="R30" s="38" t="s">
        <v>159</v>
      </c>
      <c r="S30" s="38" t="s">
        <v>159</v>
      </c>
      <c r="T30" s="38" t="s">
        <v>160</v>
      </c>
      <c r="U30" s="38" t="s">
        <v>273</v>
      </c>
      <c r="V30" s="38" t="s">
        <v>159</v>
      </c>
      <c r="W30" s="38" t="s">
        <v>161</v>
      </c>
      <c r="X30" s="38" t="s">
        <v>162</v>
      </c>
      <c r="Y30" s="38" t="s">
        <v>157</v>
      </c>
      <c r="Z30" s="38" t="s">
        <v>163</v>
      </c>
      <c r="AA30" s="38" t="s">
        <v>162</v>
      </c>
      <c r="AB30" s="38" t="s">
        <v>163</v>
      </c>
      <c r="AC30" s="38" t="s">
        <v>164</v>
      </c>
      <c r="AD30" s="38" t="s">
        <v>161</v>
      </c>
      <c r="AE30" s="38" t="s">
        <v>165</v>
      </c>
      <c r="AF30" s="38" t="s">
        <v>165</v>
      </c>
      <c r="AG30" s="38" t="s">
        <v>166</v>
      </c>
      <c r="AH30" s="38" t="s">
        <v>157</v>
      </c>
      <c r="AI30" s="38" t="s">
        <v>167</v>
      </c>
      <c r="AJ30" s="38" t="s">
        <v>168</v>
      </c>
      <c r="AK30" s="38" t="s">
        <v>168</v>
      </c>
      <c r="AL30" s="38" t="s">
        <v>169</v>
      </c>
      <c r="AM30" s="38" t="s">
        <v>168</v>
      </c>
      <c r="AN30" s="38" t="s">
        <v>168</v>
      </c>
      <c r="AO30" s="38" t="s">
        <v>170</v>
      </c>
      <c r="AP30" s="38" t="s">
        <v>168</v>
      </c>
      <c r="AQ30" s="38" t="s">
        <v>155</v>
      </c>
      <c r="AR30" s="38" t="s">
        <v>171</v>
      </c>
      <c r="AS30" s="38" t="s">
        <v>172</v>
      </c>
      <c r="AT30" s="38" t="s">
        <v>152</v>
      </c>
      <c r="AU30" s="38" t="s">
        <v>173</v>
      </c>
      <c r="AV30" s="38" t="s">
        <v>174</v>
      </c>
      <c r="AW30" s="38" t="s">
        <v>175</v>
      </c>
      <c r="AX30" s="38" t="s">
        <v>174</v>
      </c>
      <c r="AY30" s="38" t="s">
        <v>176</v>
      </c>
      <c r="AZ30" s="38" t="s">
        <v>172</v>
      </c>
      <c r="BA30" s="38" t="s">
        <v>172</v>
      </c>
      <c r="BB30" s="38" t="s">
        <v>177</v>
      </c>
      <c r="BC30" s="38" t="s">
        <v>178</v>
      </c>
      <c r="BD30" s="38" t="s">
        <v>172</v>
      </c>
      <c r="BE30" s="38" t="s">
        <v>178</v>
      </c>
      <c r="BF30" s="38" t="s">
        <v>178</v>
      </c>
      <c r="BG30" s="38" t="s">
        <v>178</v>
      </c>
      <c r="BH30" s="38" t="s">
        <v>176</v>
      </c>
      <c r="BI30" s="38" t="s">
        <v>176</v>
      </c>
      <c r="BJ30" s="38" t="s">
        <v>179</v>
      </c>
      <c r="BK30" s="38" t="s">
        <v>179</v>
      </c>
      <c r="BL30" s="38" t="s">
        <v>180</v>
      </c>
      <c r="BM30" s="38" t="s">
        <v>181</v>
      </c>
      <c r="BN30" s="38" t="s">
        <v>182</v>
      </c>
      <c r="BO30" s="38" t="s">
        <v>179</v>
      </c>
      <c r="BP30" s="38" t="s">
        <v>171</v>
      </c>
      <c r="BQ30" s="38" t="s">
        <v>179</v>
      </c>
      <c r="BR30" s="38" t="s">
        <v>183</v>
      </c>
      <c r="BS30" s="38" t="s">
        <v>184</v>
      </c>
      <c r="BT30" s="38" t="s">
        <v>185</v>
      </c>
      <c r="BU30" s="38" t="s">
        <v>186</v>
      </c>
      <c r="BV30" s="38" t="s">
        <v>183</v>
      </c>
      <c r="BW30" s="38" t="s">
        <v>187</v>
      </c>
      <c r="BX30" s="38" t="s">
        <v>182</v>
      </c>
      <c r="BY30" s="38" t="s">
        <v>188</v>
      </c>
      <c r="BZ30" s="38" t="s">
        <v>189</v>
      </c>
      <c r="CA30" s="38" t="s">
        <v>189</v>
      </c>
      <c r="CB30" s="38" t="s">
        <v>182</v>
      </c>
      <c r="CC30" s="38" t="s">
        <v>182</v>
      </c>
      <c r="CD30" s="38" t="s">
        <v>189</v>
      </c>
      <c r="CE30" s="38" t="s">
        <v>182</v>
      </c>
      <c r="CF30" s="38" t="s">
        <v>189</v>
      </c>
      <c r="CG30" s="38" t="s">
        <v>190</v>
      </c>
      <c r="CH30" s="38" t="s">
        <v>189</v>
      </c>
      <c r="CI30" s="38" t="s">
        <v>189</v>
      </c>
      <c r="CJ30" s="38" t="s">
        <v>190</v>
      </c>
      <c r="CK30" s="38" t="s">
        <v>190</v>
      </c>
      <c r="CL30" s="38" t="s">
        <v>189</v>
      </c>
      <c r="CM30" s="38" t="s">
        <v>191</v>
      </c>
      <c r="CN30" s="38" t="s">
        <v>192</v>
      </c>
      <c r="CO30" s="38" t="s">
        <v>173</v>
      </c>
      <c r="CP30" s="38" t="s">
        <v>189</v>
      </c>
      <c r="CQ30" s="38" t="s">
        <v>192</v>
      </c>
      <c r="CR30" s="38" t="s">
        <v>189</v>
      </c>
      <c r="CS30" s="38" t="s">
        <v>193</v>
      </c>
      <c r="CT30" s="38" t="s">
        <v>194</v>
      </c>
      <c r="CU30" s="38" t="s">
        <v>195</v>
      </c>
      <c r="CV30" s="38" t="s">
        <v>196</v>
      </c>
      <c r="CW30" s="38" t="s">
        <v>197</v>
      </c>
      <c r="CX30" s="38" t="s">
        <v>191</v>
      </c>
      <c r="CY30" s="38" t="s">
        <v>198</v>
      </c>
      <c r="CZ30" s="38" t="s">
        <v>199</v>
      </c>
      <c r="DA30" s="38" t="s">
        <v>185</v>
      </c>
      <c r="DB30" s="38" t="s">
        <v>198</v>
      </c>
      <c r="DC30" s="38" t="s">
        <v>199</v>
      </c>
      <c r="DD30" s="38" t="s">
        <v>200</v>
      </c>
      <c r="DE30" s="38" t="s">
        <v>201</v>
      </c>
      <c r="DF30" s="38" t="s">
        <v>156</v>
      </c>
      <c r="DG30" s="38" t="s">
        <v>156</v>
      </c>
      <c r="DH30" s="38" t="s">
        <v>197</v>
      </c>
      <c r="DI30" s="38" t="s">
        <v>156</v>
      </c>
      <c r="DJ30" s="38" t="s">
        <v>202</v>
      </c>
      <c r="DK30" s="38" t="s">
        <v>156</v>
      </c>
      <c r="DL30" s="38" t="s">
        <v>203</v>
      </c>
      <c r="DM30" s="38" t="s">
        <v>156</v>
      </c>
      <c r="DN30" s="38" t="s">
        <v>191</v>
      </c>
      <c r="DO30" s="38" t="s">
        <v>156</v>
      </c>
      <c r="DP30" s="38" t="s">
        <v>204</v>
      </c>
      <c r="DQ30" s="38" t="s">
        <v>204</v>
      </c>
      <c r="DR30" s="38" t="s">
        <v>191</v>
      </c>
      <c r="DS30" s="38" t="s">
        <v>205</v>
      </c>
      <c r="DT30" s="38" t="s">
        <v>206</v>
      </c>
      <c r="DU30" s="38" t="s">
        <v>205</v>
      </c>
      <c r="DV30" s="38" t="s">
        <v>201</v>
      </c>
      <c r="DW30" s="38" t="s">
        <v>156</v>
      </c>
      <c r="DX30" s="38" t="s">
        <v>205</v>
      </c>
      <c r="DY30" s="38" t="s">
        <v>156</v>
      </c>
      <c r="DZ30" s="38" t="s">
        <v>156</v>
      </c>
      <c r="EA30" s="38" t="s">
        <v>207</v>
      </c>
      <c r="EB30" s="38" t="s">
        <v>207</v>
      </c>
      <c r="EC30" s="38" t="s">
        <v>201</v>
      </c>
      <c r="ED30" s="38" t="s">
        <v>191</v>
      </c>
      <c r="EE30" s="38" t="s">
        <v>156</v>
      </c>
      <c r="EF30" s="38" t="s">
        <v>156</v>
      </c>
    </row>
    <row r="31" spans="1:136">
      <c r="C31" s="38">
        <v>9951</v>
      </c>
      <c r="D31" s="38">
        <v>3219</v>
      </c>
      <c r="E31" s="38">
        <v>2328</v>
      </c>
      <c r="F31" s="38">
        <v>2489</v>
      </c>
      <c r="G31" s="38">
        <v>2489</v>
      </c>
      <c r="H31" s="38">
        <v>2328</v>
      </c>
      <c r="I31" s="38">
        <v>1805</v>
      </c>
      <c r="J31" s="38">
        <v>1440</v>
      </c>
      <c r="K31" s="38">
        <v>2489</v>
      </c>
      <c r="L31" s="38">
        <v>2328</v>
      </c>
      <c r="M31" s="38">
        <v>2436</v>
      </c>
      <c r="N31" s="38">
        <v>2328</v>
      </c>
      <c r="O31" s="38">
        <v>2436</v>
      </c>
      <c r="P31" s="38">
        <v>2524</v>
      </c>
      <c r="Q31" s="38">
        <v>2524</v>
      </c>
      <c r="R31" s="38">
        <v>2524</v>
      </c>
      <c r="S31" s="38">
        <v>2524</v>
      </c>
      <c r="T31" s="38">
        <v>1451</v>
      </c>
      <c r="U31" s="38">
        <v>2524</v>
      </c>
      <c r="V31" s="38">
        <v>2524</v>
      </c>
      <c r="W31" s="38">
        <v>2328</v>
      </c>
      <c r="X31" s="38">
        <v>5007</v>
      </c>
      <c r="Y31" s="38">
        <v>2524</v>
      </c>
      <c r="Z31" s="38">
        <v>2524</v>
      </c>
      <c r="AA31" s="38">
        <v>5007</v>
      </c>
      <c r="AB31" s="38">
        <v>2524</v>
      </c>
      <c r="AC31" s="38">
        <v>5432</v>
      </c>
      <c r="AD31" s="38">
        <v>2328</v>
      </c>
      <c r="AE31" s="38">
        <v>5443</v>
      </c>
      <c r="AF31" s="38">
        <v>4528</v>
      </c>
      <c r="AG31" s="38">
        <v>2524</v>
      </c>
      <c r="AH31" s="38">
        <v>2527</v>
      </c>
      <c r="AI31" s="38">
        <v>2328</v>
      </c>
      <c r="AJ31" s="38">
        <v>2002</v>
      </c>
      <c r="AK31" s="38">
        <v>2538</v>
      </c>
      <c r="AL31" s="38">
        <v>2328</v>
      </c>
      <c r="AM31" s="38">
        <v>2538</v>
      </c>
      <c r="AN31" s="38">
        <v>2022</v>
      </c>
      <c r="AO31" s="38">
        <v>2023</v>
      </c>
      <c r="AP31" s="38">
        <v>2023</v>
      </c>
      <c r="AQ31" s="38">
        <v>2328</v>
      </c>
      <c r="AR31" s="38">
        <v>2328</v>
      </c>
      <c r="AS31" s="38">
        <v>2022</v>
      </c>
      <c r="AT31" s="38">
        <v>9904</v>
      </c>
      <c r="AU31" s="38">
        <v>2328</v>
      </c>
      <c r="AV31" s="38">
        <v>2607</v>
      </c>
      <c r="AW31" s="38">
        <v>1440</v>
      </c>
      <c r="AX31" s="38">
        <v>2539</v>
      </c>
      <c r="AY31" s="38">
        <v>2527</v>
      </c>
      <c r="AZ31" s="38">
        <v>2328</v>
      </c>
      <c r="BA31" s="38">
        <v>2328</v>
      </c>
      <c r="BB31" s="38">
        <v>5523</v>
      </c>
      <c r="BC31" s="38">
        <v>5523</v>
      </c>
      <c r="BD31" s="38">
        <v>2328</v>
      </c>
      <c r="BE31" s="38">
        <v>5523</v>
      </c>
      <c r="BF31" s="38">
        <v>5523</v>
      </c>
      <c r="BG31" s="38">
        <v>5523</v>
      </c>
      <c r="BH31" s="38">
        <v>5523</v>
      </c>
      <c r="BI31" s="38">
        <v>1785</v>
      </c>
      <c r="BJ31" s="38">
        <v>2328</v>
      </c>
      <c r="BK31" s="38">
        <v>2328</v>
      </c>
      <c r="BL31" s="38">
        <v>2537</v>
      </c>
      <c r="BM31" s="38">
        <v>5015</v>
      </c>
      <c r="BN31" s="38">
        <v>2328</v>
      </c>
      <c r="BO31" s="38">
        <v>1785</v>
      </c>
      <c r="BP31" s="38">
        <v>2328</v>
      </c>
      <c r="BQ31" s="38">
        <v>1785</v>
      </c>
      <c r="BR31" s="38">
        <v>6242</v>
      </c>
      <c r="BS31" s="38">
        <v>2538</v>
      </c>
      <c r="BT31" s="38">
        <v>2328</v>
      </c>
      <c r="BU31" s="38">
        <v>2328</v>
      </c>
      <c r="BV31" s="38">
        <v>3060</v>
      </c>
      <c r="BW31" s="38">
        <v>5355</v>
      </c>
      <c r="BX31" s="38">
        <v>2328</v>
      </c>
      <c r="BY31" s="38">
        <v>6285</v>
      </c>
      <c r="BZ31" s="38">
        <v>2504</v>
      </c>
      <c r="CA31" s="38">
        <v>4205</v>
      </c>
      <c r="CB31" s="38">
        <v>2328</v>
      </c>
      <c r="CC31" s="38">
        <v>2328</v>
      </c>
      <c r="CD31" s="38">
        <v>4205</v>
      </c>
      <c r="CE31" s="38">
        <v>2328</v>
      </c>
      <c r="CF31" s="38">
        <v>8927</v>
      </c>
      <c r="CG31" s="38">
        <v>4906</v>
      </c>
      <c r="CH31" s="38">
        <v>2504</v>
      </c>
      <c r="CI31" s="38">
        <v>4205</v>
      </c>
      <c r="CJ31" s="38">
        <v>8066</v>
      </c>
      <c r="CK31" s="38">
        <v>8066</v>
      </c>
      <c r="CL31" s="38">
        <v>4205</v>
      </c>
      <c r="CM31" s="38">
        <v>2328</v>
      </c>
      <c r="CN31" s="38">
        <v>5450</v>
      </c>
      <c r="CO31" s="38">
        <v>2328</v>
      </c>
      <c r="CP31" s="38">
        <v>4205</v>
      </c>
      <c r="CQ31" s="38">
        <v>6128</v>
      </c>
      <c r="CR31" s="38">
        <v>6128</v>
      </c>
      <c r="CS31" s="38">
        <v>6128</v>
      </c>
      <c r="CT31" s="38">
        <v>2328</v>
      </c>
      <c r="CU31" s="38">
        <v>5464</v>
      </c>
      <c r="CV31" s="38">
        <v>5464</v>
      </c>
      <c r="CW31" s="38">
        <v>5464</v>
      </c>
      <c r="CX31" s="38">
        <v>3016</v>
      </c>
      <c r="CY31" s="38">
        <v>2328</v>
      </c>
      <c r="CZ31" s="38">
        <v>3016</v>
      </c>
      <c r="DA31" s="38">
        <v>2328</v>
      </c>
      <c r="DB31" s="38">
        <v>2328</v>
      </c>
      <c r="DC31" s="38">
        <v>4205</v>
      </c>
      <c r="DD31" s="38">
        <v>2538</v>
      </c>
      <c r="DE31" s="38">
        <v>5306</v>
      </c>
      <c r="DF31" s="38">
        <v>2328</v>
      </c>
      <c r="DG31" s="38">
        <v>2328</v>
      </c>
      <c r="DH31" s="38">
        <v>2328</v>
      </c>
      <c r="DI31" s="38">
        <v>2328</v>
      </c>
      <c r="DJ31" s="38">
        <v>5306</v>
      </c>
      <c r="DK31" s="38">
        <v>2328</v>
      </c>
      <c r="DL31" s="38">
        <v>5306</v>
      </c>
      <c r="DM31" s="38">
        <v>2328</v>
      </c>
      <c r="DN31" s="38">
        <v>8074</v>
      </c>
      <c r="DO31" s="38">
        <v>2328</v>
      </c>
      <c r="DP31" s="38">
        <v>6167</v>
      </c>
      <c r="DQ31" s="38">
        <v>6167</v>
      </c>
      <c r="DR31" s="38">
        <v>8074</v>
      </c>
      <c r="DS31" s="38">
        <v>2328</v>
      </c>
      <c r="DT31" s="38">
        <v>8112</v>
      </c>
      <c r="DU31" s="38">
        <v>2328</v>
      </c>
      <c r="DV31" s="38">
        <v>3049</v>
      </c>
      <c r="DW31" s="38">
        <v>2328</v>
      </c>
      <c r="DX31" s="38">
        <v>2434</v>
      </c>
      <c r="DY31" s="38">
        <v>2328</v>
      </c>
      <c r="DZ31" s="38">
        <v>2328</v>
      </c>
      <c r="EA31" s="38">
        <v>8112</v>
      </c>
      <c r="EB31" s="38">
        <v>8112</v>
      </c>
      <c r="EC31" s="38">
        <v>3049</v>
      </c>
      <c r="ED31" s="38">
        <v>4205</v>
      </c>
      <c r="EE31" s="38">
        <v>2328</v>
      </c>
      <c r="EF31" s="38">
        <v>2328</v>
      </c>
    </row>
    <row r="32" spans="1:136">
      <c r="C32" s="38" t="s">
        <v>208</v>
      </c>
      <c r="D32" s="38" t="s">
        <v>209</v>
      </c>
      <c r="E32" s="38" t="s">
        <v>210</v>
      </c>
      <c r="F32" s="38" t="s">
        <v>211</v>
      </c>
      <c r="G32" s="38" t="s">
        <v>211</v>
      </c>
      <c r="H32" s="38" t="s">
        <v>210</v>
      </c>
      <c r="I32" s="38" t="s">
        <v>155</v>
      </c>
      <c r="J32" s="38" t="s">
        <v>212</v>
      </c>
      <c r="K32" s="38" t="s">
        <v>211</v>
      </c>
      <c r="L32" s="38" t="s">
        <v>210</v>
      </c>
      <c r="M32" s="38" t="s">
        <v>213</v>
      </c>
      <c r="N32" s="38" t="s">
        <v>210</v>
      </c>
      <c r="O32" s="38" t="s">
        <v>213</v>
      </c>
      <c r="P32" s="38" t="s">
        <v>152</v>
      </c>
      <c r="Q32" s="38" t="s">
        <v>152</v>
      </c>
      <c r="R32" s="38" t="s">
        <v>152</v>
      </c>
      <c r="S32" s="38" t="s">
        <v>152</v>
      </c>
      <c r="T32" s="38" t="s">
        <v>214</v>
      </c>
      <c r="U32" s="38" t="s">
        <v>152</v>
      </c>
      <c r="V32" s="38" t="s">
        <v>152</v>
      </c>
      <c r="W32" s="38" t="s">
        <v>210</v>
      </c>
      <c r="X32" s="38" t="s">
        <v>185</v>
      </c>
      <c r="Y32" s="38" t="s">
        <v>152</v>
      </c>
      <c r="Z32" s="38" t="s">
        <v>152</v>
      </c>
      <c r="AA32" s="38" t="s">
        <v>185</v>
      </c>
      <c r="AB32" s="38" t="s">
        <v>152</v>
      </c>
      <c r="AC32" s="38" t="s">
        <v>215</v>
      </c>
      <c r="AD32" s="38" t="s">
        <v>210</v>
      </c>
      <c r="AE32" s="38" t="s">
        <v>177</v>
      </c>
      <c r="AF32" s="38" t="s">
        <v>216</v>
      </c>
      <c r="AG32" s="38" t="s">
        <v>152</v>
      </c>
      <c r="AH32" s="38" t="s">
        <v>217</v>
      </c>
      <c r="AI32" s="38" t="s">
        <v>210</v>
      </c>
      <c r="AJ32" s="38" t="s">
        <v>218</v>
      </c>
      <c r="AK32" s="38" t="s">
        <v>156</v>
      </c>
      <c r="AL32" s="38" t="s">
        <v>210</v>
      </c>
      <c r="AM32" s="38" t="s">
        <v>156</v>
      </c>
      <c r="AN32" s="38" t="s">
        <v>219</v>
      </c>
      <c r="AO32" s="38" t="s">
        <v>165</v>
      </c>
      <c r="AP32" s="38" t="s">
        <v>165</v>
      </c>
      <c r="AQ32" s="38" t="s">
        <v>210</v>
      </c>
      <c r="AR32" s="38" t="s">
        <v>210</v>
      </c>
      <c r="AS32" s="38" t="s">
        <v>219</v>
      </c>
      <c r="AT32" s="38" t="s">
        <v>198</v>
      </c>
      <c r="AU32" s="38" t="s">
        <v>210</v>
      </c>
      <c r="AV32" s="38" t="s">
        <v>220</v>
      </c>
      <c r="AW32" s="38" t="s">
        <v>212</v>
      </c>
      <c r="AX32" s="38" t="s">
        <v>221</v>
      </c>
      <c r="AY32" s="38" t="s">
        <v>217</v>
      </c>
      <c r="AZ32" s="38" t="s">
        <v>210</v>
      </c>
      <c r="BA32" s="38" t="s">
        <v>210</v>
      </c>
      <c r="BB32" s="38" t="s">
        <v>172</v>
      </c>
      <c r="BC32" s="38" t="s">
        <v>172</v>
      </c>
      <c r="BD32" s="38" t="s">
        <v>210</v>
      </c>
      <c r="BE32" s="38" t="s">
        <v>172</v>
      </c>
      <c r="BF32" s="38" t="s">
        <v>172</v>
      </c>
      <c r="BG32" s="38" t="s">
        <v>172</v>
      </c>
      <c r="BH32" s="38" t="s">
        <v>172</v>
      </c>
      <c r="BI32" s="38" t="s">
        <v>222</v>
      </c>
      <c r="BJ32" s="38" t="s">
        <v>210</v>
      </c>
      <c r="BK32" s="38" t="s">
        <v>210</v>
      </c>
      <c r="BL32" s="38" t="s">
        <v>179</v>
      </c>
      <c r="BM32" s="38" t="s">
        <v>223</v>
      </c>
      <c r="BN32" s="38" t="s">
        <v>210</v>
      </c>
      <c r="BO32" s="38" t="s">
        <v>222</v>
      </c>
      <c r="BP32" s="38" t="s">
        <v>210</v>
      </c>
      <c r="BQ32" s="38" t="s">
        <v>222</v>
      </c>
      <c r="BR32" s="38" t="s">
        <v>189</v>
      </c>
      <c r="BS32" s="38" t="s">
        <v>156</v>
      </c>
      <c r="BT32" s="38" t="s">
        <v>210</v>
      </c>
      <c r="BU32" s="38" t="s">
        <v>210</v>
      </c>
      <c r="BV32" s="38" t="s">
        <v>224</v>
      </c>
      <c r="BW32" s="38" t="s">
        <v>225</v>
      </c>
      <c r="BX32" s="38" t="s">
        <v>210</v>
      </c>
      <c r="BY32" s="38" t="s">
        <v>226</v>
      </c>
      <c r="BZ32" s="38" t="s">
        <v>227</v>
      </c>
      <c r="CA32" s="38" t="s">
        <v>228</v>
      </c>
      <c r="CB32" s="38" t="s">
        <v>210</v>
      </c>
      <c r="CC32" s="38" t="s">
        <v>210</v>
      </c>
      <c r="CD32" s="38" t="s">
        <v>228</v>
      </c>
      <c r="CE32" s="38" t="s">
        <v>210</v>
      </c>
      <c r="CF32" s="38" t="s">
        <v>182</v>
      </c>
      <c r="CG32" s="38" t="s">
        <v>229</v>
      </c>
      <c r="CH32" s="38" t="s">
        <v>227</v>
      </c>
      <c r="CI32" s="38" t="s">
        <v>228</v>
      </c>
      <c r="CJ32" s="38" t="s">
        <v>230</v>
      </c>
      <c r="CK32" s="38" t="s">
        <v>230</v>
      </c>
      <c r="CL32" s="38" t="s">
        <v>228</v>
      </c>
      <c r="CM32" s="38" t="s">
        <v>210</v>
      </c>
      <c r="CN32" s="38" t="s">
        <v>231</v>
      </c>
      <c r="CO32" s="38" t="s">
        <v>210</v>
      </c>
      <c r="CP32" s="38" t="s">
        <v>228</v>
      </c>
      <c r="CQ32" s="38" t="s">
        <v>183</v>
      </c>
      <c r="CR32" s="38" t="s">
        <v>183</v>
      </c>
      <c r="CS32" s="38" t="s">
        <v>183</v>
      </c>
      <c r="CT32" s="38" t="s">
        <v>210</v>
      </c>
      <c r="CU32" s="38" t="s">
        <v>232</v>
      </c>
      <c r="CV32" s="38" t="s">
        <v>232</v>
      </c>
      <c r="CW32" s="38" t="s">
        <v>232</v>
      </c>
      <c r="CX32" s="38" t="s">
        <v>192</v>
      </c>
      <c r="CY32" s="38" t="s">
        <v>210</v>
      </c>
      <c r="CZ32" s="38" t="s">
        <v>192</v>
      </c>
      <c r="DA32" s="38" t="s">
        <v>210</v>
      </c>
      <c r="DB32" s="38" t="s">
        <v>210</v>
      </c>
      <c r="DC32" s="38" t="s">
        <v>228</v>
      </c>
      <c r="DD32" s="38" t="s">
        <v>156</v>
      </c>
      <c r="DE32" s="38" t="s">
        <v>197</v>
      </c>
      <c r="DF32" s="38" t="s">
        <v>210</v>
      </c>
      <c r="DG32" s="38" t="s">
        <v>210</v>
      </c>
      <c r="DH32" s="38" t="s">
        <v>210</v>
      </c>
      <c r="DI32" s="38" t="s">
        <v>210</v>
      </c>
      <c r="DJ32" s="38" t="s">
        <v>197</v>
      </c>
      <c r="DK32" s="38" t="s">
        <v>210</v>
      </c>
      <c r="DL32" s="38" t="s">
        <v>197</v>
      </c>
      <c r="DM32" s="38" t="s">
        <v>210</v>
      </c>
      <c r="DN32" s="38" t="s">
        <v>207</v>
      </c>
      <c r="DO32" s="38" t="s">
        <v>210</v>
      </c>
      <c r="DP32" s="38" t="s">
        <v>233</v>
      </c>
      <c r="DQ32" s="38" t="s">
        <v>233</v>
      </c>
      <c r="DR32" s="38" t="s">
        <v>207</v>
      </c>
      <c r="DS32" s="38" t="s">
        <v>210</v>
      </c>
      <c r="DT32" s="38" t="s">
        <v>234</v>
      </c>
      <c r="DU32" s="38" t="s">
        <v>210</v>
      </c>
      <c r="DV32" s="38" t="s">
        <v>235</v>
      </c>
      <c r="DW32" s="38" t="s">
        <v>210</v>
      </c>
      <c r="DX32" s="38" t="s">
        <v>202</v>
      </c>
      <c r="DY32" s="38" t="s">
        <v>210</v>
      </c>
      <c r="DZ32" s="38" t="s">
        <v>210</v>
      </c>
      <c r="EA32" s="38" t="s">
        <v>234</v>
      </c>
      <c r="EB32" s="38" t="s">
        <v>234</v>
      </c>
      <c r="EC32" s="38" t="s">
        <v>235</v>
      </c>
      <c r="ED32" s="38" t="s">
        <v>228</v>
      </c>
      <c r="EE32" s="38" t="s">
        <v>210</v>
      </c>
      <c r="EF32" s="38" t="s">
        <v>210</v>
      </c>
    </row>
    <row r="38" spans="3:17" ht="16">
      <c r="C38" s="50" t="s">
        <v>258</v>
      </c>
      <c r="D38" s="51" t="s">
        <v>3</v>
      </c>
      <c r="E38" s="51" t="s">
        <v>4</v>
      </c>
      <c r="F38" s="51" t="s">
        <v>5</v>
      </c>
      <c r="G38" s="51" t="s">
        <v>6</v>
      </c>
      <c r="H38" s="50" t="s">
        <v>259</v>
      </c>
      <c r="I38" s="51" t="s">
        <v>133</v>
      </c>
      <c r="J38" s="51" t="s">
        <v>134</v>
      </c>
      <c r="K38" s="51" t="s">
        <v>135</v>
      </c>
      <c r="L38" s="51" t="s">
        <v>146</v>
      </c>
    </row>
    <row r="39" spans="3:17" ht="16">
      <c r="C39" s="52" t="s">
        <v>261</v>
      </c>
      <c r="D39" s="50">
        <v>1101</v>
      </c>
      <c r="E39" s="50">
        <v>2484</v>
      </c>
      <c r="F39" s="50">
        <v>1233</v>
      </c>
      <c r="G39" s="50">
        <v>2524</v>
      </c>
      <c r="H39" s="50" t="s">
        <v>259</v>
      </c>
      <c r="I39" s="50">
        <v>1233</v>
      </c>
      <c r="J39" s="50">
        <v>2379</v>
      </c>
      <c r="K39" s="50">
        <v>2379</v>
      </c>
      <c r="L39" s="50">
        <v>2524</v>
      </c>
    </row>
    <row r="40" spans="3:17" ht="21">
      <c r="C40" s="53"/>
      <c r="D40" s="50" t="s">
        <v>262</v>
      </c>
      <c r="E40" s="50" t="s">
        <v>263</v>
      </c>
      <c r="F40" s="50" t="s">
        <v>264</v>
      </c>
      <c r="G40" s="50" t="s">
        <v>265</v>
      </c>
      <c r="H40" s="50" t="s">
        <v>259</v>
      </c>
      <c r="I40" s="50" t="s">
        <v>264</v>
      </c>
      <c r="J40" s="50" t="s">
        <v>266</v>
      </c>
      <c r="K40" s="50" t="s">
        <v>266</v>
      </c>
      <c r="L40" s="50" t="s">
        <v>265</v>
      </c>
      <c r="N40" s="56" t="s">
        <v>282</v>
      </c>
      <c r="O40" s="56" t="s">
        <v>283</v>
      </c>
      <c r="P40" s="56" t="s">
        <v>284</v>
      </c>
      <c r="Q40" s="56" t="s">
        <v>285</v>
      </c>
    </row>
    <row r="41" spans="3:17" ht="16">
      <c r="C41" s="52" t="s">
        <v>260</v>
      </c>
      <c r="D41" s="50">
        <v>9951</v>
      </c>
      <c r="E41" s="50">
        <v>3219</v>
      </c>
      <c r="F41" s="50">
        <v>2328</v>
      </c>
      <c r="G41" s="50">
        <v>2489</v>
      </c>
      <c r="H41" s="50" t="s">
        <v>259</v>
      </c>
      <c r="I41" s="50">
        <v>2328</v>
      </c>
      <c r="J41" s="50">
        <v>1805</v>
      </c>
      <c r="K41" s="50">
        <v>1440</v>
      </c>
      <c r="L41" s="50">
        <v>2489</v>
      </c>
    </row>
    <row r="42" spans="3:17" ht="16">
      <c r="C42" s="53"/>
      <c r="D42" s="50" t="s">
        <v>267</v>
      </c>
      <c r="E42" s="50" t="s">
        <v>268</v>
      </c>
      <c r="F42" s="50" t="s">
        <v>269</v>
      </c>
      <c r="G42" s="50" t="s">
        <v>270</v>
      </c>
      <c r="H42" s="50" t="s">
        <v>259</v>
      </c>
      <c r="I42" s="50" t="s">
        <v>269</v>
      </c>
      <c r="J42" s="50" t="s">
        <v>271</v>
      </c>
      <c r="K42" s="50" t="s">
        <v>272</v>
      </c>
      <c r="L42" s="50" t="s">
        <v>270</v>
      </c>
    </row>
    <row r="44" spans="3:17" ht="16">
      <c r="C44" s="50" t="s">
        <v>258</v>
      </c>
      <c r="D44" s="51" t="s">
        <v>3</v>
      </c>
      <c r="E44" s="51" t="s">
        <v>4</v>
      </c>
      <c r="F44" s="51" t="s">
        <v>5</v>
      </c>
      <c r="G44" s="51" t="s">
        <v>6</v>
      </c>
      <c r="H44" s="50" t="s">
        <v>259</v>
      </c>
      <c r="I44" s="51" t="s">
        <v>133</v>
      </c>
      <c r="J44" s="51" t="s">
        <v>134</v>
      </c>
      <c r="K44" s="51" t="s">
        <v>135</v>
      </c>
      <c r="L44" s="51" t="s">
        <v>146</v>
      </c>
    </row>
    <row r="45" spans="3:17" ht="16">
      <c r="C45" s="52" t="s">
        <v>261</v>
      </c>
      <c r="D45" s="50">
        <v>5212</v>
      </c>
      <c r="E45" s="50">
        <v>2338</v>
      </c>
      <c r="F45" s="50">
        <v>6186</v>
      </c>
      <c r="G45" s="50">
        <v>5523</v>
      </c>
      <c r="H45" s="50" t="s">
        <v>259</v>
      </c>
      <c r="I45" s="50">
        <v>5443</v>
      </c>
      <c r="J45" s="50">
        <v>3051</v>
      </c>
      <c r="K45" s="50">
        <v>5523</v>
      </c>
      <c r="L45" s="50">
        <v>3051</v>
      </c>
    </row>
    <row r="46" spans="3:17" ht="16">
      <c r="C46" s="53"/>
      <c r="D46" s="50" t="s">
        <v>274</v>
      </c>
      <c r="E46" s="50" t="s">
        <v>275</v>
      </c>
      <c r="F46" s="50" t="s">
        <v>276</v>
      </c>
      <c r="G46" s="50" t="s">
        <v>277</v>
      </c>
      <c r="H46" s="50" t="s">
        <v>259</v>
      </c>
      <c r="I46" s="50" t="s">
        <v>278</v>
      </c>
      <c r="J46" s="50" t="s">
        <v>279</v>
      </c>
      <c r="K46" s="50" t="s">
        <v>277</v>
      </c>
      <c r="L46" s="50" t="s">
        <v>279</v>
      </c>
    </row>
    <row r="47" spans="3:17" ht="16">
      <c r="C47" s="52" t="s">
        <v>260</v>
      </c>
      <c r="D47" s="50">
        <v>1440</v>
      </c>
      <c r="E47" s="50">
        <v>2539</v>
      </c>
      <c r="F47" s="50">
        <v>2527</v>
      </c>
      <c r="G47" s="50">
        <v>2328</v>
      </c>
      <c r="H47" s="50" t="s">
        <v>259</v>
      </c>
      <c r="I47" s="50">
        <v>5523</v>
      </c>
      <c r="J47" s="50">
        <v>5523</v>
      </c>
      <c r="K47" s="50">
        <v>2328</v>
      </c>
      <c r="L47" s="50">
        <v>5523</v>
      </c>
    </row>
    <row r="48" spans="3:17" ht="16">
      <c r="C48" s="53"/>
      <c r="D48" s="50" t="s">
        <v>272</v>
      </c>
      <c r="E48" s="50" t="s">
        <v>280</v>
      </c>
      <c r="F48" s="50" t="s">
        <v>281</v>
      </c>
      <c r="G48" s="50" t="s">
        <v>269</v>
      </c>
      <c r="H48" s="50" t="s">
        <v>259</v>
      </c>
      <c r="I48" s="50" t="s">
        <v>277</v>
      </c>
      <c r="J48" s="50" t="s">
        <v>277</v>
      </c>
      <c r="K48" s="50" t="s">
        <v>269</v>
      </c>
      <c r="L48" s="50" t="s">
        <v>277</v>
      </c>
    </row>
    <row r="50" spans="3:12" ht="16">
      <c r="C50" s="50" t="s">
        <v>258</v>
      </c>
      <c r="D50" s="51" t="s">
        <v>3</v>
      </c>
      <c r="E50" s="51" t="s">
        <v>4</v>
      </c>
      <c r="F50" s="51" t="s">
        <v>5</v>
      </c>
      <c r="G50" s="51" t="s">
        <v>6</v>
      </c>
      <c r="H50" s="50"/>
      <c r="I50" s="51" t="s">
        <v>133</v>
      </c>
      <c r="J50" s="51" t="s">
        <v>134</v>
      </c>
      <c r="K50" s="51" t="s">
        <v>135</v>
      </c>
      <c r="L50" s="51" t="s">
        <v>146</v>
      </c>
    </row>
    <row r="51" spans="3:12" ht="16">
      <c r="C51" s="52" t="s">
        <v>261</v>
      </c>
      <c r="D51" s="50">
        <v>1101</v>
      </c>
      <c r="E51" s="50">
        <v>2484</v>
      </c>
      <c r="F51" s="50">
        <v>1233</v>
      </c>
      <c r="G51" s="50">
        <v>2524</v>
      </c>
      <c r="H51" s="50"/>
      <c r="I51" s="50">
        <v>1233</v>
      </c>
      <c r="J51" s="50">
        <v>2379</v>
      </c>
      <c r="K51" s="50">
        <v>2379</v>
      </c>
      <c r="L51" s="50">
        <v>2524</v>
      </c>
    </row>
    <row r="52" spans="3:12" ht="16">
      <c r="C52" s="53"/>
      <c r="D52" s="50" t="s">
        <v>262</v>
      </c>
      <c r="E52" s="50" t="s">
        <v>263</v>
      </c>
      <c r="F52" s="50" t="s">
        <v>264</v>
      </c>
      <c r="G52" s="50" t="s">
        <v>265</v>
      </c>
      <c r="H52" s="50"/>
      <c r="I52" s="50" t="s">
        <v>264</v>
      </c>
      <c r="J52" s="50" t="s">
        <v>266</v>
      </c>
      <c r="K52" s="50" t="s">
        <v>266</v>
      </c>
      <c r="L52" s="50" t="s">
        <v>265</v>
      </c>
    </row>
    <row r="53" spans="3:12" ht="16">
      <c r="C53" s="52" t="s">
        <v>260</v>
      </c>
      <c r="D53" s="50">
        <v>9951</v>
      </c>
      <c r="E53" s="50">
        <v>3219</v>
      </c>
      <c r="F53" s="50">
        <v>2328</v>
      </c>
      <c r="G53" s="50">
        <v>2489</v>
      </c>
      <c r="H53" s="50"/>
      <c r="I53" s="50">
        <v>2328</v>
      </c>
      <c r="J53" s="50">
        <v>1805</v>
      </c>
      <c r="K53" s="50">
        <v>1440</v>
      </c>
      <c r="L53" s="50">
        <v>2489</v>
      </c>
    </row>
    <row r="54" spans="3:12" ht="16">
      <c r="C54" s="53"/>
      <c r="D54" s="50" t="s">
        <v>267</v>
      </c>
      <c r="E54" s="50" t="s">
        <v>268</v>
      </c>
      <c r="F54" s="50" t="s">
        <v>269</v>
      </c>
      <c r="G54" s="50" t="s">
        <v>270</v>
      </c>
      <c r="H54" s="50"/>
      <c r="I54" s="50" t="s">
        <v>269</v>
      </c>
      <c r="J54" s="50" t="s">
        <v>271</v>
      </c>
      <c r="K54" s="50" t="s">
        <v>272</v>
      </c>
      <c r="L54" s="50" t="s">
        <v>270</v>
      </c>
    </row>
  </sheetData>
  <mergeCells count="8">
    <mergeCell ref="C47:C48"/>
    <mergeCell ref="C51:C52"/>
    <mergeCell ref="C53:C54"/>
    <mergeCell ref="A8:B8"/>
    <mergeCell ref="A12:B12"/>
    <mergeCell ref="C39:C40"/>
    <mergeCell ref="C41:C42"/>
    <mergeCell ref="C45:C46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9C219-520F-6C43-B8CE-9C41A8B44A5B}">
  <dimension ref="I8:N13"/>
  <sheetViews>
    <sheetView tabSelected="1" topLeftCell="C1" zoomScale="143" workbookViewId="0">
      <selection activeCell="G9" sqref="G9"/>
    </sheetView>
  </sheetViews>
  <sheetFormatPr baseColWidth="10" defaultRowHeight="15"/>
  <cols>
    <col min="9" max="9" width="17" customWidth="1"/>
    <col min="10" max="10" width="29.1640625" customWidth="1"/>
    <col min="11" max="11" width="20" customWidth="1"/>
    <col min="12" max="12" width="22.33203125" customWidth="1"/>
  </cols>
  <sheetData>
    <row r="8" spans="9:14" ht="18">
      <c r="I8" s="58" t="s">
        <v>298</v>
      </c>
      <c r="J8" s="58" t="s">
        <v>299</v>
      </c>
      <c r="K8" s="58" t="s">
        <v>300</v>
      </c>
      <c r="L8" s="58" t="s">
        <v>301</v>
      </c>
    </row>
    <row r="9" spans="9:14" ht="18">
      <c r="I9" s="58" t="s">
        <v>286</v>
      </c>
      <c r="J9" s="59" t="s">
        <v>302</v>
      </c>
      <c r="K9" s="58" t="s">
        <v>297</v>
      </c>
      <c r="L9" s="58" t="s">
        <v>287</v>
      </c>
      <c r="M9" s="57"/>
      <c r="N9" s="57"/>
    </row>
    <row r="10" spans="9:14" ht="18">
      <c r="I10" s="58" t="s">
        <v>288</v>
      </c>
      <c r="J10" s="59" t="s">
        <v>303</v>
      </c>
      <c r="K10" s="58" t="s">
        <v>294</v>
      </c>
      <c r="L10" s="58" t="s">
        <v>289</v>
      </c>
      <c r="M10" s="57"/>
      <c r="N10" s="57"/>
    </row>
    <row r="11" spans="9:14" ht="18">
      <c r="I11" s="58" t="s">
        <v>290</v>
      </c>
      <c r="J11" s="59" t="s">
        <v>304</v>
      </c>
      <c r="K11" s="58" t="s">
        <v>295</v>
      </c>
      <c r="L11" s="58" t="s">
        <v>291</v>
      </c>
      <c r="M11" s="57"/>
      <c r="N11" s="57"/>
    </row>
    <row r="12" spans="9:14" ht="18">
      <c r="I12" s="58" t="s">
        <v>292</v>
      </c>
      <c r="J12" s="59" t="s">
        <v>305</v>
      </c>
      <c r="K12" s="58" t="s">
        <v>296</v>
      </c>
      <c r="L12" s="58" t="s">
        <v>293</v>
      </c>
      <c r="M12" s="57"/>
      <c r="N12" s="57"/>
    </row>
    <row r="13" spans="9:14" ht="16">
      <c r="I13" s="60"/>
      <c r="J13" s="60"/>
      <c r="K13" s="60"/>
      <c r="L13" s="60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H28"/>
  <sheetViews>
    <sheetView zoomScale="108" workbookViewId="0">
      <selection activeCell="EK11" sqref="EK11"/>
    </sheetView>
  </sheetViews>
  <sheetFormatPr baseColWidth="10" defaultColWidth="8.83203125" defaultRowHeight="15"/>
  <cols>
    <col min="1" max="1" width="8.33203125" style="21" customWidth="1"/>
    <col min="2" max="3" width="9.33203125" style="21" customWidth="1"/>
    <col min="11" max="11" width="8.1640625" style="21" customWidth="1"/>
    <col min="64" max="64" width="8.33203125" style="21" customWidth="1"/>
  </cols>
  <sheetData>
    <row r="1" spans="1:138" s="3" customFormat="1" ht="16" customHeight="1">
      <c r="A1" s="42" t="s">
        <v>236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38" s="3" customFormat="1" ht="16" customHeight="1">
      <c r="A2" s="21"/>
      <c r="B2" s="21"/>
      <c r="C2" s="21"/>
      <c r="D2"/>
      <c r="E2"/>
      <c r="F2"/>
      <c r="G2"/>
      <c r="H2"/>
      <c r="I2"/>
      <c r="J2"/>
      <c r="K2" s="21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 s="21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</row>
    <row r="3" spans="1:138" s="3" customFormat="1" ht="16" customHeight="1">
      <c r="A3" s="21"/>
      <c r="B3" s="21"/>
      <c r="C3" s="21"/>
      <c r="D3"/>
      <c r="E3"/>
      <c r="F3"/>
      <c r="G3"/>
      <c r="H3"/>
      <c r="I3"/>
      <c r="J3"/>
      <c r="K3" s="21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 s="21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</row>
    <row r="4" spans="1:138" s="3" customFormat="1" ht="16" customHeight="1">
      <c r="A4" s="6" t="s">
        <v>144</v>
      </c>
      <c r="B4" s="6" t="s">
        <v>145</v>
      </c>
      <c r="C4" s="12" t="s">
        <v>3</v>
      </c>
      <c r="D4" s="12" t="s">
        <v>4</v>
      </c>
      <c r="E4" s="12" t="s">
        <v>5</v>
      </c>
      <c r="F4" s="12" t="s">
        <v>6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  <c r="L4" s="12" t="s">
        <v>12</v>
      </c>
      <c r="M4" s="12" t="s">
        <v>13</v>
      </c>
      <c r="N4" s="12" t="s">
        <v>14</v>
      </c>
      <c r="O4" s="12" t="s">
        <v>15</v>
      </c>
      <c r="P4" s="12" t="s">
        <v>16</v>
      </c>
      <c r="Q4" s="12" t="s">
        <v>17</v>
      </c>
      <c r="R4" s="12" t="s">
        <v>18</v>
      </c>
      <c r="S4" s="12" t="s">
        <v>19</v>
      </c>
      <c r="T4" s="12" t="s">
        <v>20</v>
      </c>
      <c r="U4" s="12" t="s">
        <v>21</v>
      </c>
      <c r="V4" s="12" t="s">
        <v>22</v>
      </c>
      <c r="W4" s="12" t="s">
        <v>23</v>
      </c>
      <c r="X4" s="12" t="s">
        <v>24</v>
      </c>
      <c r="Y4" s="12" t="s">
        <v>25</v>
      </c>
      <c r="Z4" s="12" t="s">
        <v>26</v>
      </c>
      <c r="AA4" s="12" t="s">
        <v>27</v>
      </c>
      <c r="AB4" s="12" t="s">
        <v>28</v>
      </c>
      <c r="AC4" s="12" t="s">
        <v>29</v>
      </c>
      <c r="AD4" s="12" t="s">
        <v>30</v>
      </c>
      <c r="AE4" s="12" t="s">
        <v>31</v>
      </c>
      <c r="AF4" s="12" t="s">
        <v>32</v>
      </c>
      <c r="AG4" s="12" t="s">
        <v>33</v>
      </c>
      <c r="AH4" s="12" t="s">
        <v>34</v>
      </c>
      <c r="AI4" s="12" t="s">
        <v>35</v>
      </c>
      <c r="AJ4" s="12" t="s">
        <v>36</v>
      </c>
      <c r="AK4" s="12" t="s">
        <v>37</v>
      </c>
      <c r="AL4" s="12" t="s">
        <v>38</v>
      </c>
      <c r="AM4" s="12" t="s">
        <v>39</v>
      </c>
      <c r="AN4" s="12" t="s">
        <v>40</v>
      </c>
      <c r="AO4" s="12" t="s">
        <v>41</v>
      </c>
      <c r="AP4" s="12" t="s">
        <v>42</v>
      </c>
      <c r="AQ4" s="12" t="s">
        <v>43</v>
      </c>
      <c r="AR4" s="12" t="s">
        <v>44</v>
      </c>
      <c r="AS4" s="12" t="s">
        <v>45</v>
      </c>
      <c r="AT4" s="12" t="s">
        <v>46</v>
      </c>
      <c r="AU4" s="12" t="s">
        <v>47</v>
      </c>
      <c r="AV4" s="12" t="s">
        <v>48</v>
      </c>
      <c r="AW4" s="12" t="s">
        <v>49</v>
      </c>
      <c r="AX4" s="12" t="s">
        <v>50</v>
      </c>
      <c r="AY4" s="12" t="s">
        <v>51</v>
      </c>
      <c r="AZ4" s="12" t="s">
        <v>52</v>
      </c>
      <c r="BA4" s="12" t="s">
        <v>53</v>
      </c>
      <c r="BB4" s="12" t="s">
        <v>54</v>
      </c>
      <c r="BC4" s="12" t="s">
        <v>55</v>
      </c>
      <c r="BD4" s="12" t="s">
        <v>56</v>
      </c>
      <c r="BE4" s="12" t="s">
        <v>57</v>
      </c>
      <c r="BF4" s="12" t="s">
        <v>58</v>
      </c>
      <c r="BG4" s="12" t="s">
        <v>59</v>
      </c>
      <c r="BH4" s="12" t="s">
        <v>60</v>
      </c>
      <c r="BI4" s="12" t="s">
        <v>61</v>
      </c>
      <c r="BJ4" s="12" t="s">
        <v>62</v>
      </c>
      <c r="BK4" s="12" t="s">
        <v>63</v>
      </c>
      <c r="BL4" s="12" t="s">
        <v>64</v>
      </c>
      <c r="BM4" s="12" t="s">
        <v>65</v>
      </c>
      <c r="BN4" s="12" t="s">
        <v>66</v>
      </c>
      <c r="BO4" s="12" t="s">
        <v>67</v>
      </c>
      <c r="BP4" s="12" t="s">
        <v>68</v>
      </c>
      <c r="BQ4" s="12" t="s">
        <v>69</v>
      </c>
      <c r="BR4" s="12" t="s">
        <v>70</v>
      </c>
      <c r="BS4" s="12" t="s">
        <v>71</v>
      </c>
      <c r="BT4" s="12" t="s">
        <v>72</v>
      </c>
      <c r="BU4" s="12" t="s">
        <v>73</v>
      </c>
      <c r="BV4" s="12" t="s">
        <v>74</v>
      </c>
      <c r="BW4" s="12" t="s">
        <v>75</v>
      </c>
      <c r="BX4" s="12" t="s">
        <v>76</v>
      </c>
      <c r="BY4" s="12" t="s">
        <v>77</v>
      </c>
      <c r="BZ4" s="12" t="s">
        <v>78</v>
      </c>
      <c r="CA4" s="12" t="s">
        <v>79</v>
      </c>
      <c r="CB4" s="12" t="s">
        <v>80</v>
      </c>
      <c r="CC4" s="12" t="s">
        <v>81</v>
      </c>
      <c r="CD4" s="12" t="s">
        <v>82</v>
      </c>
      <c r="CE4" s="12" t="s">
        <v>83</v>
      </c>
      <c r="CF4" s="12" t="s">
        <v>84</v>
      </c>
      <c r="CG4" s="12" t="s">
        <v>85</v>
      </c>
      <c r="CH4" s="12" t="s">
        <v>86</v>
      </c>
      <c r="CI4" s="12" t="s">
        <v>87</v>
      </c>
      <c r="CJ4" s="12" t="s">
        <v>88</v>
      </c>
      <c r="CK4" s="12" t="s">
        <v>89</v>
      </c>
      <c r="CL4" s="12" t="s">
        <v>90</v>
      </c>
      <c r="CM4" s="12" t="s">
        <v>91</v>
      </c>
      <c r="CN4" s="12" t="s">
        <v>92</v>
      </c>
      <c r="CO4" s="12" t="s">
        <v>93</v>
      </c>
      <c r="CP4" s="12" t="s">
        <v>94</v>
      </c>
      <c r="CQ4" s="12" t="s">
        <v>95</v>
      </c>
      <c r="CR4" s="12" t="s">
        <v>96</v>
      </c>
      <c r="CS4" s="12" t="s">
        <v>97</v>
      </c>
      <c r="CT4" s="12" t="s">
        <v>98</v>
      </c>
      <c r="CU4" s="12" t="s">
        <v>99</v>
      </c>
      <c r="CV4" s="12" t="s">
        <v>100</v>
      </c>
      <c r="CW4" s="12" t="s">
        <v>101</v>
      </c>
      <c r="CX4" s="12" t="s">
        <v>102</v>
      </c>
      <c r="CY4" s="12" t="s">
        <v>103</v>
      </c>
      <c r="CZ4" s="12" t="s">
        <v>104</v>
      </c>
      <c r="DA4" s="12" t="s">
        <v>105</v>
      </c>
      <c r="DB4" s="12" t="s">
        <v>106</v>
      </c>
      <c r="DC4" s="12" t="s">
        <v>107</v>
      </c>
      <c r="DD4" s="12" t="s">
        <v>108</v>
      </c>
      <c r="DE4" s="12" t="s">
        <v>109</v>
      </c>
      <c r="DF4" s="12" t="s">
        <v>110</v>
      </c>
      <c r="DG4" s="12" t="s">
        <v>111</v>
      </c>
      <c r="DH4" s="12" t="s">
        <v>112</v>
      </c>
      <c r="DI4" s="12" t="s">
        <v>113</v>
      </c>
      <c r="DJ4" s="12" t="s">
        <v>114</v>
      </c>
      <c r="DK4" s="12" t="s">
        <v>115</v>
      </c>
      <c r="DL4" s="12" t="s">
        <v>116</v>
      </c>
      <c r="DM4" s="12" t="s">
        <v>117</v>
      </c>
      <c r="DN4" s="12" t="s">
        <v>118</v>
      </c>
      <c r="DO4" s="12" t="s">
        <v>119</v>
      </c>
      <c r="DP4" s="12" t="s">
        <v>120</v>
      </c>
      <c r="DQ4" s="12" t="s">
        <v>121</v>
      </c>
      <c r="DR4" s="12" t="s">
        <v>122</v>
      </c>
      <c r="DS4" s="12" t="s">
        <v>123</v>
      </c>
      <c r="DT4" s="12" t="s">
        <v>124</v>
      </c>
      <c r="DU4" s="12" t="s">
        <v>125</v>
      </c>
      <c r="DV4" s="12" t="s">
        <v>126</v>
      </c>
      <c r="DW4" s="12" t="s">
        <v>127</v>
      </c>
      <c r="DX4" s="12" t="s">
        <v>128</v>
      </c>
      <c r="DY4" s="12" t="s">
        <v>129</v>
      </c>
      <c r="DZ4" s="12" t="s">
        <v>130</v>
      </c>
      <c r="EA4" s="12" t="s">
        <v>131</v>
      </c>
      <c r="EB4" s="12" t="s">
        <v>132</v>
      </c>
      <c r="EC4" s="12" t="s">
        <v>133</v>
      </c>
      <c r="ED4" s="12" t="s">
        <v>134</v>
      </c>
      <c r="EE4" s="12" t="s">
        <v>135</v>
      </c>
      <c r="EF4" s="12" t="s">
        <v>146</v>
      </c>
      <c r="EG4" s="12" t="s">
        <v>237</v>
      </c>
      <c r="EH4" s="12" t="s">
        <v>238</v>
      </c>
    </row>
    <row r="5" spans="1:138" s="3" customFormat="1" ht="16" customHeight="1">
      <c r="A5" s="6">
        <v>10</v>
      </c>
      <c r="B5" s="6">
        <v>96</v>
      </c>
      <c r="C5" s="11">
        <f>IF(預測IC!C14&gt;預測IC!C$27,1,0)</f>
        <v>0</v>
      </c>
      <c r="D5" s="11">
        <f>IF(預測IC!D14&gt;預測IC!D$27,1,0)</f>
        <v>0</v>
      </c>
      <c r="E5" s="11">
        <f>IF(預測IC!E14&gt;預測IC!E$27,1,0)</f>
        <v>0</v>
      </c>
      <c r="F5" s="11">
        <f>IF(預測IC!F14&gt;預測IC!F$27,1,0)</f>
        <v>0</v>
      </c>
      <c r="G5" s="11">
        <f>IF(預測IC!G14&gt;預測IC!G$27,1,0)</f>
        <v>1</v>
      </c>
      <c r="H5" s="11">
        <f>IF(預測IC!H14&gt;預測IC!H$27,1,0)</f>
        <v>0</v>
      </c>
      <c r="I5" s="11">
        <f>IF(預測IC!I14&gt;預測IC!I$27,1,0)</f>
        <v>1</v>
      </c>
      <c r="J5" s="11">
        <f>IF(預測IC!J14&gt;預測IC!J$27,1,0)</f>
        <v>1</v>
      </c>
      <c r="K5" s="11">
        <f>IF(預測IC!K14&gt;預測IC!K$27,1,0)</f>
        <v>1</v>
      </c>
      <c r="L5" s="11">
        <f>IF(預測IC!L14&gt;預測IC!L$27,1,0)</f>
        <v>0</v>
      </c>
      <c r="M5" s="11">
        <f>IF(預測IC!M14&gt;預測IC!M$27,1,0)</f>
        <v>1</v>
      </c>
      <c r="N5" s="11">
        <f>IF(預測IC!N14&gt;預測IC!N$27,1,0)</f>
        <v>0</v>
      </c>
      <c r="O5" s="11">
        <f>IF(預測IC!O14&gt;預測IC!O$27,1,0)</f>
        <v>1</v>
      </c>
      <c r="P5" s="11">
        <f>IF(預測IC!P14&gt;預測IC!P$27,1,0)</f>
        <v>0</v>
      </c>
      <c r="Q5" s="11">
        <f>IF(預測IC!Q14&gt;預測IC!Q$27,1,0)</f>
        <v>1</v>
      </c>
      <c r="R5" s="11">
        <f>IF(預測IC!R14&gt;預測IC!R$27,1,0)</f>
        <v>0</v>
      </c>
      <c r="S5" s="11">
        <f>IF(預測IC!S14&gt;預測IC!S$27,1,0)</f>
        <v>1</v>
      </c>
      <c r="T5" s="11">
        <f>IF(預測IC!T14&gt;預測IC!T$27,1,0)</f>
        <v>1</v>
      </c>
      <c r="U5" s="11">
        <f>IF(預測IC!U14&gt;預測IC!U$27,1,0)</f>
        <v>1</v>
      </c>
      <c r="V5" s="11">
        <f>IF(預測IC!V14&gt;預測IC!V$27,1,0)</f>
        <v>1</v>
      </c>
      <c r="W5" s="11">
        <f>IF(預測IC!W14&gt;預測IC!W$27,1,0)</f>
        <v>1</v>
      </c>
      <c r="X5" s="11">
        <f>IF(預測IC!X14&gt;預測IC!X$27,1,0)</f>
        <v>0</v>
      </c>
      <c r="Y5" s="11">
        <f>IF(預測IC!Y14&gt;預測IC!Y$27,1,0)</f>
        <v>1</v>
      </c>
      <c r="Z5" s="11">
        <f>IF(預測IC!Z14&gt;預測IC!Z$27,1,0)</f>
        <v>1</v>
      </c>
      <c r="AA5" s="11">
        <f>IF(預測IC!AA14&gt;預測IC!AA$27,1,0)</f>
        <v>1</v>
      </c>
      <c r="AB5" s="11">
        <f>IF(預測IC!AB14&gt;預測IC!AB$27,1,0)</f>
        <v>0</v>
      </c>
      <c r="AC5" s="11">
        <f>IF(預測IC!AC14&gt;預測IC!AC$27,1,0)</f>
        <v>1</v>
      </c>
      <c r="AD5" s="11">
        <f>IF(預測IC!AD14&gt;預測IC!AD$27,1,0)</f>
        <v>1</v>
      </c>
      <c r="AE5" s="11">
        <f>IF(預測IC!AE14&gt;預測IC!AE$27,1,0)</f>
        <v>0</v>
      </c>
      <c r="AF5" s="11">
        <f>IF(預測IC!AF14&gt;預測IC!AF$27,1,0)</f>
        <v>1</v>
      </c>
      <c r="AG5" s="11">
        <f>IF(預測IC!AG14&gt;預測IC!AG$27,1,0)</f>
        <v>0</v>
      </c>
      <c r="AH5" s="11">
        <f>IF(預測IC!AH14&gt;預測IC!AH$27,1,0)</f>
        <v>0</v>
      </c>
      <c r="AI5" s="11">
        <f>IF(預測IC!AI14&gt;預測IC!AI$27,1,0)</f>
        <v>0</v>
      </c>
      <c r="AJ5" s="11">
        <f>IF(預測IC!AJ14&gt;預測IC!AJ$27,1,0)</f>
        <v>0</v>
      </c>
      <c r="AK5" s="11">
        <f>IF(預測IC!AK14&gt;預測IC!AK$27,1,0)</f>
        <v>1</v>
      </c>
      <c r="AL5" s="11">
        <f>IF(預測IC!AL14&gt;預測IC!AL$27,1,0)</f>
        <v>0</v>
      </c>
      <c r="AM5" s="11">
        <f>IF(預測IC!AM14&gt;預測IC!AM$27,1,0)</f>
        <v>0</v>
      </c>
      <c r="AN5" s="11">
        <f>IF(預測IC!AN14&gt;預測IC!AN$27,1,0)</f>
        <v>0</v>
      </c>
      <c r="AO5" s="11">
        <f>IF(預測IC!AO14&gt;預測IC!AO$27,1,0)</f>
        <v>0</v>
      </c>
      <c r="AP5" s="11">
        <f>IF(預測IC!AP14&gt;預測IC!AP$27,1,0)</f>
        <v>1</v>
      </c>
      <c r="AQ5" s="11">
        <f>IF(預測IC!AQ14&gt;預測IC!AQ$27,1,0)</f>
        <v>0</v>
      </c>
      <c r="AR5" s="11">
        <f>IF(預測IC!AR14&gt;預測IC!AR$27,1,0)</f>
        <v>0</v>
      </c>
      <c r="AS5" s="11">
        <f>IF(預測IC!AS14&gt;預測IC!AS$27,1,0)</f>
        <v>0</v>
      </c>
      <c r="AT5" s="11">
        <f>IF(預測IC!AT14&gt;預測IC!AT$27,1,0)</f>
        <v>1</v>
      </c>
      <c r="AU5" s="11">
        <f>IF(預測IC!AU14&gt;預測IC!AU$27,1,0)</f>
        <v>1</v>
      </c>
      <c r="AV5" s="11">
        <f>IF(預測IC!AV14&gt;預測IC!AV$27,1,0)</f>
        <v>0</v>
      </c>
      <c r="AW5" s="11">
        <f>IF(預測IC!AW14&gt;預測IC!AW$27,1,0)</f>
        <v>1</v>
      </c>
      <c r="AX5" s="11">
        <f>IF(預測IC!AX14&gt;預測IC!AX$27,1,0)</f>
        <v>0</v>
      </c>
      <c r="AY5" s="11">
        <f>IF(預測IC!AY14&gt;預測IC!AY$27,1,0)</f>
        <v>0</v>
      </c>
      <c r="AZ5" s="11">
        <f>IF(預測IC!AZ14&gt;預測IC!AZ$27,1,0)</f>
        <v>1</v>
      </c>
      <c r="BA5" s="11">
        <f>IF(預測IC!BA14&gt;預測IC!BA$27,1,0)</f>
        <v>0</v>
      </c>
      <c r="BB5" s="11">
        <f>IF(預測IC!BB14&gt;預測IC!BB$27,1,0)</f>
        <v>0</v>
      </c>
      <c r="BC5" s="11">
        <f>IF(預測IC!BC14&gt;預測IC!BC$27,1,0)</f>
        <v>0</v>
      </c>
      <c r="BD5" s="11">
        <f>IF(預測IC!BD14&gt;預測IC!BD$27,1,0)</f>
        <v>1</v>
      </c>
      <c r="BE5" s="11">
        <f>IF(預測IC!BE14&gt;預測IC!BE$27,1,0)</f>
        <v>0</v>
      </c>
      <c r="BF5" s="11">
        <f>IF(預測IC!BF14&gt;預測IC!BF$27,1,0)</f>
        <v>1</v>
      </c>
      <c r="BG5" s="11">
        <f>IF(預測IC!BG14&gt;預測IC!BG$27,1,0)</f>
        <v>0</v>
      </c>
      <c r="BH5" s="11">
        <f>IF(預測IC!BH14&gt;預測IC!BH$27,1,0)</f>
        <v>1</v>
      </c>
      <c r="BI5" s="11">
        <f>IF(預測IC!BI14&gt;預測IC!BI$27,1,0)</f>
        <v>0</v>
      </c>
      <c r="BJ5" s="11">
        <f>IF(預測IC!BJ14&gt;預測IC!BJ$27,1,0)</f>
        <v>0</v>
      </c>
      <c r="BK5" s="11">
        <f>IF(預測IC!BK14&gt;預測IC!BK$27,1,0)</f>
        <v>0</v>
      </c>
      <c r="BL5" s="11">
        <f>IF(預測IC!BL14&gt;預測IC!BL$27,1,0)</f>
        <v>0</v>
      </c>
      <c r="BM5" s="11">
        <f>IF(預測IC!BM14&gt;預測IC!BM$27,1,0)</f>
        <v>0</v>
      </c>
      <c r="BN5" s="11">
        <f>IF(預測IC!BN14&gt;預測IC!BN$27,1,0)</f>
        <v>0</v>
      </c>
      <c r="BO5" s="11">
        <f>IF(預測IC!BO14&gt;預測IC!BO$27,1,0)</f>
        <v>1</v>
      </c>
      <c r="BP5" s="11">
        <f>IF(預測IC!BP14&gt;預測IC!BP$27,1,0)</f>
        <v>1</v>
      </c>
      <c r="BQ5" s="11">
        <f>IF(預測IC!BQ14&gt;預測IC!BQ$27,1,0)</f>
        <v>0</v>
      </c>
      <c r="BR5" s="11">
        <f>IF(預測IC!BR14&gt;預測IC!BR$27,1,0)</f>
        <v>1</v>
      </c>
      <c r="BS5" s="11">
        <f>IF(預測IC!BS14&gt;預測IC!BS$27,1,0)</f>
        <v>0</v>
      </c>
      <c r="BT5" s="11">
        <f>IF(預測IC!BT14&gt;預測IC!BT$27,1,0)</f>
        <v>0</v>
      </c>
      <c r="BU5" s="11">
        <f>IF(預測IC!BU14&gt;預測IC!BU$27,1,0)</f>
        <v>1</v>
      </c>
      <c r="BV5" s="11">
        <f>IF(預測IC!BV14&gt;預測IC!BV$27,1,0)</f>
        <v>0</v>
      </c>
      <c r="BW5" s="11">
        <f>IF(預測IC!BW14&gt;預測IC!BW$27,1,0)</f>
        <v>1</v>
      </c>
      <c r="BX5" s="11">
        <f>IF(預測IC!BX14&gt;預測IC!BX$27,1,0)</f>
        <v>1</v>
      </c>
      <c r="BY5" s="11">
        <f>IF(預測IC!BY14&gt;預測IC!BY$27,1,0)</f>
        <v>1</v>
      </c>
      <c r="BZ5" s="11">
        <f>IF(預測IC!BZ14&gt;預測IC!BZ$27,1,0)</f>
        <v>0</v>
      </c>
      <c r="CA5" s="11">
        <f>IF(預測IC!CA14&gt;預測IC!CA$27,1,0)</f>
        <v>1</v>
      </c>
      <c r="CB5" s="11">
        <f>IF(預測IC!CB14&gt;預測IC!CB$27,1,0)</f>
        <v>0</v>
      </c>
      <c r="CC5" s="11">
        <f>IF(預測IC!CC14&gt;預測IC!CC$27,1,0)</f>
        <v>0</v>
      </c>
      <c r="CD5" s="11">
        <f>IF(預測IC!CD14&gt;預測IC!CD$27,1,0)</f>
        <v>0</v>
      </c>
      <c r="CE5" s="11">
        <f>IF(預測IC!CE14&gt;預測IC!CE$27,1,0)</f>
        <v>1</v>
      </c>
      <c r="CF5" s="11">
        <f>IF(預測IC!CF14&gt;預測IC!CF$27,1,0)</f>
        <v>0</v>
      </c>
      <c r="CG5" s="11">
        <f>IF(預測IC!CG14&gt;預測IC!CG$27,1,0)</f>
        <v>0</v>
      </c>
      <c r="CH5" s="11">
        <f>IF(預測IC!CH14&gt;預測IC!CH$27,1,0)</f>
        <v>0</v>
      </c>
      <c r="CI5" s="11">
        <f>IF(預測IC!CI14&gt;預測IC!CI$27,1,0)</f>
        <v>0</v>
      </c>
      <c r="CJ5" s="11">
        <f>IF(預測IC!CJ14&gt;預測IC!CJ$27,1,0)</f>
        <v>0</v>
      </c>
      <c r="CK5" s="11">
        <f>IF(預測IC!CK14&gt;預測IC!CK$27,1,0)</f>
        <v>0</v>
      </c>
      <c r="CL5" s="11">
        <f>IF(預測IC!CL14&gt;預測IC!CL$27,1,0)</f>
        <v>0</v>
      </c>
      <c r="CM5" s="11">
        <f>IF(預測IC!CM14&gt;預測IC!CM$27,1,0)</f>
        <v>1</v>
      </c>
      <c r="CN5" s="11">
        <f>IF(預測IC!CN14&gt;預測IC!CN$27,1,0)</f>
        <v>1</v>
      </c>
      <c r="CO5" s="11">
        <f>IF(預測IC!CO14&gt;預測IC!CO$27,1,0)</f>
        <v>1</v>
      </c>
      <c r="CP5" s="11">
        <f>IF(預測IC!CP14&gt;預測IC!CP$27,1,0)</f>
        <v>0</v>
      </c>
      <c r="CQ5" s="11">
        <f>IF(預測IC!CQ14&gt;預測IC!CQ$27,1,0)</f>
        <v>1</v>
      </c>
      <c r="CR5" s="11">
        <f>IF(預測IC!CR14&gt;預測IC!CR$27,1,0)</f>
        <v>0</v>
      </c>
      <c r="CS5" s="11">
        <f>IF(預測IC!CS14&gt;預測IC!CS$27,1,0)</f>
        <v>0</v>
      </c>
      <c r="CT5" s="11">
        <f>IF(預測IC!CT14&gt;預測IC!CT$27,1,0)</f>
        <v>0</v>
      </c>
      <c r="CU5" s="11">
        <f>IF(預測IC!CU14&gt;預測IC!CU$27,1,0)</f>
        <v>1</v>
      </c>
      <c r="CV5" s="11">
        <f>IF(預測IC!CV14&gt;預測IC!CV$27,1,0)</f>
        <v>0</v>
      </c>
      <c r="CW5" s="11">
        <f>IF(預測IC!CW14&gt;預測IC!CW$27,1,0)</f>
        <v>0</v>
      </c>
      <c r="CX5" s="11">
        <f>IF(預測IC!CX14&gt;預測IC!CX$27,1,0)</f>
        <v>1</v>
      </c>
      <c r="CY5" s="11">
        <f>IF(預測IC!CY14&gt;預測IC!CY$27,1,0)</f>
        <v>0</v>
      </c>
      <c r="CZ5" s="11">
        <f>IF(預測IC!CZ14&gt;預測IC!CZ$27,1,0)</f>
        <v>1</v>
      </c>
      <c r="DA5" s="11">
        <f>IF(預測IC!DA14&gt;預測IC!DA$27,1,0)</f>
        <v>1</v>
      </c>
      <c r="DB5" s="11">
        <f>IF(預測IC!DB14&gt;預測IC!DB$27,1,0)</f>
        <v>0</v>
      </c>
      <c r="DC5" s="11">
        <f>IF(預測IC!DC14&gt;預測IC!DC$27,1,0)</f>
        <v>1</v>
      </c>
      <c r="DD5" s="11">
        <f>IF(預測IC!DD14&gt;預測IC!DD$27,1,0)</f>
        <v>1</v>
      </c>
      <c r="DE5" s="11">
        <f>IF(預測IC!DE14&gt;預測IC!DE$27,1,0)</f>
        <v>0</v>
      </c>
      <c r="DF5" s="11">
        <f>IF(預測IC!DF14&gt;預測IC!DF$27,1,0)</f>
        <v>1</v>
      </c>
      <c r="DG5" s="11">
        <f>IF(預測IC!DG14&gt;預測IC!DG$27,1,0)</f>
        <v>0</v>
      </c>
      <c r="DH5" s="11">
        <f>IF(預測IC!DH14&gt;預測IC!DH$27,1,0)</f>
        <v>0</v>
      </c>
      <c r="DI5" s="11">
        <f>IF(預測IC!DI14&gt;預測IC!DI$27,1,0)</f>
        <v>0</v>
      </c>
      <c r="DJ5" s="11">
        <f>IF(預測IC!DJ14&gt;預測IC!DJ$27,1,0)</f>
        <v>1</v>
      </c>
      <c r="DK5" s="11">
        <f>IF(預測IC!DK14&gt;預測IC!DK$27,1,0)</f>
        <v>0</v>
      </c>
      <c r="DL5" s="11">
        <f>IF(預測IC!DL14&gt;預測IC!DL$27,1,0)</f>
        <v>0</v>
      </c>
      <c r="DM5" s="11">
        <f>IF(預測IC!DM14&gt;預測IC!DM$27,1,0)</f>
        <v>0</v>
      </c>
      <c r="DN5" s="11">
        <f>IF(預測IC!DN14&gt;預測IC!DN$27,1,0)</f>
        <v>1</v>
      </c>
      <c r="DO5" s="11">
        <f>IF(預測IC!DO14&gt;預測IC!DO$27,1,0)</f>
        <v>1</v>
      </c>
      <c r="DP5" s="11">
        <f>IF(預測IC!DP14&gt;預測IC!DP$27,1,0)</f>
        <v>1</v>
      </c>
      <c r="DQ5" s="11">
        <f>IF(預測IC!DQ14&gt;預測IC!DQ$27,1,0)</f>
        <v>0</v>
      </c>
      <c r="DR5" s="11">
        <f>IF(預測IC!DR14&gt;預測IC!DR$27,1,0)</f>
        <v>0</v>
      </c>
      <c r="DS5" s="11">
        <f>IF(預測IC!DS14&gt;預測IC!DS$27,1,0)</f>
        <v>1</v>
      </c>
      <c r="DT5" s="11">
        <f>IF(預測IC!DT14&gt;預測IC!DT$27,1,0)</f>
        <v>0</v>
      </c>
      <c r="DU5" s="11">
        <f>IF(預測IC!DU14&gt;預測IC!DU$27,1,0)</f>
        <v>0</v>
      </c>
      <c r="DV5" s="11">
        <f>IF(預測IC!DV14&gt;預測IC!DV$27,1,0)</f>
        <v>1</v>
      </c>
      <c r="DW5" s="11">
        <f>IF(預測IC!DW14&gt;預測IC!DW$27,1,0)</f>
        <v>0</v>
      </c>
      <c r="DX5" s="11">
        <f>IF(預測IC!DX14&gt;預測IC!DX$27,1,0)</f>
        <v>0</v>
      </c>
      <c r="DY5" s="11">
        <f>IF(預測IC!DY14&gt;預測IC!DY$27,1,0)</f>
        <v>1</v>
      </c>
      <c r="DZ5" s="11">
        <f>IF(預測IC!DZ14&gt;預測IC!DZ$27,1,0)</f>
        <v>0</v>
      </c>
      <c r="EA5" s="11">
        <f>IF(預測IC!EA14&gt;預測IC!EA$27,1,0)</f>
        <v>1</v>
      </c>
      <c r="EB5" s="11">
        <f>IF(預測IC!EB14&gt;預測IC!EB$27,1,0)</f>
        <v>0</v>
      </c>
      <c r="EC5" s="11">
        <f>IF(預測IC!EC14&gt;預測IC!EC$27,1,0)</f>
        <v>1</v>
      </c>
      <c r="ED5" s="11">
        <f>IF(預測IC!ED14&gt;預測IC!ED$27,1,0)</f>
        <v>0</v>
      </c>
      <c r="EE5" s="11">
        <f>IF(預測IC!EE14&gt;預測IC!EE$27,1,0)</f>
        <v>0</v>
      </c>
      <c r="EF5" s="11">
        <f>IF(預測IC!EF14&gt;預測IC!EF$27,1,0)</f>
        <v>1</v>
      </c>
      <c r="EG5" s="1">
        <f t="shared" ref="EG5:EG17" si="0">SUM(C5:EF5)</f>
        <v>57</v>
      </c>
      <c r="EH5" s="2">
        <f t="shared" ref="EH5:EH17" si="1">SUM(C5:EF5)/134</f>
        <v>0.42537313432835822</v>
      </c>
    </row>
    <row r="6" spans="1:138" s="3" customFormat="1" ht="16" customHeight="1">
      <c r="A6" s="6">
        <v>20</v>
      </c>
      <c r="B6" s="6">
        <v>48</v>
      </c>
      <c r="C6" s="11">
        <f>IF(預測IC!C15&gt;預測IC!C$27,1,0)</f>
        <v>1</v>
      </c>
      <c r="D6" s="11">
        <f>IF(預測IC!D15&gt;預測IC!D$27,1,0)</f>
        <v>0</v>
      </c>
      <c r="E6" s="11">
        <f>IF(預測IC!E15&gt;預測IC!E$27,1,0)</f>
        <v>0</v>
      </c>
      <c r="F6" s="11">
        <f>IF(預測IC!F15&gt;預測IC!F$27,1,0)</f>
        <v>0</v>
      </c>
      <c r="G6" s="11">
        <f>IF(預測IC!G15&gt;預測IC!G$27,1,0)</f>
        <v>1</v>
      </c>
      <c r="H6" s="11">
        <f>IF(預測IC!H15&gt;預測IC!H$27,1,0)</f>
        <v>0</v>
      </c>
      <c r="I6" s="11">
        <f>IF(預測IC!I15&gt;預測IC!I$27,1,0)</f>
        <v>1</v>
      </c>
      <c r="J6" s="11">
        <f>IF(預測IC!J15&gt;預測IC!J$27,1,0)</f>
        <v>1</v>
      </c>
      <c r="K6" s="11">
        <f>IF(預測IC!K15&gt;預測IC!K$27,1,0)</f>
        <v>1</v>
      </c>
      <c r="L6" s="11">
        <f>IF(預測IC!L15&gt;預測IC!L$27,1,0)</f>
        <v>0</v>
      </c>
      <c r="M6" s="11">
        <f>IF(預測IC!M15&gt;預測IC!M$27,1,0)</f>
        <v>1</v>
      </c>
      <c r="N6" s="11">
        <f>IF(預測IC!N15&gt;預測IC!N$27,1,0)</f>
        <v>0</v>
      </c>
      <c r="O6" s="11">
        <f>IF(預測IC!O15&gt;預測IC!O$27,1,0)</f>
        <v>1</v>
      </c>
      <c r="P6" s="11">
        <f>IF(預測IC!P15&gt;預測IC!P$27,1,0)</f>
        <v>0</v>
      </c>
      <c r="Q6" s="11">
        <f>IF(預測IC!Q15&gt;預測IC!Q$27,1,0)</f>
        <v>1</v>
      </c>
      <c r="R6" s="11">
        <f>IF(預測IC!R15&gt;預測IC!R$27,1,0)</f>
        <v>0</v>
      </c>
      <c r="S6" s="11">
        <f>IF(預測IC!S15&gt;預測IC!S$27,1,0)</f>
        <v>1</v>
      </c>
      <c r="T6" s="11">
        <f>IF(預測IC!T15&gt;預測IC!T$27,1,0)</f>
        <v>1</v>
      </c>
      <c r="U6" s="11">
        <f>IF(預測IC!U15&gt;預測IC!U$27,1,0)</f>
        <v>1</v>
      </c>
      <c r="V6" s="11">
        <f>IF(預測IC!V15&gt;預測IC!V$27,1,0)</f>
        <v>1</v>
      </c>
      <c r="W6" s="11">
        <f>IF(預測IC!W15&gt;預測IC!W$27,1,0)</f>
        <v>0</v>
      </c>
      <c r="X6" s="11">
        <f>IF(預測IC!X15&gt;預測IC!X$27,1,0)</f>
        <v>0</v>
      </c>
      <c r="Y6" s="11">
        <f>IF(預測IC!Y15&gt;預測IC!Y$27,1,0)</f>
        <v>0</v>
      </c>
      <c r="Z6" s="11">
        <f>IF(預測IC!Z15&gt;預測IC!Z$27,1,0)</f>
        <v>1</v>
      </c>
      <c r="AA6" s="11">
        <f>IF(預測IC!AA15&gt;預測IC!AA$27,1,0)</f>
        <v>0</v>
      </c>
      <c r="AB6" s="11">
        <f>IF(預測IC!AB15&gt;預測IC!AB$27,1,0)</f>
        <v>0</v>
      </c>
      <c r="AC6" s="11">
        <f>IF(預測IC!AC15&gt;預測IC!AC$27,1,0)</f>
        <v>1</v>
      </c>
      <c r="AD6" s="11">
        <f>IF(預測IC!AD15&gt;預測IC!AD$27,1,0)</f>
        <v>1</v>
      </c>
      <c r="AE6" s="11">
        <f>IF(預測IC!AE15&gt;預測IC!AE$27,1,0)</f>
        <v>0</v>
      </c>
      <c r="AF6" s="11">
        <f>IF(預測IC!AF15&gt;預測IC!AF$27,1,0)</f>
        <v>1</v>
      </c>
      <c r="AG6" s="11">
        <f>IF(預測IC!AG15&gt;預測IC!AG$27,1,0)</f>
        <v>0</v>
      </c>
      <c r="AH6" s="11">
        <f>IF(預測IC!AH15&gt;預測IC!AH$27,1,0)</f>
        <v>0</v>
      </c>
      <c r="AI6" s="11">
        <f>IF(預測IC!AI15&gt;預測IC!AI$27,1,0)</f>
        <v>0</v>
      </c>
      <c r="AJ6" s="11">
        <f>IF(預測IC!AJ15&gt;預測IC!AJ$27,1,0)</f>
        <v>1</v>
      </c>
      <c r="AK6" s="11">
        <f>IF(預測IC!AK15&gt;預測IC!AK$27,1,0)</f>
        <v>1</v>
      </c>
      <c r="AL6" s="11">
        <f>IF(預測IC!AL15&gt;預測IC!AL$27,1,0)</f>
        <v>0</v>
      </c>
      <c r="AM6" s="11">
        <f>IF(預測IC!AM15&gt;預測IC!AM$27,1,0)</f>
        <v>0</v>
      </c>
      <c r="AN6" s="11">
        <f>IF(預測IC!AN15&gt;預測IC!AN$27,1,0)</f>
        <v>0</v>
      </c>
      <c r="AO6" s="11">
        <f>IF(預測IC!AO15&gt;預測IC!AO$27,1,0)</f>
        <v>0</v>
      </c>
      <c r="AP6" s="11">
        <f>IF(預測IC!AP15&gt;預測IC!AP$27,1,0)</f>
        <v>1</v>
      </c>
      <c r="AQ6" s="11">
        <f>IF(預測IC!AQ15&gt;預測IC!AQ$27,1,0)</f>
        <v>0</v>
      </c>
      <c r="AR6" s="11">
        <f>IF(預測IC!AR15&gt;預測IC!AR$27,1,0)</f>
        <v>0</v>
      </c>
      <c r="AS6" s="11">
        <f>IF(預測IC!AS15&gt;預測IC!AS$27,1,0)</f>
        <v>1</v>
      </c>
      <c r="AT6" s="11">
        <f>IF(預測IC!AT15&gt;預測IC!AT$27,1,0)</f>
        <v>0</v>
      </c>
      <c r="AU6" s="11">
        <f>IF(預測IC!AU15&gt;預測IC!AU$27,1,0)</f>
        <v>1</v>
      </c>
      <c r="AV6" s="11">
        <f>IF(預測IC!AV15&gt;預測IC!AV$27,1,0)</f>
        <v>0</v>
      </c>
      <c r="AW6" s="11">
        <f>IF(預測IC!AW15&gt;預測IC!AW$27,1,0)</f>
        <v>1</v>
      </c>
      <c r="AX6" s="11">
        <f>IF(預測IC!AX15&gt;預測IC!AX$27,1,0)</f>
        <v>0</v>
      </c>
      <c r="AY6" s="11">
        <f>IF(預測IC!AY15&gt;預測IC!AY$27,1,0)</f>
        <v>0</v>
      </c>
      <c r="AZ6" s="11">
        <f>IF(預測IC!AZ15&gt;預測IC!AZ$27,1,0)</f>
        <v>1</v>
      </c>
      <c r="BA6" s="11">
        <f>IF(預測IC!BA15&gt;預測IC!BA$27,1,0)</f>
        <v>0</v>
      </c>
      <c r="BB6" s="11">
        <f>IF(預測IC!BB15&gt;預測IC!BB$27,1,0)</f>
        <v>0</v>
      </c>
      <c r="BC6" s="11">
        <f>IF(預測IC!BC15&gt;預測IC!BC$27,1,0)</f>
        <v>0</v>
      </c>
      <c r="BD6" s="11">
        <f>IF(預測IC!BD15&gt;預測IC!BD$27,1,0)</f>
        <v>1</v>
      </c>
      <c r="BE6" s="11">
        <f>IF(預測IC!BE15&gt;預測IC!BE$27,1,0)</f>
        <v>0</v>
      </c>
      <c r="BF6" s="11">
        <f>IF(預測IC!BF15&gt;預測IC!BF$27,1,0)</f>
        <v>0</v>
      </c>
      <c r="BG6" s="11">
        <f>IF(預測IC!BG15&gt;預測IC!BG$27,1,0)</f>
        <v>0</v>
      </c>
      <c r="BH6" s="11">
        <f>IF(預測IC!BH15&gt;預測IC!BH$27,1,0)</f>
        <v>0</v>
      </c>
      <c r="BI6" s="11">
        <f>IF(預測IC!BI15&gt;預測IC!BI$27,1,0)</f>
        <v>0</v>
      </c>
      <c r="BJ6" s="11">
        <f>IF(預測IC!BJ15&gt;預測IC!BJ$27,1,0)</f>
        <v>1</v>
      </c>
      <c r="BK6" s="11">
        <f>IF(預測IC!BK15&gt;預測IC!BK$27,1,0)</f>
        <v>0</v>
      </c>
      <c r="BL6" s="11">
        <f>IF(預測IC!BL15&gt;預測IC!BL$27,1,0)</f>
        <v>0</v>
      </c>
      <c r="BM6" s="11">
        <f>IF(預測IC!BM15&gt;預測IC!BM$27,1,0)</f>
        <v>0</v>
      </c>
      <c r="BN6" s="11">
        <f>IF(預測IC!BN15&gt;預測IC!BN$27,1,0)</f>
        <v>0</v>
      </c>
      <c r="BO6" s="11">
        <f>IF(預測IC!BO15&gt;預測IC!BO$27,1,0)</f>
        <v>1</v>
      </c>
      <c r="BP6" s="11">
        <f>IF(預測IC!BP15&gt;預測IC!BP$27,1,0)</f>
        <v>1</v>
      </c>
      <c r="BQ6" s="11">
        <f>IF(預測IC!BQ15&gt;預測IC!BQ$27,1,0)</f>
        <v>1</v>
      </c>
      <c r="BR6" s="11">
        <f>IF(預測IC!BR15&gt;預測IC!BR$27,1,0)</f>
        <v>1</v>
      </c>
      <c r="BS6" s="11">
        <f>IF(預測IC!BS15&gt;預測IC!BS$27,1,0)</f>
        <v>0</v>
      </c>
      <c r="BT6" s="11">
        <f>IF(預測IC!BT15&gt;預測IC!BT$27,1,0)</f>
        <v>0</v>
      </c>
      <c r="BU6" s="11">
        <f>IF(預測IC!BU15&gt;預測IC!BU$27,1,0)</f>
        <v>1</v>
      </c>
      <c r="BV6" s="11">
        <f>IF(預測IC!BV15&gt;預測IC!BV$27,1,0)</f>
        <v>0</v>
      </c>
      <c r="BW6" s="11">
        <f>IF(預測IC!BW15&gt;預測IC!BW$27,1,0)</f>
        <v>1</v>
      </c>
      <c r="BX6" s="11">
        <f>IF(預測IC!BX15&gt;預測IC!BX$27,1,0)</f>
        <v>1</v>
      </c>
      <c r="BY6" s="11">
        <f>IF(預測IC!BY15&gt;預測IC!BY$27,1,0)</f>
        <v>1</v>
      </c>
      <c r="BZ6" s="11">
        <f>IF(預測IC!BZ15&gt;預測IC!BZ$27,1,0)</f>
        <v>0</v>
      </c>
      <c r="CA6" s="11">
        <f>IF(預測IC!CA15&gt;預測IC!CA$27,1,0)</f>
        <v>1</v>
      </c>
      <c r="CB6" s="11">
        <f>IF(預測IC!CB15&gt;預測IC!CB$27,1,0)</f>
        <v>0</v>
      </c>
      <c r="CC6" s="11">
        <f>IF(預測IC!CC15&gt;預測IC!CC$27,1,0)</f>
        <v>0</v>
      </c>
      <c r="CD6" s="11">
        <f>IF(預測IC!CD15&gt;預測IC!CD$27,1,0)</f>
        <v>0</v>
      </c>
      <c r="CE6" s="11">
        <f>IF(預測IC!CE15&gt;預測IC!CE$27,1,0)</f>
        <v>1</v>
      </c>
      <c r="CF6" s="11">
        <f>IF(預測IC!CF15&gt;預測IC!CF$27,1,0)</f>
        <v>0</v>
      </c>
      <c r="CG6" s="11">
        <f>IF(預測IC!CG15&gt;預測IC!CG$27,1,0)</f>
        <v>0</v>
      </c>
      <c r="CH6" s="11">
        <f>IF(預測IC!CH15&gt;預測IC!CH$27,1,0)</f>
        <v>0</v>
      </c>
      <c r="CI6" s="11">
        <f>IF(預測IC!CI15&gt;預測IC!CI$27,1,0)</f>
        <v>0</v>
      </c>
      <c r="CJ6" s="11">
        <f>IF(預測IC!CJ15&gt;預測IC!CJ$27,1,0)</f>
        <v>0</v>
      </c>
      <c r="CK6" s="11">
        <f>IF(預測IC!CK15&gt;預測IC!CK$27,1,0)</f>
        <v>0</v>
      </c>
      <c r="CL6" s="11">
        <f>IF(預測IC!CL15&gt;預測IC!CL$27,1,0)</f>
        <v>0</v>
      </c>
      <c r="CM6" s="11">
        <f>IF(預測IC!CM15&gt;預測IC!CM$27,1,0)</f>
        <v>1</v>
      </c>
      <c r="CN6" s="11">
        <f>IF(預測IC!CN15&gt;預測IC!CN$27,1,0)</f>
        <v>1</v>
      </c>
      <c r="CO6" s="11">
        <f>IF(預測IC!CO15&gt;預測IC!CO$27,1,0)</f>
        <v>1</v>
      </c>
      <c r="CP6" s="11">
        <f>IF(預測IC!CP15&gt;預測IC!CP$27,1,0)</f>
        <v>0</v>
      </c>
      <c r="CQ6" s="11">
        <f>IF(預測IC!CQ15&gt;預測IC!CQ$27,1,0)</f>
        <v>1</v>
      </c>
      <c r="CR6" s="11">
        <f>IF(預測IC!CR15&gt;預測IC!CR$27,1,0)</f>
        <v>0</v>
      </c>
      <c r="CS6" s="11">
        <f>IF(預測IC!CS15&gt;預測IC!CS$27,1,0)</f>
        <v>0</v>
      </c>
      <c r="CT6" s="11">
        <f>IF(預測IC!CT15&gt;預測IC!CT$27,1,0)</f>
        <v>0</v>
      </c>
      <c r="CU6" s="11">
        <f>IF(預測IC!CU15&gt;預測IC!CU$27,1,0)</f>
        <v>1</v>
      </c>
      <c r="CV6" s="11">
        <f>IF(預測IC!CV15&gt;預測IC!CV$27,1,0)</f>
        <v>0</v>
      </c>
      <c r="CW6" s="11">
        <f>IF(預測IC!CW15&gt;預測IC!CW$27,1,0)</f>
        <v>0</v>
      </c>
      <c r="CX6" s="11">
        <f>IF(預測IC!CX15&gt;預測IC!CX$27,1,0)</f>
        <v>1</v>
      </c>
      <c r="CY6" s="11">
        <f>IF(預測IC!CY15&gt;預測IC!CY$27,1,0)</f>
        <v>1</v>
      </c>
      <c r="CZ6" s="11">
        <f>IF(預測IC!CZ15&gt;預測IC!CZ$27,1,0)</f>
        <v>1</v>
      </c>
      <c r="DA6" s="11">
        <f>IF(預測IC!DA15&gt;預測IC!DA$27,1,0)</f>
        <v>1</v>
      </c>
      <c r="DB6" s="11">
        <f>IF(預測IC!DB15&gt;預測IC!DB$27,1,0)</f>
        <v>0</v>
      </c>
      <c r="DC6" s="11">
        <f>IF(預測IC!DC15&gt;預測IC!DC$27,1,0)</f>
        <v>1</v>
      </c>
      <c r="DD6" s="11">
        <f>IF(預測IC!DD15&gt;預測IC!DD$27,1,0)</f>
        <v>1</v>
      </c>
      <c r="DE6" s="11">
        <f>IF(預測IC!DE15&gt;預測IC!DE$27,1,0)</f>
        <v>0</v>
      </c>
      <c r="DF6" s="11">
        <f>IF(預測IC!DF15&gt;預測IC!DF$27,1,0)</f>
        <v>1</v>
      </c>
      <c r="DG6" s="11">
        <f>IF(預測IC!DG15&gt;預測IC!DG$27,1,0)</f>
        <v>0</v>
      </c>
      <c r="DH6" s="11">
        <f>IF(預測IC!DH15&gt;預測IC!DH$27,1,0)</f>
        <v>0</v>
      </c>
      <c r="DI6" s="11">
        <f>IF(預測IC!DI15&gt;預測IC!DI$27,1,0)</f>
        <v>0</v>
      </c>
      <c r="DJ6" s="11">
        <f>IF(預測IC!DJ15&gt;預測IC!DJ$27,1,0)</f>
        <v>1</v>
      </c>
      <c r="DK6" s="11">
        <f>IF(預測IC!DK15&gt;預測IC!DK$27,1,0)</f>
        <v>0</v>
      </c>
      <c r="DL6" s="11">
        <f>IF(預測IC!DL15&gt;預測IC!DL$27,1,0)</f>
        <v>0</v>
      </c>
      <c r="DM6" s="11">
        <f>IF(預測IC!DM15&gt;預測IC!DM$27,1,0)</f>
        <v>0</v>
      </c>
      <c r="DN6" s="11">
        <f>IF(預測IC!DN15&gt;預測IC!DN$27,1,0)</f>
        <v>1</v>
      </c>
      <c r="DO6" s="11">
        <f>IF(預測IC!DO15&gt;預測IC!DO$27,1,0)</f>
        <v>0</v>
      </c>
      <c r="DP6" s="11">
        <f>IF(預測IC!DP15&gt;預測IC!DP$27,1,0)</f>
        <v>1</v>
      </c>
      <c r="DQ6" s="11">
        <f>IF(預測IC!DQ15&gt;預測IC!DQ$27,1,0)</f>
        <v>0</v>
      </c>
      <c r="DR6" s="11">
        <f>IF(預測IC!DR15&gt;預測IC!DR$27,1,0)</f>
        <v>0</v>
      </c>
      <c r="DS6" s="11">
        <f>IF(預測IC!DS15&gt;預測IC!DS$27,1,0)</f>
        <v>1</v>
      </c>
      <c r="DT6" s="11">
        <f>IF(預測IC!DT15&gt;預測IC!DT$27,1,0)</f>
        <v>0</v>
      </c>
      <c r="DU6" s="11">
        <f>IF(預測IC!DU15&gt;預測IC!DU$27,1,0)</f>
        <v>0</v>
      </c>
      <c r="DV6" s="11">
        <f>IF(預測IC!DV15&gt;預測IC!DV$27,1,0)</f>
        <v>1</v>
      </c>
      <c r="DW6" s="11">
        <f>IF(預測IC!DW15&gt;預測IC!DW$27,1,0)</f>
        <v>1</v>
      </c>
      <c r="DX6" s="11">
        <f>IF(預測IC!DX15&gt;預測IC!DX$27,1,0)</f>
        <v>0</v>
      </c>
      <c r="DY6" s="11">
        <f>IF(預測IC!DY15&gt;預測IC!DY$27,1,0)</f>
        <v>1</v>
      </c>
      <c r="DZ6" s="11">
        <f>IF(預測IC!DZ15&gt;預測IC!DZ$27,1,0)</f>
        <v>0</v>
      </c>
      <c r="EA6" s="11">
        <f>IF(預測IC!EA15&gt;預測IC!EA$27,1,0)</f>
        <v>1</v>
      </c>
      <c r="EB6" s="11">
        <f>IF(預測IC!EB15&gt;預測IC!EB$27,1,0)</f>
        <v>1</v>
      </c>
      <c r="EC6" s="11">
        <f>IF(預測IC!EC15&gt;預測IC!EC$27,1,0)</f>
        <v>1</v>
      </c>
      <c r="ED6" s="11">
        <f>IF(預測IC!ED15&gt;預測IC!ED$27,1,0)</f>
        <v>0</v>
      </c>
      <c r="EE6" s="11">
        <f>IF(預測IC!EE15&gt;預測IC!EE$27,1,0)</f>
        <v>0</v>
      </c>
      <c r="EF6" s="11">
        <f>IF(預測IC!EF15&gt;預測IC!EF$27,1,0)</f>
        <v>1</v>
      </c>
      <c r="EG6" s="1">
        <f t="shared" si="0"/>
        <v>58</v>
      </c>
      <c r="EH6" s="2">
        <f t="shared" si="1"/>
        <v>0.43283582089552236</v>
      </c>
    </row>
    <row r="7" spans="1:138" s="3" customFormat="1" ht="16" customHeight="1">
      <c r="A7" s="6">
        <v>50</v>
      </c>
      <c r="B7" s="6">
        <v>19</v>
      </c>
      <c r="C7" s="11">
        <f>IF(預測IC!C16&gt;預測IC!C$27,1,0)</f>
        <v>1</v>
      </c>
      <c r="D7" s="11">
        <f>IF(預測IC!D16&gt;預測IC!D$27,1,0)</f>
        <v>0</v>
      </c>
      <c r="E7" s="11">
        <f>IF(預測IC!E16&gt;預測IC!E$27,1,0)</f>
        <v>0</v>
      </c>
      <c r="F7" s="11">
        <f>IF(預測IC!F16&gt;預測IC!F$27,1,0)</f>
        <v>1</v>
      </c>
      <c r="G7" s="11">
        <f>IF(預測IC!G16&gt;預測IC!G$27,1,0)</f>
        <v>1</v>
      </c>
      <c r="H7" s="11">
        <f>IF(預測IC!H16&gt;預測IC!H$27,1,0)</f>
        <v>0</v>
      </c>
      <c r="I7" s="11">
        <f>IF(預測IC!I16&gt;預測IC!I$27,1,0)</f>
        <v>1</v>
      </c>
      <c r="J7" s="11">
        <f>IF(預測IC!J16&gt;預測IC!J$27,1,0)</f>
        <v>0</v>
      </c>
      <c r="K7" s="11">
        <f>IF(預測IC!K16&gt;預測IC!K$27,1,0)</f>
        <v>1</v>
      </c>
      <c r="L7" s="11">
        <f>IF(預測IC!L16&gt;預測IC!L$27,1,0)</f>
        <v>0</v>
      </c>
      <c r="M7" s="11">
        <f>IF(預測IC!M16&gt;預測IC!M$27,1,0)</f>
        <v>0</v>
      </c>
      <c r="N7" s="11">
        <f>IF(預測IC!N16&gt;預測IC!N$27,1,0)</f>
        <v>0</v>
      </c>
      <c r="O7" s="11">
        <f>IF(預測IC!O16&gt;預測IC!O$27,1,0)</f>
        <v>1</v>
      </c>
      <c r="P7" s="11">
        <f>IF(預測IC!P16&gt;預測IC!P$27,1,0)</f>
        <v>0</v>
      </c>
      <c r="Q7" s="11">
        <f>IF(預測IC!Q16&gt;預測IC!Q$27,1,0)</f>
        <v>0</v>
      </c>
      <c r="R7" s="11">
        <f>IF(預測IC!R16&gt;預測IC!R$27,1,0)</f>
        <v>1</v>
      </c>
      <c r="S7" s="11">
        <f>IF(預測IC!S16&gt;預測IC!S$27,1,0)</f>
        <v>1</v>
      </c>
      <c r="T7" s="11">
        <f>IF(預測IC!T16&gt;預測IC!T$27,1,0)</f>
        <v>1</v>
      </c>
      <c r="U7" s="11">
        <f>IF(預測IC!U16&gt;預測IC!U$27,1,0)</f>
        <v>1</v>
      </c>
      <c r="V7" s="11">
        <f>IF(預測IC!V16&gt;預測IC!V$27,1,0)</f>
        <v>1</v>
      </c>
      <c r="W7" s="11">
        <f>IF(預測IC!W16&gt;預測IC!W$27,1,0)</f>
        <v>1</v>
      </c>
      <c r="X7" s="11">
        <f>IF(預測IC!X16&gt;預測IC!X$27,1,0)</f>
        <v>0</v>
      </c>
      <c r="Y7" s="11">
        <f>IF(預測IC!Y16&gt;預測IC!Y$27,1,0)</f>
        <v>1</v>
      </c>
      <c r="Z7" s="11">
        <f>IF(預測IC!Z16&gt;預測IC!Z$27,1,0)</f>
        <v>1</v>
      </c>
      <c r="AA7" s="11">
        <f>IF(預測IC!AA16&gt;預測IC!AA$27,1,0)</f>
        <v>0</v>
      </c>
      <c r="AB7" s="11">
        <f>IF(預測IC!AB16&gt;預測IC!AB$27,1,0)</f>
        <v>0</v>
      </c>
      <c r="AC7" s="11">
        <f>IF(預測IC!AC16&gt;預測IC!AC$27,1,0)</f>
        <v>1</v>
      </c>
      <c r="AD7" s="11">
        <f>IF(預測IC!AD16&gt;預測IC!AD$27,1,0)</f>
        <v>1</v>
      </c>
      <c r="AE7" s="11">
        <f>IF(預測IC!AE16&gt;預測IC!AE$27,1,0)</f>
        <v>0</v>
      </c>
      <c r="AF7" s="11">
        <f>IF(預測IC!AF16&gt;預測IC!AF$27,1,0)</f>
        <v>1</v>
      </c>
      <c r="AG7" s="11">
        <f>IF(預測IC!AG16&gt;預測IC!AG$27,1,0)</f>
        <v>0</v>
      </c>
      <c r="AH7" s="11">
        <f>IF(預測IC!AH16&gt;預測IC!AH$27,1,0)</f>
        <v>0</v>
      </c>
      <c r="AI7" s="11">
        <f>IF(預測IC!AI16&gt;預測IC!AI$27,1,0)</f>
        <v>1</v>
      </c>
      <c r="AJ7" s="11">
        <f>IF(預測IC!AJ16&gt;預測IC!AJ$27,1,0)</f>
        <v>1</v>
      </c>
      <c r="AK7" s="11">
        <f>IF(預測IC!AK16&gt;預測IC!AK$27,1,0)</f>
        <v>0</v>
      </c>
      <c r="AL7" s="11">
        <f>IF(預測IC!AL16&gt;預測IC!AL$27,1,0)</f>
        <v>0</v>
      </c>
      <c r="AM7" s="11">
        <f>IF(預測IC!AM16&gt;預測IC!AM$27,1,0)</f>
        <v>0</v>
      </c>
      <c r="AN7" s="11">
        <f>IF(預測IC!AN16&gt;預測IC!AN$27,1,0)</f>
        <v>1</v>
      </c>
      <c r="AO7" s="11">
        <f>IF(預測IC!AO16&gt;預測IC!AO$27,1,0)</f>
        <v>0</v>
      </c>
      <c r="AP7" s="11">
        <f>IF(預測IC!AP16&gt;預測IC!AP$27,1,0)</f>
        <v>0</v>
      </c>
      <c r="AQ7" s="11">
        <f>IF(預測IC!AQ16&gt;預測IC!AQ$27,1,0)</f>
        <v>0</v>
      </c>
      <c r="AR7" s="11">
        <f>IF(預測IC!AR16&gt;預測IC!AR$27,1,0)</f>
        <v>0</v>
      </c>
      <c r="AS7" s="11">
        <f>IF(預測IC!AS16&gt;預測IC!AS$27,1,0)</f>
        <v>1</v>
      </c>
      <c r="AT7" s="11">
        <f>IF(預測IC!AT16&gt;預測IC!AT$27,1,0)</f>
        <v>0</v>
      </c>
      <c r="AU7" s="11">
        <f>IF(預測IC!AU16&gt;預測IC!AU$27,1,0)</f>
        <v>1</v>
      </c>
      <c r="AV7" s="11">
        <f>IF(預測IC!AV16&gt;預測IC!AV$27,1,0)</f>
        <v>0</v>
      </c>
      <c r="AW7" s="11">
        <f>IF(預測IC!AW16&gt;預測IC!AW$27,1,0)</f>
        <v>1</v>
      </c>
      <c r="AX7" s="11">
        <f>IF(預測IC!AX16&gt;預測IC!AX$27,1,0)</f>
        <v>0</v>
      </c>
      <c r="AY7" s="11">
        <f>IF(預測IC!AY16&gt;預測IC!AY$27,1,0)</f>
        <v>0</v>
      </c>
      <c r="AZ7" s="11">
        <f>IF(預測IC!AZ16&gt;預測IC!AZ$27,1,0)</f>
        <v>1</v>
      </c>
      <c r="BA7" s="11">
        <f>IF(預測IC!BA16&gt;預測IC!BA$27,1,0)</f>
        <v>0</v>
      </c>
      <c r="BB7" s="11">
        <f>IF(預測IC!BB16&gt;預測IC!BB$27,1,0)</f>
        <v>0</v>
      </c>
      <c r="BC7" s="11">
        <f>IF(預測IC!BC16&gt;預測IC!BC$27,1,0)</f>
        <v>1</v>
      </c>
      <c r="BD7" s="11">
        <f>IF(預測IC!BD16&gt;預測IC!BD$27,1,0)</f>
        <v>1</v>
      </c>
      <c r="BE7" s="11">
        <f>IF(預測IC!BE16&gt;預測IC!BE$27,1,0)</f>
        <v>0</v>
      </c>
      <c r="BF7" s="11">
        <f>IF(預測IC!BF16&gt;預測IC!BF$27,1,0)</f>
        <v>0</v>
      </c>
      <c r="BG7" s="11">
        <f>IF(預測IC!BG16&gt;預測IC!BG$27,1,0)</f>
        <v>0</v>
      </c>
      <c r="BH7" s="11">
        <f>IF(預測IC!BH16&gt;預測IC!BH$27,1,0)</f>
        <v>0</v>
      </c>
      <c r="BI7" s="11">
        <f>IF(預測IC!BI16&gt;預測IC!BI$27,1,0)</f>
        <v>0</v>
      </c>
      <c r="BJ7" s="11">
        <f>IF(預測IC!BJ16&gt;預測IC!BJ$27,1,0)</f>
        <v>0</v>
      </c>
      <c r="BK7" s="11">
        <f>IF(預測IC!BK16&gt;預測IC!BK$27,1,0)</f>
        <v>0</v>
      </c>
      <c r="BL7" s="11">
        <f>IF(預測IC!BL16&gt;預測IC!BL$27,1,0)</f>
        <v>0</v>
      </c>
      <c r="BM7" s="11">
        <f>IF(預測IC!BM16&gt;預測IC!BM$27,1,0)</f>
        <v>0</v>
      </c>
      <c r="BN7" s="11">
        <f>IF(預測IC!BN16&gt;預測IC!BN$27,1,0)</f>
        <v>0</v>
      </c>
      <c r="BO7" s="11">
        <f>IF(預測IC!BO16&gt;預測IC!BO$27,1,0)</f>
        <v>0</v>
      </c>
      <c r="BP7" s="11">
        <f>IF(預測IC!BP16&gt;預測IC!BP$27,1,0)</f>
        <v>1</v>
      </c>
      <c r="BQ7" s="11">
        <f>IF(預測IC!BQ16&gt;預測IC!BQ$27,1,0)</f>
        <v>0</v>
      </c>
      <c r="BR7" s="11">
        <f>IF(預測IC!BR16&gt;預測IC!BR$27,1,0)</f>
        <v>1</v>
      </c>
      <c r="BS7" s="11">
        <f>IF(預測IC!BS16&gt;預測IC!BS$27,1,0)</f>
        <v>0</v>
      </c>
      <c r="BT7" s="11">
        <f>IF(預測IC!BT16&gt;預測IC!BT$27,1,0)</f>
        <v>0</v>
      </c>
      <c r="BU7" s="11">
        <f>IF(預測IC!BU16&gt;預測IC!BU$27,1,0)</f>
        <v>1</v>
      </c>
      <c r="BV7" s="11">
        <f>IF(預測IC!BV16&gt;預測IC!BV$27,1,0)</f>
        <v>0</v>
      </c>
      <c r="BW7" s="11">
        <f>IF(預測IC!BW16&gt;預測IC!BW$27,1,0)</f>
        <v>1</v>
      </c>
      <c r="BX7" s="11">
        <f>IF(預測IC!BX16&gt;預測IC!BX$27,1,0)</f>
        <v>1</v>
      </c>
      <c r="BY7" s="11">
        <f>IF(預測IC!BY16&gt;預測IC!BY$27,1,0)</f>
        <v>1</v>
      </c>
      <c r="BZ7" s="11">
        <f>IF(預測IC!BZ16&gt;預測IC!BZ$27,1,0)</f>
        <v>0</v>
      </c>
      <c r="CA7" s="11">
        <f>IF(預測IC!CA16&gt;預測IC!CA$27,1,0)</f>
        <v>0</v>
      </c>
      <c r="CB7" s="11">
        <f>IF(預測IC!CB16&gt;預測IC!CB$27,1,0)</f>
        <v>0</v>
      </c>
      <c r="CC7" s="11">
        <f>IF(預測IC!CC16&gt;預測IC!CC$27,1,0)</f>
        <v>0</v>
      </c>
      <c r="CD7" s="11">
        <f>IF(預測IC!CD16&gt;預測IC!CD$27,1,0)</f>
        <v>0</v>
      </c>
      <c r="CE7" s="11">
        <f>IF(預測IC!CE16&gt;預測IC!CE$27,1,0)</f>
        <v>1</v>
      </c>
      <c r="CF7" s="11">
        <f>IF(預測IC!CF16&gt;預測IC!CF$27,1,0)</f>
        <v>1</v>
      </c>
      <c r="CG7" s="11">
        <f>IF(預測IC!CG16&gt;預測IC!CG$27,1,0)</f>
        <v>0</v>
      </c>
      <c r="CH7" s="11">
        <f>IF(預測IC!CH16&gt;預測IC!CH$27,1,0)</f>
        <v>0</v>
      </c>
      <c r="CI7" s="11">
        <f>IF(預測IC!CI16&gt;預測IC!CI$27,1,0)</f>
        <v>1</v>
      </c>
      <c r="CJ7" s="11">
        <f>IF(預測IC!CJ16&gt;預測IC!CJ$27,1,0)</f>
        <v>0</v>
      </c>
      <c r="CK7" s="11">
        <f>IF(預測IC!CK16&gt;預測IC!CK$27,1,0)</f>
        <v>0</v>
      </c>
      <c r="CL7" s="11">
        <f>IF(預測IC!CL16&gt;預測IC!CL$27,1,0)</f>
        <v>0</v>
      </c>
      <c r="CM7" s="11">
        <f>IF(預測IC!CM16&gt;預測IC!CM$27,1,0)</f>
        <v>0</v>
      </c>
      <c r="CN7" s="11">
        <f>IF(預測IC!CN16&gt;預測IC!CN$27,1,0)</f>
        <v>1</v>
      </c>
      <c r="CO7" s="11">
        <f>IF(預測IC!CO16&gt;預測IC!CO$27,1,0)</f>
        <v>1</v>
      </c>
      <c r="CP7" s="11">
        <f>IF(預測IC!CP16&gt;預測IC!CP$27,1,0)</f>
        <v>0</v>
      </c>
      <c r="CQ7" s="11">
        <f>IF(預測IC!CQ16&gt;預測IC!CQ$27,1,0)</f>
        <v>0</v>
      </c>
      <c r="CR7" s="11">
        <f>IF(預測IC!CR16&gt;預測IC!CR$27,1,0)</f>
        <v>0</v>
      </c>
      <c r="CS7" s="11">
        <f>IF(預測IC!CS16&gt;預測IC!CS$27,1,0)</f>
        <v>1</v>
      </c>
      <c r="CT7" s="11">
        <f>IF(預測IC!CT16&gt;預測IC!CT$27,1,0)</f>
        <v>0</v>
      </c>
      <c r="CU7" s="11">
        <f>IF(預測IC!CU16&gt;預測IC!CU$27,1,0)</f>
        <v>1</v>
      </c>
      <c r="CV7" s="11">
        <f>IF(預測IC!CV16&gt;預測IC!CV$27,1,0)</f>
        <v>1</v>
      </c>
      <c r="CW7" s="11">
        <f>IF(預測IC!CW16&gt;預測IC!CW$27,1,0)</f>
        <v>0</v>
      </c>
      <c r="CX7" s="11">
        <f>IF(預測IC!CX16&gt;預測IC!CX$27,1,0)</f>
        <v>1</v>
      </c>
      <c r="CY7" s="11">
        <f>IF(預測IC!CY16&gt;預測IC!CY$27,1,0)</f>
        <v>1</v>
      </c>
      <c r="CZ7" s="11">
        <f>IF(預測IC!CZ16&gt;預測IC!CZ$27,1,0)</f>
        <v>1</v>
      </c>
      <c r="DA7" s="11">
        <f>IF(預測IC!DA16&gt;預測IC!DA$27,1,0)</f>
        <v>1</v>
      </c>
      <c r="DB7" s="11">
        <f>IF(預測IC!DB16&gt;預測IC!DB$27,1,0)</f>
        <v>0</v>
      </c>
      <c r="DC7" s="11">
        <f>IF(預測IC!DC16&gt;預測IC!DC$27,1,0)</f>
        <v>1</v>
      </c>
      <c r="DD7" s="11">
        <f>IF(預測IC!DD16&gt;預測IC!DD$27,1,0)</f>
        <v>0</v>
      </c>
      <c r="DE7" s="11">
        <f>IF(預測IC!DE16&gt;預測IC!DE$27,1,0)</f>
        <v>0</v>
      </c>
      <c r="DF7" s="11">
        <f>IF(預測IC!DF16&gt;預測IC!DF$27,1,0)</f>
        <v>0</v>
      </c>
      <c r="DG7" s="11">
        <f>IF(預測IC!DG16&gt;預測IC!DG$27,1,0)</f>
        <v>0</v>
      </c>
      <c r="DH7" s="11">
        <f>IF(預測IC!DH16&gt;預測IC!DH$27,1,0)</f>
        <v>0</v>
      </c>
      <c r="DI7" s="11">
        <f>IF(預測IC!DI16&gt;預測IC!DI$27,1,0)</f>
        <v>0</v>
      </c>
      <c r="DJ7" s="11">
        <f>IF(預測IC!DJ16&gt;預測IC!DJ$27,1,0)</f>
        <v>1</v>
      </c>
      <c r="DK7" s="11">
        <f>IF(預測IC!DK16&gt;預測IC!DK$27,1,0)</f>
        <v>0</v>
      </c>
      <c r="DL7" s="11">
        <f>IF(預測IC!DL16&gt;預測IC!DL$27,1,0)</f>
        <v>0</v>
      </c>
      <c r="DM7" s="11">
        <f>IF(預測IC!DM16&gt;預測IC!DM$27,1,0)</f>
        <v>0</v>
      </c>
      <c r="DN7" s="11">
        <f>IF(預測IC!DN16&gt;預測IC!DN$27,1,0)</f>
        <v>1</v>
      </c>
      <c r="DO7" s="11">
        <f>IF(預測IC!DO16&gt;預測IC!DO$27,1,0)</f>
        <v>0</v>
      </c>
      <c r="DP7" s="11">
        <f>IF(預測IC!DP16&gt;預測IC!DP$27,1,0)</f>
        <v>1</v>
      </c>
      <c r="DQ7" s="11">
        <f>IF(預測IC!DQ16&gt;預測IC!DQ$27,1,0)</f>
        <v>0</v>
      </c>
      <c r="DR7" s="11">
        <f>IF(預測IC!DR16&gt;預測IC!DR$27,1,0)</f>
        <v>0</v>
      </c>
      <c r="DS7" s="11">
        <f>IF(預測IC!DS16&gt;預測IC!DS$27,1,0)</f>
        <v>1</v>
      </c>
      <c r="DT7" s="11">
        <f>IF(預測IC!DT16&gt;預測IC!DT$27,1,0)</f>
        <v>0</v>
      </c>
      <c r="DU7" s="11">
        <f>IF(預測IC!DU16&gt;預測IC!DU$27,1,0)</f>
        <v>0</v>
      </c>
      <c r="DV7" s="11">
        <f>IF(預測IC!DV16&gt;預測IC!DV$27,1,0)</f>
        <v>1</v>
      </c>
      <c r="DW7" s="11">
        <f>IF(預測IC!DW16&gt;預測IC!DW$27,1,0)</f>
        <v>1</v>
      </c>
      <c r="DX7" s="11">
        <f>IF(預測IC!DX16&gt;預測IC!DX$27,1,0)</f>
        <v>0</v>
      </c>
      <c r="DY7" s="11">
        <f>IF(預測IC!DY16&gt;預測IC!DY$27,1,0)</f>
        <v>1</v>
      </c>
      <c r="DZ7" s="11">
        <f>IF(預測IC!DZ16&gt;預測IC!DZ$27,1,0)</f>
        <v>0</v>
      </c>
      <c r="EA7" s="11">
        <f>IF(預測IC!EA16&gt;預測IC!EA$27,1,0)</f>
        <v>0</v>
      </c>
      <c r="EB7" s="11">
        <f>IF(預測IC!EB16&gt;預測IC!EB$27,1,0)</f>
        <v>0</v>
      </c>
      <c r="EC7" s="11">
        <f>IF(預測IC!EC16&gt;預測IC!EC$27,1,0)</f>
        <v>1</v>
      </c>
      <c r="ED7" s="11">
        <f>IF(預測IC!ED16&gt;預測IC!ED$27,1,0)</f>
        <v>0</v>
      </c>
      <c r="EE7" s="11">
        <f>IF(預測IC!EE16&gt;預測IC!EE$27,1,0)</f>
        <v>0</v>
      </c>
      <c r="EF7" s="11">
        <f>IF(預測IC!EF16&gt;預測IC!EF$27,1,0)</f>
        <v>1</v>
      </c>
      <c r="EG7" s="1">
        <f t="shared" si="0"/>
        <v>54</v>
      </c>
      <c r="EH7" s="2">
        <f t="shared" si="1"/>
        <v>0.40298507462686567</v>
      </c>
    </row>
    <row r="8" spans="1:138" s="3" customFormat="1" ht="16" customHeight="1">
      <c r="A8" s="6">
        <v>100</v>
      </c>
      <c r="B8" s="6">
        <v>10</v>
      </c>
      <c r="C8" s="11">
        <f>IF(預測IC!C17&gt;預測IC!C$27,1,0)</f>
        <v>1</v>
      </c>
      <c r="D8" s="11">
        <f>IF(預測IC!D17&gt;預測IC!D$27,1,0)</f>
        <v>0</v>
      </c>
      <c r="E8" s="11">
        <f>IF(預測IC!E17&gt;預測IC!E$27,1,0)</f>
        <v>0</v>
      </c>
      <c r="F8" s="11">
        <f>IF(預測IC!F17&gt;預測IC!F$27,1,0)</f>
        <v>1</v>
      </c>
      <c r="G8" s="11">
        <f>IF(預測IC!G17&gt;預測IC!G$27,1,0)</f>
        <v>1</v>
      </c>
      <c r="H8" s="11">
        <f>IF(預測IC!H17&gt;預測IC!H$27,1,0)</f>
        <v>0</v>
      </c>
      <c r="I8" s="11">
        <f>IF(預測IC!I17&gt;預測IC!I$27,1,0)</f>
        <v>1</v>
      </c>
      <c r="J8" s="11">
        <f>IF(預測IC!J17&gt;預測IC!J$27,1,0)</f>
        <v>1</v>
      </c>
      <c r="K8" s="11">
        <f>IF(預測IC!K17&gt;預測IC!K$27,1,0)</f>
        <v>1</v>
      </c>
      <c r="L8" s="11">
        <f>IF(預測IC!L17&gt;預測IC!L$27,1,0)</f>
        <v>1</v>
      </c>
      <c r="M8" s="11">
        <f>IF(預測IC!M17&gt;預測IC!M$27,1,0)</f>
        <v>0</v>
      </c>
      <c r="N8" s="11">
        <f>IF(預測IC!N17&gt;預測IC!N$27,1,0)</f>
        <v>0</v>
      </c>
      <c r="O8" s="11">
        <f>IF(預測IC!O17&gt;預測IC!O$27,1,0)</f>
        <v>1</v>
      </c>
      <c r="P8" s="11">
        <f>IF(預測IC!P17&gt;預測IC!P$27,1,0)</f>
        <v>0</v>
      </c>
      <c r="Q8" s="11">
        <f>IF(預測IC!Q17&gt;預測IC!Q$27,1,0)</f>
        <v>1</v>
      </c>
      <c r="R8" s="11">
        <f>IF(預測IC!R17&gt;預測IC!R$27,1,0)</f>
        <v>1</v>
      </c>
      <c r="S8" s="11">
        <f>IF(預測IC!S17&gt;預測IC!S$27,1,0)</f>
        <v>1</v>
      </c>
      <c r="T8" s="11">
        <f>IF(預測IC!T17&gt;預測IC!T$27,1,0)</f>
        <v>1</v>
      </c>
      <c r="U8" s="11">
        <f>IF(預測IC!U17&gt;預測IC!U$27,1,0)</f>
        <v>1</v>
      </c>
      <c r="V8" s="11">
        <f>IF(預測IC!V17&gt;預測IC!V$27,1,0)</f>
        <v>1</v>
      </c>
      <c r="W8" s="11">
        <f>IF(預測IC!W17&gt;預測IC!W$27,1,0)</f>
        <v>1</v>
      </c>
      <c r="X8" s="11">
        <f>IF(預測IC!X17&gt;預測IC!X$27,1,0)</f>
        <v>0</v>
      </c>
      <c r="Y8" s="11">
        <f>IF(預測IC!Y17&gt;預測IC!Y$27,1,0)</f>
        <v>0</v>
      </c>
      <c r="Z8" s="11">
        <f>IF(預測IC!Z17&gt;預測IC!Z$27,1,0)</f>
        <v>1</v>
      </c>
      <c r="AA8" s="11">
        <f>IF(預測IC!AA17&gt;預測IC!AA$27,1,0)</f>
        <v>0</v>
      </c>
      <c r="AB8" s="11">
        <f>IF(預測IC!AB17&gt;預測IC!AB$27,1,0)</f>
        <v>0</v>
      </c>
      <c r="AC8" s="11">
        <f>IF(預測IC!AC17&gt;預測IC!AC$27,1,0)</f>
        <v>1</v>
      </c>
      <c r="AD8" s="11">
        <f>IF(預測IC!AD17&gt;預測IC!AD$27,1,0)</f>
        <v>1</v>
      </c>
      <c r="AE8" s="11">
        <f>IF(預測IC!AE17&gt;預測IC!AE$27,1,0)</f>
        <v>0</v>
      </c>
      <c r="AF8" s="11">
        <f>IF(預測IC!AF17&gt;預測IC!AF$27,1,0)</f>
        <v>1</v>
      </c>
      <c r="AG8" s="11">
        <f>IF(預測IC!AG17&gt;預測IC!AG$27,1,0)</f>
        <v>0</v>
      </c>
      <c r="AH8" s="11">
        <f>IF(預測IC!AH17&gt;預測IC!AH$27,1,0)</f>
        <v>0</v>
      </c>
      <c r="AI8" s="11">
        <f>IF(預測IC!AI17&gt;預測IC!AI$27,1,0)</f>
        <v>1</v>
      </c>
      <c r="AJ8" s="11">
        <f>IF(預測IC!AJ17&gt;預測IC!AJ$27,1,0)</f>
        <v>1</v>
      </c>
      <c r="AK8" s="11">
        <f>IF(預測IC!AK17&gt;預測IC!AK$27,1,0)</f>
        <v>0</v>
      </c>
      <c r="AL8" s="11">
        <f>IF(預測IC!AL17&gt;預測IC!AL$27,1,0)</f>
        <v>0</v>
      </c>
      <c r="AM8" s="11">
        <f>IF(預測IC!AM17&gt;預測IC!AM$27,1,0)</f>
        <v>0</v>
      </c>
      <c r="AN8" s="11">
        <f>IF(預測IC!AN17&gt;預測IC!AN$27,1,0)</f>
        <v>1</v>
      </c>
      <c r="AO8" s="11">
        <f>IF(預測IC!AO17&gt;預測IC!AO$27,1,0)</f>
        <v>0</v>
      </c>
      <c r="AP8" s="11">
        <f>IF(預測IC!AP17&gt;預測IC!AP$27,1,0)</f>
        <v>0</v>
      </c>
      <c r="AQ8" s="11">
        <f>IF(預測IC!AQ17&gt;預測IC!AQ$27,1,0)</f>
        <v>0</v>
      </c>
      <c r="AR8" s="11">
        <f>IF(預測IC!AR17&gt;預測IC!AR$27,1,0)</f>
        <v>0</v>
      </c>
      <c r="AS8" s="11">
        <f>IF(預測IC!AS17&gt;預測IC!AS$27,1,0)</f>
        <v>1</v>
      </c>
      <c r="AT8" s="11">
        <f>IF(預測IC!AT17&gt;預測IC!AT$27,1,0)</f>
        <v>0</v>
      </c>
      <c r="AU8" s="11">
        <f>IF(預測IC!AU17&gt;預測IC!AU$27,1,0)</f>
        <v>1</v>
      </c>
      <c r="AV8" s="11">
        <f>IF(預測IC!AV17&gt;預測IC!AV$27,1,0)</f>
        <v>0</v>
      </c>
      <c r="AW8" s="11">
        <f>IF(預測IC!AW17&gt;預測IC!AW$27,1,0)</f>
        <v>1</v>
      </c>
      <c r="AX8" s="11">
        <f>IF(預測IC!AX17&gt;預測IC!AX$27,1,0)</f>
        <v>0</v>
      </c>
      <c r="AY8" s="11">
        <f>IF(預測IC!AY17&gt;預測IC!AY$27,1,0)</f>
        <v>1</v>
      </c>
      <c r="AZ8" s="11">
        <f>IF(預測IC!AZ17&gt;預測IC!AZ$27,1,0)</f>
        <v>1</v>
      </c>
      <c r="BA8" s="11">
        <f>IF(預測IC!BA17&gt;預測IC!BA$27,1,0)</f>
        <v>0</v>
      </c>
      <c r="BB8" s="11">
        <f>IF(預測IC!BB17&gt;預測IC!BB$27,1,0)</f>
        <v>0</v>
      </c>
      <c r="BC8" s="11">
        <f>IF(預測IC!BC17&gt;預測IC!BC$27,1,0)</f>
        <v>0</v>
      </c>
      <c r="BD8" s="11">
        <f>IF(預測IC!BD17&gt;預測IC!BD$27,1,0)</f>
        <v>1</v>
      </c>
      <c r="BE8" s="11">
        <f>IF(預測IC!BE17&gt;預測IC!BE$27,1,0)</f>
        <v>0</v>
      </c>
      <c r="BF8" s="11">
        <f>IF(預測IC!BF17&gt;預測IC!BF$27,1,0)</f>
        <v>0</v>
      </c>
      <c r="BG8" s="11">
        <f>IF(預測IC!BG17&gt;預測IC!BG$27,1,0)</f>
        <v>1</v>
      </c>
      <c r="BH8" s="11">
        <f>IF(預測IC!BH17&gt;預測IC!BH$27,1,0)</f>
        <v>1</v>
      </c>
      <c r="BI8" s="11">
        <f>IF(預測IC!BI17&gt;預測IC!BI$27,1,0)</f>
        <v>0</v>
      </c>
      <c r="BJ8" s="11">
        <f>IF(預測IC!BJ17&gt;預測IC!BJ$27,1,0)</f>
        <v>0</v>
      </c>
      <c r="BK8" s="11">
        <f>IF(預測IC!BK17&gt;預測IC!BK$27,1,0)</f>
        <v>0</v>
      </c>
      <c r="BL8" s="11">
        <f>IF(預測IC!BL17&gt;預測IC!BL$27,1,0)</f>
        <v>0</v>
      </c>
      <c r="BM8" s="11">
        <f>IF(預測IC!BM17&gt;預測IC!BM$27,1,0)</f>
        <v>0</v>
      </c>
      <c r="BN8" s="11">
        <f>IF(預測IC!BN17&gt;預測IC!BN$27,1,0)</f>
        <v>0</v>
      </c>
      <c r="BO8" s="11">
        <f>IF(預測IC!BO17&gt;預測IC!BO$27,1,0)</f>
        <v>0</v>
      </c>
      <c r="BP8" s="11">
        <f>IF(預測IC!BP17&gt;預測IC!BP$27,1,0)</f>
        <v>1</v>
      </c>
      <c r="BQ8" s="11">
        <f>IF(預測IC!BQ17&gt;預測IC!BQ$27,1,0)</f>
        <v>1</v>
      </c>
      <c r="BR8" s="11">
        <f>IF(預測IC!BR17&gt;預測IC!BR$27,1,0)</f>
        <v>1</v>
      </c>
      <c r="BS8" s="11">
        <f>IF(預測IC!BS17&gt;預測IC!BS$27,1,0)</f>
        <v>0</v>
      </c>
      <c r="BT8" s="11">
        <f>IF(預測IC!BT17&gt;預測IC!BT$27,1,0)</f>
        <v>0</v>
      </c>
      <c r="BU8" s="11">
        <f>IF(預測IC!BU17&gt;預測IC!BU$27,1,0)</f>
        <v>1</v>
      </c>
      <c r="BV8" s="11">
        <f>IF(預測IC!BV17&gt;預測IC!BV$27,1,0)</f>
        <v>0</v>
      </c>
      <c r="BW8" s="11">
        <f>IF(預測IC!BW17&gt;預測IC!BW$27,1,0)</f>
        <v>1</v>
      </c>
      <c r="BX8" s="11">
        <f>IF(預測IC!BX17&gt;預測IC!BX$27,1,0)</f>
        <v>1</v>
      </c>
      <c r="BY8" s="11">
        <f>IF(預測IC!BY17&gt;預測IC!BY$27,1,0)</f>
        <v>1</v>
      </c>
      <c r="BZ8" s="11">
        <f>IF(預測IC!BZ17&gt;預測IC!BZ$27,1,0)</f>
        <v>0</v>
      </c>
      <c r="CA8" s="11">
        <f>IF(預測IC!CA17&gt;預測IC!CA$27,1,0)</f>
        <v>0</v>
      </c>
      <c r="CB8" s="11">
        <f>IF(預測IC!CB17&gt;預測IC!CB$27,1,0)</f>
        <v>0</v>
      </c>
      <c r="CC8" s="11">
        <f>IF(預測IC!CC17&gt;預測IC!CC$27,1,0)</f>
        <v>0</v>
      </c>
      <c r="CD8" s="11">
        <f>IF(預測IC!CD17&gt;預測IC!CD$27,1,0)</f>
        <v>0</v>
      </c>
      <c r="CE8" s="11">
        <f>IF(預測IC!CE17&gt;預測IC!CE$27,1,0)</f>
        <v>1</v>
      </c>
      <c r="CF8" s="11">
        <f>IF(預測IC!CF17&gt;預測IC!CF$27,1,0)</f>
        <v>0</v>
      </c>
      <c r="CG8" s="11">
        <f>IF(預測IC!CG17&gt;預測IC!CG$27,1,0)</f>
        <v>0</v>
      </c>
      <c r="CH8" s="11">
        <f>IF(預測IC!CH17&gt;預測IC!CH$27,1,0)</f>
        <v>0</v>
      </c>
      <c r="CI8" s="11">
        <f>IF(預測IC!CI17&gt;預測IC!CI$27,1,0)</f>
        <v>1</v>
      </c>
      <c r="CJ8" s="11">
        <f>IF(預測IC!CJ17&gt;預測IC!CJ$27,1,0)</f>
        <v>0</v>
      </c>
      <c r="CK8" s="11">
        <f>IF(預測IC!CK17&gt;預測IC!CK$27,1,0)</f>
        <v>1</v>
      </c>
      <c r="CL8" s="11">
        <f>IF(預測IC!CL17&gt;預測IC!CL$27,1,0)</f>
        <v>0</v>
      </c>
      <c r="CM8" s="11">
        <f>IF(預測IC!CM17&gt;預測IC!CM$27,1,0)</f>
        <v>0</v>
      </c>
      <c r="CN8" s="11">
        <f>IF(預測IC!CN17&gt;預測IC!CN$27,1,0)</f>
        <v>1</v>
      </c>
      <c r="CO8" s="11">
        <f>IF(預測IC!CO17&gt;預測IC!CO$27,1,0)</f>
        <v>1</v>
      </c>
      <c r="CP8" s="11">
        <f>IF(預測IC!CP17&gt;預測IC!CP$27,1,0)</f>
        <v>1</v>
      </c>
      <c r="CQ8" s="11">
        <f>IF(預測IC!CQ17&gt;預測IC!CQ$27,1,0)</f>
        <v>1</v>
      </c>
      <c r="CR8" s="11">
        <f>IF(預測IC!CR17&gt;預測IC!CR$27,1,0)</f>
        <v>0</v>
      </c>
      <c r="CS8" s="11">
        <f>IF(預測IC!CS17&gt;預測IC!CS$27,1,0)</f>
        <v>1</v>
      </c>
      <c r="CT8" s="11">
        <f>IF(預測IC!CT17&gt;預測IC!CT$27,1,0)</f>
        <v>0</v>
      </c>
      <c r="CU8" s="11">
        <f>IF(預測IC!CU17&gt;預測IC!CU$27,1,0)</f>
        <v>1</v>
      </c>
      <c r="CV8" s="11">
        <f>IF(預測IC!CV17&gt;預測IC!CV$27,1,0)</f>
        <v>1</v>
      </c>
      <c r="CW8" s="11">
        <f>IF(預測IC!CW17&gt;預測IC!CW$27,1,0)</f>
        <v>0</v>
      </c>
      <c r="CX8" s="11">
        <f>IF(預測IC!CX17&gt;預測IC!CX$27,1,0)</f>
        <v>1</v>
      </c>
      <c r="CY8" s="11">
        <f>IF(預測IC!CY17&gt;預測IC!CY$27,1,0)</f>
        <v>0</v>
      </c>
      <c r="CZ8" s="11">
        <f>IF(預測IC!CZ17&gt;預測IC!CZ$27,1,0)</f>
        <v>1</v>
      </c>
      <c r="DA8" s="11">
        <f>IF(預測IC!DA17&gt;預測IC!DA$27,1,0)</f>
        <v>1</v>
      </c>
      <c r="DB8" s="11">
        <f>IF(預測IC!DB17&gt;預測IC!DB$27,1,0)</f>
        <v>0</v>
      </c>
      <c r="DC8" s="11">
        <f>IF(預測IC!DC17&gt;預測IC!DC$27,1,0)</f>
        <v>1</v>
      </c>
      <c r="DD8" s="11">
        <f>IF(預測IC!DD17&gt;預測IC!DD$27,1,0)</f>
        <v>1</v>
      </c>
      <c r="DE8" s="11">
        <f>IF(預測IC!DE17&gt;預測IC!DE$27,1,0)</f>
        <v>0</v>
      </c>
      <c r="DF8" s="11">
        <f>IF(預測IC!DF17&gt;預測IC!DF$27,1,0)</f>
        <v>0</v>
      </c>
      <c r="DG8" s="11">
        <f>IF(預測IC!DG17&gt;預測IC!DG$27,1,0)</f>
        <v>0</v>
      </c>
      <c r="DH8" s="11">
        <f>IF(預測IC!DH17&gt;預測IC!DH$27,1,0)</f>
        <v>0</v>
      </c>
      <c r="DI8" s="11">
        <f>IF(預測IC!DI17&gt;預測IC!DI$27,1,0)</f>
        <v>0</v>
      </c>
      <c r="DJ8" s="11">
        <f>IF(預測IC!DJ17&gt;預測IC!DJ$27,1,0)</f>
        <v>1</v>
      </c>
      <c r="DK8" s="11">
        <f>IF(預測IC!DK17&gt;預測IC!DK$27,1,0)</f>
        <v>0</v>
      </c>
      <c r="DL8" s="11">
        <f>IF(預測IC!DL17&gt;預測IC!DL$27,1,0)</f>
        <v>0</v>
      </c>
      <c r="DM8" s="11">
        <f>IF(預測IC!DM17&gt;預測IC!DM$27,1,0)</f>
        <v>0</v>
      </c>
      <c r="DN8" s="11">
        <f>IF(預測IC!DN17&gt;預測IC!DN$27,1,0)</f>
        <v>1</v>
      </c>
      <c r="DO8" s="11">
        <f>IF(預測IC!DO17&gt;預測IC!DO$27,1,0)</f>
        <v>0</v>
      </c>
      <c r="DP8" s="11">
        <f>IF(預測IC!DP17&gt;預測IC!DP$27,1,0)</f>
        <v>1</v>
      </c>
      <c r="DQ8" s="11">
        <f>IF(預測IC!DQ17&gt;預測IC!DQ$27,1,0)</f>
        <v>0</v>
      </c>
      <c r="DR8" s="11">
        <f>IF(預測IC!DR17&gt;預測IC!DR$27,1,0)</f>
        <v>0</v>
      </c>
      <c r="DS8" s="11">
        <f>IF(預測IC!DS17&gt;預測IC!DS$27,1,0)</f>
        <v>1</v>
      </c>
      <c r="DT8" s="11">
        <f>IF(預測IC!DT17&gt;預測IC!DT$27,1,0)</f>
        <v>0</v>
      </c>
      <c r="DU8" s="11">
        <f>IF(預測IC!DU17&gt;預測IC!DU$27,1,0)</f>
        <v>0</v>
      </c>
      <c r="DV8" s="11">
        <f>IF(預測IC!DV17&gt;預測IC!DV$27,1,0)</f>
        <v>1</v>
      </c>
      <c r="DW8" s="11">
        <f>IF(預測IC!DW17&gt;預測IC!DW$27,1,0)</f>
        <v>0</v>
      </c>
      <c r="DX8" s="11">
        <f>IF(預測IC!DX17&gt;預測IC!DX$27,1,0)</f>
        <v>0</v>
      </c>
      <c r="DY8" s="11">
        <f>IF(預測IC!DY17&gt;預測IC!DY$27,1,0)</f>
        <v>1</v>
      </c>
      <c r="DZ8" s="11">
        <f>IF(預測IC!DZ17&gt;預測IC!DZ$27,1,0)</f>
        <v>0</v>
      </c>
      <c r="EA8" s="11">
        <f>IF(預測IC!EA17&gt;預測IC!EA$27,1,0)</f>
        <v>0</v>
      </c>
      <c r="EB8" s="11">
        <f>IF(預測IC!EB17&gt;預測IC!EB$27,1,0)</f>
        <v>0</v>
      </c>
      <c r="EC8" s="11">
        <f>IF(預測IC!EC17&gt;預測IC!EC$27,1,0)</f>
        <v>0</v>
      </c>
      <c r="ED8" s="11">
        <f>IF(預測IC!ED17&gt;預測IC!ED$27,1,0)</f>
        <v>0</v>
      </c>
      <c r="EE8" s="11">
        <f>IF(預測IC!EE17&gt;預測IC!EE$27,1,0)</f>
        <v>0</v>
      </c>
      <c r="EF8" s="11">
        <f>IF(預測IC!EF17&gt;預測IC!EF$27,1,0)</f>
        <v>1</v>
      </c>
      <c r="EG8" s="1">
        <f t="shared" si="0"/>
        <v>59</v>
      </c>
      <c r="EH8" s="2">
        <f t="shared" si="1"/>
        <v>0.44029850746268656</v>
      </c>
    </row>
    <row r="9" spans="1:138" s="3" customFormat="1" ht="16" customHeight="1">
      <c r="A9" s="6">
        <v>107</v>
      </c>
      <c r="B9" s="6">
        <v>9</v>
      </c>
      <c r="C9" s="11">
        <f>IF(預測IC!C18&gt;預測IC!C$27,1,0)</f>
        <v>1</v>
      </c>
      <c r="D9" s="11">
        <f>IF(預測IC!D18&gt;預測IC!D$27,1,0)</f>
        <v>0</v>
      </c>
      <c r="E9" s="11">
        <f>IF(預測IC!E18&gt;預測IC!E$27,1,0)</f>
        <v>0</v>
      </c>
      <c r="F9" s="11">
        <f>IF(預測IC!F18&gt;預測IC!F$27,1,0)</f>
        <v>1</v>
      </c>
      <c r="G9" s="11">
        <f>IF(預測IC!G18&gt;預測IC!G$27,1,0)</f>
        <v>1</v>
      </c>
      <c r="H9" s="11">
        <f>IF(預測IC!H18&gt;預測IC!H$27,1,0)</f>
        <v>0</v>
      </c>
      <c r="I9" s="11">
        <f>IF(預測IC!I18&gt;預測IC!I$27,1,0)</f>
        <v>1</v>
      </c>
      <c r="J9" s="11">
        <f>IF(預測IC!J18&gt;預測IC!J$27,1,0)</f>
        <v>1</v>
      </c>
      <c r="K9" s="11">
        <f>IF(預測IC!K18&gt;預測IC!K$27,1,0)</f>
        <v>1</v>
      </c>
      <c r="L9" s="11">
        <f>IF(預測IC!L18&gt;預測IC!L$27,1,0)</f>
        <v>0</v>
      </c>
      <c r="M9" s="11">
        <f>IF(預測IC!M18&gt;預測IC!M$27,1,0)</f>
        <v>0</v>
      </c>
      <c r="N9" s="11">
        <f>IF(預測IC!N18&gt;預測IC!N$27,1,0)</f>
        <v>0</v>
      </c>
      <c r="O9" s="11">
        <f>IF(預測IC!O18&gt;預測IC!O$27,1,0)</f>
        <v>1</v>
      </c>
      <c r="P9" s="11">
        <f>IF(預測IC!P18&gt;預測IC!P$27,1,0)</f>
        <v>0</v>
      </c>
      <c r="Q9" s="11">
        <f>IF(預測IC!Q18&gt;預測IC!Q$27,1,0)</f>
        <v>1</v>
      </c>
      <c r="R9" s="11">
        <f>IF(預測IC!R18&gt;預測IC!R$27,1,0)</f>
        <v>1</v>
      </c>
      <c r="S9" s="11">
        <f>IF(預測IC!S18&gt;預測IC!S$27,1,0)</f>
        <v>1</v>
      </c>
      <c r="T9" s="11">
        <f>IF(預測IC!T18&gt;預測IC!T$27,1,0)</f>
        <v>1</v>
      </c>
      <c r="U9" s="11">
        <f>IF(預測IC!U18&gt;預測IC!U$27,1,0)</f>
        <v>1</v>
      </c>
      <c r="V9" s="11">
        <f>IF(預測IC!V18&gt;預測IC!V$27,1,0)</f>
        <v>1</v>
      </c>
      <c r="W9" s="11">
        <f>IF(預測IC!W18&gt;預測IC!W$27,1,0)</f>
        <v>1</v>
      </c>
      <c r="X9" s="11">
        <f>IF(預測IC!X18&gt;預測IC!X$27,1,0)</f>
        <v>0</v>
      </c>
      <c r="Y9" s="11">
        <f>IF(預測IC!Y18&gt;預測IC!Y$27,1,0)</f>
        <v>0</v>
      </c>
      <c r="Z9" s="11">
        <f>IF(預測IC!Z18&gt;預測IC!Z$27,1,0)</f>
        <v>1</v>
      </c>
      <c r="AA9" s="11">
        <f>IF(預測IC!AA18&gt;預測IC!AA$27,1,0)</f>
        <v>0</v>
      </c>
      <c r="AB9" s="11">
        <f>IF(預測IC!AB18&gt;預測IC!AB$27,1,0)</f>
        <v>0</v>
      </c>
      <c r="AC9" s="11">
        <f>IF(預測IC!AC18&gt;預測IC!AC$27,1,0)</f>
        <v>1</v>
      </c>
      <c r="AD9" s="11">
        <f>IF(預測IC!AD18&gt;預測IC!AD$27,1,0)</f>
        <v>1</v>
      </c>
      <c r="AE9" s="11">
        <f>IF(預測IC!AE18&gt;預測IC!AE$27,1,0)</f>
        <v>0</v>
      </c>
      <c r="AF9" s="11">
        <f>IF(預測IC!AF18&gt;預測IC!AF$27,1,0)</f>
        <v>1</v>
      </c>
      <c r="AG9" s="11">
        <f>IF(預測IC!AG18&gt;預測IC!AG$27,1,0)</f>
        <v>0</v>
      </c>
      <c r="AH9" s="11">
        <f>IF(預測IC!AH18&gt;預測IC!AH$27,1,0)</f>
        <v>0</v>
      </c>
      <c r="AI9" s="11">
        <f>IF(預測IC!AI18&gt;預測IC!AI$27,1,0)</f>
        <v>1</v>
      </c>
      <c r="AJ9" s="11">
        <f>IF(預測IC!AJ18&gt;預測IC!AJ$27,1,0)</f>
        <v>1</v>
      </c>
      <c r="AK9" s="11">
        <f>IF(預測IC!AK18&gt;預測IC!AK$27,1,0)</f>
        <v>0</v>
      </c>
      <c r="AL9" s="11">
        <f>IF(預測IC!AL18&gt;預測IC!AL$27,1,0)</f>
        <v>0</v>
      </c>
      <c r="AM9" s="11">
        <f>IF(預測IC!AM18&gt;預測IC!AM$27,1,0)</f>
        <v>0</v>
      </c>
      <c r="AN9" s="11">
        <f>IF(預測IC!AN18&gt;預測IC!AN$27,1,0)</f>
        <v>1</v>
      </c>
      <c r="AO9" s="11">
        <f>IF(預測IC!AO18&gt;預測IC!AO$27,1,0)</f>
        <v>0</v>
      </c>
      <c r="AP9" s="11">
        <f>IF(預測IC!AP18&gt;預測IC!AP$27,1,0)</f>
        <v>0</v>
      </c>
      <c r="AQ9" s="11">
        <f>IF(預測IC!AQ18&gt;預測IC!AQ$27,1,0)</f>
        <v>0</v>
      </c>
      <c r="AR9" s="11">
        <f>IF(預測IC!AR18&gt;預測IC!AR$27,1,0)</f>
        <v>1</v>
      </c>
      <c r="AS9" s="11">
        <f>IF(預測IC!AS18&gt;預測IC!AS$27,1,0)</f>
        <v>0</v>
      </c>
      <c r="AT9" s="11">
        <f>IF(預測IC!AT18&gt;預測IC!AT$27,1,0)</f>
        <v>0</v>
      </c>
      <c r="AU9" s="11">
        <f>IF(預測IC!AU18&gt;預測IC!AU$27,1,0)</f>
        <v>1</v>
      </c>
      <c r="AV9" s="11">
        <f>IF(預測IC!AV18&gt;預測IC!AV$27,1,0)</f>
        <v>0</v>
      </c>
      <c r="AW9" s="11">
        <f>IF(預測IC!AW18&gt;預測IC!AW$27,1,0)</f>
        <v>1</v>
      </c>
      <c r="AX9" s="11">
        <f>IF(預測IC!AX18&gt;預測IC!AX$27,1,0)</f>
        <v>0</v>
      </c>
      <c r="AY9" s="11">
        <f>IF(預測IC!AY18&gt;預測IC!AY$27,1,0)</f>
        <v>1</v>
      </c>
      <c r="AZ9" s="11">
        <f>IF(預測IC!AZ18&gt;預測IC!AZ$27,1,0)</f>
        <v>1</v>
      </c>
      <c r="BA9" s="11">
        <f>IF(預測IC!BA18&gt;預測IC!BA$27,1,0)</f>
        <v>1</v>
      </c>
      <c r="BB9" s="11">
        <f>IF(預測IC!BB18&gt;預測IC!BB$27,1,0)</f>
        <v>0</v>
      </c>
      <c r="BC9" s="11">
        <f>IF(預測IC!BC18&gt;預測IC!BC$27,1,0)</f>
        <v>0</v>
      </c>
      <c r="BD9" s="11">
        <f>IF(預測IC!BD18&gt;預測IC!BD$27,1,0)</f>
        <v>1</v>
      </c>
      <c r="BE9" s="11">
        <f>IF(預測IC!BE18&gt;預測IC!BE$27,1,0)</f>
        <v>0</v>
      </c>
      <c r="BF9" s="11">
        <f>IF(預測IC!BF18&gt;預測IC!BF$27,1,0)</f>
        <v>0</v>
      </c>
      <c r="BG9" s="11">
        <f>IF(預測IC!BG18&gt;預測IC!BG$27,1,0)</f>
        <v>1</v>
      </c>
      <c r="BH9" s="11">
        <f>IF(預測IC!BH18&gt;預測IC!BH$27,1,0)</f>
        <v>1</v>
      </c>
      <c r="BI9" s="11">
        <f>IF(預測IC!BI18&gt;預測IC!BI$27,1,0)</f>
        <v>0</v>
      </c>
      <c r="BJ9" s="11">
        <f>IF(預測IC!BJ18&gt;預測IC!BJ$27,1,0)</f>
        <v>0</v>
      </c>
      <c r="BK9" s="11">
        <f>IF(預測IC!BK18&gt;預測IC!BK$27,1,0)</f>
        <v>0</v>
      </c>
      <c r="BL9" s="11">
        <f>IF(預測IC!BL18&gt;預測IC!BL$27,1,0)</f>
        <v>0</v>
      </c>
      <c r="BM9" s="11">
        <f>IF(預測IC!BM18&gt;預測IC!BM$27,1,0)</f>
        <v>0</v>
      </c>
      <c r="BN9" s="11">
        <f>IF(預測IC!BN18&gt;預測IC!BN$27,1,0)</f>
        <v>0</v>
      </c>
      <c r="BO9" s="11">
        <f>IF(預測IC!BO18&gt;預測IC!BO$27,1,0)</f>
        <v>0</v>
      </c>
      <c r="BP9" s="11">
        <f>IF(預測IC!BP18&gt;預測IC!BP$27,1,0)</f>
        <v>1</v>
      </c>
      <c r="BQ9" s="11">
        <f>IF(預測IC!BQ18&gt;預測IC!BQ$27,1,0)</f>
        <v>1</v>
      </c>
      <c r="BR9" s="11">
        <f>IF(預測IC!BR18&gt;預測IC!BR$27,1,0)</f>
        <v>1</v>
      </c>
      <c r="BS9" s="11">
        <f>IF(預測IC!BS18&gt;預測IC!BS$27,1,0)</f>
        <v>0</v>
      </c>
      <c r="BT9" s="11">
        <f>IF(預測IC!BT18&gt;預測IC!BT$27,1,0)</f>
        <v>0</v>
      </c>
      <c r="BU9" s="11">
        <f>IF(預測IC!BU18&gt;預測IC!BU$27,1,0)</f>
        <v>1</v>
      </c>
      <c r="BV9" s="11">
        <f>IF(預測IC!BV18&gt;預測IC!BV$27,1,0)</f>
        <v>0</v>
      </c>
      <c r="BW9" s="11">
        <f>IF(預測IC!BW18&gt;預測IC!BW$27,1,0)</f>
        <v>1</v>
      </c>
      <c r="BX9" s="11">
        <f>IF(預測IC!BX18&gt;預測IC!BX$27,1,0)</f>
        <v>1</v>
      </c>
      <c r="BY9" s="11">
        <f>IF(預測IC!BY18&gt;預測IC!BY$27,1,0)</f>
        <v>1</v>
      </c>
      <c r="BZ9" s="11">
        <f>IF(預測IC!BZ18&gt;預測IC!BZ$27,1,0)</f>
        <v>0</v>
      </c>
      <c r="CA9" s="11">
        <f>IF(預測IC!CA18&gt;預測IC!CA$27,1,0)</f>
        <v>0</v>
      </c>
      <c r="CB9" s="11">
        <f>IF(預測IC!CB18&gt;預測IC!CB$27,1,0)</f>
        <v>0</v>
      </c>
      <c r="CC9" s="11">
        <f>IF(預測IC!CC18&gt;預測IC!CC$27,1,0)</f>
        <v>0</v>
      </c>
      <c r="CD9" s="11">
        <f>IF(預測IC!CD18&gt;預測IC!CD$27,1,0)</f>
        <v>0</v>
      </c>
      <c r="CE9" s="11">
        <f>IF(預測IC!CE18&gt;預測IC!CE$27,1,0)</f>
        <v>1</v>
      </c>
      <c r="CF9" s="11">
        <f>IF(預測IC!CF18&gt;預測IC!CF$27,1,0)</f>
        <v>0</v>
      </c>
      <c r="CG9" s="11">
        <f>IF(預測IC!CG18&gt;預測IC!CG$27,1,0)</f>
        <v>0</v>
      </c>
      <c r="CH9" s="11">
        <f>IF(預測IC!CH18&gt;預測IC!CH$27,1,0)</f>
        <v>0</v>
      </c>
      <c r="CI9" s="11">
        <f>IF(預測IC!CI18&gt;預測IC!CI$27,1,0)</f>
        <v>1</v>
      </c>
      <c r="CJ9" s="11">
        <f>IF(預測IC!CJ18&gt;預測IC!CJ$27,1,0)</f>
        <v>0</v>
      </c>
      <c r="CK9" s="11">
        <f>IF(預測IC!CK18&gt;預測IC!CK$27,1,0)</f>
        <v>1</v>
      </c>
      <c r="CL9" s="11">
        <f>IF(預測IC!CL18&gt;預測IC!CL$27,1,0)</f>
        <v>0</v>
      </c>
      <c r="CM9" s="11">
        <f>IF(預測IC!CM18&gt;預測IC!CM$27,1,0)</f>
        <v>0</v>
      </c>
      <c r="CN9" s="11">
        <f>IF(預測IC!CN18&gt;預測IC!CN$27,1,0)</f>
        <v>1</v>
      </c>
      <c r="CO9" s="11">
        <f>IF(預測IC!CO18&gt;預測IC!CO$27,1,0)</f>
        <v>1</v>
      </c>
      <c r="CP9" s="11">
        <f>IF(預測IC!CP18&gt;預測IC!CP$27,1,0)</f>
        <v>0</v>
      </c>
      <c r="CQ9" s="11">
        <f>IF(預測IC!CQ18&gt;預測IC!CQ$27,1,0)</f>
        <v>1</v>
      </c>
      <c r="CR9" s="11">
        <f>IF(預測IC!CR18&gt;預測IC!CR$27,1,0)</f>
        <v>0</v>
      </c>
      <c r="CS9" s="11">
        <f>IF(預測IC!CS18&gt;預測IC!CS$27,1,0)</f>
        <v>1</v>
      </c>
      <c r="CT9" s="11">
        <f>IF(預測IC!CT18&gt;預測IC!CT$27,1,0)</f>
        <v>0</v>
      </c>
      <c r="CU9" s="11">
        <f>IF(預測IC!CU18&gt;預測IC!CU$27,1,0)</f>
        <v>1</v>
      </c>
      <c r="CV9" s="11">
        <f>IF(預測IC!CV18&gt;預測IC!CV$27,1,0)</f>
        <v>1</v>
      </c>
      <c r="CW9" s="11">
        <f>IF(預測IC!CW18&gt;預測IC!CW$27,1,0)</f>
        <v>0</v>
      </c>
      <c r="CX9" s="11">
        <f>IF(預測IC!CX18&gt;預測IC!CX$27,1,0)</f>
        <v>1</v>
      </c>
      <c r="CY9" s="11">
        <f>IF(預測IC!CY18&gt;預測IC!CY$27,1,0)</f>
        <v>0</v>
      </c>
      <c r="CZ9" s="11">
        <f>IF(預測IC!CZ18&gt;預測IC!CZ$27,1,0)</f>
        <v>1</v>
      </c>
      <c r="DA9" s="11">
        <f>IF(預測IC!DA18&gt;預測IC!DA$27,1,0)</f>
        <v>1</v>
      </c>
      <c r="DB9" s="11">
        <f>IF(預測IC!DB18&gt;預測IC!DB$27,1,0)</f>
        <v>0</v>
      </c>
      <c r="DC9" s="11">
        <f>IF(預測IC!DC18&gt;預測IC!DC$27,1,0)</f>
        <v>1</v>
      </c>
      <c r="DD9" s="11">
        <f>IF(預測IC!DD18&gt;預測IC!DD$27,1,0)</f>
        <v>1</v>
      </c>
      <c r="DE9" s="11">
        <f>IF(預測IC!DE18&gt;預測IC!DE$27,1,0)</f>
        <v>0</v>
      </c>
      <c r="DF9" s="11">
        <f>IF(預測IC!DF18&gt;預測IC!DF$27,1,0)</f>
        <v>1</v>
      </c>
      <c r="DG9" s="11">
        <f>IF(預測IC!DG18&gt;預測IC!DG$27,1,0)</f>
        <v>0</v>
      </c>
      <c r="DH9" s="11">
        <f>IF(預測IC!DH18&gt;預測IC!DH$27,1,0)</f>
        <v>0</v>
      </c>
      <c r="DI9" s="11">
        <f>IF(預測IC!DI18&gt;預測IC!DI$27,1,0)</f>
        <v>0</v>
      </c>
      <c r="DJ9" s="11">
        <f>IF(預測IC!DJ18&gt;預測IC!DJ$27,1,0)</f>
        <v>1</v>
      </c>
      <c r="DK9" s="11">
        <f>IF(預測IC!DK18&gt;預測IC!DK$27,1,0)</f>
        <v>0</v>
      </c>
      <c r="DL9" s="11">
        <f>IF(預測IC!DL18&gt;預測IC!DL$27,1,0)</f>
        <v>0</v>
      </c>
      <c r="DM9" s="11">
        <f>IF(預測IC!DM18&gt;預測IC!DM$27,1,0)</f>
        <v>0</v>
      </c>
      <c r="DN9" s="11">
        <f>IF(預測IC!DN18&gt;預測IC!DN$27,1,0)</f>
        <v>1</v>
      </c>
      <c r="DO9" s="11">
        <f>IF(預測IC!DO18&gt;預測IC!DO$27,1,0)</f>
        <v>0</v>
      </c>
      <c r="DP9" s="11">
        <f>IF(預測IC!DP18&gt;預測IC!DP$27,1,0)</f>
        <v>1</v>
      </c>
      <c r="DQ9" s="11">
        <f>IF(預測IC!DQ18&gt;預測IC!DQ$27,1,0)</f>
        <v>0</v>
      </c>
      <c r="DR9" s="11">
        <f>IF(預測IC!DR18&gt;預測IC!DR$27,1,0)</f>
        <v>1</v>
      </c>
      <c r="DS9" s="11">
        <f>IF(預測IC!DS18&gt;預測IC!DS$27,1,0)</f>
        <v>1</v>
      </c>
      <c r="DT9" s="11">
        <f>IF(預測IC!DT18&gt;預測IC!DT$27,1,0)</f>
        <v>0</v>
      </c>
      <c r="DU9" s="11">
        <f>IF(預測IC!DU18&gt;預測IC!DU$27,1,0)</f>
        <v>0</v>
      </c>
      <c r="DV9" s="11">
        <f>IF(預測IC!DV18&gt;預測IC!DV$27,1,0)</f>
        <v>1</v>
      </c>
      <c r="DW9" s="11">
        <f>IF(預測IC!DW18&gt;預測IC!DW$27,1,0)</f>
        <v>0</v>
      </c>
      <c r="DX9" s="11">
        <f>IF(預測IC!DX18&gt;預測IC!DX$27,1,0)</f>
        <v>0</v>
      </c>
      <c r="DY9" s="11">
        <f>IF(預測IC!DY18&gt;預測IC!DY$27,1,0)</f>
        <v>1</v>
      </c>
      <c r="DZ9" s="11">
        <f>IF(預測IC!DZ18&gt;預測IC!DZ$27,1,0)</f>
        <v>0</v>
      </c>
      <c r="EA9" s="11">
        <f>IF(預測IC!EA18&gt;預測IC!EA$27,1,0)</f>
        <v>0</v>
      </c>
      <c r="EB9" s="11">
        <f>IF(預測IC!EB18&gt;預測IC!EB$27,1,0)</f>
        <v>0</v>
      </c>
      <c r="EC9" s="11">
        <f>IF(預測IC!EC18&gt;預測IC!EC$27,1,0)</f>
        <v>1</v>
      </c>
      <c r="ED9" s="11">
        <f>IF(預測IC!ED18&gt;預測IC!ED$27,1,0)</f>
        <v>0</v>
      </c>
      <c r="EE9" s="11">
        <f>IF(預測IC!EE18&gt;預測IC!EE$27,1,0)</f>
        <v>0</v>
      </c>
      <c r="EF9" s="11">
        <f>IF(預測IC!EF18&gt;預測IC!EF$27,1,0)</f>
        <v>1</v>
      </c>
      <c r="EG9" s="1">
        <f t="shared" si="0"/>
        <v>61</v>
      </c>
      <c r="EH9" s="2">
        <f t="shared" si="1"/>
        <v>0.45522388059701491</v>
      </c>
    </row>
    <row r="10" spans="1:138" s="3" customFormat="1" ht="16" customHeight="1">
      <c r="A10" s="6">
        <v>120</v>
      </c>
      <c r="B10" s="6">
        <v>8</v>
      </c>
      <c r="C10" s="11">
        <f>IF(預測IC!C19&gt;預測IC!C$27,1,0)</f>
        <v>1</v>
      </c>
      <c r="D10" s="11">
        <f>IF(預測IC!D19&gt;預測IC!D$27,1,0)</f>
        <v>0</v>
      </c>
      <c r="E10" s="11">
        <f>IF(預測IC!E19&gt;預測IC!E$27,1,0)</f>
        <v>0</v>
      </c>
      <c r="F10" s="11">
        <f>IF(預測IC!F19&gt;預測IC!F$27,1,0)</f>
        <v>1</v>
      </c>
      <c r="G10" s="11">
        <f>IF(預測IC!G19&gt;預測IC!G$27,1,0)</f>
        <v>1</v>
      </c>
      <c r="H10" s="11">
        <f>IF(預測IC!H19&gt;預測IC!H$27,1,0)</f>
        <v>0</v>
      </c>
      <c r="I10" s="11">
        <f>IF(預測IC!I19&gt;預測IC!I$27,1,0)</f>
        <v>1</v>
      </c>
      <c r="J10" s="11">
        <f>IF(預測IC!J19&gt;預測IC!J$27,1,0)</f>
        <v>1</v>
      </c>
      <c r="K10" s="11">
        <f>IF(預測IC!K19&gt;預測IC!K$27,1,0)</f>
        <v>1</v>
      </c>
      <c r="L10" s="11">
        <f>IF(預測IC!L19&gt;預測IC!L$27,1,0)</f>
        <v>1</v>
      </c>
      <c r="M10" s="11">
        <f>IF(預測IC!M19&gt;預測IC!M$27,1,0)</f>
        <v>0</v>
      </c>
      <c r="N10" s="11">
        <f>IF(預測IC!N19&gt;預測IC!N$27,1,0)</f>
        <v>0</v>
      </c>
      <c r="O10" s="11">
        <f>IF(預測IC!O19&gt;預測IC!O$27,1,0)</f>
        <v>1</v>
      </c>
      <c r="P10" s="11">
        <f>IF(預測IC!P19&gt;預測IC!P$27,1,0)</f>
        <v>0</v>
      </c>
      <c r="Q10" s="11">
        <f>IF(預測IC!Q19&gt;預測IC!Q$27,1,0)</f>
        <v>1</v>
      </c>
      <c r="R10" s="11">
        <f>IF(預測IC!R19&gt;預測IC!R$27,1,0)</f>
        <v>0</v>
      </c>
      <c r="S10" s="11">
        <f>IF(預測IC!S19&gt;預測IC!S$27,1,0)</f>
        <v>1</v>
      </c>
      <c r="T10" s="11">
        <f>IF(預測IC!T19&gt;預測IC!T$27,1,0)</f>
        <v>1</v>
      </c>
      <c r="U10" s="11">
        <f>IF(預測IC!U19&gt;預測IC!U$27,1,0)</f>
        <v>1</v>
      </c>
      <c r="V10" s="11">
        <f>IF(預測IC!V19&gt;預測IC!V$27,1,0)</f>
        <v>1</v>
      </c>
      <c r="W10" s="11">
        <f>IF(預測IC!W19&gt;預測IC!W$27,1,0)</f>
        <v>1</v>
      </c>
      <c r="X10" s="11">
        <f>IF(預測IC!X19&gt;預測IC!X$27,1,0)</f>
        <v>0</v>
      </c>
      <c r="Y10" s="11">
        <f>IF(預測IC!Y19&gt;預測IC!Y$27,1,0)</f>
        <v>1</v>
      </c>
      <c r="Z10" s="11">
        <f>IF(預測IC!Z19&gt;預測IC!Z$27,1,0)</f>
        <v>1</v>
      </c>
      <c r="AA10" s="11">
        <f>IF(預測IC!AA19&gt;預測IC!AA$27,1,0)</f>
        <v>0</v>
      </c>
      <c r="AB10" s="11">
        <f>IF(預測IC!AB19&gt;預測IC!AB$27,1,0)</f>
        <v>0</v>
      </c>
      <c r="AC10" s="11">
        <f>IF(預測IC!AC19&gt;預測IC!AC$27,1,0)</f>
        <v>1</v>
      </c>
      <c r="AD10" s="11">
        <f>IF(預測IC!AD19&gt;預測IC!AD$27,1,0)</f>
        <v>1</v>
      </c>
      <c r="AE10" s="11">
        <f>IF(預測IC!AE19&gt;預測IC!AE$27,1,0)</f>
        <v>0</v>
      </c>
      <c r="AF10" s="11">
        <f>IF(預測IC!AF19&gt;預測IC!AF$27,1,0)</f>
        <v>1</v>
      </c>
      <c r="AG10" s="11">
        <f>IF(預測IC!AG19&gt;預測IC!AG$27,1,0)</f>
        <v>0</v>
      </c>
      <c r="AH10" s="11">
        <f>IF(預測IC!AH19&gt;預測IC!AH$27,1,0)</f>
        <v>0</v>
      </c>
      <c r="AI10" s="11">
        <f>IF(預測IC!AI19&gt;預測IC!AI$27,1,0)</f>
        <v>1</v>
      </c>
      <c r="AJ10" s="11">
        <f>IF(預測IC!AJ19&gt;預測IC!AJ$27,1,0)</f>
        <v>1</v>
      </c>
      <c r="AK10" s="11">
        <f>IF(預測IC!AK19&gt;預測IC!AK$27,1,0)</f>
        <v>0</v>
      </c>
      <c r="AL10" s="11">
        <f>IF(預測IC!AL19&gt;預測IC!AL$27,1,0)</f>
        <v>0</v>
      </c>
      <c r="AM10" s="11">
        <f>IF(預測IC!AM19&gt;預測IC!AM$27,1,0)</f>
        <v>0</v>
      </c>
      <c r="AN10" s="11">
        <f>IF(預測IC!AN19&gt;預測IC!AN$27,1,0)</f>
        <v>1</v>
      </c>
      <c r="AO10" s="11">
        <f>IF(預測IC!AO19&gt;預測IC!AO$27,1,0)</f>
        <v>0</v>
      </c>
      <c r="AP10" s="11">
        <f>IF(預測IC!AP19&gt;預測IC!AP$27,1,0)</f>
        <v>0</v>
      </c>
      <c r="AQ10" s="11">
        <f>IF(預測IC!AQ19&gt;預測IC!AQ$27,1,0)</f>
        <v>0</v>
      </c>
      <c r="AR10" s="11">
        <f>IF(預測IC!AR19&gt;預測IC!AR$27,1,0)</f>
        <v>1</v>
      </c>
      <c r="AS10" s="11">
        <f>IF(預測IC!AS19&gt;預測IC!AS$27,1,0)</f>
        <v>0</v>
      </c>
      <c r="AT10" s="11">
        <f>IF(預測IC!AT19&gt;預測IC!AT$27,1,0)</f>
        <v>1</v>
      </c>
      <c r="AU10" s="11">
        <f>IF(預測IC!AU19&gt;預測IC!AU$27,1,0)</f>
        <v>1</v>
      </c>
      <c r="AV10" s="11">
        <f>IF(預測IC!AV19&gt;預測IC!AV$27,1,0)</f>
        <v>0</v>
      </c>
      <c r="AW10" s="11">
        <f>IF(預測IC!AW19&gt;預測IC!AW$27,1,0)</f>
        <v>0</v>
      </c>
      <c r="AX10" s="11">
        <f>IF(預測IC!AX19&gt;預測IC!AX$27,1,0)</f>
        <v>0</v>
      </c>
      <c r="AY10" s="11">
        <f>IF(預測IC!AY19&gt;預測IC!AY$27,1,0)</f>
        <v>0</v>
      </c>
      <c r="AZ10" s="11">
        <f>IF(預測IC!AZ19&gt;預測IC!AZ$27,1,0)</f>
        <v>1</v>
      </c>
      <c r="BA10" s="11">
        <f>IF(預測IC!BA19&gt;預測IC!BA$27,1,0)</f>
        <v>0</v>
      </c>
      <c r="BB10" s="11">
        <f>IF(預測IC!BB19&gt;預測IC!BB$27,1,0)</f>
        <v>0</v>
      </c>
      <c r="BC10" s="11">
        <f>IF(預測IC!BC19&gt;預測IC!BC$27,1,0)</f>
        <v>0</v>
      </c>
      <c r="BD10" s="11">
        <f>IF(預測IC!BD19&gt;預測IC!BD$27,1,0)</f>
        <v>1</v>
      </c>
      <c r="BE10" s="11">
        <f>IF(預測IC!BE19&gt;預測IC!BE$27,1,0)</f>
        <v>0</v>
      </c>
      <c r="BF10" s="11">
        <f>IF(預測IC!BF19&gt;預測IC!BF$27,1,0)</f>
        <v>0</v>
      </c>
      <c r="BG10" s="11">
        <f>IF(預測IC!BG19&gt;預測IC!BG$27,1,0)</f>
        <v>1</v>
      </c>
      <c r="BH10" s="11">
        <f>IF(預測IC!BH19&gt;預測IC!BH$27,1,0)</f>
        <v>1</v>
      </c>
      <c r="BI10" s="11">
        <f>IF(預測IC!BI19&gt;預測IC!BI$27,1,0)</f>
        <v>0</v>
      </c>
      <c r="BJ10" s="11">
        <f>IF(預測IC!BJ19&gt;預測IC!BJ$27,1,0)</f>
        <v>0</v>
      </c>
      <c r="BK10" s="11">
        <f>IF(預測IC!BK19&gt;預測IC!BK$27,1,0)</f>
        <v>0</v>
      </c>
      <c r="BL10" s="11">
        <f>IF(預測IC!BL19&gt;預測IC!BL$27,1,0)</f>
        <v>1</v>
      </c>
      <c r="BM10" s="11">
        <f>IF(預測IC!BM19&gt;預測IC!BM$27,1,0)</f>
        <v>0</v>
      </c>
      <c r="BN10" s="11">
        <f>IF(預測IC!BN19&gt;預測IC!BN$27,1,0)</f>
        <v>0</v>
      </c>
      <c r="BO10" s="11">
        <f>IF(預測IC!BO19&gt;預測IC!BO$27,1,0)</f>
        <v>1</v>
      </c>
      <c r="BP10" s="11">
        <f>IF(預測IC!BP19&gt;預測IC!BP$27,1,0)</f>
        <v>1</v>
      </c>
      <c r="BQ10" s="11">
        <f>IF(預測IC!BQ19&gt;預測IC!BQ$27,1,0)</f>
        <v>1</v>
      </c>
      <c r="BR10" s="11">
        <f>IF(預測IC!BR19&gt;預測IC!BR$27,1,0)</f>
        <v>1</v>
      </c>
      <c r="BS10" s="11">
        <f>IF(預測IC!BS19&gt;預測IC!BS$27,1,0)</f>
        <v>0</v>
      </c>
      <c r="BT10" s="11">
        <f>IF(預測IC!BT19&gt;預測IC!BT$27,1,0)</f>
        <v>0</v>
      </c>
      <c r="BU10" s="11">
        <f>IF(預測IC!BU19&gt;預測IC!BU$27,1,0)</f>
        <v>1</v>
      </c>
      <c r="BV10" s="11">
        <f>IF(預測IC!BV19&gt;預測IC!BV$27,1,0)</f>
        <v>0</v>
      </c>
      <c r="BW10" s="11">
        <f>IF(預測IC!BW19&gt;預測IC!BW$27,1,0)</f>
        <v>1</v>
      </c>
      <c r="BX10" s="11">
        <f>IF(預測IC!BX19&gt;預測IC!BX$27,1,0)</f>
        <v>1</v>
      </c>
      <c r="BY10" s="11">
        <f>IF(預測IC!BY19&gt;預測IC!BY$27,1,0)</f>
        <v>1</v>
      </c>
      <c r="BZ10" s="11">
        <f>IF(預測IC!BZ19&gt;預測IC!BZ$27,1,0)</f>
        <v>0</v>
      </c>
      <c r="CA10" s="11">
        <f>IF(預測IC!CA19&gt;預測IC!CA$27,1,0)</f>
        <v>0</v>
      </c>
      <c r="CB10" s="11">
        <f>IF(預測IC!CB19&gt;預測IC!CB$27,1,0)</f>
        <v>0</v>
      </c>
      <c r="CC10" s="11">
        <f>IF(預測IC!CC19&gt;預測IC!CC$27,1,0)</f>
        <v>0</v>
      </c>
      <c r="CD10" s="11">
        <f>IF(預測IC!CD19&gt;預測IC!CD$27,1,0)</f>
        <v>0</v>
      </c>
      <c r="CE10" s="11">
        <f>IF(預測IC!CE19&gt;預測IC!CE$27,1,0)</f>
        <v>1</v>
      </c>
      <c r="CF10" s="11">
        <f>IF(預測IC!CF19&gt;預測IC!CF$27,1,0)</f>
        <v>0</v>
      </c>
      <c r="CG10" s="11">
        <f>IF(預測IC!CG19&gt;預測IC!CG$27,1,0)</f>
        <v>0</v>
      </c>
      <c r="CH10" s="11">
        <f>IF(預測IC!CH19&gt;預測IC!CH$27,1,0)</f>
        <v>0</v>
      </c>
      <c r="CI10" s="11">
        <f>IF(預測IC!CI19&gt;預測IC!CI$27,1,0)</f>
        <v>1</v>
      </c>
      <c r="CJ10" s="11">
        <f>IF(預測IC!CJ19&gt;預測IC!CJ$27,1,0)</f>
        <v>0</v>
      </c>
      <c r="CK10" s="11">
        <f>IF(預測IC!CK19&gt;預測IC!CK$27,1,0)</f>
        <v>1</v>
      </c>
      <c r="CL10" s="11">
        <f>IF(預測IC!CL19&gt;預測IC!CL$27,1,0)</f>
        <v>0</v>
      </c>
      <c r="CM10" s="11">
        <f>IF(預測IC!CM19&gt;預測IC!CM$27,1,0)</f>
        <v>0</v>
      </c>
      <c r="CN10" s="11">
        <f>IF(預測IC!CN19&gt;預測IC!CN$27,1,0)</f>
        <v>1</v>
      </c>
      <c r="CO10" s="11">
        <f>IF(預測IC!CO19&gt;預測IC!CO$27,1,0)</f>
        <v>1</v>
      </c>
      <c r="CP10" s="11">
        <f>IF(預測IC!CP19&gt;預測IC!CP$27,1,0)</f>
        <v>0</v>
      </c>
      <c r="CQ10" s="11">
        <f>IF(預測IC!CQ19&gt;預測IC!CQ$27,1,0)</f>
        <v>1</v>
      </c>
      <c r="CR10" s="11">
        <f>IF(預測IC!CR19&gt;預測IC!CR$27,1,0)</f>
        <v>0</v>
      </c>
      <c r="CS10" s="11">
        <f>IF(預測IC!CS19&gt;預測IC!CS$27,1,0)</f>
        <v>1</v>
      </c>
      <c r="CT10" s="11">
        <f>IF(預測IC!CT19&gt;預測IC!CT$27,1,0)</f>
        <v>0</v>
      </c>
      <c r="CU10" s="11">
        <f>IF(預測IC!CU19&gt;預測IC!CU$27,1,0)</f>
        <v>1</v>
      </c>
      <c r="CV10" s="11">
        <f>IF(預測IC!CV19&gt;預測IC!CV$27,1,0)</f>
        <v>1</v>
      </c>
      <c r="CW10" s="11">
        <f>IF(預測IC!CW19&gt;預測IC!CW$27,1,0)</f>
        <v>0</v>
      </c>
      <c r="CX10" s="11">
        <f>IF(預測IC!CX19&gt;預測IC!CX$27,1,0)</f>
        <v>1</v>
      </c>
      <c r="CY10" s="11">
        <f>IF(預測IC!CY19&gt;預測IC!CY$27,1,0)</f>
        <v>0</v>
      </c>
      <c r="CZ10" s="11">
        <f>IF(預測IC!CZ19&gt;預測IC!CZ$27,1,0)</f>
        <v>1</v>
      </c>
      <c r="DA10" s="11">
        <f>IF(預測IC!DA19&gt;預測IC!DA$27,1,0)</f>
        <v>1</v>
      </c>
      <c r="DB10" s="11">
        <f>IF(預測IC!DB19&gt;預測IC!DB$27,1,0)</f>
        <v>0</v>
      </c>
      <c r="DC10" s="11">
        <f>IF(預測IC!DC19&gt;預測IC!DC$27,1,0)</f>
        <v>1</v>
      </c>
      <c r="DD10" s="11">
        <f>IF(預測IC!DD19&gt;預測IC!DD$27,1,0)</f>
        <v>1</v>
      </c>
      <c r="DE10" s="11">
        <f>IF(預測IC!DE19&gt;預測IC!DE$27,1,0)</f>
        <v>0</v>
      </c>
      <c r="DF10" s="11">
        <f>IF(預測IC!DF19&gt;預測IC!DF$27,1,0)</f>
        <v>1</v>
      </c>
      <c r="DG10" s="11">
        <f>IF(預測IC!DG19&gt;預測IC!DG$27,1,0)</f>
        <v>0</v>
      </c>
      <c r="DH10" s="11">
        <f>IF(預測IC!DH19&gt;預測IC!DH$27,1,0)</f>
        <v>0</v>
      </c>
      <c r="DI10" s="11">
        <f>IF(預測IC!DI19&gt;預測IC!DI$27,1,0)</f>
        <v>0</v>
      </c>
      <c r="DJ10" s="11">
        <f>IF(預測IC!DJ19&gt;預測IC!DJ$27,1,0)</f>
        <v>1</v>
      </c>
      <c r="DK10" s="11">
        <f>IF(預測IC!DK19&gt;預測IC!DK$27,1,0)</f>
        <v>0</v>
      </c>
      <c r="DL10" s="11">
        <f>IF(預測IC!DL19&gt;預測IC!DL$27,1,0)</f>
        <v>0</v>
      </c>
      <c r="DM10" s="11">
        <f>IF(預測IC!DM19&gt;預測IC!DM$27,1,0)</f>
        <v>0</v>
      </c>
      <c r="DN10" s="11">
        <f>IF(預測IC!DN19&gt;預測IC!DN$27,1,0)</f>
        <v>1</v>
      </c>
      <c r="DO10" s="11">
        <f>IF(預測IC!DO19&gt;預測IC!DO$27,1,0)</f>
        <v>0</v>
      </c>
      <c r="DP10" s="11">
        <f>IF(預測IC!DP19&gt;預測IC!DP$27,1,0)</f>
        <v>1</v>
      </c>
      <c r="DQ10" s="11">
        <f>IF(預測IC!DQ19&gt;預測IC!DQ$27,1,0)</f>
        <v>0</v>
      </c>
      <c r="DR10" s="11">
        <f>IF(預測IC!DR19&gt;預測IC!DR$27,1,0)</f>
        <v>1</v>
      </c>
      <c r="DS10" s="11">
        <f>IF(預測IC!DS19&gt;預測IC!DS$27,1,0)</f>
        <v>1</v>
      </c>
      <c r="DT10" s="11">
        <f>IF(預測IC!DT19&gt;預測IC!DT$27,1,0)</f>
        <v>0</v>
      </c>
      <c r="DU10" s="11">
        <f>IF(預測IC!DU19&gt;預測IC!DU$27,1,0)</f>
        <v>0</v>
      </c>
      <c r="DV10" s="11">
        <f>IF(預測IC!DV19&gt;預測IC!DV$27,1,0)</f>
        <v>1</v>
      </c>
      <c r="DW10" s="11">
        <f>IF(預測IC!DW19&gt;預測IC!DW$27,1,0)</f>
        <v>0</v>
      </c>
      <c r="DX10" s="11">
        <f>IF(預測IC!DX19&gt;預測IC!DX$27,1,0)</f>
        <v>0</v>
      </c>
      <c r="DY10" s="11">
        <f>IF(預測IC!DY19&gt;預測IC!DY$27,1,0)</f>
        <v>1</v>
      </c>
      <c r="DZ10" s="11">
        <f>IF(預測IC!DZ19&gt;預測IC!DZ$27,1,0)</f>
        <v>0</v>
      </c>
      <c r="EA10" s="11">
        <f>IF(預測IC!EA19&gt;預測IC!EA$27,1,0)</f>
        <v>0</v>
      </c>
      <c r="EB10" s="11">
        <f>IF(預測IC!EB19&gt;預測IC!EB$27,1,0)</f>
        <v>0</v>
      </c>
      <c r="EC10" s="11">
        <f>IF(預測IC!EC19&gt;預測IC!EC$27,1,0)</f>
        <v>1</v>
      </c>
      <c r="ED10" s="11">
        <f>IF(預測IC!ED19&gt;預測IC!ED$27,1,0)</f>
        <v>0</v>
      </c>
      <c r="EE10" s="11">
        <f>IF(預測IC!EE19&gt;預測IC!EE$27,1,0)</f>
        <v>0</v>
      </c>
      <c r="EF10" s="11">
        <f>IF(預測IC!EF19&gt;預測IC!EF$27,1,0)</f>
        <v>1</v>
      </c>
      <c r="EG10" s="1">
        <f t="shared" si="0"/>
        <v>62</v>
      </c>
      <c r="EH10" s="2">
        <f t="shared" si="1"/>
        <v>0.46268656716417911</v>
      </c>
    </row>
    <row r="11" spans="1:138" ht="16">
      <c r="A11" s="6">
        <v>137</v>
      </c>
      <c r="B11" s="6">
        <v>7</v>
      </c>
      <c r="C11" s="11">
        <f>IF(預測IC!C20&gt;預測IC!C$27,1,0)</f>
        <v>1</v>
      </c>
      <c r="D11" s="11">
        <f>IF(預測IC!D20&gt;預測IC!D$27,1,0)</f>
        <v>0</v>
      </c>
      <c r="E11" s="11">
        <f>IF(預測IC!E20&gt;預測IC!E$27,1,0)</f>
        <v>1</v>
      </c>
      <c r="F11" s="11">
        <f>IF(預測IC!F20&gt;預測IC!F$27,1,0)</f>
        <v>1</v>
      </c>
      <c r="G11" s="11">
        <f>IF(預測IC!G20&gt;預測IC!G$27,1,0)</f>
        <v>1</v>
      </c>
      <c r="H11" s="11">
        <f>IF(預測IC!H20&gt;預測IC!H$27,1,0)</f>
        <v>0</v>
      </c>
      <c r="I11" s="11">
        <f>IF(預測IC!I20&gt;預測IC!I$27,1,0)</f>
        <v>1</v>
      </c>
      <c r="J11" s="11">
        <f>IF(預測IC!J20&gt;預測IC!J$27,1,0)</f>
        <v>1</v>
      </c>
      <c r="K11" s="11">
        <f>IF(預測IC!K20&gt;預測IC!K$27,1,0)</f>
        <v>1</v>
      </c>
      <c r="L11" s="11">
        <f>IF(預測IC!L20&gt;預測IC!L$27,1,0)</f>
        <v>1</v>
      </c>
      <c r="M11" s="11">
        <f>IF(預測IC!M20&gt;預測IC!M$27,1,0)</f>
        <v>0</v>
      </c>
      <c r="N11" s="11">
        <f>IF(預測IC!N20&gt;預測IC!N$27,1,0)</f>
        <v>0</v>
      </c>
      <c r="O11" s="11">
        <f>IF(預測IC!O20&gt;預測IC!O$27,1,0)</f>
        <v>1</v>
      </c>
      <c r="P11" s="11">
        <f>IF(預測IC!P20&gt;預測IC!P$27,1,0)</f>
        <v>0</v>
      </c>
      <c r="Q11" s="11">
        <f>IF(預測IC!Q20&gt;預測IC!Q$27,1,0)</f>
        <v>0</v>
      </c>
      <c r="R11" s="11">
        <f>IF(預測IC!R20&gt;預測IC!R$27,1,0)</f>
        <v>1</v>
      </c>
      <c r="S11" s="11">
        <f>IF(預測IC!S20&gt;預測IC!S$27,1,0)</f>
        <v>1</v>
      </c>
      <c r="T11" s="11">
        <f>IF(預測IC!T20&gt;預測IC!T$27,1,0)</f>
        <v>1</v>
      </c>
      <c r="U11" s="11">
        <f>IF(預測IC!U20&gt;預測IC!U$27,1,0)</f>
        <v>1</v>
      </c>
      <c r="V11" s="11">
        <f>IF(預測IC!V20&gt;預測IC!V$27,1,0)</f>
        <v>1</v>
      </c>
      <c r="W11" s="11">
        <f>IF(預測IC!W20&gt;預測IC!W$27,1,0)</f>
        <v>1</v>
      </c>
      <c r="X11" s="11">
        <f>IF(預測IC!X20&gt;預測IC!X$27,1,0)</f>
        <v>0</v>
      </c>
      <c r="Y11" s="11">
        <f>IF(預測IC!Y20&gt;預測IC!Y$27,1,0)</f>
        <v>1</v>
      </c>
      <c r="Z11" s="11">
        <f>IF(預測IC!Z20&gt;預測IC!Z$27,1,0)</f>
        <v>1</v>
      </c>
      <c r="AA11" s="11">
        <f>IF(預測IC!AA20&gt;預測IC!AA$27,1,0)</f>
        <v>1</v>
      </c>
      <c r="AB11" s="11">
        <f>IF(預測IC!AB20&gt;預測IC!AB$27,1,0)</f>
        <v>0</v>
      </c>
      <c r="AC11" s="11">
        <f>IF(預測IC!AC20&gt;預測IC!AC$27,1,0)</f>
        <v>1</v>
      </c>
      <c r="AD11" s="11">
        <f>IF(預測IC!AD20&gt;預測IC!AD$27,1,0)</f>
        <v>1</v>
      </c>
      <c r="AE11" s="11">
        <f>IF(預測IC!AE20&gt;預測IC!AE$27,1,0)</f>
        <v>0</v>
      </c>
      <c r="AF11" s="11">
        <f>IF(預測IC!AF20&gt;預測IC!AF$27,1,0)</f>
        <v>1</v>
      </c>
      <c r="AG11" s="11">
        <f>IF(預測IC!AG20&gt;預測IC!AG$27,1,0)</f>
        <v>0</v>
      </c>
      <c r="AH11" s="11">
        <f>IF(預測IC!AH20&gt;預測IC!AH$27,1,0)</f>
        <v>0</v>
      </c>
      <c r="AI11" s="11">
        <f>IF(預測IC!AI20&gt;預測IC!AI$27,1,0)</f>
        <v>1</v>
      </c>
      <c r="AJ11" s="11">
        <f>IF(預測IC!AJ20&gt;預測IC!AJ$27,1,0)</f>
        <v>1</v>
      </c>
      <c r="AK11" s="11">
        <f>IF(預測IC!AK20&gt;預測IC!AK$27,1,0)</f>
        <v>0</v>
      </c>
      <c r="AL11" s="11">
        <f>IF(預測IC!AL20&gt;預測IC!AL$27,1,0)</f>
        <v>0</v>
      </c>
      <c r="AM11" s="11">
        <f>IF(預測IC!AM20&gt;預測IC!AM$27,1,0)</f>
        <v>0</v>
      </c>
      <c r="AN11" s="11">
        <f>IF(預測IC!AN20&gt;預測IC!AN$27,1,0)</f>
        <v>1</v>
      </c>
      <c r="AO11" s="11">
        <f>IF(預測IC!AO20&gt;預測IC!AO$27,1,0)</f>
        <v>0</v>
      </c>
      <c r="AP11" s="11">
        <f>IF(預測IC!AP20&gt;預測IC!AP$27,1,0)</f>
        <v>0</v>
      </c>
      <c r="AQ11" s="11">
        <f>IF(預測IC!AQ20&gt;預測IC!AQ$27,1,0)</f>
        <v>0</v>
      </c>
      <c r="AR11" s="11">
        <f>IF(預測IC!AR20&gt;預測IC!AR$27,1,0)</f>
        <v>1</v>
      </c>
      <c r="AS11" s="11">
        <f>IF(預測IC!AS20&gt;預測IC!AS$27,1,0)</f>
        <v>1</v>
      </c>
      <c r="AT11" s="11">
        <f>IF(預測IC!AT20&gt;預測IC!AT$27,1,0)</f>
        <v>0</v>
      </c>
      <c r="AU11" s="11">
        <f>IF(預測IC!AU20&gt;預測IC!AU$27,1,0)</f>
        <v>1</v>
      </c>
      <c r="AV11" s="11">
        <f>IF(預測IC!AV20&gt;預測IC!AV$27,1,0)</f>
        <v>0</v>
      </c>
      <c r="AW11" s="11">
        <f>IF(預測IC!AW20&gt;預測IC!AW$27,1,0)</f>
        <v>0</v>
      </c>
      <c r="AX11" s="11">
        <f>IF(預測IC!AX20&gt;預測IC!AX$27,1,0)</f>
        <v>0</v>
      </c>
      <c r="AY11" s="11">
        <f>IF(預測IC!AY20&gt;預測IC!AY$27,1,0)</f>
        <v>0</v>
      </c>
      <c r="AZ11" s="11">
        <f>IF(預測IC!AZ20&gt;預測IC!AZ$27,1,0)</f>
        <v>1</v>
      </c>
      <c r="BA11" s="11">
        <f>IF(預測IC!BA20&gt;預測IC!BA$27,1,0)</f>
        <v>1</v>
      </c>
      <c r="BB11" s="11">
        <f>IF(預測IC!BB20&gt;預測IC!BB$27,1,0)</f>
        <v>0</v>
      </c>
      <c r="BC11" s="11">
        <f>IF(預測IC!BC20&gt;預測IC!BC$27,1,0)</f>
        <v>0</v>
      </c>
      <c r="BD11" s="11">
        <f>IF(預測IC!BD20&gt;預測IC!BD$27,1,0)</f>
        <v>1</v>
      </c>
      <c r="BE11" s="11">
        <f>IF(預測IC!BE20&gt;預測IC!BE$27,1,0)</f>
        <v>0</v>
      </c>
      <c r="BF11" s="11">
        <f>IF(預測IC!BF20&gt;預測IC!BF$27,1,0)</f>
        <v>0</v>
      </c>
      <c r="BG11" s="11">
        <f>IF(預測IC!BG20&gt;預測IC!BG$27,1,0)</f>
        <v>1</v>
      </c>
      <c r="BH11" s="11">
        <f>IF(預測IC!BH20&gt;預測IC!BH$27,1,0)</f>
        <v>1</v>
      </c>
      <c r="BI11" s="11">
        <f>IF(預測IC!BI20&gt;預測IC!BI$27,1,0)</f>
        <v>0</v>
      </c>
      <c r="BJ11" s="11">
        <f>IF(預測IC!BJ20&gt;預測IC!BJ$27,1,0)</f>
        <v>0</v>
      </c>
      <c r="BK11" s="11">
        <f>IF(預測IC!BK20&gt;預測IC!BK$27,1,0)</f>
        <v>0</v>
      </c>
      <c r="BL11" s="11">
        <f>IF(預測IC!BL20&gt;預測IC!BL$27,1,0)</f>
        <v>0</v>
      </c>
      <c r="BM11" s="11">
        <f>IF(預測IC!BM20&gt;預測IC!BM$27,1,0)</f>
        <v>0</v>
      </c>
      <c r="BN11" s="11">
        <f>IF(預測IC!BN20&gt;預測IC!BN$27,1,0)</f>
        <v>0</v>
      </c>
      <c r="BO11" s="11">
        <f>IF(預測IC!BO20&gt;預測IC!BO$27,1,0)</f>
        <v>1</v>
      </c>
      <c r="BP11" s="11">
        <f>IF(預測IC!BP20&gt;預測IC!BP$27,1,0)</f>
        <v>1</v>
      </c>
      <c r="BQ11" s="11">
        <f>IF(預測IC!BQ20&gt;預測IC!BQ$27,1,0)</f>
        <v>1</v>
      </c>
      <c r="BR11" s="11">
        <f>IF(預測IC!BR20&gt;預測IC!BR$27,1,0)</f>
        <v>1</v>
      </c>
      <c r="BS11" s="11">
        <f>IF(預測IC!BS20&gt;預測IC!BS$27,1,0)</f>
        <v>0</v>
      </c>
      <c r="BT11" s="11">
        <f>IF(預測IC!BT20&gt;預測IC!BT$27,1,0)</f>
        <v>0</v>
      </c>
      <c r="BU11" s="11">
        <f>IF(預測IC!BU20&gt;預測IC!BU$27,1,0)</f>
        <v>1</v>
      </c>
      <c r="BV11" s="11">
        <f>IF(預測IC!BV20&gt;預測IC!BV$27,1,0)</f>
        <v>0</v>
      </c>
      <c r="BW11" s="11">
        <f>IF(預測IC!BW20&gt;預測IC!BW$27,1,0)</f>
        <v>1</v>
      </c>
      <c r="BX11" s="11">
        <f>IF(預測IC!BX20&gt;預測IC!BX$27,1,0)</f>
        <v>1</v>
      </c>
      <c r="BY11" s="11">
        <f>IF(預測IC!BY20&gt;預測IC!BY$27,1,0)</f>
        <v>1</v>
      </c>
      <c r="BZ11" s="11">
        <f>IF(預測IC!BZ20&gt;預測IC!BZ$27,1,0)</f>
        <v>0</v>
      </c>
      <c r="CA11" s="11">
        <f>IF(預測IC!CA20&gt;預測IC!CA$27,1,0)</f>
        <v>0</v>
      </c>
      <c r="CB11" s="11">
        <f>IF(預測IC!CB20&gt;預測IC!CB$27,1,0)</f>
        <v>1</v>
      </c>
      <c r="CC11" s="11">
        <f>IF(預測IC!CC20&gt;預測IC!CC$27,1,0)</f>
        <v>0</v>
      </c>
      <c r="CD11" s="11">
        <f>IF(預測IC!CD20&gt;預測IC!CD$27,1,0)</f>
        <v>0</v>
      </c>
      <c r="CE11" s="11">
        <f>IF(預測IC!CE20&gt;預測IC!CE$27,1,0)</f>
        <v>1</v>
      </c>
      <c r="CF11" s="11">
        <f>IF(預測IC!CF20&gt;預測IC!CF$27,1,0)</f>
        <v>0</v>
      </c>
      <c r="CG11" s="11">
        <f>IF(預測IC!CG20&gt;預測IC!CG$27,1,0)</f>
        <v>0</v>
      </c>
      <c r="CH11" s="11">
        <f>IF(預測IC!CH20&gt;預測IC!CH$27,1,0)</f>
        <v>0</v>
      </c>
      <c r="CI11" s="11">
        <f>IF(預測IC!CI20&gt;預測IC!CI$27,1,0)</f>
        <v>1</v>
      </c>
      <c r="CJ11" s="11">
        <f>IF(預測IC!CJ20&gt;預測IC!CJ$27,1,0)</f>
        <v>0</v>
      </c>
      <c r="CK11" s="11">
        <f>IF(預測IC!CK20&gt;預測IC!CK$27,1,0)</f>
        <v>1</v>
      </c>
      <c r="CL11" s="11">
        <f>IF(預測IC!CL20&gt;預測IC!CL$27,1,0)</f>
        <v>0</v>
      </c>
      <c r="CM11" s="11">
        <f>IF(預測IC!CM20&gt;預測IC!CM$27,1,0)</f>
        <v>0</v>
      </c>
      <c r="CN11" s="11">
        <f>IF(預測IC!CN20&gt;預測IC!CN$27,1,0)</f>
        <v>1</v>
      </c>
      <c r="CO11" s="11">
        <f>IF(預測IC!CO20&gt;預測IC!CO$27,1,0)</f>
        <v>1</v>
      </c>
      <c r="CP11" s="11">
        <f>IF(預測IC!CP20&gt;預測IC!CP$27,1,0)</f>
        <v>0</v>
      </c>
      <c r="CQ11" s="11">
        <f>IF(預測IC!CQ20&gt;預測IC!CQ$27,1,0)</f>
        <v>1</v>
      </c>
      <c r="CR11" s="11">
        <f>IF(預測IC!CR20&gt;預測IC!CR$27,1,0)</f>
        <v>0</v>
      </c>
      <c r="CS11" s="11">
        <f>IF(預測IC!CS20&gt;預測IC!CS$27,1,0)</f>
        <v>1</v>
      </c>
      <c r="CT11" s="11">
        <f>IF(預測IC!CT20&gt;預測IC!CT$27,1,0)</f>
        <v>0</v>
      </c>
      <c r="CU11" s="11">
        <f>IF(預測IC!CU20&gt;預測IC!CU$27,1,0)</f>
        <v>1</v>
      </c>
      <c r="CV11" s="11">
        <f>IF(預測IC!CV20&gt;預測IC!CV$27,1,0)</f>
        <v>1</v>
      </c>
      <c r="CW11" s="11">
        <f>IF(預測IC!CW20&gt;預測IC!CW$27,1,0)</f>
        <v>0</v>
      </c>
      <c r="CX11" s="11">
        <f>IF(預測IC!CX20&gt;預測IC!CX$27,1,0)</f>
        <v>1</v>
      </c>
      <c r="CY11" s="11">
        <f>IF(預測IC!CY20&gt;預測IC!CY$27,1,0)</f>
        <v>0</v>
      </c>
      <c r="CZ11" s="11">
        <f>IF(預測IC!CZ20&gt;預測IC!CZ$27,1,0)</f>
        <v>1</v>
      </c>
      <c r="DA11" s="11">
        <f>IF(預測IC!DA20&gt;預測IC!DA$27,1,0)</f>
        <v>1</v>
      </c>
      <c r="DB11" s="11">
        <f>IF(預測IC!DB20&gt;預測IC!DB$27,1,0)</f>
        <v>0</v>
      </c>
      <c r="DC11" s="11">
        <f>IF(預測IC!DC20&gt;預測IC!DC$27,1,0)</f>
        <v>1</v>
      </c>
      <c r="DD11" s="11">
        <f>IF(預測IC!DD20&gt;預測IC!DD$27,1,0)</f>
        <v>0</v>
      </c>
      <c r="DE11" s="11">
        <f>IF(預測IC!DE20&gt;預測IC!DE$27,1,0)</f>
        <v>0</v>
      </c>
      <c r="DF11" s="11">
        <f>IF(預測IC!DF20&gt;預測IC!DF$27,1,0)</f>
        <v>1</v>
      </c>
      <c r="DG11" s="11">
        <f>IF(預測IC!DG20&gt;預測IC!DG$27,1,0)</f>
        <v>0</v>
      </c>
      <c r="DH11" s="11">
        <f>IF(預測IC!DH20&gt;預測IC!DH$27,1,0)</f>
        <v>0</v>
      </c>
      <c r="DI11" s="11">
        <f>IF(預測IC!DI20&gt;預測IC!DI$27,1,0)</f>
        <v>0</v>
      </c>
      <c r="DJ11" s="11">
        <f>IF(預測IC!DJ20&gt;預測IC!DJ$27,1,0)</f>
        <v>1</v>
      </c>
      <c r="DK11" s="11">
        <f>IF(預測IC!DK20&gt;預測IC!DK$27,1,0)</f>
        <v>0</v>
      </c>
      <c r="DL11" s="11">
        <f>IF(預測IC!DL20&gt;預測IC!DL$27,1,0)</f>
        <v>0</v>
      </c>
      <c r="DM11" s="11">
        <f>IF(預測IC!DM20&gt;預測IC!DM$27,1,0)</f>
        <v>0</v>
      </c>
      <c r="DN11" s="11">
        <f>IF(預測IC!DN20&gt;預測IC!DN$27,1,0)</f>
        <v>1</v>
      </c>
      <c r="DO11" s="11">
        <f>IF(預測IC!DO20&gt;預測IC!DO$27,1,0)</f>
        <v>0</v>
      </c>
      <c r="DP11" s="11">
        <f>IF(預測IC!DP20&gt;預測IC!DP$27,1,0)</f>
        <v>1</v>
      </c>
      <c r="DQ11" s="11">
        <f>IF(預測IC!DQ20&gt;預測IC!DQ$27,1,0)</f>
        <v>0</v>
      </c>
      <c r="DR11" s="11">
        <f>IF(預測IC!DR20&gt;預測IC!DR$27,1,0)</f>
        <v>1</v>
      </c>
      <c r="DS11" s="11">
        <f>IF(預測IC!DS20&gt;預測IC!DS$27,1,0)</f>
        <v>1</v>
      </c>
      <c r="DT11" s="11">
        <f>IF(預測IC!DT20&gt;預測IC!DT$27,1,0)</f>
        <v>0</v>
      </c>
      <c r="DU11" s="11">
        <f>IF(預測IC!DU20&gt;預測IC!DU$27,1,0)</f>
        <v>0</v>
      </c>
      <c r="DV11" s="11">
        <f>IF(預測IC!DV20&gt;預測IC!DV$27,1,0)</f>
        <v>1</v>
      </c>
      <c r="DW11" s="11">
        <f>IF(預測IC!DW20&gt;預測IC!DW$27,1,0)</f>
        <v>0</v>
      </c>
      <c r="DX11" s="11">
        <f>IF(預測IC!DX20&gt;預測IC!DX$27,1,0)</f>
        <v>0</v>
      </c>
      <c r="DY11" s="11">
        <f>IF(預測IC!DY20&gt;預測IC!DY$27,1,0)</f>
        <v>1</v>
      </c>
      <c r="DZ11" s="11">
        <f>IF(預測IC!DZ20&gt;預測IC!DZ$27,1,0)</f>
        <v>0</v>
      </c>
      <c r="EA11" s="11">
        <f>IF(預測IC!EA20&gt;預測IC!EA$27,1,0)</f>
        <v>0</v>
      </c>
      <c r="EB11" s="11">
        <f>IF(預測IC!EB20&gt;預測IC!EB$27,1,0)</f>
        <v>0</v>
      </c>
      <c r="EC11" s="11">
        <f>IF(預測IC!EC20&gt;預測IC!EC$27,1,0)</f>
        <v>1</v>
      </c>
      <c r="ED11" s="11">
        <f>IF(預測IC!ED20&gt;預測IC!ED$27,1,0)</f>
        <v>0</v>
      </c>
      <c r="EE11" s="11">
        <f>IF(預測IC!EE20&gt;預測IC!EE$27,1,0)</f>
        <v>1</v>
      </c>
      <c r="EF11" s="11">
        <f>IF(預測IC!EF20&gt;預測IC!EF$27,1,0)</f>
        <v>1</v>
      </c>
      <c r="EG11" s="1">
        <f t="shared" si="0"/>
        <v>65</v>
      </c>
      <c r="EH11" s="2">
        <f t="shared" si="1"/>
        <v>0.48507462686567165</v>
      </c>
    </row>
    <row r="12" spans="1:138" ht="16">
      <c r="A12" s="6">
        <v>160</v>
      </c>
      <c r="B12" s="6">
        <v>6</v>
      </c>
      <c r="C12" s="11">
        <f>IF(預測IC!C21&gt;預測IC!C$27,1,0)</f>
        <v>1</v>
      </c>
      <c r="D12" s="11">
        <f>IF(預測IC!D21&gt;預測IC!D$27,1,0)</f>
        <v>0</v>
      </c>
      <c r="E12" s="11">
        <f>IF(預測IC!E21&gt;預測IC!E$27,1,0)</f>
        <v>1</v>
      </c>
      <c r="F12" s="11">
        <f>IF(預測IC!F21&gt;預測IC!F$27,1,0)</f>
        <v>1</v>
      </c>
      <c r="G12" s="11">
        <f>IF(預測IC!G21&gt;預測IC!G$27,1,0)</f>
        <v>1</v>
      </c>
      <c r="H12" s="11">
        <f>IF(預測IC!H21&gt;預測IC!H$27,1,0)</f>
        <v>0</v>
      </c>
      <c r="I12" s="11">
        <f>IF(預測IC!I21&gt;預測IC!I$27,1,0)</f>
        <v>1</v>
      </c>
      <c r="J12" s="11">
        <f>IF(預測IC!J21&gt;預測IC!J$27,1,0)</f>
        <v>1</v>
      </c>
      <c r="K12" s="11">
        <f>IF(預測IC!K21&gt;預測IC!K$27,1,0)</f>
        <v>1</v>
      </c>
      <c r="L12" s="11">
        <f>IF(預測IC!L21&gt;預測IC!L$27,1,0)</f>
        <v>1</v>
      </c>
      <c r="M12" s="11">
        <f>IF(預測IC!M21&gt;預測IC!M$27,1,0)</f>
        <v>0</v>
      </c>
      <c r="N12" s="11">
        <f>IF(預測IC!N21&gt;預測IC!N$27,1,0)</f>
        <v>0</v>
      </c>
      <c r="O12" s="11">
        <f>IF(預測IC!O21&gt;預測IC!O$27,1,0)</f>
        <v>1</v>
      </c>
      <c r="P12" s="11">
        <f>IF(預測IC!P21&gt;預測IC!P$27,1,0)</f>
        <v>1</v>
      </c>
      <c r="Q12" s="11">
        <f>IF(預測IC!Q21&gt;預測IC!Q$27,1,0)</f>
        <v>0</v>
      </c>
      <c r="R12" s="11">
        <f>IF(預測IC!R21&gt;預測IC!R$27,1,0)</f>
        <v>0</v>
      </c>
      <c r="S12" s="11">
        <f>IF(預測IC!S21&gt;預測IC!S$27,1,0)</f>
        <v>1</v>
      </c>
      <c r="T12" s="11">
        <f>IF(預測IC!T21&gt;預測IC!T$27,1,0)</f>
        <v>1</v>
      </c>
      <c r="U12" s="11">
        <f>IF(預測IC!U21&gt;預測IC!U$27,1,0)</f>
        <v>1</v>
      </c>
      <c r="V12" s="11">
        <f>IF(預測IC!V21&gt;預測IC!V$27,1,0)</f>
        <v>1</v>
      </c>
      <c r="W12" s="11">
        <f>IF(預測IC!W21&gt;預測IC!W$27,1,0)</f>
        <v>1</v>
      </c>
      <c r="X12" s="11">
        <f>IF(預測IC!X21&gt;預測IC!X$27,1,0)</f>
        <v>0</v>
      </c>
      <c r="Y12" s="11">
        <f>IF(預測IC!Y21&gt;預測IC!Y$27,1,0)</f>
        <v>0</v>
      </c>
      <c r="Z12" s="11">
        <f>IF(預測IC!Z21&gt;預測IC!Z$27,1,0)</f>
        <v>1</v>
      </c>
      <c r="AA12" s="11">
        <f>IF(預測IC!AA21&gt;預測IC!AA$27,1,0)</f>
        <v>1</v>
      </c>
      <c r="AB12" s="11">
        <f>IF(預測IC!AB21&gt;預測IC!AB$27,1,0)</f>
        <v>0</v>
      </c>
      <c r="AC12" s="11">
        <f>IF(預測IC!AC21&gt;預測IC!AC$27,1,0)</f>
        <v>1</v>
      </c>
      <c r="AD12" s="11">
        <f>IF(預測IC!AD21&gt;預測IC!AD$27,1,0)</f>
        <v>1</v>
      </c>
      <c r="AE12" s="11">
        <f>IF(預測IC!AE21&gt;預測IC!AE$27,1,0)</f>
        <v>0</v>
      </c>
      <c r="AF12" s="11">
        <f>IF(預測IC!AF21&gt;預測IC!AF$27,1,0)</f>
        <v>1</v>
      </c>
      <c r="AG12" s="11">
        <f>IF(預測IC!AG21&gt;預測IC!AG$27,1,0)</f>
        <v>0</v>
      </c>
      <c r="AH12" s="11">
        <f>IF(預測IC!AH21&gt;預測IC!AH$27,1,0)</f>
        <v>0</v>
      </c>
      <c r="AI12" s="11">
        <f>IF(預測IC!AI21&gt;預測IC!AI$27,1,0)</f>
        <v>1</v>
      </c>
      <c r="AJ12" s="11">
        <f>IF(預測IC!AJ21&gt;預測IC!AJ$27,1,0)</f>
        <v>1</v>
      </c>
      <c r="AK12" s="11">
        <f>IF(預測IC!AK21&gt;預測IC!AK$27,1,0)</f>
        <v>0</v>
      </c>
      <c r="AL12" s="11">
        <f>IF(預測IC!AL21&gt;預測IC!AL$27,1,0)</f>
        <v>0</v>
      </c>
      <c r="AM12" s="11">
        <f>IF(預測IC!AM21&gt;預測IC!AM$27,1,0)</f>
        <v>0</v>
      </c>
      <c r="AN12" s="11">
        <f>IF(預測IC!AN21&gt;預測IC!AN$27,1,0)</f>
        <v>1</v>
      </c>
      <c r="AO12" s="11">
        <f>IF(預測IC!AO21&gt;預測IC!AO$27,1,0)</f>
        <v>0</v>
      </c>
      <c r="AP12" s="11">
        <f>IF(預測IC!AP21&gt;預測IC!AP$27,1,0)</f>
        <v>0</v>
      </c>
      <c r="AQ12" s="11">
        <f>IF(預測IC!AQ21&gt;預測IC!AQ$27,1,0)</f>
        <v>0</v>
      </c>
      <c r="AR12" s="11">
        <f>IF(預測IC!AR21&gt;預測IC!AR$27,1,0)</f>
        <v>1</v>
      </c>
      <c r="AS12" s="11">
        <f>IF(預測IC!AS21&gt;預測IC!AS$27,1,0)</f>
        <v>1</v>
      </c>
      <c r="AT12" s="11">
        <f>IF(預測IC!AT21&gt;預測IC!AT$27,1,0)</f>
        <v>0</v>
      </c>
      <c r="AU12" s="11">
        <f>IF(預測IC!AU21&gt;預測IC!AU$27,1,0)</f>
        <v>1</v>
      </c>
      <c r="AV12" s="11">
        <f>IF(預測IC!AV21&gt;預測IC!AV$27,1,0)</f>
        <v>0</v>
      </c>
      <c r="AW12" s="11">
        <f>IF(預測IC!AW21&gt;預測IC!AW$27,1,0)</f>
        <v>0</v>
      </c>
      <c r="AX12" s="11">
        <f>IF(預測IC!AX21&gt;預測IC!AX$27,1,0)</f>
        <v>0</v>
      </c>
      <c r="AY12" s="11">
        <f>IF(預測IC!AY21&gt;預測IC!AY$27,1,0)</f>
        <v>0</v>
      </c>
      <c r="AZ12" s="11">
        <f>IF(預測IC!AZ21&gt;預測IC!AZ$27,1,0)</f>
        <v>1</v>
      </c>
      <c r="BA12" s="11">
        <f>IF(預測IC!BA21&gt;預測IC!BA$27,1,0)</f>
        <v>1</v>
      </c>
      <c r="BB12" s="11">
        <f>IF(預測IC!BB21&gt;預測IC!BB$27,1,0)</f>
        <v>0</v>
      </c>
      <c r="BC12" s="11">
        <f>IF(預測IC!BC21&gt;預測IC!BC$27,1,0)</f>
        <v>0</v>
      </c>
      <c r="BD12" s="11">
        <f>IF(預測IC!BD21&gt;預測IC!BD$27,1,0)</f>
        <v>1</v>
      </c>
      <c r="BE12" s="11">
        <f>IF(預測IC!BE21&gt;預測IC!BE$27,1,0)</f>
        <v>0</v>
      </c>
      <c r="BF12" s="11">
        <f>IF(預測IC!BF21&gt;預測IC!BF$27,1,0)</f>
        <v>0</v>
      </c>
      <c r="BG12" s="11">
        <f>IF(預測IC!BG21&gt;預測IC!BG$27,1,0)</f>
        <v>1</v>
      </c>
      <c r="BH12" s="11">
        <f>IF(預測IC!BH21&gt;預測IC!BH$27,1,0)</f>
        <v>1</v>
      </c>
      <c r="BI12" s="11">
        <f>IF(預測IC!BI21&gt;預測IC!BI$27,1,0)</f>
        <v>0</v>
      </c>
      <c r="BJ12" s="11">
        <f>IF(預測IC!BJ21&gt;預測IC!BJ$27,1,0)</f>
        <v>0</v>
      </c>
      <c r="BK12" s="11">
        <f>IF(預測IC!BK21&gt;預測IC!BK$27,1,0)</f>
        <v>0</v>
      </c>
      <c r="BL12" s="11">
        <f>IF(預測IC!BL21&gt;預測IC!BL$27,1,0)</f>
        <v>0</v>
      </c>
      <c r="BM12" s="11">
        <f>IF(預測IC!BM21&gt;預測IC!BM$27,1,0)</f>
        <v>0</v>
      </c>
      <c r="BN12" s="11">
        <f>IF(預測IC!BN21&gt;預測IC!BN$27,1,0)</f>
        <v>0</v>
      </c>
      <c r="BO12" s="11">
        <f>IF(預測IC!BO21&gt;預測IC!BO$27,1,0)</f>
        <v>1</v>
      </c>
      <c r="BP12" s="11">
        <f>IF(預測IC!BP21&gt;預測IC!BP$27,1,0)</f>
        <v>1</v>
      </c>
      <c r="BQ12" s="11">
        <f>IF(預測IC!BQ21&gt;預測IC!BQ$27,1,0)</f>
        <v>1</v>
      </c>
      <c r="BR12" s="11">
        <f>IF(預測IC!BR21&gt;預測IC!BR$27,1,0)</f>
        <v>1</v>
      </c>
      <c r="BS12" s="11">
        <f>IF(預測IC!BS21&gt;預測IC!BS$27,1,0)</f>
        <v>0</v>
      </c>
      <c r="BT12" s="11">
        <f>IF(預測IC!BT21&gt;預測IC!BT$27,1,0)</f>
        <v>0</v>
      </c>
      <c r="BU12" s="11">
        <f>IF(預測IC!BU21&gt;預測IC!BU$27,1,0)</f>
        <v>1</v>
      </c>
      <c r="BV12" s="11">
        <f>IF(預測IC!BV21&gt;預測IC!BV$27,1,0)</f>
        <v>0</v>
      </c>
      <c r="BW12" s="11">
        <f>IF(預測IC!BW21&gt;預測IC!BW$27,1,0)</f>
        <v>1</v>
      </c>
      <c r="BX12" s="11">
        <f>IF(預測IC!BX21&gt;預測IC!BX$27,1,0)</f>
        <v>1</v>
      </c>
      <c r="BY12" s="11">
        <f>IF(預測IC!BY21&gt;預測IC!BY$27,1,0)</f>
        <v>1</v>
      </c>
      <c r="BZ12" s="11">
        <f>IF(預測IC!BZ21&gt;預測IC!BZ$27,1,0)</f>
        <v>0</v>
      </c>
      <c r="CA12" s="11">
        <f>IF(預測IC!CA21&gt;預測IC!CA$27,1,0)</f>
        <v>1</v>
      </c>
      <c r="CB12" s="11">
        <f>IF(預測IC!CB21&gt;預測IC!CB$27,1,0)</f>
        <v>1</v>
      </c>
      <c r="CC12" s="11">
        <f>IF(預測IC!CC21&gt;預測IC!CC$27,1,0)</f>
        <v>0</v>
      </c>
      <c r="CD12" s="11">
        <f>IF(預測IC!CD21&gt;預測IC!CD$27,1,0)</f>
        <v>0</v>
      </c>
      <c r="CE12" s="11">
        <f>IF(預測IC!CE21&gt;預測IC!CE$27,1,0)</f>
        <v>1</v>
      </c>
      <c r="CF12" s="11">
        <f>IF(預測IC!CF21&gt;預測IC!CF$27,1,0)</f>
        <v>0</v>
      </c>
      <c r="CG12" s="11">
        <f>IF(預測IC!CG21&gt;預測IC!CG$27,1,0)</f>
        <v>0</v>
      </c>
      <c r="CH12" s="11">
        <f>IF(預測IC!CH21&gt;預測IC!CH$27,1,0)</f>
        <v>0</v>
      </c>
      <c r="CI12" s="11">
        <f>IF(預測IC!CI21&gt;預測IC!CI$27,1,0)</f>
        <v>1</v>
      </c>
      <c r="CJ12" s="11">
        <f>IF(預測IC!CJ21&gt;預測IC!CJ$27,1,0)</f>
        <v>0</v>
      </c>
      <c r="CK12" s="11">
        <f>IF(預測IC!CK21&gt;預測IC!CK$27,1,0)</f>
        <v>1</v>
      </c>
      <c r="CL12" s="11">
        <f>IF(預測IC!CL21&gt;預測IC!CL$27,1,0)</f>
        <v>0</v>
      </c>
      <c r="CM12" s="11">
        <f>IF(預測IC!CM21&gt;預測IC!CM$27,1,0)</f>
        <v>0</v>
      </c>
      <c r="CN12" s="11">
        <f>IF(預測IC!CN21&gt;預測IC!CN$27,1,0)</f>
        <v>1</v>
      </c>
      <c r="CO12" s="11">
        <f>IF(預測IC!CO21&gt;預測IC!CO$27,1,0)</f>
        <v>1</v>
      </c>
      <c r="CP12" s="11">
        <f>IF(預測IC!CP21&gt;預測IC!CP$27,1,0)</f>
        <v>0</v>
      </c>
      <c r="CQ12" s="11">
        <f>IF(預測IC!CQ21&gt;預測IC!CQ$27,1,0)</f>
        <v>1</v>
      </c>
      <c r="CR12" s="11">
        <f>IF(預測IC!CR21&gt;預測IC!CR$27,1,0)</f>
        <v>0</v>
      </c>
      <c r="CS12" s="11">
        <f>IF(預測IC!CS21&gt;預測IC!CS$27,1,0)</f>
        <v>1</v>
      </c>
      <c r="CT12" s="11">
        <f>IF(預測IC!CT21&gt;預測IC!CT$27,1,0)</f>
        <v>0</v>
      </c>
      <c r="CU12" s="11">
        <f>IF(預測IC!CU21&gt;預測IC!CU$27,1,0)</f>
        <v>1</v>
      </c>
      <c r="CV12" s="11">
        <f>IF(預測IC!CV21&gt;預測IC!CV$27,1,0)</f>
        <v>1</v>
      </c>
      <c r="CW12" s="11">
        <f>IF(預測IC!CW21&gt;預測IC!CW$27,1,0)</f>
        <v>0</v>
      </c>
      <c r="CX12" s="11">
        <f>IF(預測IC!CX21&gt;預測IC!CX$27,1,0)</f>
        <v>1</v>
      </c>
      <c r="CY12" s="11">
        <f>IF(預測IC!CY21&gt;預測IC!CY$27,1,0)</f>
        <v>1</v>
      </c>
      <c r="CZ12" s="11">
        <f>IF(預測IC!CZ21&gt;預測IC!CZ$27,1,0)</f>
        <v>1</v>
      </c>
      <c r="DA12" s="11">
        <f>IF(預測IC!DA21&gt;預測IC!DA$27,1,0)</f>
        <v>1</v>
      </c>
      <c r="DB12" s="11">
        <f>IF(預測IC!DB21&gt;預測IC!DB$27,1,0)</f>
        <v>0</v>
      </c>
      <c r="DC12" s="11">
        <f>IF(預測IC!DC21&gt;預測IC!DC$27,1,0)</f>
        <v>1</v>
      </c>
      <c r="DD12" s="11">
        <f>IF(預測IC!DD21&gt;預測IC!DD$27,1,0)</f>
        <v>1</v>
      </c>
      <c r="DE12" s="11">
        <f>IF(預測IC!DE21&gt;預測IC!DE$27,1,0)</f>
        <v>0</v>
      </c>
      <c r="DF12" s="11">
        <f>IF(預測IC!DF21&gt;預測IC!DF$27,1,0)</f>
        <v>0</v>
      </c>
      <c r="DG12" s="11">
        <f>IF(預測IC!DG21&gt;預測IC!DG$27,1,0)</f>
        <v>0</v>
      </c>
      <c r="DH12" s="11">
        <f>IF(預測IC!DH21&gt;預測IC!DH$27,1,0)</f>
        <v>0</v>
      </c>
      <c r="DI12" s="11">
        <f>IF(預測IC!DI21&gt;預測IC!DI$27,1,0)</f>
        <v>0</v>
      </c>
      <c r="DJ12" s="11">
        <f>IF(預測IC!DJ21&gt;預測IC!DJ$27,1,0)</f>
        <v>1</v>
      </c>
      <c r="DK12" s="11">
        <f>IF(預測IC!DK21&gt;預測IC!DK$27,1,0)</f>
        <v>0</v>
      </c>
      <c r="DL12" s="11">
        <f>IF(預測IC!DL21&gt;預測IC!DL$27,1,0)</f>
        <v>0</v>
      </c>
      <c r="DM12" s="11">
        <f>IF(預測IC!DM21&gt;預測IC!DM$27,1,0)</f>
        <v>0</v>
      </c>
      <c r="DN12" s="11">
        <f>IF(預測IC!DN21&gt;預測IC!DN$27,1,0)</f>
        <v>1</v>
      </c>
      <c r="DO12" s="11">
        <f>IF(預測IC!DO21&gt;預測IC!DO$27,1,0)</f>
        <v>0</v>
      </c>
      <c r="DP12" s="11">
        <f>IF(預測IC!DP21&gt;預測IC!DP$27,1,0)</f>
        <v>0</v>
      </c>
      <c r="DQ12" s="11">
        <f>IF(預測IC!DQ21&gt;預測IC!DQ$27,1,0)</f>
        <v>0</v>
      </c>
      <c r="DR12" s="11">
        <f>IF(預測IC!DR21&gt;預測IC!DR$27,1,0)</f>
        <v>1</v>
      </c>
      <c r="DS12" s="11">
        <f>IF(預測IC!DS21&gt;預測IC!DS$27,1,0)</f>
        <v>1</v>
      </c>
      <c r="DT12" s="11">
        <f>IF(預測IC!DT21&gt;預測IC!DT$27,1,0)</f>
        <v>0</v>
      </c>
      <c r="DU12" s="11">
        <f>IF(預測IC!DU21&gt;預測IC!DU$27,1,0)</f>
        <v>0</v>
      </c>
      <c r="DV12" s="11">
        <f>IF(預測IC!DV21&gt;預測IC!DV$27,1,0)</f>
        <v>1</v>
      </c>
      <c r="DW12" s="11">
        <f>IF(預測IC!DW21&gt;預測IC!DW$27,1,0)</f>
        <v>0</v>
      </c>
      <c r="DX12" s="11">
        <f>IF(預測IC!DX21&gt;預測IC!DX$27,1,0)</f>
        <v>0</v>
      </c>
      <c r="DY12" s="11">
        <f>IF(預測IC!DY21&gt;預測IC!DY$27,1,0)</f>
        <v>1</v>
      </c>
      <c r="DZ12" s="11">
        <f>IF(預測IC!DZ21&gt;預測IC!DZ$27,1,0)</f>
        <v>1</v>
      </c>
      <c r="EA12" s="11">
        <f>IF(預測IC!EA21&gt;預測IC!EA$27,1,0)</f>
        <v>0</v>
      </c>
      <c r="EB12" s="11">
        <f>IF(預測IC!EB21&gt;預測IC!EB$27,1,0)</f>
        <v>0</v>
      </c>
      <c r="EC12" s="11">
        <f>IF(預測IC!EC21&gt;預測IC!EC$27,1,0)</f>
        <v>1</v>
      </c>
      <c r="ED12" s="11">
        <f>IF(預測IC!ED21&gt;預測IC!ED$27,1,0)</f>
        <v>0</v>
      </c>
      <c r="EE12" s="11">
        <f>IF(預測IC!EE21&gt;預測IC!EE$27,1,0)</f>
        <v>1</v>
      </c>
      <c r="EF12" s="11">
        <f>IF(預測IC!EF21&gt;預測IC!EF$27,1,0)</f>
        <v>1</v>
      </c>
      <c r="EG12" s="1">
        <f t="shared" si="0"/>
        <v>66</v>
      </c>
      <c r="EH12" s="2">
        <f t="shared" si="1"/>
        <v>0.4925373134328358</v>
      </c>
    </row>
    <row r="13" spans="1:138" ht="16" customHeight="1">
      <c r="A13" s="6">
        <v>192</v>
      </c>
      <c r="B13" s="6">
        <v>5</v>
      </c>
      <c r="C13" s="11">
        <f>IF(預測IC!C22&gt;預測IC!C$27,1,0)</f>
        <v>1</v>
      </c>
      <c r="D13" s="11">
        <f>IF(預測IC!D22&gt;預測IC!D$27,1,0)</f>
        <v>0</v>
      </c>
      <c r="E13" s="11">
        <f>IF(預測IC!E22&gt;預測IC!E$27,1,0)</f>
        <v>1</v>
      </c>
      <c r="F13" s="11">
        <f>IF(預測IC!F22&gt;預測IC!F$27,1,0)</f>
        <v>1</v>
      </c>
      <c r="G13" s="11">
        <f>IF(預測IC!G22&gt;預測IC!G$27,1,0)</f>
        <v>1</v>
      </c>
      <c r="H13" s="11">
        <f>IF(預測IC!H22&gt;預測IC!H$27,1,0)</f>
        <v>0</v>
      </c>
      <c r="I13" s="11">
        <f>IF(預測IC!I22&gt;預測IC!I$27,1,0)</f>
        <v>1</v>
      </c>
      <c r="J13" s="11">
        <f>IF(預測IC!J22&gt;預測IC!J$27,1,0)</f>
        <v>0</v>
      </c>
      <c r="K13" s="11">
        <f>IF(預測IC!K22&gt;預測IC!K$27,1,0)</f>
        <v>1</v>
      </c>
      <c r="L13" s="11">
        <f>IF(預測IC!L22&gt;預測IC!L$27,1,0)</f>
        <v>1</v>
      </c>
      <c r="M13" s="11">
        <f>IF(預測IC!M22&gt;預測IC!M$27,1,0)</f>
        <v>0</v>
      </c>
      <c r="N13" s="11">
        <f>IF(預測IC!N22&gt;預測IC!N$27,1,0)</f>
        <v>0</v>
      </c>
      <c r="O13" s="11">
        <f>IF(預測IC!O22&gt;預測IC!O$27,1,0)</f>
        <v>1</v>
      </c>
      <c r="P13" s="11">
        <f>IF(預測IC!P22&gt;預測IC!P$27,1,0)</f>
        <v>1</v>
      </c>
      <c r="Q13" s="11">
        <f>IF(預測IC!Q22&gt;預測IC!Q$27,1,0)</f>
        <v>0</v>
      </c>
      <c r="R13" s="11">
        <f>IF(預測IC!R22&gt;預測IC!R$27,1,0)</f>
        <v>0</v>
      </c>
      <c r="S13" s="11">
        <f>IF(預測IC!S22&gt;預測IC!S$27,1,0)</f>
        <v>1</v>
      </c>
      <c r="T13" s="11">
        <f>IF(預測IC!T22&gt;預測IC!T$27,1,0)</f>
        <v>1</v>
      </c>
      <c r="U13" s="11">
        <f>IF(預測IC!U22&gt;預測IC!U$27,1,0)</f>
        <v>1</v>
      </c>
      <c r="V13" s="11">
        <f>IF(預測IC!V22&gt;預測IC!V$27,1,0)</f>
        <v>1</v>
      </c>
      <c r="W13" s="11">
        <f>IF(預測IC!W22&gt;預測IC!W$27,1,0)</f>
        <v>1</v>
      </c>
      <c r="X13" s="11">
        <f>IF(預測IC!X22&gt;預測IC!X$27,1,0)</f>
        <v>0</v>
      </c>
      <c r="Y13" s="11">
        <f>IF(預測IC!Y22&gt;預測IC!Y$27,1,0)</f>
        <v>0</v>
      </c>
      <c r="Z13" s="11">
        <f>IF(預測IC!Z22&gt;預測IC!Z$27,1,0)</f>
        <v>1</v>
      </c>
      <c r="AA13" s="11">
        <f>IF(預測IC!AA22&gt;預測IC!AA$27,1,0)</f>
        <v>1</v>
      </c>
      <c r="AB13" s="11">
        <f>IF(預測IC!AB22&gt;預測IC!AB$27,1,0)</f>
        <v>0</v>
      </c>
      <c r="AC13" s="11">
        <f>IF(預測IC!AC22&gt;預測IC!AC$27,1,0)</f>
        <v>1</v>
      </c>
      <c r="AD13" s="11">
        <f>IF(預測IC!AD22&gt;預測IC!AD$27,1,0)</f>
        <v>1</v>
      </c>
      <c r="AE13" s="11">
        <f>IF(預測IC!AE22&gt;預測IC!AE$27,1,0)</f>
        <v>0</v>
      </c>
      <c r="AF13" s="11">
        <f>IF(預測IC!AF22&gt;預測IC!AF$27,1,0)</f>
        <v>1</v>
      </c>
      <c r="AG13" s="11">
        <f>IF(預測IC!AG22&gt;預測IC!AG$27,1,0)</f>
        <v>0</v>
      </c>
      <c r="AH13" s="11">
        <f>IF(預測IC!AH22&gt;預測IC!AH$27,1,0)</f>
        <v>0</v>
      </c>
      <c r="AI13" s="11">
        <f>IF(預測IC!AI22&gt;預測IC!AI$27,1,0)</f>
        <v>1</v>
      </c>
      <c r="AJ13" s="11">
        <f>IF(預測IC!AJ22&gt;預測IC!AJ$27,1,0)</f>
        <v>1</v>
      </c>
      <c r="AK13" s="11">
        <f>IF(預測IC!AK22&gt;預測IC!AK$27,1,0)</f>
        <v>0</v>
      </c>
      <c r="AL13" s="11">
        <f>IF(預測IC!AL22&gt;預測IC!AL$27,1,0)</f>
        <v>0</v>
      </c>
      <c r="AM13" s="11">
        <f>IF(預測IC!AM22&gt;預測IC!AM$27,1,0)</f>
        <v>0</v>
      </c>
      <c r="AN13" s="11">
        <f>IF(預測IC!AN22&gt;預測IC!AN$27,1,0)</f>
        <v>1</v>
      </c>
      <c r="AO13" s="11">
        <f>IF(預測IC!AO22&gt;預測IC!AO$27,1,0)</f>
        <v>0</v>
      </c>
      <c r="AP13" s="11">
        <f>IF(預測IC!AP22&gt;預測IC!AP$27,1,0)</f>
        <v>0</v>
      </c>
      <c r="AQ13" s="11">
        <f>IF(預測IC!AQ22&gt;預測IC!AQ$27,1,0)</f>
        <v>0</v>
      </c>
      <c r="AR13" s="11">
        <f>IF(預測IC!AR22&gt;預測IC!AR$27,1,0)</f>
        <v>1</v>
      </c>
      <c r="AS13" s="11">
        <f>IF(預測IC!AS22&gt;預測IC!AS$27,1,0)</f>
        <v>0</v>
      </c>
      <c r="AT13" s="11">
        <f>IF(預測IC!AT22&gt;預測IC!AT$27,1,0)</f>
        <v>0</v>
      </c>
      <c r="AU13" s="11">
        <f>IF(預測IC!AU22&gt;預測IC!AU$27,1,0)</f>
        <v>1</v>
      </c>
      <c r="AV13" s="11">
        <f>IF(預測IC!AV22&gt;預測IC!AV$27,1,0)</f>
        <v>0</v>
      </c>
      <c r="AW13" s="11">
        <f>IF(預測IC!AW22&gt;預測IC!AW$27,1,0)</f>
        <v>0</v>
      </c>
      <c r="AX13" s="11">
        <f>IF(預測IC!AX22&gt;預測IC!AX$27,1,0)</f>
        <v>0</v>
      </c>
      <c r="AY13" s="11">
        <f>IF(預測IC!AY22&gt;預測IC!AY$27,1,0)</f>
        <v>0</v>
      </c>
      <c r="AZ13" s="11">
        <f>IF(預測IC!AZ22&gt;預測IC!AZ$27,1,0)</f>
        <v>1</v>
      </c>
      <c r="BA13" s="11">
        <f>IF(預測IC!BA22&gt;預測IC!BA$27,1,0)</f>
        <v>1</v>
      </c>
      <c r="BB13" s="11">
        <f>IF(預測IC!BB22&gt;預測IC!BB$27,1,0)</f>
        <v>0</v>
      </c>
      <c r="BC13" s="11">
        <f>IF(預測IC!BC22&gt;預測IC!BC$27,1,0)</f>
        <v>0</v>
      </c>
      <c r="BD13" s="11">
        <f>IF(預測IC!BD22&gt;預測IC!BD$27,1,0)</f>
        <v>1</v>
      </c>
      <c r="BE13" s="11">
        <f>IF(預測IC!BE22&gt;預測IC!BE$27,1,0)</f>
        <v>0</v>
      </c>
      <c r="BF13" s="11">
        <f>IF(預測IC!BF22&gt;預測IC!BF$27,1,0)</f>
        <v>0</v>
      </c>
      <c r="BG13" s="11">
        <f>IF(預測IC!BG22&gt;預測IC!BG$27,1,0)</f>
        <v>1</v>
      </c>
      <c r="BH13" s="11">
        <f>IF(預測IC!BH22&gt;預測IC!BH$27,1,0)</f>
        <v>1</v>
      </c>
      <c r="BI13" s="11">
        <f>IF(預測IC!BI22&gt;預測IC!BI$27,1,0)</f>
        <v>0</v>
      </c>
      <c r="BJ13" s="11">
        <f>IF(預測IC!BJ22&gt;預測IC!BJ$27,1,0)</f>
        <v>0</v>
      </c>
      <c r="BK13" s="11">
        <f>IF(預測IC!BK22&gt;預測IC!BK$27,1,0)</f>
        <v>0</v>
      </c>
      <c r="BL13" s="11">
        <f>IF(預測IC!BL22&gt;預測IC!BL$27,1,0)</f>
        <v>0</v>
      </c>
      <c r="BM13" s="11">
        <f>IF(預測IC!BM22&gt;預測IC!BM$27,1,0)</f>
        <v>0</v>
      </c>
      <c r="BN13" s="11">
        <f>IF(預測IC!BN22&gt;預測IC!BN$27,1,0)</f>
        <v>0</v>
      </c>
      <c r="BO13" s="11">
        <f>IF(預測IC!BO22&gt;預測IC!BO$27,1,0)</f>
        <v>1</v>
      </c>
      <c r="BP13" s="11">
        <f>IF(預測IC!BP22&gt;預測IC!BP$27,1,0)</f>
        <v>1</v>
      </c>
      <c r="BQ13" s="11">
        <f>IF(預測IC!BQ22&gt;預測IC!BQ$27,1,0)</f>
        <v>1</v>
      </c>
      <c r="BR13" s="11">
        <f>IF(預測IC!BR22&gt;預測IC!BR$27,1,0)</f>
        <v>1</v>
      </c>
      <c r="BS13" s="11">
        <f>IF(預測IC!BS22&gt;預測IC!BS$27,1,0)</f>
        <v>0</v>
      </c>
      <c r="BT13" s="11">
        <f>IF(預測IC!BT22&gt;預測IC!BT$27,1,0)</f>
        <v>0</v>
      </c>
      <c r="BU13" s="11">
        <f>IF(預測IC!BU22&gt;預測IC!BU$27,1,0)</f>
        <v>1</v>
      </c>
      <c r="BV13" s="11">
        <f>IF(預測IC!BV22&gt;預測IC!BV$27,1,0)</f>
        <v>0</v>
      </c>
      <c r="BW13" s="11">
        <f>IF(預測IC!BW22&gt;預測IC!BW$27,1,0)</f>
        <v>1</v>
      </c>
      <c r="BX13" s="11">
        <f>IF(預測IC!BX22&gt;預測IC!BX$27,1,0)</f>
        <v>1</v>
      </c>
      <c r="BY13" s="11">
        <f>IF(預測IC!BY22&gt;預測IC!BY$27,1,0)</f>
        <v>1</v>
      </c>
      <c r="BZ13" s="11">
        <f>IF(預測IC!BZ22&gt;預測IC!BZ$27,1,0)</f>
        <v>0</v>
      </c>
      <c r="CA13" s="11">
        <f>IF(預測IC!CA22&gt;預測IC!CA$27,1,0)</f>
        <v>1</v>
      </c>
      <c r="CB13" s="11">
        <f>IF(預測IC!CB22&gt;預測IC!CB$27,1,0)</f>
        <v>1</v>
      </c>
      <c r="CC13" s="11">
        <f>IF(預測IC!CC22&gt;預測IC!CC$27,1,0)</f>
        <v>0</v>
      </c>
      <c r="CD13" s="11">
        <f>IF(預測IC!CD22&gt;預測IC!CD$27,1,0)</f>
        <v>0</v>
      </c>
      <c r="CE13" s="11">
        <f>IF(預測IC!CE22&gt;預測IC!CE$27,1,0)</f>
        <v>1</v>
      </c>
      <c r="CF13" s="11">
        <f>IF(預測IC!CF22&gt;預測IC!CF$27,1,0)</f>
        <v>0</v>
      </c>
      <c r="CG13" s="11">
        <f>IF(預測IC!CG22&gt;預測IC!CG$27,1,0)</f>
        <v>0</v>
      </c>
      <c r="CH13" s="11">
        <f>IF(預測IC!CH22&gt;預測IC!CH$27,1,0)</f>
        <v>0</v>
      </c>
      <c r="CI13" s="11">
        <f>IF(預測IC!CI22&gt;預測IC!CI$27,1,0)</f>
        <v>1</v>
      </c>
      <c r="CJ13" s="11">
        <f>IF(預測IC!CJ22&gt;預測IC!CJ$27,1,0)</f>
        <v>0</v>
      </c>
      <c r="CK13" s="11">
        <f>IF(預測IC!CK22&gt;預測IC!CK$27,1,0)</f>
        <v>1</v>
      </c>
      <c r="CL13" s="11">
        <f>IF(預測IC!CL22&gt;預測IC!CL$27,1,0)</f>
        <v>0</v>
      </c>
      <c r="CM13" s="11">
        <f>IF(預測IC!CM22&gt;預測IC!CM$27,1,0)</f>
        <v>0</v>
      </c>
      <c r="CN13" s="11">
        <f>IF(預測IC!CN22&gt;預測IC!CN$27,1,0)</f>
        <v>1</v>
      </c>
      <c r="CO13" s="11">
        <f>IF(預測IC!CO22&gt;預測IC!CO$27,1,0)</f>
        <v>1</v>
      </c>
      <c r="CP13" s="11">
        <f>IF(預測IC!CP22&gt;預測IC!CP$27,1,0)</f>
        <v>0</v>
      </c>
      <c r="CQ13" s="11">
        <f>IF(預測IC!CQ22&gt;預測IC!CQ$27,1,0)</f>
        <v>1</v>
      </c>
      <c r="CR13" s="11">
        <f>IF(預測IC!CR22&gt;預測IC!CR$27,1,0)</f>
        <v>1</v>
      </c>
      <c r="CS13" s="11">
        <f>IF(預測IC!CS22&gt;預測IC!CS$27,1,0)</f>
        <v>1</v>
      </c>
      <c r="CT13" s="11">
        <f>IF(預測IC!CT22&gt;預測IC!CT$27,1,0)</f>
        <v>0</v>
      </c>
      <c r="CU13" s="11">
        <f>IF(預測IC!CU22&gt;預測IC!CU$27,1,0)</f>
        <v>1</v>
      </c>
      <c r="CV13" s="11">
        <f>IF(預測IC!CV22&gt;預測IC!CV$27,1,0)</f>
        <v>1</v>
      </c>
      <c r="CW13" s="11">
        <f>IF(預測IC!CW22&gt;預測IC!CW$27,1,0)</f>
        <v>0</v>
      </c>
      <c r="CX13" s="11">
        <f>IF(預測IC!CX22&gt;預測IC!CX$27,1,0)</f>
        <v>1</v>
      </c>
      <c r="CY13" s="11">
        <f>IF(預測IC!CY22&gt;預測IC!CY$27,1,0)</f>
        <v>1</v>
      </c>
      <c r="CZ13" s="11">
        <f>IF(預測IC!CZ22&gt;預測IC!CZ$27,1,0)</f>
        <v>1</v>
      </c>
      <c r="DA13" s="11">
        <f>IF(預測IC!DA22&gt;預測IC!DA$27,1,0)</f>
        <v>1</v>
      </c>
      <c r="DB13" s="11">
        <f>IF(預測IC!DB22&gt;預測IC!DB$27,1,0)</f>
        <v>0</v>
      </c>
      <c r="DC13" s="11">
        <f>IF(預測IC!DC22&gt;預測IC!DC$27,1,0)</f>
        <v>1</v>
      </c>
      <c r="DD13" s="11">
        <f>IF(預測IC!DD22&gt;預測IC!DD$27,1,0)</f>
        <v>0</v>
      </c>
      <c r="DE13" s="11">
        <f>IF(預測IC!DE22&gt;預測IC!DE$27,1,0)</f>
        <v>0</v>
      </c>
      <c r="DF13" s="11">
        <f>IF(預測IC!DF22&gt;預測IC!DF$27,1,0)</f>
        <v>0</v>
      </c>
      <c r="DG13" s="11">
        <f>IF(預測IC!DG22&gt;預測IC!DG$27,1,0)</f>
        <v>0</v>
      </c>
      <c r="DH13" s="11">
        <f>IF(預測IC!DH22&gt;預測IC!DH$27,1,0)</f>
        <v>0</v>
      </c>
      <c r="DI13" s="11">
        <f>IF(預測IC!DI22&gt;預測IC!DI$27,1,0)</f>
        <v>0</v>
      </c>
      <c r="DJ13" s="11">
        <f>IF(預測IC!DJ22&gt;預測IC!DJ$27,1,0)</f>
        <v>1</v>
      </c>
      <c r="DK13" s="11">
        <f>IF(預測IC!DK22&gt;預測IC!DK$27,1,0)</f>
        <v>0</v>
      </c>
      <c r="DL13" s="11">
        <f>IF(預測IC!DL22&gt;預測IC!DL$27,1,0)</f>
        <v>0</v>
      </c>
      <c r="DM13" s="11">
        <f>IF(預測IC!DM22&gt;預測IC!DM$27,1,0)</f>
        <v>0</v>
      </c>
      <c r="DN13" s="11">
        <f>IF(預測IC!DN22&gt;預測IC!DN$27,1,0)</f>
        <v>1</v>
      </c>
      <c r="DO13" s="11">
        <f>IF(預測IC!DO22&gt;預測IC!DO$27,1,0)</f>
        <v>0</v>
      </c>
      <c r="DP13" s="11">
        <f>IF(預測IC!DP22&gt;預測IC!DP$27,1,0)</f>
        <v>0</v>
      </c>
      <c r="DQ13" s="11">
        <f>IF(預測IC!DQ22&gt;預測IC!DQ$27,1,0)</f>
        <v>0</v>
      </c>
      <c r="DR13" s="11">
        <f>IF(預測IC!DR22&gt;預測IC!DR$27,1,0)</f>
        <v>1</v>
      </c>
      <c r="DS13" s="11">
        <f>IF(預測IC!DS22&gt;預測IC!DS$27,1,0)</f>
        <v>1</v>
      </c>
      <c r="DT13" s="11">
        <f>IF(預測IC!DT22&gt;預測IC!DT$27,1,0)</f>
        <v>0</v>
      </c>
      <c r="DU13" s="11">
        <f>IF(預測IC!DU22&gt;預測IC!DU$27,1,0)</f>
        <v>0</v>
      </c>
      <c r="DV13" s="11">
        <f>IF(預測IC!DV22&gt;預測IC!DV$27,1,0)</f>
        <v>1</v>
      </c>
      <c r="DW13" s="11">
        <f>IF(預測IC!DW22&gt;預測IC!DW$27,1,0)</f>
        <v>0</v>
      </c>
      <c r="DX13" s="11">
        <f>IF(預測IC!DX22&gt;預測IC!DX$27,1,0)</f>
        <v>0</v>
      </c>
      <c r="DY13" s="11">
        <f>IF(預測IC!DY22&gt;預測IC!DY$27,1,0)</f>
        <v>1</v>
      </c>
      <c r="DZ13" s="11">
        <f>IF(預測IC!DZ22&gt;預測IC!DZ$27,1,0)</f>
        <v>1</v>
      </c>
      <c r="EA13" s="11">
        <f>IF(預測IC!EA22&gt;預測IC!EA$27,1,0)</f>
        <v>0</v>
      </c>
      <c r="EB13" s="11">
        <f>IF(預測IC!EB22&gt;預測IC!EB$27,1,0)</f>
        <v>1</v>
      </c>
      <c r="EC13" s="11">
        <f>IF(預測IC!EC22&gt;預測IC!EC$27,1,0)</f>
        <v>1</v>
      </c>
      <c r="ED13" s="11">
        <f>IF(預測IC!ED22&gt;預測IC!ED$27,1,0)</f>
        <v>0</v>
      </c>
      <c r="EE13" s="11">
        <f>IF(預測IC!EE22&gt;預測IC!EE$27,1,0)</f>
        <v>1</v>
      </c>
      <c r="EF13" s="11">
        <f>IF(預測IC!EF22&gt;預測IC!EF$27,1,0)</f>
        <v>1</v>
      </c>
      <c r="EG13" s="1">
        <f t="shared" si="0"/>
        <v>65</v>
      </c>
      <c r="EH13" s="2">
        <f t="shared" si="1"/>
        <v>0.48507462686567165</v>
      </c>
    </row>
    <row r="14" spans="1:138" ht="16" customHeight="1">
      <c r="A14" s="6">
        <v>241</v>
      </c>
      <c r="B14" s="6">
        <v>4</v>
      </c>
      <c r="C14" s="11">
        <f>IF(預測IC!C23&gt;預測IC!C$27,1,0)</f>
        <v>1</v>
      </c>
      <c r="D14" s="11">
        <f>IF(預測IC!D23&gt;預測IC!D$27,1,0)</f>
        <v>0</v>
      </c>
      <c r="E14" s="11">
        <f>IF(預測IC!E23&gt;預測IC!E$27,1,0)</f>
        <v>1</v>
      </c>
      <c r="F14" s="11">
        <f>IF(預測IC!F23&gt;預測IC!F$27,1,0)</f>
        <v>1</v>
      </c>
      <c r="G14" s="11">
        <f>IF(預測IC!G23&gt;預測IC!G$27,1,0)</f>
        <v>1</v>
      </c>
      <c r="H14" s="11">
        <f>IF(預測IC!H23&gt;預測IC!H$27,1,0)</f>
        <v>0</v>
      </c>
      <c r="I14" s="11">
        <f>IF(預測IC!I23&gt;預測IC!I$27,1,0)</f>
        <v>1</v>
      </c>
      <c r="J14" s="11">
        <f>IF(預測IC!J23&gt;預測IC!J$27,1,0)</f>
        <v>1</v>
      </c>
      <c r="K14" s="11">
        <f>IF(預測IC!K23&gt;預測IC!K$27,1,0)</f>
        <v>1</v>
      </c>
      <c r="L14" s="11">
        <f>IF(預測IC!L23&gt;預測IC!L$27,1,0)</f>
        <v>1</v>
      </c>
      <c r="M14" s="11">
        <f>IF(預測IC!M23&gt;預測IC!M$27,1,0)</f>
        <v>0</v>
      </c>
      <c r="N14" s="11">
        <f>IF(預測IC!N23&gt;預測IC!N$27,1,0)</f>
        <v>0</v>
      </c>
      <c r="O14" s="11">
        <f>IF(預測IC!O23&gt;預測IC!O$27,1,0)</f>
        <v>1</v>
      </c>
      <c r="P14" s="11">
        <f>IF(預測IC!P23&gt;預測IC!P$27,1,0)</f>
        <v>1</v>
      </c>
      <c r="Q14" s="11">
        <f>IF(預測IC!Q23&gt;預測IC!Q$27,1,0)</f>
        <v>0</v>
      </c>
      <c r="R14" s="11">
        <f>IF(預測IC!R23&gt;預測IC!R$27,1,0)</f>
        <v>0</v>
      </c>
      <c r="S14" s="11">
        <f>IF(預測IC!S23&gt;預測IC!S$27,1,0)</f>
        <v>1</v>
      </c>
      <c r="T14" s="11">
        <f>IF(預測IC!T23&gt;預測IC!T$27,1,0)</f>
        <v>1</v>
      </c>
      <c r="U14" s="11">
        <f>IF(預測IC!U23&gt;預測IC!U$27,1,0)</f>
        <v>1</v>
      </c>
      <c r="V14" s="11">
        <f>IF(預測IC!V23&gt;預測IC!V$27,1,0)</f>
        <v>1</v>
      </c>
      <c r="W14" s="11">
        <f>IF(預測IC!W23&gt;預測IC!W$27,1,0)</f>
        <v>1</v>
      </c>
      <c r="X14" s="11">
        <f>IF(預測IC!X23&gt;預測IC!X$27,1,0)</f>
        <v>1</v>
      </c>
      <c r="Y14" s="11">
        <f>IF(預測IC!Y23&gt;預測IC!Y$27,1,0)</f>
        <v>0</v>
      </c>
      <c r="Z14" s="11">
        <f>IF(預測IC!Z23&gt;預測IC!Z$27,1,0)</f>
        <v>1</v>
      </c>
      <c r="AA14" s="11">
        <f>IF(預測IC!AA23&gt;預測IC!AA$27,1,0)</f>
        <v>0</v>
      </c>
      <c r="AB14" s="11">
        <f>IF(預測IC!AB23&gt;預測IC!AB$27,1,0)</f>
        <v>0</v>
      </c>
      <c r="AC14" s="11">
        <f>IF(預測IC!AC23&gt;預測IC!AC$27,1,0)</f>
        <v>1</v>
      </c>
      <c r="AD14" s="11">
        <f>IF(預測IC!AD23&gt;預測IC!AD$27,1,0)</f>
        <v>1</v>
      </c>
      <c r="AE14" s="11">
        <f>IF(預測IC!AE23&gt;預測IC!AE$27,1,0)</f>
        <v>0</v>
      </c>
      <c r="AF14" s="11">
        <f>IF(預測IC!AF23&gt;預測IC!AF$27,1,0)</f>
        <v>1</v>
      </c>
      <c r="AG14" s="11">
        <f>IF(預測IC!AG23&gt;預測IC!AG$27,1,0)</f>
        <v>0</v>
      </c>
      <c r="AH14" s="11">
        <f>IF(預測IC!AH23&gt;預測IC!AH$27,1,0)</f>
        <v>0</v>
      </c>
      <c r="AI14" s="11">
        <f>IF(預測IC!AI23&gt;預測IC!AI$27,1,0)</f>
        <v>1</v>
      </c>
      <c r="AJ14" s="11">
        <f>IF(預測IC!AJ23&gt;預測IC!AJ$27,1,0)</f>
        <v>1</v>
      </c>
      <c r="AK14" s="11">
        <f>IF(預測IC!AK23&gt;預測IC!AK$27,1,0)</f>
        <v>0</v>
      </c>
      <c r="AL14" s="11">
        <f>IF(預測IC!AL23&gt;預測IC!AL$27,1,0)</f>
        <v>0</v>
      </c>
      <c r="AM14" s="11">
        <f>IF(預測IC!AM23&gt;預測IC!AM$27,1,0)</f>
        <v>0</v>
      </c>
      <c r="AN14" s="11">
        <f>IF(預測IC!AN23&gt;預測IC!AN$27,1,0)</f>
        <v>1</v>
      </c>
      <c r="AO14" s="11">
        <f>IF(預測IC!AO23&gt;預測IC!AO$27,1,0)</f>
        <v>1</v>
      </c>
      <c r="AP14" s="11">
        <f>IF(預測IC!AP23&gt;預測IC!AP$27,1,0)</f>
        <v>0</v>
      </c>
      <c r="AQ14" s="11">
        <f>IF(預測IC!AQ23&gt;預測IC!AQ$27,1,0)</f>
        <v>0</v>
      </c>
      <c r="AR14" s="11">
        <f>IF(預測IC!AR23&gt;預測IC!AR$27,1,0)</f>
        <v>0</v>
      </c>
      <c r="AS14" s="11">
        <f>IF(預測IC!AS23&gt;預測IC!AS$27,1,0)</f>
        <v>0</v>
      </c>
      <c r="AT14" s="11">
        <f>IF(預測IC!AT23&gt;預測IC!AT$27,1,0)</f>
        <v>1</v>
      </c>
      <c r="AU14" s="11">
        <f>IF(預測IC!AU23&gt;預測IC!AU$27,1,0)</f>
        <v>1</v>
      </c>
      <c r="AV14" s="11">
        <f>IF(預測IC!AV23&gt;預測IC!AV$27,1,0)</f>
        <v>0</v>
      </c>
      <c r="AW14" s="11">
        <f>IF(預測IC!AW23&gt;預測IC!AW$27,1,0)</f>
        <v>0</v>
      </c>
      <c r="AX14" s="11">
        <f>IF(預測IC!AX23&gt;預測IC!AX$27,1,0)</f>
        <v>0</v>
      </c>
      <c r="AY14" s="11">
        <f>IF(預測IC!AY23&gt;預測IC!AY$27,1,0)</f>
        <v>0</v>
      </c>
      <c r="AZ14" s="11">
        <f>IF(預測IC!AZ23&gt;預測IC!AZ$27,1,0)</f>
        <v>1</v>
      </c>
      <c r="BA14" s="11">
        <f>IF(預測IC!BA23&gt;預測IC!BA$27,1,0)</f>
        <v>1</v>
      </c>
      <c r="BB14" s="11">
        <f>IF(預測IC!BB23&gt;預測IC!BB$27,1,0)</f>
        <v>0</v>
      </c>
      <c r="BC14" s="11">
        <f>IF(預測IC!BC23&gt;預測IC!BC$27,1,0)</f>
        <v>0</v>
      </c>
      <c r="BD14" s="11">
        <f>IF(預測IC!BD23&gt;預測IC!BD$27,1,0)</f>
        <v>1</v>
      </c>
      <c r="BE14" s="11">
        <f>IF(預測IC!BE23&gt;預測IC!BE$27,1,0)</f>
        <v>1</v>
      </c>
      <c r="BF14" s="11">
        <f>IF(預測IC!BF23&gt;預測IC!BF$27,1,0)</f>
        <v>0</v>
      </c>
      <c r="BG14" s="11">
        <f>IF(預測IC!BG23&gt;預測IC!BG$27,1,0)</f>
        <v>1</v>
      </c>
      <c r="BH14" s="11">
        <f>IF(預測IC!BH23&gt;預測IC!BH$27,1,0)</f>
        <v>1</v>
      </c>
      <c r="BI14" s="11">
        <f>IF(預測IC!BI23&gt;預測IC!BI$27,1,0)</f>
        <v>0</v>
      </c>
      <c r="BJ14" s="11">
        <f>IF(預測IC!BJ23&gt;預測IC!BJ$27,1,0)</f>
        <v>1</v>
      </c>
      <c r="BK14" s="11">
        <f>IF(預測IC!BK23&gt;預測IC!BK$27,1,0)</f>
        <v>0</v>
      </c>
      <c r="BL14" s="11">
        <f>IF(預測IC!BL23&gt;預測IC!BL$27,1,0)</f>
        <v>0</v>
      </c>
      <c r="BM14" s="11">
        <f>IF(預測IC!BM23&gt;預測IC!BM$27,1,0)</f>
        <v>0</v>
      </c>
      <c r="BN14" s="11">
        <f>IF(預測IC!BN23&gt;預測IC!BN$27,1,0)</f>
        <v>0</v>
      </c>
      <c r="BO14" s="11">
        <f>IF(預測IC!BO23&gt;預測IC!BO$27,1,0)</f>
        <v>1</v>
      </c>
      <c r="BP14" s="11">
        <f>IF(預測IC!BP23&gt;預測IC!BP$27,1,0)</f>
        <v>1</v>
      </c>
      <c r="BQ14" s="11">
        <f>IF(預測IC!BQ23&gt;預測IC!BQ$27,1,0)</f>
        <v>1</v>
      </c>
      <c r="BR14" s="11">
        <f>IF(預測IC!BR23&gt;預測IC!BR$27,1,0)</f>
        <v>1</v>
      </c>
      <c r="BS14" s="11">
        <f>IF(預測IC!BS23&gt;預測IC!BS$27,1,0)</f>
        <v>1</v>
      </c>
      <c r="BT14" s="11">
        <f>IF(預測IC!BT23&gt;預測IC!BT$27,1,0)</f>
        <v>0</v>
      </c>
      <c r="BU14" s="11">
        <f>IF(預測IC!BU23&gt;預測IC!BU$27,1,0)</f>
        <v>1</v>
      </c>
      <c r="BV14" s="11">
        <f>IF(預測IC!BV23&gt;預測IC!BV$27,1,0)</f>
        <v>0</v>
      </c>
      <c r="BW14" s="11">
        <f>IF(預測IC!BW23&gt;預測IC!BW$27,1,0)</f>
        <v>1</v>
      </c>
      <c r="BX14" s="11">
        <f>IF(預測IC!BX23&gt;預測IC!BX$27,1,0)</f>
        <v>1</v>
      </c>
      <c r="BY14" s="11">
        <f>IF(預測IC!BY23&gt;預測IC!BY$27,1,0)</f>
        <v>1</v>
      </c>
      <c r="BZ14" s="11">
        <f>IF(預測IC!BZ23&gt;預測IC!BZ$27,1,0)</f>
        <v>0</v>
      </c>
      <c r="CA14" s="11">
        <f>IF(預測IC!CA23&gt;預測IC!CA$27,1,0)</f>
        <v>1</v>
      </c>
      <c r="CB14" s="11">
        <f>IF(預測IC!CB23&gt;預測IC!CB$27,1,0)</f>
        <v>1</v>
      </c>
      <c r="CC14" s="11">
        <f>IF(預測IC!CC23&gt;預測IC!CC$27,1,0)</f>
        <v>0</v>
      </c>
      <c r="CD14" s="11">
        <f>IF(預測IC!CD23&gt;預測IC!CD$27,1,0)</f>
        <v>0</v>
      </c>
      <c r="CE14" s="11">
        <f>IF(預測IC!CE23&gt;預測IC!CE$27,1,0)</f>
        <v>1</v>
      </c>
      <c r="CF14" s="11">
        <f>IF(預測IC!CF23&gt;預測IC!CF$27,1,0)</f>
        <v>0</v>
      </c>
      <c r="CG14" s="11">
        <f>IF(預測IC!CG23&gt;預測IC!CG$27,1,0)</f>
        <v>0</v>
      </c>
      <c r="CH14" s="11">
        <f>IF(預測IC!CH23&gt;預測IC!CH$27,1,0)</f>
        <v>0</v>
      </c>
      <c r="CI14" s="11">
        <f>IF(預測IC!CI23&gt;預測IC!CI$27,1,0)</f>
        <v>1</v>
      </c>
      <c r="CJ14" s="11">
        <f>IF(預測IC!CJ23&gt;預測IC!CJ$27,1,0)</f>
        <v>0</v>
      </c>
      <c r="CK14" s="11">
        <f>IF(預測IC!CK23&gt;預測IC!CK$27,1,0)</f>
        <v>1</v>
      </c>
      <c r="CL14" s="11">
        <f>IF(預測IC!CL23&gt;預測IC!CL$27,1,0)</f>
        <v>0</v>
      </c>
      <c r="CM14" s="11">
        <f>IF(預測IC!CM23&gt;預測IC!CM$27,1,0)</f>
        <v>1</v>
      </c>
      <c r="CN14" s="11">
        <f>IF(預測IC!CN23&gt;預測IC!CN$27,1,0)</f>
        <v>1</v>
      </c>
      <c r="CO14" s="11">
        <f>IF(預測IC!CO23&gt;預測IC!CO$27,1,0)</f>
        <v>1</v>
      </c>
      <c r="CP14" s="11">
        <f>IF(預測IC!CP23&gt;預測IC!CP$27,1,0)</f>
        <v>0</v>
      </c>
      <c r="CQ14" s="11">
        <f>IF(預測IC!CQ23&gt;預測IC!CQ$27,1,0)</f>
        <v>1</v>
      </c>
      <c r="CR14" s="11">
        <f>IF(預測IC!CR23&gt;預測IC!CR$27,1,0)</f>
        <v>1</v>
      </c>
      <c r="CS14" s="11">
        <f>IF(預測IC!CS23&gt;預測IC!CS$27,1,0)</f>
        <v>1</v>
      </c>
      <c r="CT14" s="11">
        <f>IF(預測IC!CT23&gt;預測IC!CT$27,1,0)</f>
        <v>0</v>
      </c>
      <c r="CU14" s="11">
        <f>IF(預測IC!CU23&gt;預測IC!CU$27,1,0)</f>
        <v>1</v>
      </c>
      <c r="CV14" s="11">
        <f>IF(預測IC!CV23&gt;預測IC!CV$27,1,0)</f>
        <v>1</v>
      </c>
      <c r="CW14" s="11">
        <f>IF(預測IC!CW23&gt;預測IC!CW$27,1,0)</f>
        <v>0</v>
      </c>
      <c r="CX14" s="11">
        <f>IF(預測IC!CX23&gt;預測IC!CX$27,1,0)</f>
        <v>0</v>
      </c>
      <c r="CY14" s="11">
        <f>IF(預測IC!CY23&gt;預測IC!CY$27,1,0)</f>
        <v>1</v>
      </c>
      <c r="CZ14" s="11">
        <f>IF(預測IC!CZ23&gt;預測IC!CZ$27,1,0)</f>
        <v>1</v>
      </c>
      <c r="DA14" s="11">
        <f>IF(預測IC!DA23&gt;預測IC!DA$27,1,0)</f>
        <v>1</v>
      </c>
      <c r="DB14" s="11">
        <f>IF(預測IC!DB23&gt;預測IC!DB$27,1,0)</f>
        <v>0</v>
      </c>
      <c r="DC14" s="11">
        <f>IF(預測IC!DC23&gt;預測IC!DC$27,1,0)</f>
        <v>1</v>
      </c>
      <c r="DD14" s="11">
        <f>IF(預測IC!DD23&gt;預測IC!DD$27,1,0)</f>
        <v>0</v>
      </c>
      <c r="DE14" s="11">
        <f>IF(預測IC!DE23&gt;預測IC!DE$27,1,0)</f>
        <v>0</v>
      </c>
      <c r="DF14" s="11">
        <f>IF(預測IC!DF23&gt;預測IC!DF$27,1,0)</f>
        <v>0</v>
      </c>
      <c r="DG14" s="11">
        <f>IF(預測IC!DG23&gt;預測IC!DG$27,1,0)</f>
        <v>0</v>
      </c>
      <c r="DH14" s="11">
        <f>IF(預測IC!DH23&gt;預測IC!DH$27,1,0)</f>
        <v>0</v>
      </c>
      <c r="DI14" s="11">
        <f>IF(預測IC!DI23&gt;預測IC!DI$27,1,0)</f>
        <v>0</v>
      </c>
      <c r="DJ14" s="11">
        <f>IF(預測IC!DJ23&gt;預測IC!DJ$27,1,0)</f>
        <v>1</v>
      </c>
      <c r="DK14" s="11">
        <f>IF(預測IC!DK23&gt;預測IC!DK$27,1,0)</f>
        <v>0</v>
      </c>
      <c r="DL14" s="11">
        <f>IF(預測IC!DL23&gt;預測IC!DL$27,1,0)</f>
        <v>0</v>
      </c>
      <c r="DM14" s="11">
        <f>IF(預測IC!DM23&gt;預測IC!DM$27,1,0)</f>
        <v>0</v>
      </c>
      <c r="DN14" s="11">
        <f>IF(預測IC!DN23&gt;預測IC!DN$27,1,0)</f>
        <v>1</v>
      </c>
      <c r="DO14" s="11">
        <f>IF(預測IC!DO23&gt;預測IC!DO$27,1,0)</f>
        <v>0</v>
      </c>
      <c r="DP14" s="11">
        <f>IF(預測IC!DP23&gt;預測IC!DP$27,1,0)</f>
        <v>1</v>
      </c>
      <c r="DQ14" s="11">
        <f>IF(預測IC!DQ23&gt;預測IC!DQ$27,1,0)</f>
        <v>0</v>
      </c>
      <c r="DR14" s="11">
        <f>IF(預測IC!DR23&gt;預測IC!DR$27,1,0)</f>
        <v>1</v>
      </c>
      <c r="DS14" s="11">
        <f>IF(預測IC!DS23&gt;預測IC!DS$27,1,0)</f>
        <v>1</v>
      </c>
      <c r="DT14" s="11">
        <f>IF(預測IC!DT23&gt;預測IC!DT$27,1,0)</f>
        <v>1</v>
      </c>
      <c r="DU14" s="11">
        <f>IF(預測IC!DU23&gt;預測IC!DU$27,1,0)</f>
        <v>0</v>
      </c>
      <c r="DV14" s="11">
        <f>IF(預測IC!DV23&gt;預測IC!DV$27,1,0)</f>
        <v>1</v>
      </c>
      <c r="DW14" s="11">
        <f>IF(預測IC!DW23&gt;預測IC!DW$27,1,0)</f>
        <v>0</v>
      </c>
      <c r="DX14" s="11">
        <f>IF(預測IC!DX23&gt;預測IC!DX$27,1,0)</f>
        <v>0</v>
      </c>
      <c r="DY14" s="11">
        <f>IF(預測IC!DY23&gt;預測IC!DY$27,1,0)</f>
        <v>1</v>
      </c>
      <c r="DZ14" s="11">
        <f>IF(預測IC!DZ23&gt;預測IC!DZ$27,1,0)</f>
        <v>1</v>
      </c>
      <c r="EA14" s="11">
        <f>IF(預測IC!EA23&gt;預測IC!EA$27,1,0)</f>
        <v>0</v>
      </c>
      <c r="EB14" s="11">
        <f>IF(預測IC!EB23&gt;預測IC!EB$27,1,0)</f>
        <v>1</v>
      </c>
      <c r="EC14" s="11">
        <f>IF(預測IC!EC23&gt;預測IC!EC$27,1,0)</f>
        <v>1</v>
      </c>
      <c r="ED14" s="11">
        <f>IF(預測IC!ED23&gt;預測IC!ED$27,1,0)</f>
        <v>0</v>
      </c>
      <c r="EE14" s="11">
        <f>IF(預測IC!EE23&gt;預測IC!EE$27,1,0)</f>
        <v>1</v>
      </c>
      <c r="EF14" s="11">
        <f>IF(預測IC!EF23&gt;預測IC!EF$27,1,0)</f>
        <v>1</v>
      </c>
      <c r="EG14" s="1">
        <f t="shared" si="0"/>
        <v>72</v>
      </c>
      <c r="EH14" s="47">
        <f t="shared" si="1"/>
        <v>0.53731343283582089</v>
      </c>
    </row>
    <row r="15" spans="1:138" ht="16" customHeight="1">
      <c r="A15" s="6">
        <v>321</v>
      </c>
      <c r="B15" s="6">
        <v>3</v>
      </c>
      <c r="C15" s="11">
        <f>IF(預測IC!C24&gt;預測IC!C$27,1,0)</f>
        <v>1</v>
      </c>
      <c r="D15" s="11">
        <f>IF(預測IC!D24&gt;預測IC!D$27,1,0)</f>
        <v>0</v>
      </c>
      <c r="E15" s="11">
        <f>IF(預測IC!E24&gt;預測IC!E$27,1,0)</f>
        <v>0</v>
      </c>
      <c r="F15" s="11">
        <f>IF(預測IC!F24&gt;預測IC!F$27,1,0)</f>
        <v>1</v>
      </c>
      <c r="G15" s="11">
        <f>IF(預測IC!G24&gt;預測IC!G$27,1,0)</f>
        <v>1</v>
      </c>
      <c r="H15" s="11">
        <f>IF(預測IC!H24&gt;預測IC!H$27,1,0)</f>
        <v>1</v>
      </c>
      <c r="I15" s="11">
        <f>IF(預測IC!I24&gt;預測IC!I$27,1,0)</f>
        <v>1</v>
      </c>
      <c r="J15" s="11">
        <f>IF(預測IC!J24&gt;預測IC!J$27,1,0)</f>
        <v>0</v>
      </c>
      <c r="K15" s="11">
        <f>IF(預測IC!K24&gt;預測IC!K$27,1,0)</f>
        <v>1</v>
      </c>
      <c r="L15" s="11">
        <f>IF(預測IC!L24&gt;預測IC!L$27,1,0)</f>
        <v>1</v>
      </c>
      <c r="M15" s="11">
        <f>IF(預測IC!M24&gt;預測IC!M$27,1,0)</f>
        <v>0</v>
      </c>
      <c r="N15" s="11">
        <f>IF(預測IC!N24&gt;預測IC!N$27,1,0)</f>
        <v>0</v>
      </c>
      <c r="O15" s="11">
        <f>IF(預測IC!O24&gt;預測IC!O$27,1,0)</f>
        <v>1</v>
      </c>
      <c r="P15" s="11">
        <f>IF(預測IC!P24&gt;預測IC!P$27,1,0)</f>
        <v>0</v>
      </c>
      <c r="Q15" s="11">
        <f>IF(預測IC!Q24&gt;預測IC!Q$27,1,0)</f>
        <v>1</v>
      </c>
      <c r="R15" s="11">
        <f>IF(預測IC!R24&gt;預測IC!R$27,1,0)</f>
        <v>0</v>
      </c>
      <c r="S15" s="11">
        <f>IF(預測IC!S24&gt;預測IC!S$27,1,0)</f>
        <v>1</v>
      </c>
      <c r="T15" s="11">
        <f>IF(預測IC!T24&gt;預測IC!T$27,1,0)</f>
        <v>1</v>
      </c>
      <c r="U15" s="11">
        <f>IF(預測IC!U24&gt;預測IC!U$27,1,0)</f>
        <v>1</v>
      </c>
      <c r="V15" s="11">
        <f>IF(預測IC!V24&gt;預測IC!V$27,1,0)</f>
        <v>1</v>
      </c>
      <c r="W15" s="11">
        <f>IF(預測IC!W24&gt;預測IC!W$27,1,0)</f>
        <v>1</v>
      </c>
      <c r="X15" s="11">
        <f>IF(預測IC!X24&gt;預測IC!X$27,1,0)</f>
        <v>0</v>
      </c>
      <c r="Y15" s="11">
        <f>IF(預測IC!Y24&gt;預測IC!Y$27,1,0)</f>
        <v>0</v>
      </c>
      <c r="Z15" s="11">
        <f>IF(預測IC!Z24&gt;預測IC!Z$27,1,0)</f>
        <v>1</v>
      </c>
      <c r="AA15" s="11">
        <f>IF(預測IC!AA24&gt;預測IC!AA$27,1,0)</f>
        <v>1</v>
      </c>
      <c r="AB15" s="11">
        <f>IF(預測IC!AB24&gt;預測IC!AB$27,1,0)</f>
        <v>0</v>
      </c>
      <c r="AC15" s="11">
        <f>IF(預測IC!AC24&gt;預測IC!AC$27,1,0)</f>
        <v>0</v>
      </c>
      <c r="AD15" s="11">
        <f>IF(預測IC!AD24&gt;預測IC!AD$27,1,0)</f>
        <v>1</v>
      </c>
      <c r="AE15" s="11">
        <f>IF(預測IC!AE24&gt;預測IC!AE$27,1,0)</f>
        <v>0</v>
      </c>
      <c r="AF15" s="11">
        <f>IF(預測IC!AF24&gt;預測IC!AF$27,1,0)</f>
        <v>1</v>
      </c>
      <c r="AG15" s="11">
        <f>IF(預測IC!AG24&gt;預測IC!AG$27,1,0)</f>
        <v>0</v>
      </c>
      <c r="AH15" s="11">
        <f>IF(預測IC!AH24&gt;預測IC!AH$27,1,0)</f>
        <v>0</v>
      </c>
      <c r="AI15" s="11">
        <f>IF(預測IC!AI24&gt;預測IC!AI$27,1,0)</f>
        <v>1</v>
      </c>
      <c r="AJ15" s="11">
        <f>IF(預測IC!AJ24&gt;預測IC!AJ$27,1,0)</f>
        <v>1</v>
      </c>
      <c r="AK15" s="11">
        <f>IF(預測IC!AK24&gt;預測IC!AK$27,1,0)</f>
        <v>0</v>
      </c>
      <c r="AL15" s="11">
        <f>IF(預測IC!AL24&gt;預測IC!AL$27,1,0)</f>
        <v>0</v>
      </c>
      <c r="AM15" s="11">
        <f>IF(預測IC!AM24&gt;預測IC!AM$27,1,0)</f>
        <v>0</v>
      </c>
      <c r="AN15" s="11">
        <f>IF(預測IC!AN24&gt;預測IC!AN$27,1,0)</f>
        <v>1</v>
      </c>
      <c r="AO15" s="11">
        <f>IF(預測IC!AO24&gt;預測IC!AO$27,1,0)</f>
        <v>1</v>
      </c>
      <c r="AP15" s="11">
        <f>IF(預測IC!AP24&gt;預測IC!AP$27,1,0)</f>
        <v>0</v>
      </c>
      <c r="AQ15" s="11">
        <f>IF(預測IC!AQ24&gt;預測IC!AQ$27,1,0)</f>
        <v>0</v>
      </c>
      <c r="AR15" s="11">
        <f>IF(預測IC!AR24&gt;預測IC!AR$27,1,0)</f>
        <v>0</v>
      </c>
      <c r="AS15" s="11">
        <f>IF(預測IC!AS24&gt;預測IC!AS$27,1,0)</f>
        <v>0</v>
      </c>
      <c r="AT15" s="11">
        <f>IF(預測IC!AT24&gt;預測IC!AT$27,1,0)</f>
        <v>1</v>
      </c>
      <c r="AU15" s="11">
        <f>IF(預測IC!AU24&gt;預測IC!AU$27,1,0)</f>
        <v>1</v>
      </c>
      <c r="AV15" s="11">
        <f>IF(預測IC!AV24&gt;預測IC!AV$27,1,0)</f>
        <v>1</v>
      </c>
      <c r="AW15" s="11">
        <f>IF(預測IC!AW24&gt;預測IC!AW$27,1,0)</f>
        <v>0</v>
      </c>
      <c r="AX15" s="11">
        <f>IF(預測IC!AX24&gt;預測IC!AX$27,1,0)</f>
        <v>0</v>
      </c>
      <c r="AY15" s="11">
        <f>IF(預測IC!AY24&gt;預測IC!AY$27,1,0)</f>
        <v>0</v>
      </c>
      <c r="AZ15" s="11">
        <f>IF(預測IC!AZ24&gt;預測IC!AZ$27,1,0)</f>
        <v>1</v>
      </c>
      <c r="BA15" s="11">
        <f>IF(預測IC!BA24&gt;預測IC!BA$27,1,0)</f>
        <v>0</v>
      </c>
      <c r="BB15" s="11">
        <f>IF(預測IC!BB24&gt;預測IC!BB$27,1,0)</f>
        <v>0</v>
      </c>
      <c r="BC15" s="11">
        <f>IF(預測IC!BC24&gt;預測IC!BC$27,1,0)</f>
        <v>0</v>
      </c>
      <c r="BD15" s="11">
        <f>IF(預測IC!BD24&gt;預測IC!BD$27,1,0)</f>
        <v>1</v>
      </c>
      <c r="BE15" s="11">
        <f>IF(預測IC!BE24&gt;預測IC!BE$27,1,0)</f>
        <v>1</v>
      </c>
      <c r="BF15" s="11">
        <f>IF(預測IC!BF24&gt;預測IC!BF$27,1,0)</f>
        <v>0</v>
      </c>
      <c r="BG15" s="11">
        <f>IF(預測IC!BG24&gt;預測IC!BG$27,1,0)</f>
        <v>1</v>
      </c>
      <c r="BH15" s="11">
        <f>IF(預測IC!BH24&gt;預測IC!BH$27,1,0)</f>
        <v>1</v>
      </c>
      <c r="BI15" s="11">
        <f>IF(預測IC!BI24&gt;預測IC!BI$27,1,0)</f>
        <v>0</v>
      </c>
      <c r="BJ15" s="11">
        <f>IF(預測IC!BJ24&gt;預測IC!BJ$27,1,0)</f>
        <v>1</v>
      </c>
      <c r="BK15" s="11">
        <f>IF(預測IC!BK24&gt;預測IC!BK$27,1,0)</f>
        <v>0</v>
      </c>
      <c r="BL15" s="11">
        <f>IF(預測IC!BL24&gt;預測IC!BL$27,1,0)</f>
        <v>1</v>
      </c>
      <c r="BM15" s="11">
        <f>IF(預測IC!BM24&gt;預測IC!BM$27,1,0)</f>
        <v>0</v>
      </c>
      <c r="BN15" s="11">
        <f>IF(預測IC!BN24&gt;預測IC!BN$27,1,0)</f>
        <v>0</v>
      </c>
      <c r="BO15" s="11">
        <f>IF(預測IC!BO24&gt;預測IC!BO$27,1,0)</f>
        <v>1</v>
      </c>
      <c r="BP15" s="11">
        <f>IF(預測IC!BP24&gt;預測IC!BP$27,1,0)</f>
        <v>1</v>
      </c>
      <c r="BQ15" s="11">
        <f>IF(預測IC!BQ24&gt;預測IC!BQ$27,1,0)</f>
        <v>1</v>
      </c>
      <c r="BR15" s="11">
        <f>IF(預測IC!BR24&gt;預測IC!BR$27,1,0)</f>
        <v>1</v>
      </c>
      <c r="BS15" s="11">
        <f>IF(預測IC!BS24&gt;預測IC!BS$27,1,0)</f>
        <v>0</v>
      </c>
      <c r="BT15" s="11">
        <f>IF(預測IC!BT24&gt;預測IC!BT$27,1,0)</f>
        <v>0</v>
      </c>
      <c r="BU15" s="11">
        <f>IF(預測IC!BU24&gt;預測IC!BU$27,1,0)</f>
        <v>1</v>
      </c>
      <c r="BV15" s="11">
        <f>IF(預測IC!BV24&gt;預測IC!BV$27,1,0)</f>
        <v>1</v>
      </c>
      <c r="BW15" s="11">
        <f>IF(預測IC!BW24&gt;預測IC!BW$27,1,0)</f>
        <v>1</v>
      </c>
      <c r="BX15" s="11">
        <f>IF(預測IC!BX24&gt;預測IC!BX$27,1,0)</f>
        <v>1</v>
      </c>
      <c r="BY15" s="11">
        <f>IF(預測IC!BY24&gt;預測IC!BY$27,1,0)</f>
        <v>1</v>
      </c>
      <c r="BZ15" s="11">
        <f>IF(預測IC!BZ24&gt;預測IC!BZ$27,1,0)</f>
        <v>0</v>
      </c>
      <c r="CA15" s="11">
        <f>IF(預測IC!CA24&gt;預測IC!CA$27,1,0)</f>
        <v>1</v>
      </c>
      <c r="CB15" s="11">
        <f>IF(預測IC!CB24&gt;預測IC!CB$27,1,0)</f>
        <v>1</v>
      </c>
      <c r="CC15" s="11">
        <f>IF(預測IC!CC24&gt;預測IC!CC$27,1,0)</f>
        <v>0</v>
      </c>
      <c r="CD15" s="11">
        <f>IF(預測IC!CD24&gt;預測IC!CD$27,1,0)</f>
        <v>0</v>
      </c>
      <c r="CE15" s="11">
        <f>IF(預測IC!CE24&gt;預測IC!CE$27,1,0)</f>
        <v>1</v>
      </c>
      <c r="CF15" s="11">
        <f>IF(預測IC!CF24&gt;預測IC!CF$27,1,0)</f>
        <v>0</v>
      </c>
      <c r="CG15" s="11">
        <f>IF(預測IC!CG24&gt;預測IC!CG$27,1,0)</f>
        <v>0</v>
      </c>
      <c r="CH15" s="11">
        <f>IF(預測IC!CH24&gt;預測IC!CH$27,1,0)</f>
        <v>0</v>
      </c>
      <c r="CI15" s="11">
        <f>IF(預測IC!CI24&gt;預測IC!CI$27,1,0)</f>
        <v>1</v>
      </c>
      <c r="CJ15" s="11">
        <f>IF(預測IC!CJ24&gt;預測IC!CJ$27,1,0)</f>
        <v>0</v>
      </c>
      <c r="CK15" s="11">
        <f>IF(預測IC!CK24&gt;預測IC!CK$27,1,0)</f>
        <v>1</v>
      </c>
      <c r="CL15" s="11">
        <f>IF(預測IC!CL24&gt;預測IC!CL$27,1,0)</f>
        <v>0</v>
      </c>
      <c r="CM15" s="11">
        <f>IF(預測IC!CM24&gt;預測IC!CM$27,1,0)</f>
        <v>1</v>
      </c>
      <c r="CN15" s="11">
        <f>IF(預測IC!CN24&gt;預測IC!CN$27,1,0)</f>
        <v>1</v>
      </c>
      <c r="CO15" s="11">
        <f>IF(預測IC!CO24&gt;預測IC!CO$27,1,0)</f>
        <v>1</v>
      </c>
      <c r="CP15" s="11">
        <f>IF(預測IC!CP24&gt;預測IC!CP$27,1,0)</f>
        <v>0</v>
      </c>
      <c r="CQ15" s="11">
        <f>IF(預測IC!CQ24&gt;預測IC!CQ$27,1,0)</f>
        <v>1</v>
      </c>
      <c r="CR15" s="11">
        <f>IF(預測IC!CR24&gt;預測IC!CR$27,1,0)</f>
        <v>1</v>
      </c>
      <c r="CS15" s="11">
        <f>IF(預測IC!CS24&gt;預測IC!CS$27,1,0)</f>
        <v>1</v>
      </c>
      <c r="CT15" s="11">
        <f>IF(預測IC!CT24&gt;預測IC!CT$27,1,0)</f>
        <v>0</v>
      </c>
      <c r="CU15" s="11">
        <f>IF(預測IC!CU24&gt;預測IC!CU$27,1,0)</f>
        <v>1</v>
      </c>
      <c r="CV15" s="11">
        <f>IF(預測IC!CV24&gt;預測IC!CV$27,1,0)</f>
        <v>1</v>
      </c>
      <c r="CW15" s="11">
        <f>IF(預測IC!CW24&gt;預測IC!CW$27,1,0)</f>
        <v>0</v>
      </c>
      <c r="CX15" s="11">
        <f>IF(預測IC!CX24&gt;預測IC!CX$27,1,0)</f>
        <v>0</v>
      </c>
      <c r="CY15" s="11">
        <f>IF(預測IC!CY24&gt;預測IC!CY$27,1,0)</f>
        <v>1</v>
      </c>
      <c r="CZ15" s="11">
        <f>IF(預測IC!CZ24&gt;預測IC!CZ$27,1,0)</f>
        <v>1</v>
      </c>
      <c r="DA15" s="11">
        <f>IF(預測IC!DA24&gt;預測IC!DA$27,1,0)</f>
        <v>1</v>
      </c>
      <c r="DB15" s="11">
        <f>IF(預測IC!DB24&gt;預測IC!DB$27,1,0)</f>
        <v>0</v>
      </c>
      <c r="DC15" s="11">
        <f>IF(預測IC!DC24&gt;預測IC!DC$27,1,0)</f>
        <v>0</v>
      </c>
      <c r="DD15" s="11">
        <f>IF(預測IC!DD24&gt;預測IC!DD$27,1,0)</f>
        <v>0</v>
      </c>
      <c r="DE15" s="11">
        <f>IF(預測IC!DE24&gt;預測IC!DE$27,1,0)</f>
        <v>0</v>
      </c>
      <c r="DF15" s="11">
        <f>IF(預測IC!DF24&gt;預測IC!DF$27,1,0)</f>
        <v>0</v>
      </c>
      <c r="DG15" s="11">
        <f>IF(預測IC!DG24&gt;預測IC!DG$27,1,0)</f>
        <v>0</v>
      </c>
      <c r="DH15" s="11">
        <f>IF(預測IC!DH24&gt;預測IC!DH$27,1,0)</f>
        <v>0</v>
      </c>
      <c r="DI15" s="11">
        <f>IF(預測IC!DI24&gt;預測IC!DI$27,1,0)</f>
        <v>0</v>
      </c>
      <c r="DJ15" s="11">
        <f>IF(預測IC!DJ24&gt;預測IC!DJ$27,1,0)</f>
        <v>1</v>
      </c>
      <c r="DK15" s="11">
        <f>IF(預測IC!DK24&gt;預測IC!DK$27,1,0)</f>
        <v>0</v>
      </c>
      <c r="DL15" s="11">
        <f>IF(預測IC!DL24&gt;預測IC!DL$27,1,0)</f>
        <v>0</v>
      </c>
      <c r="DM15" s="11">
        <f>IF(預測IC!DM24&gt;預測IC!DM$27,1,0)</f>
        <v>0</v>
      </c>
      <c r="DN15" s="11">
        <f>IF(預測IC!DN24&gt;預測IC!DN$27,1,0)</f>
        <v>1</v>
      </c>
      <c r="DO15" s="11">
        <f>IF(預測IC!DO24&gt;預測IC!DO$27,1,0)</f>
        <v>0</v>
      </c>
      <c r="DP15" s="11">
        <f>IF(預測IC!DP24&gt;預測IC!DP$27,1,0)</f>
        <v>0</v>
      </c>
      <c r="DQ15" s="11">
        <f>IF(預測IC!DQ24&gt;預測IC!DQ$27,1,0)</f>
        <v>0</v>
      </c>
      <c r="DR15" s="11">
        <f>IF(預測IC!DR24&gt;預測IC!DR$27,1,0)</f>
        <v>0</v>
      </c>
      <c r="DS15" s="11">
        <f>IF(預測IC!DS24&gt;預測IC!DS$27,1,0)</f>
        <v>1</v>
      </c>
      <c r="DT15" s="11">
        <f>IF(預測IC!DT24&gt;預測IC!DT$27,1,0)</f>
        <v>1</v>
      </c>
      <c r="DU15" s="11">
        <f>IF(預測IC!DU24&gt;預測IC!DU$27,1,0)</f>
        <v>0</v>
      </c>
      <c r="DV15" s="11">
        <f>IF(預測IC!DV24&gt;預測IC!DV$27,1,0)</f>
        <v>1</v>
      </c>
      <c r="DW15" s="11">
        <f>IF(預測IC!DW24&gt;預測IC!DW$27,1,0)</f>
        <v>0</v>
      </c>
      <c r="DX15" s="11">
        <f>IF(預測IC!DX24&gt;預測IC!DX$27,1,0)</f>
        <v>0</v>
      </c>
      <c r="DY15" s="11">
        <f>IF(預測IC!DY24&gt;預測IC!DY$27,1,0)</f>
        <v>1</v>
      </c>
      <c r="DZ15" s="11">
        <f>IF(預測IC!DZ24&gt;預測IC!DZ$27,1,0)</f>
        <v>1</v>
      </c>
      <c r="EA15" s="11">
        <f>IF(預測IC!EA24&gt;預測IC!EA$27,1,0)</f>
        <v>0</v>
      </c>
      <c r="EB15" s="11">
        <f>IF(預測IC!EB24&gt;預測IC!EB$27,1,0)</f>
        <v>1</v>
      </c>
      <c r="EC15" s="11">
        <f>IF(預測IC!EC24&gt;預測IC!EC$27,1,0)</f>
        <v>0</v>
      </c>
      <c r="ED15" s="11">
        <f>IF(預測IC!ED24&gt;預測IC!ED$27,1,0)</f>
        <v>0</v>
      </c>
      <c r="EE15" s="11">
        <f>IF(預測IC!EE24&gt;預測IC!EE$27,1,0)</f>
        <v>1</v>
      </c>
      <c r="EF15" s="11">
        <f>IF(預測IC!EF24&gt;預測IC!EF$27,1,0)</f>
        <v>1</v>
      </c>
      <c r="EG15" s="1">
        <f t="shared" si="0"/>
        <v>67</v>
      </c>
      <c r="EH15" s="47">
        <f t="shared" si="1"/>
        <v>0.5</v>
      </c>
    </row>
    <row r="16" spans="1:138" ht="16" customHeight="1">
      <c r="A16" s="6">
        <v>482</v>
      </c>
      <c r="B16" s="6">
        <v>2</v>
      </c>
      <c r="C16" s="11">
        <f>IF(預測IC!C25&gt;預測IC!C$27,1,0)</f>
        <v>1</v>
      </c>
      <c r="D16" s="11">
        <f>IF(預測IC!D25&gt;預測IC!D$27,1,0)</f>
        <v>1</v>
      </c>
      <c r="E16" s="11">
        <f>IF(預測IC!E25&gt;預測IC!E$27,1,0)</f>
        <v>0</v>
      </c>
      <c r="F16" s="11">
        <f>IF(預測IC!F25&gt;預測IC!F$27,1,0)</f>
        <v>1</v>
      </c>
      <c r="G16" s="11">
        <f>IF(預測IC!G25&gt;預測IC!G$27,1,0)</f>
        <v>1</v>
      </c>
      <c r="H16" s="11">
        <f>IF(預測IC!H25&gt;預測IC!H$27,1,0)</f>
        <v>1</v>
      </c>
      <c r="I16" s="11">
        <f>IF(預測IC!I25&gt;預測IC!I$27,1,0)</f>
        <v>1</v>
      </c>
      <c r="J16" s="11">
        <f>IF(預測IC!J25&gt;預測IC!J$27,1,0)</f>
        <v>1</v>
      </c>
      <c r="K16" s="11">
        <f>IF(預測IC!K25&gt;預測IC!K$27,1,0)</f>
        <v>1</v>
      </c>
      <c r="L16" s="11">
        <f>IF(預測IC!L25&gt;預測IC!L$27,1,0)</f>
        <v>1</v>
      </c>
      <c r="M16" s="11">
        <f>IF(預測IC!M25&gt;預測IC!M$27,1,0)</f>
        <v>0</v>
      </c>
      <c r="N16" s="11">
        <f>IF(預測IC!N25&gt;預測IC!N$27,1,0)</f>
        <v>0</v>
      </c>
      <c r="O16" s="11">
        <f>IF(預測IC!O25&gt;預測IC!O$27,1,0)</f>
        <v>1</v>
      </c>
      <c r="P16" s="11">
        <f>IF(預測IC!P25&gt;預測IC!P$27,1,0)</f>
        <v>0</v>
      </c>
      <c r="Q16" s="11">
        <f>IF(預測IC!Q25&gt;預測IC!Q$27,1,0)</f>
        <v>1</v>
      </c>
      <c r="R16" s="11">
        <f>IF(預測IC!R25&gt;預測IC!R$27,1,0)</f>
        <v>0</v>
      </c>
      <c r="S16" s="11">
        <f>IF(預測IC!S25&gt;預測IC!S$27,1,0)</f>
        <v>1</v>
      </c>
      <c r="T16" s="11">
        <f>IF(預測IC!T25&gt;預測IC!T$27,1,0)</f>
        <v>0</v>
      </c>
      <c r="U16" s="11">
        <f>IF(預測IC!U25&gt;預測IC!U$27,1,0)</f>
        <v>1</v>
      </c>
      <c r="V16" s="11">
        <f>IF(預測IC!V25&gt;預測IC!V$27,1,0)</f>
        <v>1</v>
      </c>
      <c r="W16" s="11">
        <f>IF(預測IC!W25&gt;預測IC!W$27,1,0)</f>
        <v>1</v>
      </c>
      <c r="X16" s="11">
        <f>IF(預測IC!X25&gt;預測IC!X$27,1,0)</f>
        <v>0</v>
      </c>
      <c r="Y16" s="11">
        <f>IF(預測IC!Y25&gt;預測IC!Y$27,1,0)</f>
        <v>0</v>
      </c>
      <c r="Z16" s="11">
        <f>IF(預測IC!Z25&gt;預測IC!Z$27,1,0)</f>
        <v>1</v>
      </c>
      <c r="AA16" s="11">
        <f>IF(預測IC!AA25&gt;預測IC!AA$27,1,0)</f>
        <v>0</v>
      </c>
      <c r="AB16" s="11">
        <f>IF(預測IC!AB25&gt;預測IC!AB$27,1,0)</f>
        <v>1</v>
      </c>
      <c r="AC16" s="11">
        <f>IF(預測IC!AC25&gt;預測IC!AC$27,1,0)</f>
        <v>0</v>
      </c>
      <c r="AD16" s="11">
        <f>IF(預測IC!AD25&gt;預測IC!AD$27,1,0)</f>
        <v>1</v>
      </c>
      <c r="AE16" s="11">
        <f>IF(預測IC!AE25&gt;預測IC!AE$27,1,0)</f>
        <v>0</v>
      </c>
      <c r="AF16" s="11">
        <f>IF(預測IC!AF25&gt;預測IC!AF$27,1,0)</f>
        <v>0</v>
      </c>
      <c r="AG16" s="11">
        <f>IF(預測IC!AG25&gt;預測IC!AG$27,1,0)</f>
        <v>0</v>
      </c>
      <c r="AH16" s="11">
        <f>IF(預測IC!AH25&gt;預測IC!AH$27,1,0)</f>
        <v>0</v>
      </c>
      <c r="AI16" s="11">
        <f>IF(預測IC!AI25&gt;預測IC!AI$27,1,0)</f>
        <v>1</v>
      </c>
      <c r="AJ16" s="11">
        <f>IF(預測IC!AJ25&gt;預測IC!AJ$27,1,0)</f>
        <v>0</v>
      </c>
      <c r="AK16" s="11">
        <f>IF(預測IC!AK25&gt;預測IC!AK$27,1,0)</f>
        <v>0</v>
      </c>
      <c r="AL16" s="11">
        <f>IF(預測IC!AL25&gt;預測IC!AL$27,1,0)</f>
        <v>1</v>
      </c>
      <c r="AM16" s="11">
        <f>IF(預測IC!AM25&gt;預測IC!AM$27,1,0)</f>
        <v>0</v>
      </c>
      <c r="AN16" s="11">
        <f>IF(預測IC!AN25&gt;預測IC!AN$27,1,0)</f>
        <v>0</v>
      </c>
      <c r="AO16" s="11">
        <f>IF(預測IC!AO25&gt;預測IC!AO$27,1,0)</f>
        <v>1</v>
      </c>
      <c r="AP16" s="11">
        <f>IF(預測IC!AP25&gt;預測IC!AP$27,1,0)</f>
        <v>0</v>
      </c>
      <c r="AQ16" s="11">
        <f>IF(預測IC!AQ25&gt;預測IC!AQ$27,1,0)</f>
        <v>0</v>
      </c>
      <c r="AR16" s="11">
        <f>IF(預測IC!AR25&gt;預測IC!AR$27,1,0)</f>
        <v>0</v>
      </c>
      <c r="AS16" s="11">
        <f>IF(預測IC!AS25&gt;預測IC!AS$27,1,0)</f>
        <v>0</v>
      </c>
      <c r="AT16" s="11">
        <f>IF(預測IC!AT25&gt;預測IC!AT$27,1,0)</f>
        <v>0</v>
      </c>
      <c r="AU16" s="11">
        <f>IF(預測IC!AU25&gt;預測IC!AU$27,1,0)</f>
        <v>1</v>
      </c>
      <c r="AV16" s="11">
        <f>IF(預測IC!AV25&gt;預測IC!AV$27,1,0)</f>
        <v>1</v>
      </c>
      <c r="AW16" s="11">
        <f>IF(預測IC!AW25&gt;預測IC!AW$27,1,0)</f>
        <v>0</v>
      </c>
      <c r="AX16" s="11">
        <f>IF(預測IC!AX25&gt;預測IC!AX$27,1,0)</f>
        <v>0</v>
      </c>
      <c r="AY16" s="11">
        <f>IF(預測IC!AY25&gt;預測IC!AY$27,1,0)</f>
        <v>0</v>
      </c>
      <c r="AZ16" s="11">
        <f>IF(預測IC!AZ25&gt;預測IC!AZ$27,1,0)</f>
        <v>1</v>
      </c>
      <c r="BA16" s="11">
        <f>IF(預測IC!BA25&gt;預測IC!BA$27,1,0)</f>
        <v>1</v>
      </c>
      <c r="BB16" s="11">
        <f>IF(預測IC!BB25&gt;預測IC!BB$27,1,0)</f>
        <v>0</v>
      </c>
      <c r="BC16" s="11">
        <f>IF(預測IC!BC25&gt;預測IC!BC$27,1,0)</f>
        <v>0</v>
      </c>
      <c r="BD16" s="11">
        <f>IF(預測IC!BD25&gt;預測IC!BD$27,1,0)</f>
        <v>1</v>
      </c>
      <c r="BE16" s="11">
        <f>IF(預測IC!BE25&gt;預測IC!BE$27,1,0)</f>
        <v>0</v>
      </c>
      <c r="BF16" s="11">
        <f>IF(預測IC!BF25&gt;預測IC!BF$27,1,0)</f>
        <v>0</v>
      </c>
      <c r="BG16" s="11">
        <f>IF(預測IC!BG25&gt;預測IC!BG$27,1,0)</f>
        <v>1</v>
      </c>
      <c r="BH16" s="11">
        <f>IF(預測IC!BH25&gt;預測IC!BH$27,1,0)</f>
        <v>1</v>
      </c>
      <c r="BI16" s="11">
        <f>IF(預測IC!BI25&gt;預測IC!BI$27,1,0)</f>
        <v>0</v>
      </c>
      <c r="BJ16" s="11">
        <f>IF(預測IC!BJ25&gt;預測IC!BJ$27,1,0)</f>
        <v>1</v>
      </c>
      <c r="BK16" s="11">
        <f>IF(預測IC!BK25&gt;預測IC!BK$27,1,0)</f>
        <v>1</v>
      </c>
      <c r="BL16" s="11">
        <f>IF(預測IC!BL25&gt;預測IC!BL$27,1,0)</f>
        <v>0</v>
      </c>
      <c r="BM16" s="11">
        <f>IF(預測IC!BM25&gt;預測IC!BM$27,1,0)</f>
        <v>0</v>
      </c>
      <c r="BN16" s="11">
        <f>IF(預測IC!BN25&gt;預測IC!BN$27,1,0)</f>
        <v>0</v>
      </c>
      <c r="BO16" s="11">
        <f>IF(預測IC!BO25&gt;預測IC!BO$27,1,0)</f>
        <v>1</v>
      </c>
      <c r="BP16" s="11">
        <f>IF(預測IC!BP25&gt;預測IC!BP$27,1,0)</f>
        <v>1</v>
      </c>
      <c r="BQ16" s="11">
        <f>IF(預測IC!BQ25&gt;預測IC!BQ$27,1,0)</f>
        <v>1</v>
      </c>
      <c r="BR16" s="11">
        <f>IF(預測IC!BR25&gt;預測IC!BR$27,1,0)</f>
        <v>1</v>
      </c>
      <c r="BS16" s="11">
        <f>IF(預測IC!BS25&gt;預測IC!BS$27,1,0)</f>
        <v>0</v>
      </c>
      <c r="BT16" s="11">
        <f>IF(預測IC!BT25&gt;預測IC!BT$27,1,0)</f>
        <v>0</v>
      </c>
      <c r="BU16" s="11">
        <f>IF(預測IC!BU25&gt;預測IC!BU$27,1,0)</f>
        <v>1</v>
      </c>
      <c r="BV16" s="11">
        <f>IF(預測IC!BV25&gt;預測IC!BV$27,1,0)</f>
        <v>1</v>
      </c>
      <c r="BW16" s="11">
        <f>IF(預測IC!BW25&gt;預測IC!BW$27,1,0)</f>
        <v>1</v>
      </c>
      <c r="BX16" s="11">
        <f>IF(預測IC!BX25&gt;預測IC!BX$27,1,0)</f>
        <v>1</v>
      </c>
      <c r="BY16" s="11">
        <f>IF(預測IC!BY25&gt;預測IC!BY$27,1,0)</f>
        <v>1</v>
      </c>
      <c r="BZ16" s="11">
        <f>IF(預測IC!BZ25&gt;預測IC!BZ$27,1,0)</f>
        <v>0</v>
      </c>
      <c r="CA16" s="11">
        <f>IF(預測IC!CA25&gt;預測IC!CA$27,1,0)</f>
        <v>0</v>
      </c>
      <c r="CB16" s="11">
        <f>IF(預測IC!CB25&gt;預測IC!CB$27,1,0)</f>
        <v>0</v>
      </c>
      <c r="CC16" s="11">
        <f>IF(預測IC!CC25&gt;預測IC!CC$27,1,0)</f>
        <v>0</v>
      </c>
      <c r="CD16" s="11">
        <f>IF(預測IC!CD25&gt;預測IC!CD$27,1,0)</f>
        <v>0</v>
      </c>
      <c r="CE16" s="11">
        <f>IF(預測IC!CE25&gt;預測IC!CE$27,1,0)</f>
        <v>0</v>
      </c>
      <c r="CF16" s="11">
        <f>IF(預測IC!CF25&gt;預測IC!CF$27,1,0)</f>
        <v>0</v>
      </c>
      <c r="CG16" s="11">
        <f>IF(預測IC!CG25&gt;預測IC!CG$27,1,0)</f>
        <v>0</v>
      </c>
      <c r="CH16" s="11">
        <f>IF(預測IC!CH25&gt;預測IC!CH$27,1,0)</f>
        <v>0</v>
      </c>
      <c r="CI16" s="11">
        <f>IF(預測IC!CI25&gt;預測IC!CI$27,1,0)</f>
        <v>1</v>
      </c>
      <c r="CJ16" s="11">
        <f>IF(預測IC!CJ25&gt;預測IC!CJ$27,1,0)</f>
        <v>0</v>
      </c>
      <c r="CK16" s="11">
        <f>IF(預測IC!CK25&gt;預測IC!CK$27,1,0)</f>
        <v>1</v>
      </c>
      <c r="CL16" s="11">
        <f>IF(預測IC!CL25&gt;預測IC!CL$27,1,0)</f>
        <v>0</v>
      </c>
      <c r="CM16" s="11">
        <f>IF(預測IC!CM25&gt;預測IC!CM$27,1,0)</f>
        <v>1</v>
      </c>
      <c r="CN16" s="11">
        <f>IF(預測IC!CN25&gt;預測IC!CN$27,1,0)</f>
        <v>1</v>
      </c>
      <c r="CO16" s="11">
        <f>IF(預測IC!CO25&gt;預測IC!CO$27,1,0)</f>
        <v>1</v>
      </c>
      <c r="CP16" s="11">
        <f>IF(預測IC!CP25&gt;預測IC!CP$27,1,0)</f>
        <v>0</v>
      </c>
      <c r="CQ16" s="11">
        <f>IF(預測IC!CQ25&gt;預測IC!CQ$27,1,0)</f>
        <v>1</v>
      </c>
      <c r="CR16" s="11">
        <f>IF(預測IC!CR25&gt;預測IC!CR$27,1,0)</f>
        <v>1</v>
      </c>
      <c r="CS16" s="11">
        <f>IF(預測IC!CS25&gt;預測IC!CS$27,1,0)</f>
        <v>1</v>
      </c>
      <c r="CT16" s="11">
        <f>IF(預測IC!CT25&gt;預測IC!CT$27,1,0)</f>
        <v>0</v>
      </c>
      <c r="CU16" s="11">
        <f>IF(預測IC!CU25&gt;預測IC!CU$27,1,0)</f>
        <v>0</v>
      </c>
      <c r="CV16" s="11">
        <f>IF(預測IC!CV25&gt;預測IC!CV$27,1,0)</f>
        <v>1</v>
      </c>
      <c r="CW16" s="11">
        <f>IF(預測IC!CW25&gt;預測IC!CW$27,1,0)</f>
        <v>0</v>
      </c>
      <c r="CX16" s="11">
        <f>IF(預測IC!CX25&gt;預測IC!CX$27,1,0)</f>
        <v>0</v>
      </c>
      <c r="CY16" s="11">
        <f>IF(預測IC!CY25&gt;預測IC!CY$27,1,0)</f>
        <v>1</v>
      </c>
      <c r="CZ16" s="11">
        <f>IF(預測IC!CZ25&gt;預測IC!CZ$27,1,0)</f>
        <v>1</v>
      </c>
      <c r="DA16" s="11">
        <f>IF(預測IC!DA25&gt;預測IC!DA$27,1,0)</f>
        <v>1</v>
      </c>
      <c r="DB16" s="11">
        <f>IF(預測IC!DB25&gt;預測IC!DB$27,1,0)</f>
        <v>0</v>
      </c>
      <c r="DC16" s="11">
        <f>IF(預測IC!DC25&gt;預測IC!DC$27,1,0)</f>
        <v>0</v>
      </c>
      <c r="DD16" s="11">
        <f>IF(預測IC!DD25&gt;預測IC!DD$27,1,0)</f>
        <v>0</v>
      </c>
      <c r="DE16" s="11">
        <f>IF(預測IC!DE25&gt;預測IC!DE$27,1,0)</f>
        <v>1</v>
      </c>
      <c r="DF16" s="11">
        <f>IF(預測IC!DF25&gt;預測IC!DF$27,1,0)</f>
        <v>0</v>
      </c>
      <c r="DG16" s="11">
        <f>IF(預測IC!DG25&gt;預測IC!DG$27,1,0)</f>
        <v>0</v>
      </c>
      <c r="DH16" s="11">
        <f>IF(預測IC!DH25&gt;預測IC!DH$27,1,0)</f>
        <v>1</v>
      </c>
      <c r="DI16" s="11">
        <f>IF(預測IC!DI25&gt;預測IC!DI$27,1,0)</f>
        <v>0</v>
      </c>
      <c r="DJ16" s="11">
        <f>IF(預測IC!DJ25&gt;預測IC!DJ$27,1,0)</f>
        <v>1</v>
      </c>
      <c r="DK16" s="11">
        <f>IF(預測IC!DK25&gt;預測IC!DK$27,1,0)</f>
        <v>0</v>
      </c>
      <c r="DL16" s="11">
        <f>IF(預測IC!DL25&gt;預測IC!DL$27,1,0)</f>
        <v>0</v>
      </c>
      <c r="DM16" s="11">
        <f>IF(預測IC!DM25&gt;預測IC!DM$27,1,0)</f>
        <v>1</v>
      </c>
      <c r="DN16" s="11">
        <f>IF(預測IC!DN25&gt;預測IC!DN$27,1,0)</f>
        <v>1</v>
      </c>
      <c r="DO16" s="11">
        <f>IF(預測IC!DO25&gt;預測IC!DO$27,1,0)</f>
        <v>0</v>
      </c>
      <c r="DP16" s="11">
        <f>IF(預測IC!DP25&gt;預測IC!DP$27,1,0)</f>
        <v>0</v>
      </c>
      <c r="DQ16" s="11">
        <f>IF(預測IC!DQ25&gt;預測IC!DQ$27,1,0)</f>
        <v>0</v>
      </c>
      <c r="DR16" s="11">
        <f>IF(預測IC!DR25&gt;預測IC!DR$27,1,0)</f>
        <v>0</v>
      </c>
      <c r="DS16" s="11">
        <f>IF(預測IC!DS25&gt;預測IC!DS$27,1,0)</f>
        <v>1</v>
      </c>
      <c r="DT16" s="11">
        <f>IF(預測IC!DT25&gt;預測IC!DT$27,1,0)</f>
        <v>0</v>
      </c>
      <c r="DU16" s="11">
        <f>IF(預測IC!DU25&gt;預測IC!DU$27,1,0)</f>
        <v>0</v>
      </c>
      <c r="DV16" s="11">
        <f>IF(預測IC!DV25&gt;預測IC!DV$27,1,0)</f>
        <v>1</v>
      </c>
      <c r="DW16" s="11">
        <f>IF(預測IC!DW25&gt;預測IC!DW$27,1,0)</f>
        <v>0</v>
      </c>
      <c r="DX16" s="11">
        <f>IF(預測IC!DX25&gt;預測IC!DX$27,1,0)</f>
        <v>0</v>
      </c>
      <c r="DY16" s="11">
        <f>IF(預測IC!DY25&gt;預測IC!DY$27,1,0)</f>
        <v>1</v>
      </c>
      <c r="DZ16" s="11">
        <f>IF(預測IC!DZ25&gt;預測IC!DZ$27,1,0)</f>
        <v>1</v>
      </c>
      <c r="EA16" s="11">
        <f>IF(預測IC!EA25&gt;預測IC!EA$27,1,0)</f>
        <v>0</v>
      </c>
      <c r="EB16" s="11">
        <f>IF(預測IC!EB25&gt;預測IC!EB$27,1,0)</f>
        <v>1</v>
      </c>
      <c r="EC16" s="11">
        <f>IF(預測IC!EC25&gt;預測IC!EC$27,1,0)</f>
        <v>1</v>
      </c>
      <c r="ED16" s="11">
        <f>IF(預測IC!ED25&gt;預測IC!ED$27,1,0)</f>
        <v>0</v>
      </c>
      <c r="EE16" s="11">
        <f>IF(預測IC!EE25&gt;預測IC!EE$27,1,0)</f>
        <v>1</v>
      </c>
      <c r="EF16" s="11">
        <f>IF(預測IC!EF25&gt;預測IC!EF$27,1,0)</f>
        <v>1</v>
      </c>
      <c r="EG16" s="1">
        <f t="shared" si="0"/>
        <v>64</v>
      </c>
      <c r="EH16" s="2">
        <f t="shared" si="1"/>
        <v>0.47761194029850745</v>
      </c>
    </row>
    <row r="17" spans="1:138" ht="16" customHeight="1">
      <c r="A17" s="6">
        <v>964</v>
      </c>
      <c r="B17" s="6">
        <v>1</v>
      </c>
      <c r="C17" s="11">
        <f>IF(預測IC!C26&gt;預測IC!C$27,1,0)</f>
        <v>0</v>
      </c>
      <c r="D17" s="11">
        <f>IF(預測IC!D26&gt;預測IC!D$27,1,0)</f>
        <v>1</v>
      </c>
      <c r="E17" s="11">
        <f>IF(預測IC!E26&gt;預測IC!E$27,1,0)</f>
        <v>1</v>
      </c>
      <c r="F17" s="11">
        <f>IF(預測IC!F26&gt;預測IC!F$27,1,0)</f>
        <v>1</v>
      </c>
      <c r="G17" s="11">
        <f>IF(預測IC!G26&gt;預測IC!G$27,1,0)</f>
        <v>0</v>
      </c>
      <c r="H17" s="11">
        <f>IF(預測IC!H26&gt;預測IC!H$27,1,0)</f>
        <v>1</v>
      </c>
      <c r="I17" s="11">
        <f>IF(預測IC!I26&gt;預測IC!I$27,1,0)</f>
        <v>1</v>
      </c>
      <c r="J17" s="11">
        <f>IF(預測IC!J26&gt;預測IC!J$27,1,0)</f>
        <v>0</v>
      </c>
      <c r="K17" s="11">
        <f>IF(預測IC!K26&gt;預測IC!K$27,1,0)</f>
        <v>1</v>
      </c>
      <c r="L17" s="11">
        <f>IF(預測IC!L26&gt;預測IC!L$27,1,0)</f>
        <v>1</v>
      </c>
      <c r="M17" s="11">
        <f>IF(預測IC!M26&gt;預測IC!M$27,1,0)</f>
        <v>0</v>
      </c>
      <c r="N17" s="11">
        <f>IF(預測IC!N26&gt;預測IC!N$27,1,0)</f>
        <v>0</v>
      </c>
      <c r="O17" s="11">
        <f>IF(預測IC!O26&gt;預測IC!O$27,1,0)</f>
        <v>1</v>
      </c>
      <c r="P17" s="11">
        <f>IF(預測IC!P26&gt;預測IC!P$27,1,0)</f>
        <v>0</v>
      </c>
      <c r="Q17" s="11">
        <f>IF(預測IC!Q26&gt;預測IC!Q$27,1,0)</f>
        <v>0</v>
      </c>
      <c r="R17" s="11">
        <f>IF(預測IC!R26&gt;預測IC!R$27,1,0)</f>
        <v>0</v>
      </c>
      <c r="S17" s="11">
        <f>IF(預測IC!S26&gt;預測IC!S$27,1,0)</f>
        <v>1</v>
      </c>
      <c r="T17" s="11">
        <f>IF(預測IC!T26&gt;預測IC!T$27,1,0)</f>
        <v>0</v>
      </c>
      <c r="U17" s="11">
        <f>IF(預測IC!U26&gt;預測IC!U$27,1,0)</f>
        <v>1</v>
      </c>
      <c r="V17" s="11">
        <f>IF(預測IC!V26&gt;預測IC!V$27,1,0)</f>
        <v>1</v>
      </c>
      <c r="W17" s="11">
        <f>IF(預測IC!W26&gt;預測IC!W$27,1,0)</f>
        <v>0</v>
      </c>
      <c r="X17" s="11">
        <f>IF(預測IC!X26&gt;預測IC!X$27,1,0)</f>
        <v>0</v>
      </c>
      <c r="Y17" s="11">
        <f>IF(預測IC!Y26&gt;預測IC!Y$27,1,0)</f>
        <v>0</v>
      </c>
      <c r="Z17" s="11">
        <f>IF(預測IC!Z26&gt;預測IC!Z$27,1,0)</f>
        <v>1</v>
      </c>
      <c r="AA17" s="11">
        <f>IF(預測IC!AA26&gt;預測IC!AA$27,1,0)</f>
        <v>0</v>
      </c>
      <c r="AB17" s="11">
        <f>IF(預測IC!AB26&gt;預測IC!AB$27,1,0)</f>
        <v>1</v>
      </c>
      <c r="AC17" s="11">
        <f>IF(預測IC!AC26&gt;預測IC!AC$27,1,0)</f>
        <v>0</v>
      </c>
      <c r="AD17" s="11">
        <f>IF(預測IC!AD26&gt;預測IC!AD$27,1,0)</f>
        <v>1</v>
      </c>
      <c r="AE17" s="11">
        <f>IF(預測IC!AE26&gt;預測IC!AE$27,1,0)</f>
        <v>1</v>
      </c>
      <c r="AF17" s="11">
        <f>IF(預測IC!AF26&gt;預測IC!AF$27,1,0)</f>
        <v>1</v>
      </c>
      <c r="AG17" s="11">
        <f>IF(預測IC!AG26&gt;預測IC!AG$27,1,0)</f>
        <v>0</v>
      </c>
      <c r="AH17" s="11">
        <f>IF(預測IC!AH26&gt;預測IC!AH$27,1,0)</f>
        <v>0</v>
      </c>
      <c r="AI17" s="11">
        <f>IF(預測IC!AI26&gt;預測IC!AI$27,1,0)</f>
        <v>1</v>
      </c>
      <c r="AJ17" s="11">
        <f>IF(預測IC!AJ26&gt;預測IC!AJ$27,1,0)</f>
        <v>0</v>
      </c>
      <c r="AK17" s="11">
        <f>IF(預測IC!AK26&gt;預測IC!AK$27,1,0)</f>
        <v>0</v>
      </c>
      <c r="AL17" s="11">
        <f>IF(預測IC!AL26&gt;預測IC!AL$27,1,0)</f>
        <v>1</v>
      </c>
      <c r="AM17" s="11">
        <f>IF(預測IC!AM26&gt;預測IC!AM$27,1,0)</f>
        <v>1</v>
      </c>
      <c r="AN17" s="11">
        <f>IF(預測IC!AN26&gt;預測IC!AN$27,1,0)</f>
        <v>0</v>
      </c>
      <c r="AO17" s="11">
        <f>IF(預測IC!AO26&gt;預測IC!AO$27,1,0)</f>
        <v>1</v>
      </c>
      <c r="AP17" s="11">
        <f>IF(預測IC!AP26&gt;預測IC!AP$27,1,0)</f>
        <v>0</v>
      </c>
      <c r="AQ17" s="11">
        <f>IF(預測IC!AQ26&gt;預測IC!AQ$27,1,0)</f>
        <v>0</v>
      </c>
      <c r="AR17" s="11">
        <f>IF(預測IC!AR26&gt;預測IC!AR$27,1,0)</f>
        <v>0</v>
      </c>
      <c r="AS17" s="11">
        <f>IF(預測IC!AS26&gt;預測IC!AS$27,1,0)</f>
        <v>1</v>
      </c>
      <c r="AT17" s="11">
        <f>IF(預測IC!AT26&gt;預測IC!AT$27,1,0)</f>
        <v>0</v>
      </c>
      <c r="AU17" s="11">
        <f>IF(預測IC!AU26&gt;預測IC!AU$27,1,0)</f>
        <v>1</v>
      </c>
      <c r="AV17" s="11">
        <f>IF(預測IC!AV26&gt;預測IC!AV$27,1,0)</f>
        <v>1</v>
      </c>
      <c r="AW17" s="11">
        <f>IF(預測IC!AW26&gt;預測IC!AW$27,1,0)</f>
        <v>0</v>
      </c>
      <c r="AX17" s="11">
        <f>IF(預測IC!AX26&gt;預測IC!AX$27,1,0)</f>
        <v>0</v>
      </c>
      <c r="AY17" s="11">
        <f>IF(預測IC!AY26&gt;預測IC!AY$27,1,0)</f>
        <v>0</v>
      </c>
      <c r="AZ17" s="11">
        <f>IF(預測IC!AZ26&gt;預測IC!AZ$27,1,0)</f>
        <v>1</v>
      </c>
      <c r="BA17" s="11">
        <f>IF(預測IC!BA26&gt;預測IC!BA$27,1,0)</f>
        <v>0</v>
      </c>
      <c r="BB17" s="11">
        <f>IF(預測IC!BB26&gt;預測IC!BB$27,1,0)</f>
        <v>0</v>
      </c>
      <c r="BC17" s="11">
        <f>IF(預測IC!BC26&gt;預測IC!BC$27,1,0)</f>
        <v>0</v>
      </c>
      <c r="BD17" s="11">
        <f>IF(預測IC!BD26&gt;預測IC!BD$27,1,0)</f>
        <v>0</v>
      </c>
      <c r="BE17" s="11">
        <f>IF(預測IC!BE26&gt;預測IC!BE$27,1,0)</f>
        <v>0</v>
      </c>
      <c r="BF17" s="11">
        <f>IF(預測IC!BF26&gt;預測IC!BF$27,1,0)</f>
        <v>1</v>
      </c>
      <c r="BG17" s="11">
        <f>IF(預測IC!BG26&gt;預測IC!BG$27,1,0)</f>
        <v>1</v>
      </c>
      <c r="BH17" s="11">
        <f>IF(預測IC!BH26&gt;預測IC!BH$27,1,0)</f>
        <v>0</v>
      </c>
      <c r="BI17" s="11">
        <f>IF(預測IC!BI26&gt;預測IC!BI$27,1,0)</f>
        <v>0</v>
      </c>
      <c r="BJ17" s="11">
        <f>IF(預測IC!BJ26&gt;預測IC!BJ$27,1,0)</f>
        <v>0</v>
      </c>
      <c r="BK17" s="11">
        <f>IF(預測IC!BK26&gt;預測IC!BK$27,1,0)</f>
        <v>0</v>
      </c>
      <c r="BL17" s="11">
        <f>IF(預測IC!BL26&gt;預測IC!BL$27,1,0)</f>
        <v>0</v>
      </c>
      <c r="BM17" s="11">
        <f>IF(預測IC!BM26&gt;預測IC!BM$27,1,0)</f>
        <v>0</v>
      </c>
      <c r="BN17" s="11">
        <f>IF(預測IC!BN26&gt;預測IC!BN$27,1,0)</f>
        <v>0</v>
      </c>
      <c r="BO17" s="11">
        <f>IF(預測IC!BO26&gt;預測IC!BO$27,1,0)</f>
        <v>0</v>
      </c>
      <c r="BP17" s="11">
        <f>IF(預測IC!BP26&gt;預測IC!BP$27,1,0)</f>
        <v>1</v>
      </c>
      <c r="BQ17" s="11">
        <f>IF(預測IC!BQ26&gt;預測IC!BQ$27,1,0)</f>
        <v>1</v>
      </c>
      <c r="BR17" s="11">
        <f>IF(預測IC!BR26&gt;預測IC!BR$27,1,0)</f>
        <v>1</v>
      </c>
      <c r="BS17" s="11">
        <f>IF(預測IC!BS26&gt;預測IC!BS$27,1,0)</f>
        <v>1</v>
      </c>
      <c r="BT17" s="11">
        <f>IF(預測IC!BT26&gt;預測IC!BT$27,1,0)</f>
        <v>0</v>
      </c>
      <c r="BU17" s="11">
        <f>IF(預測IC!BU26&gt;預測IC!BU$27,1,0)</f>
        <v>1</v>
      </c>
      <c r="BV17" s="11">
        <f>IF(預測IC!BV26&gt;預測IC!BV$27,1,0)</f>
        <v>1</v>
      </c>
      <c r="BW17" s="11">
        <f>IF(預測IC!BW26&gt;預測IC!BW$27,1,0)</f>
        <v>1</v>
      </c>
      <c r="BX17" s="11">
        <f>IF(預測IC!BX26&gt;預測IC!BX$27,1,0)</f>
        <v>1</v>
      </c>
      <c r="BY17" s="11">
        <f>IF(預測IC!BY26&gt;預測IC!BY$27,1,0)</f>
        <v>1</v>
      </c>
      <c r="BZ17" s="11">
        <f>IF(預測IC!BZ26&gt;預測IC!BZ$27,1,0)</f>
        <v>0</v>
      </c>
      <c r="CA17" s="11">
        <f>IF(預測IC!CA26&gt;預測IC!CA$27,1,0)</f>
        <v>0</v>
      </c>
      <c r="CB17" s="11">
        <f>IF(預測IC!CB26&gt;預測IC!CB$27,1,0)</f>
        <v>0</v>
      </c>
      <c r="CC17" s="11">
        <f>IF(預測IC!CC26&gt;預測IC!CC$27,1,0)</f>
        <v>1</v>
      </c>
      <c r="CD17" s="11">
        <f>IF(預測IC!CD26&gt;預測IC!CD$27,1,0)</f>
        <v>0</v>
      </c>
      <c r="CE17" s="11">
        <f>IF(預測IC!CE26&gt;預測IC!CE$27,1,0)</f>
        <v>0</v>
      </c>
      <c r="CF17" s="11">
        <f>IF(預測IC!CF26&gt;預測IC!CF$27,1,0)</f>
        <v>0</v>
      </c>
      <c r="CG17" s="11">
        <f>IF(預測IC!CG26&gt;預測IC!CG$27,1,0)</f>
        <v>0</v>
      </c>
      <c r="CH17" s="11">
        <f>IF(預測IC!CH26&gt;預測IC!CH$27,1,0)</f>
        <v>0</v>
      </c>
      <c r="CI17" s="11">
        <f>IF(預測IC!CI26&gt;預測IC!CI$27,1,0)</f>
        <v>0</v>
      </c>
      <c r="CJ17" s="11">
        <f>IF(預測IC!CJ26&gt;預測IC!CJ$27,1,0)</f>
        <v>0</v>
      </c>
      <c r="CK17" s="11">
        <f>IF(預測IC!CK26&gt;預測IC!CK$27,1,0)</f>
        <v>0</v>
      </c>
      <c r="CL17" s="11">
        <f>IF(預測IC!CL26&gt;預測IC!CL$27,1,0)</f>
        <v>0</v>
      </c>
      <c r="CM17" s="11">
        <f>IF(預測IC!CM26&gt;預測IC!CM$27,1,0)</f>
        <v>1</v>
      </c>
      <c r="CN17" s="11">
        <f>IF(預測IC!CN26&gt;預測IC!CN$27,1,0)</f>
        <v>1</v>
      </c>
      <c r="CO17" s="11">
        <f>IF(預測IC!CO26&gt;預測IC!CO$27,1,0)</f>
        <v>1</v>
      </c>
      <c r="CP17" s="11">
        <f>IF(預測IC!CP26&gt;預測IC!CP$27,1,0)</f>
        <v>0</v>
      </c>
      <c r="CQ17" s="11">
        <f>IF(預測IC!CQ26&gt;預測IC!CQ$27,1,0)</f>
        <v>0</v>
      </c>
      <c r="CR17" s="11">
        <f>IF(預測IC!CR26&gt;預測IC!CR$27,1,0)</f>
        <v>0</v>
      </c>
      <c r="CS17" s="11">
        <f>IF(預測IC!CS26&gt;預測IC!CS$27,1,0)</f>
        <v>1</v>
      </c>
      <c r="CT17" s="11">
        <f>IF(預測IC!CT26&gt;預測IC!CT$27,1,0)</f>
        <v>1</v>
      </c>
      <c r="CU17" s="11">
        <f>IF(預測IC!CU26&gt;預測IC!CU$27,1,0)</f>
        <v>0</v>
      </c>
      <c r="CV17" s="11">
        <f>IF(預測IC!CV26&gt;預測IC!CV$27,1,0)</f>
        <v>1</v>
      </c>
      <c r="CW17" s="11">
        <f>IF(預測IC!CW26&gt;預測IC!CW$27,1,0)</f>
        <v>0</v>
      </c>
      <c r="CX17" s="11">
        <f>IF(預測IC!CX26&gt;預測IC!CX$27,1,0)</f>
        <v>1</v>
      </c>
      <c r="CY17" s="11">
        <f>IF(預測IC!CY26&gt;預測IC!CY$27,1,0)</f>
        <v>1</v>
      </c>
      <c r="CZ17" s="11">
        <f>IF(預測IC!CZ26&gt;預測IC!CZ$27,1,0)</f>
        <v>1</v>
      </c>
      <c r="DA17" s="11">
        <f>IF(預測IC!DA26&gt;預測IC!DA$27,1,0)</f>
        <v>1</v>
      </c>
      <c r="DB17" s="11">
        <f>IF(預測IC!DB26&gt;預測IC!DB$27,1,0)</f>
        <v>0</v>
      </c>
      <c r="DC17" s="11">
        <f>IF(預測IC!DC26&gt;預測IC!DC$27,1,0)</f>
        <v>0</v>
      </c>
      <c r="DD17" s="11">
        <f>IF(預測IC!DD26&gt;預測IC!DD$27,1,0)</f>
        <v>1</v>
      </c>
      <c r="DE17" s="11">
        <f>IF(預測IC!DE26&gt;預測IC!DE$27,1,0)</f>
        <v>1</v>
      </c>
      <c r="DF17" s="11">
        <f>IF(預測IC!DF26&gt;預測IC!DF$27,1,0)</f>
        <v>0</v>
      </c>
      <c r="DG17" s="11">
        <f>IF(預測IC!DG26&gt;預測IC!DG$27,1,0)</f>
        <v>0</v>
      </c>
      <c r="DH17" s="11">
        <f>IF(預測IC!DH26&gt;預測IC!DH$27,1,0)</f>
        <v>1</v>
      </c>
      <c r="DI17" s="11">
        <f>IF(預測IC!DI26&gt;預測IC!DI$27,1,0)</f>
        <v>1</v>
      </c>
      <c r="DJ17" s="11">
        <f>IF(預測IC!DJ26&gt;預測IC!DJ$27,1,0)</f>
        <v>1</v>
      </c>
      <c r="DK17" s="11">
        <f>IF(預測IC!DK26&gt;預測IC!DK$27,1,0)</f>
        <v>1</v>
      </c>
      <c r="DL17" s="11">
        <f>IF(預測IC!DL26&gt;預測IC!DL$27,1,0)</f>
        <v>1</v>
      </c>
      <c r="DM17" s="11">
        <f>IF(預測IC!DM26&gt;預測IC!DM$27,1,0)</f>
        <v>1</v>
      </c>
      <c r="DN17" s="11">
        <f>IF(預測IC!DN26&gt;預測IC!DN$27,1,0)</f>
        <v>1</v>
      </c>
      <c r="DO17" s="11">
        <f>IF(預測IC!DO26&gt;預測IC!DO$27,1,0)</f>
        <v>0</v>
      </c>
      <c r="DP17" s="11">
        <f>IF(預測IC!DP26&gt;預測IC!DP$27,1,0)</f>
        <v>1</v>
      </c>
      <c r="DQ17" s="11">
        <f>IF(預測IC!DQ26&gt;預測IC!DQ$27,1,0)</f>
        <v>0</v>
      </c>
      <c r="DR17" s="11">
        <f>IF(預測IC!DR26&gt;預測IC!DR$27,1,0)</f>
        <v>0</v>
      </c>
      <c r="DS17" s="11">
        <f>IF(預測IC!DS26&gt;預測IC!DS$27,1,0)</f>
        <v>1</v>
      </c>
      <c r="DT17" s="11">
        <f>IF(預測IC!DT26&gt;預測IC!DT$27,1,0)</f>
        <v>1</v>
      </c>
      <c r="DU17" s="11">
        <f>IF(預測IC!DU26&gt;預測IC!DU$27,1,0)</f>
        <v>0</v>
      </c>
      <c r="DV17" s="11">
        <f>IF(預測IC!DV26&gt;預測IC!DV$27,1,0)</f>
        <v>0</v>
      </c>
      <c r="DW17" s="11">
        <f>IF(預測IC!DW26&gt;預測IC!DW$27,1,0)</f>
        <v>0</v>
      </c>
      <c r="DX17" s="11">
        <f>IF(預測IC!DX26&gt;預測IC!DX$27,1,0)</f>
        <v>0</v>
      </c>
      <c r="DY17" s="11">
        <f>IF(預測IC!DY26&gt;預測IC!DY$27,1,0)</f>
        <v>1</v>
      </c>
      <c r="DZ17" s="11">
        <f>IF(預測IC!DZ26&gt;預測IC!DZ$27,1,0)</f>
        <v>1</v>
      </c>
      <c r="EA17" s="11">
        <f>IF(預測IC!EA26&gt;預測IC!EA$27,1,0)</f>
        <v>0</v>
      </c>
      <c r="EB17" s="11">
        <f>IF(預測IC!EB26&gt;預測IC!EB$27,1,0)</f>
        <v>1</v>
      </c>
      <c r="EC17" s="11">
        <f>IF(預測IC!EC26&gt;預測IC!EC$27,1,0)</f>
        <v>1</v>
      </c>
      <c r="ED17" s="11">
        <f>IF(預測IC!ED26&gt;預測IC!ED$27,1,0)</f>
        <v>0</v>
      </c>
      <c r="EE17" s="11">
        <f>IF(預測IC!EE26&gt;預測IC!EE$27,1,0)</f>
        <v>1</v>
      </c>
      <c r="EF17" s="11">
        <f>IF(預測IC!EF26&gt;預測IC!EF$27,1,0)</f>
        <v>1</v>
      </c>
      <c r="EG17" s="1">
        <f t="shared" si="0"/>
        <v>64</v>
      </c>
      <c r="EH17" s="2">
        <f t="shared" si="1"/>
        <v>0.47761194029850745</v>
      </c>
    </row>
    <row r="18" spans="1:138" ht="16" customHeight="1">
      <c r="A18" s="6" t="s">
        <v>147</v>
      </c>
      <c r="B18" s="6" t="s">
        <v>148</v>
      </c>
      <c r="C18" s="20">
        <v>-1.7446770539390338E-2</v>
      </c>
      <c r="D18" s="20">
        <v>2.070106053181563E-2</v>
      </c>
      <c r="E18" s="20">
        <v>2.3982129254766709E-2</v>
      </c>
      <c r="F18" s="20">
        <v>-6.557578972823077E-3</v>
      </c>
      <c r="G18" s="20">
        <v>3.1845129800519692E-2</v>
      </c>
      <c r="H18" s="20">
        <v>3.4348532736990518E-2</v>
      </c>
      <c r="I18" s="20">
        <v>-8.2549327813252367E-3</v>
      </c>
      <c r="J18" s="20">
        <v>1.2843524394052759E-2</v>
      </c>
      <c r="K18" s="20">
        <v>-5.1018524626790823E-2</v>
      </c>
      <c r="L18" s="20">
        <v>8.7394274103658827E-4</v>
      </c>
      <c r="M18" s="20">
        <v>2.3389575505495919E-2</v>
      </c>
      <c r="N18" s="20">
        <v>1.2988972200332851E-2</v>
      </c>
      <c r="O18" s="20">
        <v>5.8545887256348812E-3</v>
      </c>
      <c r="P18" s="20">
        <v>2.7413206571790558E-2</v>
      </c>
      <c r="Q18" s="20">
        <v>-3.7129361176928542E-3</v>
      </c>
      <c r="R18" s="20">
        <v>2.4076614047823328E-2</v>
      </c>
      <c r="S18" s="20">
        <v>-1.219002529903996E-2</v>
      </c>
      <c r="T18" s="20">
        <v>-3.9749578159589592E-2</v>
      </c>
      <c r="U18" s="20">
        <v>-7.3155449831649552E-2</v>
      </c>
      <c r="V18" s="20">
        <v>-5.8260229910114661E-2</v>
      </c>
      <c r="W18" s="20">
        <v>7.7279756550837221E-4</v>
      </c>
      <c r="X18" s="20">
        <v>4.459152113521897E-2</v>
      </c>
      <c r="Y18" s="20">
        <v>-2.7699680050213091E-2</v>
      </c>
      <c r="Z18" s="20">
        <v>2.0950059497436462E-3</v>
      </c>
      <c r="AA18" s="20">
        <v>-2.340055099256411E-2</v>
      </c>
      <c r="AB18" s="20">
        <v>3.2129371097322189E-2</v>
      </c>
      <c r="AC18" s="20">
        <v>3.890327309406643E-2</v>
      </c>
      <c r="AD18" s="20">
        <v>-4.286538217110427E-2</v>
      </c>
      <c r="AE18" s="20">
        <v>1.8647194550152159E-2</v>
      </c>
      <c r="AF18" s="20">
        <v>1.5229768322528949E-2</v>
      </c>
      <c r="AG18" s="20">
        <v>3.6016603778892417E-2</v>
      </c>
      <c r="AH18" s="20">
        <v>9.3546113853161701E-3</v>
      </c>
      <c r="AI18" s="20">
        <v>1.0748251336838139E-2</v>
      </c>
      <c r="AJ18" s="20">
        <v>1.335775405308097E-2</v>
      </c>
      <c r="AK18" s="20">
        <v>-5.3327473290953921E-3</v>
      </c>
      <c r="AL18" s="20">
        <v>1.383135807261675E-3</v>
      </c>
      <c r="AM18" s="20">
        <v>2.079592842007446E-2</v>
      </c>
      <c r="AN18" s="20">
        <v>3.1517702220390638E-2</v>
      </c>
      <c r="AO18" s="20">
        <v>6.2417165333294418E-3</v>
      </c>
      <c r="AP18" s="20">
        <v>6.1452616535713897E-3</v>
      </c>
      <c r="AQ18" s="20">
        <v>1.694635767669651E-2</v>
      </c>
      <c r="AR18" s="20">
        <v>3.4682830454308228E-2</v>
      </c>
      <c r="AS18" s="20">
        <v>3.0985886171969678E-3</v>
      </c>
      <c r="AT18" s="20">
        <v>1.508134714348611E-2</v>
      </c>
      <c r="AU18" s="20">
        <v>-1.9251209229863991E-2</v>
      </c>
      <c r="AV18" s="20">
        <v>3.8711513387631437E-2</v>
      </c>
      <c r="AW18" s="20">
        <v>-2.1856951135736599E-2</v>
      </c>
      <c r="AX18" s="20">
        <v>7.7743007097896798E-3</v>
      </c>
      <c r="AY18" s="20">
        <v>4.2397246695325942E-2</v>
      </c>
      <c r="AZ18" s="20">
        <v>-2.630897486115975E-2</v>
      </c>
      <c r="BA18" s="20">
        <v>9.5717493087162323E-3</v>
      </c>
      <c r="BB18" s="20">
        <v>-2.424974126627483E-2</v>
      </c>
      <c r="BC18" s="20">
        <v>2.0163374143915822E-2</v>
      </c>
      <c r="BD18" s="20">
        <v>-3.5049987821160239E-3</v>
      </c>
      <c r="BE18" s="20">
        <v>2.0151935098542271E-2</v>
      </c>
      <c r="BF18" s="20">
        <v>5.8133623077027128E-4</v>
      </c>
      <c r="BG18" s="20">
        <v>-5.2197009532526043E-3</v>
      </c>
      <c r="BH18" s="20">
        <v>-0.11587176140213</v>
      </c>
      <c r="BI18" s="20">
        <v>8.7252256924373536E-3</v>
      </c>
      <c r="BJ18" s="20">
        <v>-1.6377260977822151E-2</v>
      </c>
      <c r="BK18" s="20">
        <v>2.0840371600260421E-2</v>
      </c>
      <c r="BL18" s="20">
        <v>4.4975872102114713E-2</v>
      </c>
      <c r="BM18" s="20">
        <v>2.3954306081863871E-2</v>
      </c>
      <c r="BN18" s="20">
        <v>3.0239101391442601E-2</v>
      </c>
      <c r="BO18" s="20">
        <v>-4.372588759108751E-2</v>
      </c>
      <c r="BP18" s="20">
        <v>2.1889469568198618E-2</v>
      </c>
      <c r="BQ18" s="20">
        <v>8.6274302635084028E-3</v>
      </c>
      <c r="BR18" s="20">
        <v>-1.9192953994658781E-2</v>
      </c>
      <c r="BS18" s="20">
        <v>1.973512988813305E-2</v>
      </c>
      <c r="BT18" s="20">
        <v>4.7694337483699438E-2</v>
      </c>
      <c r="BU18" s="20">
        <v>1.145481680658339E-2</v>
      </c>
      <c r="BV18" s="20">
        <v>4.3228620735213191E-2</v>
      </c>
      <c r="BW18" s="20">
        <v>-4.2747430436922793E-2</v>
      </c>
      <c r="BX18" s="20">
        <v>-1.781129242779457E-2</v>
      </c>
      <c r="BY18" s="20">
        <v>-0.1511530968690756</v>
      </c>
      <c r="BZ18" s="20">
        <v>0.12422400361957529</v>
      </c>
      <c r="CA18" s="20">
        <v>-4.5572538445296431E-3</v>
      </c>
      <c r="CB18" s="20">
        <v>6.0211240204911178E-2</v>
      </c>
      <c r="CC18" s="20">
        <v>8.5992033482502284E-2</v>
      </c>
      <c r="CD18" s="20">
        <v>-5.8084795823660634E-3</v>
      </c>
      <c r="CE18" s="20">
        <v>-6.0413469889680736E-3</v>
      </c>
      <c r="CF18" s="20">
        <v>2.4523243722520739E-3</v>
      </c>
      <c r="CG18" s="20">
        <v>8.963625193702289E-2</v>
      </c>
      <c r="CH18" s="20">
        <v>7.099273252675789E-2</v>
      </c>
      <c r="CI18" s="20">
        <v>2.7170642901783448E-2</v>
      </c>
      <c r="CJ18" s="20">
        <v>5.2468428425330033E-2</v>
      </c>
      <c r="CK18" s="20">
        <v>2.9480660943049509E-2</v>
      </c>
      <c r="CL18" s="20">
        <v>6.6825081060201283E-2</v>
      </c>
      <c r="CM18" s="20">
        <v>-2.8772229019816971E-2</v>
      </c>
      <c r="CN18" s="20">
        <v>3.9462515901637851E-2</v>
      </c>
      <c r="CO18" s="20">
        <v>-2.9031086977359909E-2</v>
      </c>
      <c r="CP18" s="20">
        <v>1.3983882519467901E-2</v>
      </c>
      <c r="CQ18" s="20">
        <v>-3.2276964959333833E-2</v>
      </c>
      <c r="CR18" s="20">
        <v>3.1035766128940231E-3</v>
      </c>
      <c r="CS18" s="20">
        <v>2.5591855767083171E-2</v>
      </c>
      <c r="CT18" s="20">
        <v>4.4391886287193302E-2</v>
      </c>
      <c r="CU18" s="20">
        <v>-3.0338958549577438E-2</v>
      </c>
      <c r="CV18" s="20">
        <v>-1.2579764545717069E-3</v>
      </c>
      <c r="CW18" s="20">
        <v>2.336356455857952E-3</v>
      </c>
      <c r="CX18" s="20">
        <v>-6.4264144925906069E-2</v>
      </c>
      <c r="CY18" s="20">
        <v>1.2909779458992439E-2</v>
      </c>
      <c r="CZ18" s="20">
        <v>-0.12547709467085871</v>
      </c>
      <c r="DA18" s="20">
        <v>1.1690682939792569E-2</v>
      </c>
      <c r="DB18" s="20">
        <v>6.3378437007417512E-3</v>
      </c>
      <c r="DC18" s="20">
        <v>-0.1173053564693855</v>
      </c>
      <c r="DD18" s="20">
        <v>-3.6010872049446613E-2</v>
      </c>
      <c r="DE18" s="20">
        <v>0.1389113040722679</v>
      </c>
      <c r="DF18" s="20">
        <v>-5.1143506226105737E-2</v>
      </c>
      <c r="DG18" s="20">
        <v>7.6731447181969059E-2</v>
      </c>
      <c r="DH18" s="20">
        <v>1.550878219700816E-2</v>
      </c>
      <c r="DI18" s="20">
        <v>2.3223773674755831E-2</v>
      </c>
      <c r="DJ18" s="20">
        <v>-1.8372876361227891E-2</v>
      </c>
      <c r="DK18" s="20">
        <v>6.2199014085099431E-2</v>
      </c>
      <c r="DL18" s="20">
        <v>2.0098304486957191E-2</v>
      </c>
      <c r="DM18" s="20">
        <v>1.349893974806809E-2</v>
      </c>
      <c r="DN18" s="20">
        <v>-3.025221272842088E-2</v>
      </c>
      <c r="DO18" s="20">
        <v>-1.7022835708053841E-2</v>
      </c>
      <c r="DP18" s="20">
        <v>-2.1788523272461981E-2</v>
      </c>
      <c r="DQ18" s="20">
        <v>8.5745624585137223E-2</v>
      </c>
      <c r="DR18" s="20">
        <v>2.8106743604973752E-2</v>
      </c>
      <c r="DS18" s="20">
        <v>-2.3031598073594501E-3</v>
      </c>
      <c r="DT18" s="20">
        <v>5.8471198131487503E-2</v>
      </c>
      <c r="DU18" s="20">
        <v>6.7658949048647651E-2</v>
      </c>
      <c r="DV18" s="20">
        <v>5.0207706404322644E-3</v>
      </c>
      <c r="DW18" s="20">
        <v>3.7416183675207063E-2</v>
      </c>
      <c r="DX18" s="20">
        <v>8.4111003746042121E-2</v>
      </c>
      <c r="DY18" s="20">
        <v>-3.6832398544012837E-2</v>
      </c>
      <c r="DZ18" s="20">
        <v>3.0917028169369942E-3</v>
      </c>
      <c r="EA18" s="20">
        <v>-1.957628214294549E-3</v>
      </c>
      <c r="EB18" s="20">
        <v>2.6459103603519739E-2</v>
      </c>
      <c r="EC18" s="20">
        <v>-2.4752538760690269E-2</v>
      </c>
      <c r="ED18" s="20">
        <v>3.4115490982559941E-2</v>
      </c>
      <c r="EE18" s="20">
        <v>2.1061973989032982E-2</v>
      </c>
      <c r="EF18" s="20">
        <v>-2.0277392706005919E-2</v>
      </c>
      <c r="EG18" s="3"/>
    </row>
    <row r="19" spans="1:138" ht="16" customHeight="1">
      <c r="A19" s="22"/>
      <c r="B19" s="22"/>
      <c r="C19" s="22"/>
      <c r="D19" s="4"/>
      <c r="E19" s="4"/>
      <c r="F19" s="4"/>
      <c r="G19" s="4"/>
      <c r="H19" s="4"/>
      <c r="I19" s="4"/>
      <c r="J19" s="4"/>
      <c r="K19" s="22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</row>
    <row r="20" spans="1:138" ht="16" customHeight="1"/>
    <row r="21" spans="1:138" ht="16" customHeight="1"/>
    <row r="22" spans="1:138" ht="16" customHeight="1"/>
    <row r="23" spans="1:138" ht="16" customHeight="1"/>
    <row r="24" spans="1:138" ht="16" customHeight="1"/>
    <row r="25" spans="1:138" ht="16" customHeight="1"/>
    <row r="26" spans="1:138" ht="16" customHeight="1"/>
    <row r="27" spans="1:138" ht="16" customHeight="1"/>
    <row r="28" spans="1:138" ht="16" customHeight="1"/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F23"/>
  <sheetViews>
    <sheetView zoomScale="82" workbookViewId="0">
      <selection activeCell="G29" sqref="G29"/>
    </sheetView>
  </sheetViews>
  <sheetFormatPr baseColWidth="10" defaultColWidth="8.83203125" defaultRowHeight="15"/>
  <cols>
    <col min="1" max="1" width="8.33203125" style="21" customWidth="1"/>
    <col min="2" max="3" width="9.33203125" style="21" customWidth="1"/>
    <col min="11" max="11" width="8.1640625" style="21" customWidth="1"/>
    <col min="64" max="64" width="8.33203125" style="21" customWidth="1"/>
  </cols>
  <sheetData>
    <row r="1" spans="1:136" ht="16" customHeight="1">
      <c r="A1" s="22"/>
      <c r="B1" s="22"/>
      <c r="C1" s="22"/>
      <c r="D1" s="4"/>
      <c r="E1" s="4"/>
      <c r="F1" s="4"/>
      <c r="G1" s="4"/>
      <c r="H1" s="4"/>
      <c r="I1" s="4"/>
      <c r="J1" s="4"/>
      <c r="K1" s="22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</row>
    <row r="8" spans="1:136" ht="16" customHeight="1">
      <c r="A8" s="54" t="s">
        <v>142</v>
      </c>
      <c r="B8" s="55"/>
      <c r="C8" s="10" t="s">
        <v>143</v>
      </c>
      <c r="D8" s="10">
        <v>964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</row>
    <row r="9" spans="1:136" ht="18" customHeight="1">
      <c r="A9" s="24" t="s">
        <v>239</v>
      </c>
      <c r="B9" s="12" t="s">
        <v>3</v>
      </c>
      <c r="C9" s="12" t="s">
        <v>4</v>
      </c>
      <c r="D9" s="12" t="s">
        <v>5</v>
      </c>
      <c r="E9" s="12" t="s">
        <v>6</v>
      </c>
      <c r="F9" s="12" t="s">
        <v>7</v>
      </c>
      <c r="G9" s="12" t="s">
        <v>8</v>
      </c>
      <c r="H9" s="12" t="s">
        <v>9</v>
      </c>
      <c r="I9" s="12" t="s">
        <v>10</v>
      </c>
      <c r="J9" s="12" t="s">
        <v>11</v>
      </c>
      <c r="K9" s="12" t="s">
        <v>12</v>
      </c>
      <c r="L9" s="12" t="s">
        <v>13</v>
      </c>
      <c r="M9" s="12" t="s">
        <v>14</v>
      </c>
      <c r="N9" s="12" t="s">
        <v>15</v>
      </c>
      <c r="O9" s="12" t="s">
        <v>16</v>
      </c>
      <c r="P9" s="12" t="s">
        <v>17</v>
      </c>
      <c r="Q9" s="12" t="s">
        <v>18</v>
      </c>
      <c r="R9" s="12" t="s">
        <v>19</v>
      </c>
      <c r="S9" s="12" t="s">
        <v>20</v>
      </c>
      <c r="T9" s="12" t="s">
        <v>21</v>
      </c>
      <c r="U9" s="12" t="s">
        <v>22</v>
      </c>
      <c r="V9" s="12" t="s">
        <v>23</v>
      </c>
      <c r="W9" s="12" t="s">
        <v>24</v>
      </c>
      <c r="X9" s="12" t="s">
        <v>25</v>
      </c>
      <c r="Y9" s="12" t="s">
        <v>26</v>
      </c>
      <c r="Z9" s="12" t="s">
        <v>27</v>
      </c>
      <c r="AA9" s="12" t="s">
        <v>28</v>
      </c>
      <c r="AB9" s="12" t="s">
        <v>29</v>
      </c>
      <c r="AC9" s="12" t="s">
        <v>30</v>
      </c>
      <c r="AD9" s="12" t="s">
        <v>31</v>
      </c>
      <c r="AE9" s="12" t="s">
        <v>32</v>
      </c>
      <c r="AF9" s="12" t="s">
        <v>33</v>
      </c>
      <c r="AG9" s="12" t="s">
        <v>34</v>
      </c>
      <c r="AH9" s="12" t="s">
        <v>35</v>
      </c>
      <c r="AI9" s="12" t="s">
        <v>36</v>
      </c>
      <c r="AJ9" s="12" t="s">
        <v>37</v>
      </c>
      <c r="AK9" s="12" t="s">
        <v>38</v>
      </c>
      <c r="AL9" s="12" t="s">
        <v>39</v>
      </c>
      <c r="AM9" s="12" t="s">
        <v>40</v>
      </c>
      <c r="AN9" s="12" t="s">
        <v>41</v>
      </c>
      <c r="AO9" s="12" t="s">
        <v>42</v>
      </c>
      <c r="AP9" s="12" t="s">
        <v>43</v>
      </c>
      <c r="AQ9" s="12" t="s">
        <v>44</v>
      </c>
      <c r="AR9" s="12" t="s">
        <v>45</v>
      </c>
      <c r="AS9" s="12" t="s">
        <v>46</v>
      </c>
      <c r="AT9" s="12" t="s">
        <v>47</v>
      </c>
      <c r="AU9" s="12" t="s">
        <v>48</v>
      </c>
      <c r="AV9" s="12" t="s">
        <v>49</v>
      </c>
      <c r="AW9" s="12" t="s">
        <v>50</v>
      </c>
      <c r="AX9" s="12" t="s">
        <v>51</v>
      </c>
      <c r="AY9" s="12" t="s">
        <v>52</v>
      </c>
      <c r="AZ9" s="12" t="s">
        <v>53</v>
      </c>
      <c r="BA9" s="12" t="s">
        <v>54</v>
      </c>
      <c r="BB9" s="12" t="s">
        <v>55</v>
      </c>
      <c r="BC9" s="12" t="s">
        <v>56</v>
      </c>
      <c r="BD9" s="12" t="s">
        <v>57</v>
      </c>
      <c r="BE9" s="12" t="s">
        <v>58</v>
      </c>
      <c r="BF9" s="12" t="s">
        <v>59</v>
      </c>
      <c r="BG9" s="12" t="s">
        <v>60</v>
      </c>
      <c r="BH9" s="12" t="s">
        <v>61</v>
      </c>
      <c r="BI9" s="12" t="s">
        <v>62</v>
      </c>
      <c r="BJ9" s="12" t="s">
        <v>63</v>
      </c>
      <c r="BK9" s="12" t="s">
        <v>64</v>
      </c>
      <c r="BL9" s="12" t="s">
        <v>65</v>
      </c>
      <c r="BM9" s="12" t="s">
        <v>66</v>
      </c>
      <c r="BN9" s="12" t="s">
        <v>67</v>
      </c>
      <c r="BO9" s="12" t="s">
        <v>68</v>
      </c>
      <c r="BP9" s="12" t="s">
        <v>69</v>
      </c>
      <c r="BQ9" s="12" t="s">
        <v>70</v>
      </c>
      <c r="BR9" s="12" t="s">
        <v>71</v>
      </c>
      <c r="BS9" s="12" t="s">
        <v>72</v>
      </c>
      <c r="BT9" s="12" t="s">
        <v>73</v>
      </c>
      <c r="BU9" s="12" t="s">
        <v>74</v>
      </c>
      <c r="BV9" s="12" t="s">
        <v>75</v>
      </c>
      <c r="BW9" s="12" t="s">
        <v>76</v>
      </c>
      <c r="BX9" s="12" t="s">
        <v>77</v>
      </c>
      <c r="BY9" s="12" t="s">
        <v>78</v>
      </c>
      <c r="BZ9" s="12" t="s">
        <v>79</v>
      </c>
      <c r="CA9" s="12" t="s">
        <v>80</v>
      </c>
      <c r="CB9" s="12" t="s">
        <v>81</v>
      </c>
      <c r="CC9" s="12" t="s">
        <v>82</v>
      </c>
      <c r="CD9" s="12" t="s">
        <v>83</v>
      </c>
      <c r="CE9" s="12" t="s">
        <v>84</v>
      </c>
      <c r="CF9" s="12" t="s">
        <v>85</v>
      </c>
      <c r="CG9" s="12" t="s">
        <v>86</v>
      </c>
      <c r="CH9" s="12" t="s">
        <v>87</v>
      </c>
      <c r="CI9" s="12" t="s">
        <v>88</v>
      </c>
      <c r="CJ9" s="12" t="s">
        <v>89</v>
      </c>
      <c r="CK9" s="12" t="s">
        <v>90</v>
      </c>
      <c r="CL9" s="12" t="s">
        <v>91</v>
      </c>
      <c r="CM9" s="12" t="s">
        <v>92</v>
      </c>
      <c r="CN9" s="12" t="s">
        <v>93</v>
      </c>
      <c r="CO9" s="12" t="s">
        <v>94</v>
      </c>
      <c r="CP9" s="12" t="s">
        <v>95</v>
      </c>
      <c r="CQ9" s="12" t="s">
        <v>96</v>
      </c>
      <c r="CR9" s="12" t="s">
        <v>97</v>
      </c>
      <c r="CS9" s="12" t="s">
        <v>98</v>
      </c>
      <c r="CT9" s="12" t="s">
        <v>99</v>
      </c>
      <c r="CU9" s="12" t="s">
        <v>100</v>
      </c>
      <c r="CV9" s="12" t="s">
        <v>101</v>
      </c>
      <c r="CW9" s="12" t="s">
        <v>102</v>
      </c>
      <c r="CX9" s="12" t="s">
        <v>103</v>
      </c>
      <c r="CY9" s="12" t="s">
        <v>104</v>
      </c>
      <c r="CZ9" s="12" t="s">
        <v>105</v>
      </c>
      <c r="DA9" s="12" t="s">
        <v>106</v>
      </c>
      <c r="DB9" s="12" t="s">
        <v>107</v>
      </c>
      <c r="DC9" s="12" t="s">
        <v>108</v>
      </c>
      <c r="DD9" s="12" t="s">
        <v>109</v>
      </c>
      <c r="DE9" s="12" t="s">
        <v>110</v>
      </c>
      <c r="DF9" s="12" t="s">
        <v>111</v>
      </c>
      <c r="DG9" s="12" t="s">
        <v>112</v>
      </c>
      <c r="DH9" s="12" t="s">
        <v>113</v>
      </c>
      <c r="DI9" s="12" t="s">
        <v>114</v>
      </c>
      <c r="DJ9" s="12" t="s">
        <v>115</v>
      </c>
      <c r="DK9" s="12" t="s">
        <v>116</v>
      </c>
      <c r="DL9" s="12" t="s">
        <v>117</v>
      </c>
      <c r="DM9" s="12" t="s">
        <v>118</v>
      </c>
      <c r="DN9" s="12" t="s">
        <v>119</v>
      </c>
      <c r="DO9" s="12" t="s">
        <v>120</v>
      </c>
      <c r="DP9" s="12" t="s">
        <v>121</v>
      </c>
      <c r="DQ9" s="12" t="s">
        <v>122</v>
      </c>
      <c r="DR9" s="12" t="s">
        <v>123</v>
      </c>
      <c r="DS9" s="12" t="s">
        <v>124</v>
      </c>
      <c r="DT9" s="12" t="s">
        <v>125</v>
      </c>
      <c r="DU9" s="12" t="s">
        <v>126</v>
      </c>
      <c r="DV9" s="12" t="s">
        <v>127</v>
      </c>
      <c r="DW9" s="12" t="s">
        <v>128</v>
      </c>
      <c r="DX9" s="12" t="s">
        <v>129</v>
      </c>
      <c r="DY9" s="12" t="s">
        <v>130</v>
      </c>
      <c r="DZ9" s="12" t="s">
        <v>131</v>
      </c>
      <c r="EA9" s="12" t="s">
        <v>132</v>
      </c>
      <c r="EB9" s="12" t="s">
        <v>133</v>
      </c>
      <c r="EC9" s="12" t="s">
        <v>134</v>
      </c>
      <c r="ED9" s="12" t="s">
        <v>135</v>
      </c>
      <c r="EE9" s="12" t="s">
        <v>146</v>
      </c>
    </row>
    <row r="10" spans="1:136" ht="18" customHeight="1">
      <c r="A10" s="6" t="s">
        <v>240</v>
      </c>
      <c r="B10" s="9">
        <v>-1.7914421842699049E-2</v>
      </c>
      <c r="C10" s="11">
        <f>B10+預測IC!D14</f>
        <v>-3.1706321388901195E-3</v>
      </c>
      <c r="D10" s="11">
        <f>C10+預測IC!E14</f>
        <v>-1.53748609508514E-2</v>
      </c>
      <c r="E10" s="11">
        <f>D10+預測IC!F14</f>
        <v>-6.8522235011358915E-2</v>
      </c>
      <c r="F10" s="11">
        <f>E10+預測IC!G14</f>
        <v>-2.8393833970543507E-2</v>
      </c>
      <c r="G10" s="11">
        <f>F10+預測IC!H14</f>
        <v>-5.7684926577958623E-2</v>
      </c>
      <c r="H10" s="11">
        <f>G10+預測IC!I14</f>
        <v>-4.8694957576154427E-2</v>
      </c>
      <c r="I10" s="11">
        <f>H10+預測IC!J14</f>
        <v>-2.5312296078311088E-2</v>
      </c>
      <c r="J10" s="11">
        <f>I10+預測IC!K14</f>
        <v>-3.3822534122594297E-3</v>
      </c>
      <c r="K10" s="11">
        <f>J10+預測IC!L14</f>
        <v>-3.0346353834519588E-2</v>
      </c>
      <c r="L10" s="11">
        <f>K10+預測IC!M14</f>
        <v>1.1707758286434233E-2</v>
      </c>
      <c r="M10" s="11">
        <f>L10+預測IC!N14</f>
        <v>-5.1071479821793442E-2</v>
      </c>
      <c r="N10" s="11">
        <f>M10+預測IC!O14</f>
        <v>-3.4838580621976936E-2</v>
      </c>
      <c r="O10" s="11">
        <f>N10+預測IC!P14</f>
        <v>-2.2645111257567116E-2</v>
      </c>
      <c r="P10" s="11">
        <f>O10+預測IC!Q14</f>
        <v>-1.5022022797678565E-2</v>
      </c>
      <c r="Q10" s="11">
        <f>P10+預測IC!R14</f>
        <v>3.0940300436611938E-3</v>
      </c>
      <c r="R10" s="11">
        <f>Q10+預測IC!S14</f>
        <v>1.0820262811685234E-2</v>
      </c>
      <c r="S10" s="11">
        <f>R10+預測IC!T14</f>
        <v>2.7685110130142052E-2</v>
      </c>
      <c r="T10" s="11">
        <f>S10+預測IC!U14</f>
        <v>5.1229504280598151E-2</v>
      </c>
      <c r="U10" s="11">
        <f>T10+預測IC!V14</f>
        <v>5.8339506154427873E-2</v>
      </c>
      <c r="V10" s="11">
        <f>U10+預測IC!W14</f>
        <v>6.1772057410356712E-2</v>
      </c>
      <c r="W10" s="11">
        <f>V10+預測IC!X14</f>
        <v>4.7383489532232662E-2</v>
      </c>
      <c r="X10" s="11">
        <f>W10+預測IC!Y14</f>
        <v>2.9710180148708441E-2</v>
      </c>
      <c r="Y10" s="11">
        <f>X10+預測IC!Z14</f>
        <v>4.506619502025927E-2</v>
      </c>
      <c r="Z10" s="11">
        <f>Y10+預測IC!AA14</f>
        <v>2.4827414686530561E-2</v>
      </c>
      <c r="AA10" s="11">
        <f>Z10+預測IC!AB14</f>
        <v>9.5745619315012014E-3</v>
      </c>
      <c r="AB10" s="11">
        <f>AA10+預測IC!AC14</f>
        <v>6.1890785758338285E-2</v>
      </c>
      <c r="AC10" s="11">
        <f>AB10+預測IC!AD14</f>
        <v>7.5732191736080812E-2</v>
      </c>
      <c r="AD10" s="11">
        <f>AC10+預測IC!AE14</f>
        <v>3.1931955267349474E-2</v>
      </c>
      <c r="AE10" s="11">
        <f>AD10+預測IC!AF14</f>
        <v>6.6294622115751892E-2</v>
      </c>
      <c r="AF10" s="11">
        <f>AE10+預測IC!AG14</f>
        <v>6.5155157540154773E-2</v>
      </c>
      <c r="AG10" s="11">
        <f>AF10+預測IC!AH14</f>
        <v>5.381134342880782E-2</v>
      </c>
      <c r="AH10" s="11">
        <f>AG10+預測IC!AI14</f>
        <v>2.6233265088783941E-2</v>
      </c>
      <c r="AI10" s="11">
        <f>AH10+預測IC!AJ14</f>
        <v>3.4680294403443203E-2</v>
      </c>
      <c r="AJ10" s="11">
        <f>AI10+預測IC!AK14</f>
        <v>4.6890546164332539E-2</v>
      </c>
      <c r="AK10" s="11">
        <f>AJ10+預測IC!AL14</f>
        <v>4.7675910592559684E-2</v>
      </c>
      <c r="AL10" s="11">
        <f>AK10+預測IC!AM14</f>
        <v>3.2486113242829552E-2</v>
      </c>
      <c r="AM10" s="11">
        <f>AL10+預測IC!AN14</f>
        <v>2.937408295857407E-2</v>
      </c>
      <c r="AN10" s="11">
        <f>AM10+預測IC!AO14</f>
        <v>1.711585633376846E-2</v>
      </c>
      <c r="AO10" s="11">
        <f>AN10+預測IC!AP14</f>
        <v>2.8265062930362968E-2</v>
      </c>
      <c r="AP10" s="11">
        <f>AO10+預測IC!AQ14</f>
        <v>2.6479047962784177E-2</v>
      </c>
      <c r="AQ10" s="11">
        <f>AP10+預測IC!AR14</f>
        <v>2.058793364955679E-2</v>
      </c>
      <c r="AR10" s="11">
        <f>AQ10+預測IC!AS14</f>
        <v>1.6443538298832477E-2</v>
      </c>
      <c r="AS10" s="11">
        <f>AR10+預測IC!AT14</f>
        <v>4.3074353377238306E-2</v>
      </c>
      <c r="AT10" s="11">
        <f>AS10+預測IC!AU14</f>
        <v>6.9511501470668452E-2</v>
      </c>
      <c r="AU10" s="11">
        <f>AT10+預測IC!AV14</f>
        <v>7.1528868983744678E-2</v>
      </c>
      <c r="AV10" s="11">
        <f>AU10+預測IC!AW14</f>
        <v>6.2419443920764109E-2</v>
      </c>
      <c r="AW10" s="11">
        <f>AV10+預測IC!AX14</f>
        <v>5.9229194524132514E-2</v>
      </c>
      <c r="AX10" s="11">
        <f>AW10+預測IC!AY14</f>
        <v>7.7106715786591132E-2</v>
      </c>
      <c r="AY10" s="11">
        <f>AX10+預測IC!AZ14</f>
        <v>7.4622691464782551E-2</v>
      </c>
      <c r="AZ10" s="11">
        <f>AY10+預測IC!BA14</f>
        <v>4.1950025709763299E-2</v>
      </c>
      <c r="BA10" s="11">
        <f>AZ10+預測IC!BB14</f>
        <v>1.3502698366367707E-2</v>
      </c>
      <c r="BB10" s="11">
        <f>BA10+預測IC!BC14</f>
        <v>1.9146183773991972E-2</v>
      </c>
      <c r="BC10" s="11">
        <f>BB10+預測IC!BD14</f>
        <v>2.0598652778604308E-2</v>
      </c>
      <c r="BD10" s="11">
        <f>BC10+預測IC!BE14</f>
        <v>1.0133729403279229E-2</v>
      </c>
      <c r="BE10" s="11">
        <f>BD10+預測IC!BF14</f>
        <v>1.5468530080212047E-2</v>
      </c>
      <c r="BF10" s="11">
        <f>BE10+預測IC!BG14</f>
        <v>-1.2622620585364983E-2</v>
      </c>
      <c r="BG10" s="11">
        <f>BF10+預測IC!BH14</f>
        <v>-0.11373719300507137</v>
      </c>
      <c r="BH10" s="11">
        <f>BG10+預測IC!BI14</f>
        <v>-0.19355512870860123</v>
      </c>
      <c r="BI10" s="11">
        <f>BH10+預測IC!BJ14</f>
        <v>-0.21162537805732343</v>
      </c>
      <c r="BJ10" s="11">
        <f>BI10+預測IC!BK14</f>
        <v>-0.21045699060972067</v>
      </c>
      <c r="BK10" s="11">
        <f>BJ10+預測IC!BL14</f>
        <v>-0.20771736704499374</v>
      </c>
      <c r="BL10" s="11">
        <f>BK10+預測IC!BM14</f>
        <v>-0.19492216866391471</v>
      </c>
      <c r="BM10" s="11">
        <f>BL10+預測IC!BN14</f>
        <v>-0.18312226596400999</v>
      </c>
      <c r="BN10" s="11">
        <f>BM10+預測IC!BO14</f>
        <v>-0.18406911393913694</v>
      </c>
      <c r="BO10" s="11">
        <f>BN10+預測IC!BP14</f>
        <v>-0.15353468324258154</v>
      </c>
      <c r="BP10" s="11">
        <f>BO10+預測IC!BQ14</f>
        <v>-0.14974671156070743</v>
      </c>
      <c r="BQ10" s="11">
        <f>BP10+預測IC!BR14</f>
        <v>-0.1048255907650526</v>
      </c>
      <c r="BR10" s="11">
        <f>BQ10+預測IC!BS14</f>
        <v>-0.10774131268695696</v>
      </c>
      <c r="BS10" s="11">
        <f>BR10+預測IC!BT14</f>
        <v>-8.9391238342416815E-2</v>
      </c>
      <c r="BT10" s="11">
        <f>BS10+預測IC!BU14</f>
        <v>-7.3849333023197766E-2</v>
      </c>
      <c r="BU10" s="11">
        <f>BT10+預測IC!BV14</f>
        <v>-0.100980384024832</v>
      </c>
      <c r="BV10" s="11">
        <f>BU10+預測IC!BW14</f>
        <v>-0.10060805016827318</v>
      </c>
      <c r="BW10" s="11">
        <f>BV10+預測IC!BX14</f>
        <v>-7.5286312326319507E-2</v>
      </c>
      <c r="BX10" s="11">
        <f>BW10+預測IC!BY14</f>
        <v>-0.11187846651798454</v>
      </c>
      <c r="BY10" s="11">
        <f>BX10+預測IC!BZ14</f>
        <v>-0.11267968490294543</v>
      </c>
      <c r="BZ10" s="11">
        <f>BY10+預測IC!CA14</f>
        <v>-0.1146627108684939</v>
      </c>
      <c r="CA10" s="11">
        <f>BZ10+預測IC!CB14</f>
        <v>-9.3387989589783477E-2</v>
      </c>
      <c r="CB10" s="11">
        <f>CA10+預測IC!CC14</f>
        <v>-0.11285677424488066</v>
      </c>
      <c r="CC10" s="11">
        <f>CB10+預測IC!CD14</f>
        <v>-0.12701010580565111</v>
      </c>
      <c r="CD10" s="11">
        <f>CC10+預測IC!CE14</f>
        <v>-8.0584291660910551E-2</v>
      </c>
      <c r="CE10" s="11">
        <f>CD10+預測IC!CF14</f>
        <v>-0.11632668730272887</v>
      </c>
      <c r="CF10" s="11">
        <f>CE10+預測IC!CG14</f>
        <v>-9.4577392800441848E-2</v>
      </c>
      <c r="CG10" s="11">
        <f>CF10+預測IC!CH14</f>
        <v>-0.11388075474063446</v>
      </c>
      <c r="CH10" s="11">
        <f>CG10+預測IC!CI14</f>
        <v>-0.11199227482869464</v>
      </c>
      <c r="CI10" s="11">
        <f>CH10+預測IC!CJ14</f>
        <v>-7.8173390922634756E-2</v>
      </c>
      <c r="CJ10" s="11">
        <f>CI10+預測IC!CK14</f>
        <v>-7.8171687925475478E-2</v>
      </c>
      <c r="CK10" s="11">
        <f>CJ10+預測IC!CL14</f>
        <v>-0.16979526712066031</v>
      </c>
      <c r="CL10" s="11">
        <f>CK10+預測IC!CM14</f>
        <v>-0.17447714261184982</v>
      </c>
      <c r="CM10" s="11">
        <f>CL10+預測IC!CN14</f>
        <v>-0.11856841627097182</v>
      </c>
      <c r="CN10" s="11">
        <f>CM10+預測IC!CO14</f>
        <v>-8.5126726486610071E-2</v>
      </c>
      <c r="CO10" s="11">
        <f>CN10+預測IC!CP14</f>
        <v>-0.10211482369408922</v>
      </c>
      <c r="CP10" s="11">
        <f>CO10+預測IC!CQ14</f>
        <v>-0.11537412924844462</v>
      </c>
      <c r="CQ10" s="11">
        <f>CP10+預測IC!CR14</f>
        <v>-0.13245398719728296</v>
      </c>
      <c r="CR10" s="11">
        <f>CQ10+預測IC!CS14</f>
        <v>-0.13505716443968818</v>
      </c>
      <c r="CS10" s="11">
        <f>CR10+預測IC!CT14</f>
        <v>-9.8876594166878509E-2</v>
      </c>
      <c r="CT10" s="11">
        <f>CS10+預測IC!CU14</f>
        <v>-7.3403593609209422E-2</v>
      </c>
      <c r="CU10" s="11">
        <f>CT10+預測IC!CV14</f>
        <v>-0.10082377715652682</v>
      </c>
      <c r="CV10" s="11">
        <f>CU10+預測IC!CW14</f>
        <v>-0.1180517394768294</v>
      </c>
      <c r="CW10" s="11">
        <f>CV10+預測IC!CX14</f>
        <v>-0.11911418877841003</v>
      </c>
      <c r="CX10" s="11">
        <f>CW10+預測IC!CY14</f>
        <v>-0.11305974809708372</v>
      </c>
      <c r="CY10" s="11">
        <f>CX10+預測IC!CZ14</f>
        <v>-7.869939915731014E-2</v>
      </c>
      <c r="CZ10" s="11">
        <f>CY10+預測IC!DA14</f>
        <v>-6.3624885437105441E-2</v>
      </c>
      <c r="DA10" s="11">
        <f>CZ10+預測IC!DB14</f>
        <v>-6.0486869529537267E-2</v>
      </c>
      <c r="DB10" s="11">
        <f>DA10+預測IC!DC14</f>
        <v>-2.2530883471442699E-2</v>
      </c>
      <c r="DC10" s="11">
        <f>DB10+預測IC!DD14</f>
        <v>-5.4879395294604179E-2</v>
      </c>
      <c r="DD10" s="11">
        <f>DC10+預測IC!DE14</f>
        <v>-7.5702285120306245E-2</v>
      </c>
      <c r="DE10" s="11">
        <f>DD10+預測IC!DF14</f>
        <v>-7.6506533016668848E-2</v>
      </c>
      <c r="DF10" s="11">
        <f>DE10+預測IC!DG14</f>
        <v>-0.10645750587228754</v>
      </c>
      <c r="DG10" s="11">
        <f>DF10+預測IC!DH14</f>
        <v>-0.12924878624284486</v>
      </c>
      <c r="DH10" s="11">
        <f>DG10+預測IC!DI14</f>
        <v>-0.14590210151208599</v>
      </c>
      <c r="DI10" s="11">
        <f>DH10+預測IC!DJ14</f>
        <v>-0.11046574998539309</v>
      </c>
      <c r="DJ10" s="11">
        <f>DI10+預測IC!DK14</f>
        <v>-0.10732578612819058</v>
      </c>
      <c r="DK10" s="11">
        <f>DJ10+預測IC!DL14</f>
        <v>-0.11774855160283275</v>
      </c>
      <c r="DL10" s="11">
        <f>DK10+預測IC!DM14</f>
        <v>-0.12066215381173709</v>
      </c>
      <c r="DM10" s="11">
        <f>DL10+預測IC!DN14</f>
        <v>-8.5576879246212517E-2</v>
      </c>
      <c r="DN10" s="11">
        <f>DM10+預測IC!DO14</f>
        <v>-0.10240180504080076</v>
      </c>
      <c r="DO10" s="11">
        <f>DN10+預測IC!DP14</f>
        <v>-9.3487763964577489E-2</v>
      </c>
      <c r="DP10" s="11">
        <f>DO10+預測IC!DQ14</f>
        <v>-9.4434297011562279E-2</v>
      </c>
      <c r="DQ10" s="11">
        <f>DP10+預測IC!DR14</f>
        <v>-9.3171159159026615E-2</v>
      </c>
      <c r="DR10" s="11">
        <f>DQ10+預測IC!DS14</f>
        <v>-7.2039294752337724E-2</v>
      </c>
      <c r="DS10" s="11">
        <f>DR10+預測IC!DT14</f>
        <v>-6.1978741682842883E-2</v>
      </c>
      <c r="DT10" s="11">
        <f>DS10+預測IC!DU14</f>
        <v>-8.0440123295939733E-2</v>
      </c>
      <c r="DU10" s="11">
        <f>DT10+預測IC!DV14</f>
        <v>-7.2632215700432629E-2</v>
      </c>
      <c r="DV10" s="11">
        <f>DU10+預測IC!DW14</f>
        <v>-5.6568735850086593E-2</v>
      </c>
      <c r="DW10" s="11">
        <f>DV10+預測IC!DX14</f>
        <v>-6.4189154259465517E-2</v>
      </c>
      <c r="DX10" s="11">
        <f>DW10+預測IC!DY14</f>
        <v>-6.885380293112045E-2</v>
      </c>
      <c r="DY10" s="11">
        <f>DX10+預測IC!DZ14</f>
        <v>-8.8661024128915605E-2</v>
      </c>
      <c r="DZ10" s="11">
        <f>DY10+預測IC!EA14</f>
        <v>-7.5185231785017806E-2</v>
      </c>
      <c r="EA10" s="11">
        <f>DZ10+預測IC!EB14</f>
        <v>-6.1223802739331597E-2</v>
      </c>
      <c r="EB10" s="11">
        <f>EA10+預測IC!EC14</f>
        <v>-5.8568364658473246E-2</v>
      </c>
      <c r="EC10" s="11">
        <f>EB10+預測IC!ED14</f>
        <v>-4.3164132077391712E-2</v>
      </c>
      <c r="ED10" s="11">
        <f>EC10+預測IC!EE14</f>
        <v>-5.9207481929521966E-2</v>
      </c>
      <c r="EE10" s="11">
        <f>ED10+預測IC!EF14</f>
        <v>-5.5545248178474602E-2</v>
      </c>
    </row>
    <row r="11" spans="1:136" ht="16" customHeight="1">
      <c r="A11" s="6" t="s">
        <v>241</v>
      </c>
      <c r="B11" s="9">
        <v>-3.9502830356475064E-3</v>
      </c>
      <c r="C11" s="11">
        <f>B11+預測IC!D15</f>
        <v>-6.458776440002376E-3</v>
      </c>
      <c r="D11" s="11">
        <f>C11+預測IC!E15</f>
        <v>-1.2553518245386308E-2</v>
      </c>
      <c r="E11" s="11">
        <f>D11+預測IC!F15</f>
        <v>-6.7739003436173922E-2</v>
      </c>
      <c r="F11" s="11">
        <f>E11+預測IC!G15</f>
        <v>-1.9606069425465104E-2</v>
      </c>
      <c r="G11" s="11">
        <f>F11+預測IC!H15</f>
        <v>-6.1538708086048367E-2</v>
      </c>
      <c r="H11" s="11">
        <f>G11+預測IC!I15</f>
        <v>-2.9932532646668099E-2</v>
      </c>
      <c r="I11" s="11">
        <f>H11+預測IC!J15</f>
        <v>-8.1650121208448403E-3</v>
      </c>
      <c r="J11" s="11">
        <f>I11+預測IC!K15</f>
        <v>3.4234884123564291E-2</v>
      </c>
      <c r="K11" s="11">
        <f>J11+預測IC!L15</f>
        <v>-8.7308714739856713E-4</v>
      </c>
      <c r="L11" s="11">
        <f>K11+預測IC!M15</f>
        <v>6.5171526514959721E-2</v>
      </c>
      <c r="M11" s="11">
        <f>L11+預測IC!N15</f>
        <v>-7.6441013561424909E-3</v>
      </c>
      <c r="N11" s="11">
        <f>M11+預測IC!O15</f>
        <v>2.293993140103796E-2</v>
      </c>
      <c r="O11" s="11">
        <f>N11+預測IC!P15</f>
        <v>2.8493792505596627E-2</v>
      </c>
      <c r="P11" s="11">
        <f>O11+預測IC!Q15</f>
        <v>5.331464068310765E-2</v>
      </c>
      <c r="Q11" s="11">
        <f>P11+預測IC!R15</f>
        <v>7.2429273240121245E-2</v>
      </c>
      <c r="R11" s="11">
        <f>Q11+預測IC!S15</f>
        <v>8.2863803935048316E-2</v>
      </c>
      <c r="S11" s="11">
        <f>R11+預測IC!T15</f>
        <v>0.10232296518205741</v>
      </c>
      <c r="T11" s="11">
        <f>S11+預測IC!U15</f>
        <v>0.13414317280186833</v>
      </c>
      <c r="U11" s="11">
        <f>T11+預測IC!V15</f>
        <v>0.12331861201817923</v>
      </c>
      <c r="V11" s="11">
        <f>U11+預測IC!W15</f>
        <v>0.12401335989770218</v>
      </c>
      <c r="W11" s="11">
        <f>V11+預測IC!X15</f>
        <v>9.0430390447648293E-2</v>
      </c>
      <c r="X11" s="11">
        <f>W11+預測IC!Y15</f>
        <v>5.3365283336553576E-2</v>
      </c>
      <c r="Y11" s="11">
        <f>X11+預測IC!Z15</f>
        <v>7.292607594636441E-2</v>
      </c>
      <c r="Z11" s="11">
        <f>Y11+預測IC!AA15</f>
        <v>2.9967025074242863E-2</v>
      </c>
      <c r="AA11" s="11">
        <f>Z11+預測IC!AB15</f>
        <v>1.1358852996749942E-2</v>
      </c>
      <c r="AB11" s="11">
        <f>AA11+預測IC!AC15</f>
        <v>6.0826927725513485E-2</v>
      </c>
      <c r="AC11" s="11">
        <f>AB11+預測IC!AD15</f>
        <v>7.7114139463781095E-2</v>
      </c>
      <c r="AD11" s="11">
        <f>AC11+預測IC!AE15</f>
        <v>2.0563170277254503E-2</v>
      </c>
      <c r="AE11" s="11">
        <f>AD11+預測IC!AF15</f>
        <v>7.8862762987658402E-2</v>
      </c>
      <c r="AF11" s="11">
        <f>AE11+預測IC!AG15</f>
        <v>8.3516012254274505E-2</v>
      </c>
      <c r="AG11" s="11">
        <f>AF11+預測IC!AH15</f>
        <v>8.0557438473424114E-2</v>
      </c>
      <c r="AH11" s="11">
        <f>AG11+預測IC!AI15</f>
        <v>8.3526021966589772E-2</v>
      </c>
      <c r="AI11" s="11">
        <f>AH11+預測IC!AJ15</f>
        <v>0.10287213167422204</v>
      </c>
      <c r="AJ11" s="11">
        <f>AI11+預測IC!AK15</f>
        <v>0.10702371073672856</v>
      </c>
      <c r="AK11" s="11">
        <f>AJ11+預測IC!AL15</f>
        <v>8.7880134545110261E-2</v>
      </c>
      <c r="AL11" s="11">
        <f>AK11+預測IC!AM15</f>
        <v>8.8610957242255567E-2</v>
      </c>
      <c r="AM11" s="11">
        <f>AL11+預測IC!AN15</f>
        <v>7.4977485852569831E-2</v>
      </c>
      <c r="AN11" s="11">
        <f>AM11+預測IC!AO15</f>
        <v>6.6880077871530802E-2</v>
      </c>
      <c r="AO11" s="11">
        <f>AN11+預測IC!AP15</f>
        <v>7.9236253843851953E-2</v>
      </c>
      <c r="AP11" s="11">
        <f>AO11+預測IC!AQ15</f>
        <v>8.7706871911546649E-2</v>
      </c>
      <c r="AQ11" s="11">
        <f>AP11+預測IC!AR15</f>
        <v>0.1031214627434219</v>
      </c>
      <c r="AR11" s="11">
        <f>AQ11+預測IC!AS15</f>
        <v>0.12052682780870323</v>
      </c>
      <c r="AS11" s="11">
        <f>AR11+預測IC!AT15</f>
        <v>0.11179793941274779</v>
      </c>
      <c r="AT11" s="11">
        <f>AS11+預測IC!AU15</f>
        <v>0.15736676011752759</v>
      </c>
      <c r="AU11" s="11">
        <f>AT11+預測IC!AV15</f>
        <v>0.15954314622294985</v>
      </c>
      <c r="AV11" s="11">
        <f>AU11+預測IC!AW15</f>
        <v>0.16948676704911408</v>
      </c>
      <c r="AW11" s="11">
        <f>AV11+預測IC!AX15</f>
        <v>0.17164365392455574</v>
      </c>
      <c r="AX11" s="11">
        <f>AW11+預測IC!AY15</f>
        <v>0.19585111767204894</v>
      </c>
      <c r="AY11" s="11">
        <f>AX11+預測IC!AZ15</f>
        <v>0.20354963498904782</v>
      </c>
      <c r="AZ11" s="11">
        <f>AY11+預測IC!BA15</f>
        <v>0.17520128177493285</v>
      </c>
      <c r="BA11" s="11">
        <f>AZ11+預測IC!BB15</f>
        <v>0.1398287662550714</v>
      </c>
      <c r="BB11" s="11">
        <f>BA11+預測IC!BC15</f>
        <v>0.12813589767219136</v>
      </c>
      <c r="BC11" s="11">
        <f>BB11+預測IC!BD15</f>
        <v>0.14921262452478046</v>
      </c>
      <c r="BD11" s="11">
        <f>BC11+預測IC!BE15</f>
        <v>0.15335313562797004</v>
      </c>
      <c r="BE11" s="11">
        <f>BD11+預測IC!BF15</f>
        <v>0.13024555916047925</v>
      </c>
      <c r="BF11" s="11">
        <f>BE11+預測IC!BG15</f>
        <v>0.11905764827630214</v>
      </c>
      <c r="BG11" s="11">
        <f>BF11+預測IC!BH15</f>
        <v>1.7677216594141343E-3</v>
      </c>
      <c r="BH11" s="11">
        <f>BG11+預測IC!BI15</f>
        <v>-8.372220162230265E-2</v>
      </c>
      <c r="BI11" s="11">
        <f>BH11+預測IC!BJ15</f>
        <v>-8.6524323164382952E-2</v>
      </c>
      <c r="BJ11" s="11">
        <f>BI11+預測IC!BK15</f>
        <v>-7.1498311604097586E-2</v>
      </c>
      <c r="BK11" s="11">
        <f>BJ11+預測IC!BL15</f>
        <v>-6.0686448481181036E-2</v>
      </c>
      <c r="BL11" s="11">
        <f>BK11+預測IC!BM15</f>
        <v>-6.1764371121066704E-2</v>
      </c>
      <c r="BM11" s="11">
        <f>BL11+預測IC!BN15</f>
        <v>-5.9008746806428418E-2</v>
      </c>
      <c r="BN11" s="11">
        <f>BM11+預測IC!BO15</f>
        <v>-5.408371693999655E-2</v>
      </c>
      <c r="BO11" s="11">
        <f>BN11+預測IC!BP15</f>
        <v>-3.9815087611479172E-5</v>
      </c>
      <c r="BP11" s="11">
        <f>BO11+預測IC!BQ15</f>
        <v>1.1778960830430662E-2</v>
      </c>
      <c r="BQ11" s="11">
        <f>BP11+預測IC!BR15</f>
        <v>8.1665862479862031E-2</v>
      </c>
      <c r="BR11" s="11">
        <f>BQ11+預測IC!BS15</f>
        <v>8.2999630927941492E-2</v>
      </c>
      <c r="BS11" s="11">
        <f>BR11+預測IC!BT15</f>
        <v>9.3025565844416763E-2</v>
      </c>
      <c r="BT11" s="11">
        <f>BS11+預測IC!BU15</f>
        <v>0.12871767584755295</v>
      </c>
      <c r="BU11" s="11">
        <f>BT11+預測IC!BV15</f>
        <v>8.6594889280442761E-2</v>
      </c>
      <c r="BV11" s="11">
        <f>BU11+預測IC!BW15</f>
        <v>9.3459224474206362E-2</v>
      </c>
      <c r="BW11" s="11">
        <f>BV11+預測IC!BX15</f>
        <v>0.13852677147811121</v>
      </c>
      <c r="BX11" s="11">
        <f>BW11+預測IC!BY15</f>
        <v>9.8653187243197271E-2</v>
      </c>
      <c r="BY11" s="11">
        <f>BX11+預測IC!BZ15</f>
        <v>0.10071057642556833</v>
      </c>
      <c r="BZ11" s="11">
        <f>BY11+預測IC!CA15</f>
        <v>0.10751334428596916</v>
      </c>
      <c r="CA11" s="11">
        <f>BZ11+預測IC!CB15</f>
        <v>0.16663158674350648</v>
      </c>
      <c r="CB11" s="11">
        <f>CA11+預測IC!CC15</f>
        <v>0.17056110734242261</v>
      </c>
      <c r="CC11" s="11">
        <f>CB11+預測IC!CD15</f>
        <v>0.14580882565424808</v>
      </c>
      <c r="CD11" s="11">
        <f>CC11+預測IC!CE15</f>
        <v>0.19670474979123384</v>
      </c>
      <c r="CE11" s="11">
        <f>CD11+預測IC!CF15</f>
        <v>0.17984558446110555</v>
      </c>
      <c r="CF11" s="11">
        <f>CE11+預測IC!CG15</f>
        <v>0.20796118537261923</v>
      </c>
      <c r="CG11" s="11">
        <f>CF11+預測IC!CH15</f>
        <v>0.15180242246437931</v>
      </c>
      <c r="CH11" s="11">
        <f>CG11+預測IC!CI15</f>
        <v>0.14138055023990043</v>
      </c>
      <c r="CI11" s="11">
        <f>CH11+預測IC!CJ15</f>
        <v>0.15898189687520833</v>
      </c>
      <c r="CJ11" s="11">
        <f>CI11+預測IC!CK15</f>
        <v>0.16406330544029124</v>
      </c>
      <c r="CK11" s="11">
        <f>CJ11+預測IC!CL15</f>
        <v>7.5404335870385683E-2</v>
      </c>
      <c r="CL11" s="11">
        <f>CK11+預測IC!CM15</f>
        <v>5.0090334565254149E-2</v>
      </c>
      <c r="CM11" s="11">
        <f>CL11+預測IC!CN15</f>
        <v>0.11556849132930237</v>
      </c>
      <c r="CN11" s="11">
        <f>CM11+預測IC!CO15</f>
        <v>0.16267749894092659</v>
      </c>
      <c r="CO11" s="11">
        <f>CN11+預測IC!CP15</f>
        <v>0.16088481185312084</v>
      </c>
      <c r="CP11" s="11">
        <f>CO11+預測IC!CQ15</f>
        <v>0.14487491256204035</v>
      </c>
      <c r="CQ11" s="11">
        <f>CP11+預測IC!CR15</f>
        <v>0.13435247885589269</v>
      </c>
      <c r="CR11" s="11">
        <f>CQ11+預測IC!CS15</f>
        <v>0.14849424296595298</v>
      </c>
      <c r="CS11" s="11">
        <f>CR11+預測IC!CT15</f>
        <v>0.16428302725914937</v>
      </c>
      <c r="CT11" s="11">
        <f>CS11+預測IC!CU15</f>
        <v>0.20214120150198472</v>
      </c>
      <c r="CU11" s="11">
        <f>CT11+預測IC!CV15</f>
        <v>0.18120974167252191</v>
      </c>
      <c r="CV11" s="11">
        <f>CU11+預測IC!CW15</f>
        <v>0.15010183533195731</v>
      </c>
      <c r="CW11" s="11">
        <f>CV11+預測IC!CX15</f>
        <v>0.13559738110583572</v>
      </c>
      <c r="CX11" s="11">
        <f>CW11+預測IC!CY15</f>
        <v>0.15844130485127042</v>
      </c>
      <c r="CY11" s="11">
        <f>CX11+預測IC!CZ15</f>
        <v>0.1808336783328868</v>
      </c>
      <c r="CZ11" s="11">
        <f>CY11+預測IC!DA15</f>
        <v>0.21892197576460434</v>
      </c>
      <c r="DA11" s="11">
        <f>CZ11+預測IC!DB15</f>
        <v>0.17442241539312581</v>
      </c>
      <c r="DB11" s="11">
        <f>DA11+預測IC!DC15</f>
        <v>0.1755856533471768</v>
      </c>
      <c r="DC11" s="11">
        <f>DB11+預測IC!DD15</f>
        <v>0.14986568223610067</v>
      </c>
      <c r="DD11" s="11">
        <f>DC11+預測IC!DE15</f>
        <v>0.15889063463486303</v>
      </c>
      <c r="DE11" s="11">
        <f>DD11+預測IC!DF15</f>
        <v>0.15513957916226834</v>
      </c>
      <c r="DF11" s="11">
        <f>DE11+預測IC!DG15</f>
        <v>0.10916065884275528</v>
      </c>
      <c r="DG11" s="11">
        <f>DF11+預測IC!DH15</f>
        <v>9.7731751307927037E-2</v>
      </c>
      <c r="DH11" s="11">
        <f>DG11+預測IC!DI15</f>
        <v>7.5245172972358193E-2</v>
      </c>
      <c r="DI11" s="11">
        <f>DH11+預測IC!DJ15</f>
        <v>0.10031554688538244</v>
      </c>
      <c r="DJ11" s="11">
        <f>DI11+預測IC!DK15</f>
        <v>0.12592446046453779</v>
      </c>
      <c r="DK11" s="11">
        <f>DJ11+預測IC!DL15</f>
        <v>9.3491925885489338E-2</v>
      </c>
      <c r="DL11" s="11">
        <f>DK11+預測IC!DM15</f>
        <v>9.444657258165802E-2</v>
      </c>
      <c r="DM11" s="11">
        <f>DL11+預測IC!DN15</f>
        <v>0.13806949943391406</v>
      </c>
      <c r="DN11" s="11">
        <f>DM11+預測IC!DO15</f>
        <v>0.1069411923250385</v>
      </c>
      <c r="DO11" s="11">
        <f>DN11+預測IC!DP15</f>
        <v>9.8518830868672164E-2</v>
      </c>
      <c r="DP11" s="11">
        <f>DO11+預測IC!DQ15</f>
        <v>0.10941627338023933</v>
      </c>
      <c r="DQ11" s="11">
        <f>DP11+預測IC!DR15</f>
        <v>0.11618565928007966</v>
      </c>
      <c r="DR11" s="11">
        <f>DQ11+預測IC!DS15</f>
        <v>0.12438300375167595</v>
      </c>
      <c r="DS11" s="11">
        <f>DR11+預測IC!DT15</f>
        <v>0.11767281211362468</v>
      </c>
      <c r="DT11" s="11">
        <f>DS11+預測IC!DU15</f>
        <v>0.12801608876047629</v>
      </c>
      <c r="DU11" s="11">
        <f>DT11+預測IC!DV15</f>
        <v>0.15796544451345473</v>
      </c>
      <c r="DV11" s="11">
        <f>DU11+預測IC!DW15</f>
        <v>0.19659243403823404</v>
      </c>
      <c r="DW11" s="11">
        <f>DV11+預測IC!DX15</f>
        <v>0.16216756774036509</v>
      </c>
      <c r="DX11" s="11">
        <f>DW11+預測IC!DY15</f>
        <v>0.18322574426077873</v>
      </c>
      <c r="DY11" s="11">
        <f>DX11+預測IC!DZ15</f>
        <v>0.15482571135290463</v>
      </c>
      <c r="DZ11" s="11">
        <f>DY11+預測IC!EA15</f>
        <v>0.16713533509840689</v>
      </c>
      <c r="EA11" s="11">
        <f>DZ11+預測IC!EB15</f>
        <v>0.2038797416177569</v>
      </c>
      <c r="EB11" s="11">
        <f>EA11+預測IC!EC15</f>
        <v>0.20099166372157776</v>
      </c>
      <c r="EC11" s="11">
        <f>EB11+預測IC!ED15</f>
        <v>0.18985108941709855</v>
      </c>
      <c r="ED11" s="11">
        <f>EC11+預測IC!EE15</f>
        <v>0.19362240504934122</v>
      </c>
      <c r="EE11" s="11">
        <f>ED11+預測IC!EF15</f>
        <v>0.2156378934956158</v>
      </c>
    </row>
    <row r="12" spans="1:136" ht="16" customHeight="1">
      <c r="A12" s="6" t="s">
        <v>242</v>
      </c>
      <c r="B12" s="9">
        <v>-3.3019748374950491E-3</v>
      </c>
      <c r="C12" s="11">
        <f>B12+預測IC!D16</f>
        <v>-6.7873191197150198E-2</v>
      </c>
      <c r="D12" s="11">
        <f>C12+預測IC!E16</f>
        <v>-7.270868818943739E-2</v>
      </c>
      <c r="E12" s="11">
        <f>D12+預測IC!F16</f>
        <v>-4.0356098734074489E-2</v>
      </c>
      <c r="F12" s="11">
        <f>E12+預測IC!G16</f>
        <v>4.6310783880303477E-2</v>
      </c>
      <c r="G12" s="11">
        <f>F12+預測IC!H16</f>
        <v>4.0328935191996304E-2</v>
      </c>
      <c r="H12" s="11">
        <f>G12+預測IC!I16</f>
        <v>0.12667848605166068</v>
      </c>
      <c r="I12" s="11">
        <f>H12+預測IC!J16</f>
        <v>0.12830420197094355</v>
      </c>
      <c r="J12" s="11">
        <f>I12+預測IC!K16</f>
        <v>0.15870461249364437</v>
      </c>
      <c r="K12" s="11">
        <f>J12+預測IC!L16</f>
        <v>8.7361715047017244E-2</v>
      </c>
      <c r="L12" s="11">
        <f>K12+預測IC!M16</f>
        <v>9.4366100734125241E-2</v>
      </c>
      <c r="M12" s="11">
        <f>L12+預測IC!N16</f>
        <v>-4.3243961833612954E-2</v>
      </c>
      <c r="N12" s="11">
        <f>M12+預測IC!O16</f>
        <v>-6.7581196073860719E-3</v>
      </c>
      <c r="O12" s="11">
        <f>N12+預測IC!P16</f>
        <v>-6.9209593288074396E-3</v>
      </c>
      <c r="P12" s="11">
        <f>O12+預測IC!Q16</f>
        <v>-1.7228614505145678E-2</v>
      </c>
      <c r="Q12" s="11">
        <f>P12+預測IC!R16</f>
        <v>1.8360441877837815E-2</v>
      </c>
      <c r="R12" s="11">
        <f>Q12+預測IC!S16</f>
        <v>3.2271827077114366E-2</v>
      </c>
      <c r="S12" s="11">
        <f>R12+預測IC!T16</f>
        <v>2.2247067759514384E-2</v>
      </c>
      <c r="T12" s="11">
        <f>S12+預測IC!U16</f>
        <v>7.0767795494051294E-2</v>
      </c>
      <c r="U12" s="11">
        <f>T12+預測IC!V16</f>
        <v>9.1854071534948734E-2</v>
      </c>
      <c r="V12" s="11">
        <f>U12+預測IC!W16</f>
        <v>0.14501325748360544</v>
      </c>
      <c r="W12" s="11">
        <f>V12+預測IC!X16</f>
        <v>0.13302806176850576</v>
      </c>
      <c r="X12" s="11">
        <f>W12+預測IC!Y16</f>
        <v>0.14137498433151283</v>
      </c>
      <c r="Y12" s="11">
        <f>X12+預測IC!Z16</f>
        <v>0.24414657182177582</v>
      </c>
      <c r="Z12" s="11">
        <f>Y12+預測IC!AA16</f>
        <v>0.20962382349783509</v>
      </c>
      <c r="AA12" s="11">
        <f>Z12+預測IC!AB16</f>
        <v>0.19501619648265447</v>
      </c>
      <c r="AB12" s="11">
        <f>AA12+預測IC!AC16</f>
        <v>0.26935789186313758</v>
      </c>
      <c r="AC12" s="11">
        <f>AB12+預測IC!AD16</f>
        <v>0.30405153586818912</v>
      </c>
      <c r="AD12" s="11">
        <f>AC12+預測IC!AE16</f>
        <v>0.24222956466551748</v>
      </c>
      <c r="AE12" s="11">
        <f>AD12+預測IC!AF16</f>
        <v>0.37813824984398259</v>
      </c>
      <c r="AF12" s="11">
        <f>AE12+預測IC!AG16</f>
        <v>0.37018802053646227</v>
      </c>
      <c r="AG12" s="11">
        <f>AF12+預測IC!AH16</f>
        <v>0.35925784555947227</v>
      </c>
      <c r="AH12" s="11">
        <f>AG12+預測IC!AI16</f>
        <v>0.3756285089490996</v>
      </c>
      <c r="AI12" s="11">
        <f>AH12+預測IC!AJ16</f>
        <v>0.42259045677955104</v>
      </c>
      <c r="AJ12" s="11">
        <f>AI12+預測IC!AK16</f>
        <v>0.39032981815701856</v>
      </c>
      <c r="AK12" s="11">
        <f>AJ12+預測IC!AL16</f>
        <v>0.36036177993900909</v>
      </c>
      <c r="AL12" s="11">
        <f>AK12+預測IC!AM16</f>
        <v>0.30942384694404707</v>
      </c>
      <c r="AM12" s="11">
        <f>AL12+預測IC!AN16</f>
        <v>0.34516314088180211</v>
      </c>
      <c r="AN12" s="11">
        <f>AM12+預測IC!AO16</f>
        <v>0.31956637498447166</v>
      </c>
      <c r="AO12" s="11">
        <f>AN12+預測IC!AP16</f>
        <v>0.32078532131560961</v>
      </c>
      <c r="AP12" s="11">
        <f>AO12+預測IC!AQ16</f>
        <v>0.27928085621963727</v>
      </c>
      <c r="AQ12" s="11">
        <f>AP12+預測IC!AR16</f>
        <v>0.30461642941180989</v>
      </c>
      <c r="AR12" s="11">
        <f>AQ12+預測IC!AS16</f>
        <v>0.3147140185801241</v>
      </c>
      <c r="AS12" s="11">
        <f>AR12+預測IC!AT16</f>
        <v>0.30390294783670158</v>
      </c>
      <c r="AT12" s="11">
        <f>AS12+預測IC!AU16</f>
        <v>0.34716437654235133</v>
      </c>
      <c r="AU12" s="11">
        <f>AT12+預測IC!AV16</f>
        <v>0.33631644899668395</v>
      </c>
      <c r="AV12" s="11">
        <f>AU12+預測IC!AW16</f>
        <v>0.34044719012011215</v>
      </c>
      <c r="AW12" s="11">
        <f>AV12+預測IC!AX16</f>
        <v>0.33513877725189117</v>
      </c>
      <c r="AX12" s="11">
        <f>AW12+預測IC!AY16</f>
        <v>0.36362937868598155</v>
      </c>
      <c r="AY12" s="11">
        <f>AX12+預測IC!AZ16</f>
        <v>0.37571570752710248</v>
      </c>
      <c r="AZ12" s="11">
        <f>AY12+預測IC!BA16</f>
        <v>0.34714683018064385</v>
      </c>
      <c r="BA12" s="11">
        <f>AZ12+預測IC!BB16</f>
        <v>0.300057108590707</v>
      </c>
      <c r="BB12" s="11">
        <f>BA12+預測IC!BC16</f>
        <v>0.3302649549957774</v>
      </c>
      <c r="BC12" s="11">
        <f>BB12+預測IC!BD16</f>
        <v>0.40835791402181765</v>
      </c>
      <c r="BD12" s="11">
        <f>BC12+預測IC!BE16</f>
        <v>0.38418510628956654</v>
      </c>
      <c r="BE12" s="11">
        <f>BD12+預測IC!BF16</f>
        <v>0.35967340185844676</v>
      </c>
      <c r="BF12" s="11">
        <f>BE12+預測IC!BG16</f>
        <v>0.35383277333572849</v>
      </c>
      <c r="BG12" s="11">
        <f>BF12+預測IC!BH16</f>
        <v>0.2220822054482238</v>
      </c>
      <c r="BH12" s="11">
        <f>BG12+預測IC!BI16</f>
        <v>0.14942481483120901</v>
      </c>
      <c r="BI12" s="11">
        <f>BH12+預測IC!BJ16</f>
        <v>0.12651710974795016</v>
      </c>
      <c r="BJ12" s="11">
        <f>BI12+預測IC!BK16</f>
        <v>7.3723490157655974E-2</v>
      </c>
      <c r="BK12" s="11">
        <f>BJ12+預測IC!BL16</f>
        <v>0.10648193690615698</v>
      </c>
      <c r="BL12" s="11">
        <f>BK12+預測IC!BM16</f>
        <v>9.3189327527772453E-2</v>
      </c>
      <c r="BM12" s="11">
        <f>BL12+預測IC!BN16</f>
        <v>6.7959203955085784E-2</v>
      </c>
      <c r="BN12" s="11">
        <f>BM12+預測IC!BO16</f>
        <v>1.5943897786987411E-2</v>
      </c>
      <c r="BO12" s="11">
        <f>BN12+預測IC!BP16</f>
        <v>9.6445206598088223E-2</v>
      </c>
      <c r="BP12" s="11">
        <f>BO12+預測IC!BQ16</f>
        <v>9.9895528666036348E-2</v>
      </c>
      <c r="BQ12" s="11">
        <f>BP12+預測IC!BR16</f>
        <v>0.15812312643315879</v>
      </c>
      <c r="BR12" s="11">
        <f>BQ12+預測IC!BS16</f>
        <v>0.14768085916991736</v>
      </c>
      <c r="BS12" s="11">
        <f>BR12+預測IC!BT16</f>
        <v>0.13865626260702144</v>
      </c>
      <c r="BT12" s="11">
        <f>BS12+預測IC!BU16</f>
        <v>0.17401371797198803</v>
      </c>
      <c r="BU12" s="11">
        <f>BT12+預測IC!BV16</f>
        <v>5.7055763122474623E-2</v>
      </c>
      <c r="BV12" s="11">
        <f>BU12+預測IC!BW16</f>
        <v>0.12728969267565754</v>
      </c>
      <c r="BW12" s="11">
        <f>BV12+預測IC!BX16</f>
        <v>0.19660990383802246</v>
      </c>
      <c r="BX12" s="11">
        <f>BW12+預測IC!BY16</f>
        <v>0.2091888705933434</v>
      </c>
      <c r="BY12" s="11">
        <f>BX12+預測IC!BZ16</f>
        <v>0.21687650803678749</v>
      </c>
      <c r="BZ12" s="11">
        <f>BY12+預測IC!CA16</f>
        <v>0.20855441215133885</v>
      </c>
      <c r="CA12" s="11">
        <f>BZ12+預測IC!CB16</f>
        <v>0.26559809424102698</v>
      </c>
      <c r="CB12" s="11">
        <f>CA12+預測IC!CC16</f>
        <v>0.24796411598440193</v>
      </c>
      <c r="CC12" s="11">
        <f>CB12+預測IC!CD16</f>
        <v>0.19415199091464808</v>
      </c>
      <c r="CD12" s="11">
        <f>CC12+預測IC!CE16</f>
        <v>0.27341110531248031</v>
      </c>
      <c r="CE12" s="11">
        <f>CD12+預測IC!CF16</f>
        <v>0.29572985718922706</v>
      </c>
      <c r="CF12" s="11">
        <f>CE12+預測IC!CG16</f>
        <v>0.27489272255529756</v>
      </c>
      <c r="CG12" s="11">
        <f>CF12+預測IC!CH16</f>
        <v>0.21982258056844056</v>
      </c>
      <c r="CH12" s="11">
        <f>CG12+預測IC!CI16</f>
        <v>0.26689919467563572</v>
      </c>
      <c r="CI12" s="11">
        <f>CH12+預測IC!CJ16</f>
        <v>0.28848296147594488</v>
      </c>
      <c r="CJ12" s="11">
        <f>CI12+預測IC!CK16</f>
        <v>0.29499745812923561</v>
      </c>
      <c r="CK12" s="11">
        <f>CJ12+預測IC!CL16</f>
        <v>0.16852655631560221</v>
      </c>
      <c r="CL12" s="11">
        <f>CK12+預測IC!CM16</f>
        <v>0.13434545250718746</v>
      </c>
      <c r="CM12" s="11">
        <f>CL12+預測IC!CN16</f>
        <v>0.220497343855385</v>
      </c>
      <c r="CN12" s="11">
        <f>CM12+預測IC!CO16</f>
        <v>0.28463049961125014</v>
      </c>
      <c r="CO12" s="11">
        <f>CN12+預測IC!CP16</f>
        <v>0.28267919018572851</v>
      </c>
      <c r="CP12" s="11">
        <f>CO12+預測IC!CQ16</f>
        <v>0.24256537977580192</v>
      </c>
      <c r="CQ12" s="11">
        <f>CP12+預測IC!CR16</f>
        <v>0.16860590661862335</v>
      </c>
      <c r="CR12" s="11">
        <f>CQ12+預測IC!CS16</f>
        <v>0.19825973805716202</v>
      </c>
      <c r="CS12" s="11">
        <f>CR12+預測IC!CT16</f>
        <v>0.23033993758234206</v>
      </c>
      <c r="CT12" s="11">
        <f>CS12+預測IC!CU16</f>
        <v>0.32513200777972306</v>
      </c>
      <c r="CU12" s="11">
        <f>CT12+預測IC!CV16</f>
        <v>0.35234000530494991</v>
      </c>
      <c r="CV12" s="11">
        <f>CU12+預測IC!CW16</f>
        <v>0.32158231759427774</v>
      </c>
      <c r="CW12" s="11">
        <f>CV12+預測IC!CX16</f>
        <v>0.31618257986531428</v>
      </c>
      <c r="CX12" s="11">
        <f>CW12+預測IC!CY16</f>
        <v>0.36983460653141964</v>
      </c>
      <c r="CY12" s="11">
        <f>CX12+預測IC!CZ16</f>
        <v>0.42191989281424769</v>
      </c>
      <c r="CZ12" s="11">
        <f>CY12+預測IC!DA16</f>
        <v>0.49261292613704483</v>
      </c>
      <c r="DA12" s="11">
        <f>CZ12+預測IC!DB16</f>
        <v>0.46551088218100511</v>
      </c>
      <c r="DB12" s="11">
        <f>DA12+預測IC!DC16</f>
        <v>0.46873935702186387</v>
      </c>
      <c r="DC12" s="11">
        <f>DB12+預測IC!DD16</f>
        <v>0.42981484098416534</v>
      </c>
      <c r="DD12" s="11">
        <f>DC12+預測IC!DE16</f>
        <v>0.49061708413052152</v>
      </c>
      <c r="DE12" s="11">
        <f>DD12+預測IC!DF16</f>
        <v>0.41701878264078157</v>
      </c>
      <c r="DF12" s="11">
        <f>DE12+預測IC!DG16</f>
        <v>0.36525543044600201</v>
      </c>
      <c r="DG12" s="11">
        <f>DF12+預測IC!DH16</f>
        <v>0.34172476914566369</v>
      </c>
      <c r="DH12" s="11">
        <f>DG12+預測IC!DI16</f>
        <v>0.28123277151519771</v>
      </c>
      <c r="DI12" s="11">
        <f>DH12+預測IC!DJ16</f>
        <v>0.3472879282691797</v>
      </c>
      <c r="DJ12" s="11">
        <f>DI12+預測IC!DK16</f>
        <v>0.34012811452798203</v>
      </c>
      <c r="DK12" s="11">
        <f>DJ12+預測IC!DL16</f>
        <v>0.26928951032572079</v>
      </c>
      <c r="DL12" s="11">
        <f>DK12+預測IC!DM16</f>
        <v>0.24948479344078511</v>
      </c>
      <c r="DM12" s="11">
        <f>DL12+預測IC!DN16</f>
        <v>0.28864877516249798</v>
      </c>
      <c r="DN12" s="11">
        <f>DM12+預測IC!DO16</f>
        <v>0.23580945341443482</v>
      </c>
      <c r="DO12" s="11">
        <f>DN12+預測IC!DP16</f>
        <v>0.23001189976552008</v>
      </c>
      <c r="DP12" s="11">
        <f>DO12+預測IC!DQ16</f>
        <v>0.2605786022063773</v>
      </c>
      <c r="DQ12" s="11">
        <f>DP12+預測IC!DR16</f>
        <v>0.26247972804677794</v>
      </c>
      <c r="DR12" s="11">
        <f>DQ12+預測IC!DS16</f>
        <v>0.28349282416843441</v>
      </c>
      <c r="DS12" s="11">
        <f>DR12+預測IC!DT16</f>
        <v>0.2690372556538797</v>
      </c>
      <c r="DT12" s="11">
        <f>DS12+預測IC!DU16</f>
        <v>0.30950853035178078</v>
      </c>
      <c r="DU12" s="11">
        <f>DT12+預測IC!DV16</f>
        <v>0.39196992836108946</v>
      </c>
      <c r="DV12" s="11">
        <f>DU12+預測IC!DW16</f>
        <v>0.43539382273714938</v>
      </c>
      <c r="DW12" s="11">
        <f>DV12+預測IC!DX16</f>
        <v>0.39261214681812023</v>
      </c>
      <c r="DX12" s="11">
        <f>DW12+預測IC!DY16</f>
        <v>0.39975267919241003</v>
      </c>
      <c r="DY12" s="11">
        <f>DX12+預測IC!DZ16</f>
        <v>0.31953246705715355</v>
      </c>
      <c r="DZ12" s="11">
        <f>DY12+預測IC!EA16</f>
        <v>0.28805798506749603</v>
      </c>
      <c r="EA12" s="11">
        <f>DZ12+預測IC!EB16</f>
        <v>0.29927166016350137</v>
      </c>
      <c r="EB12" s="11">
        <f>EA12+預測IC!EC16</f>
        <v>0.2886952831938211</v>
      </c>
      <c r="EC12" s="11">
        <f>EB12+預測IC!ED16</f>
        <v>0.30250883682206048</v>
      </c>
      <c r="ED12" s="11">
        <f>EC12+預測IC!EE16</f>
        <v>0.28938774189335065</v>
      </c>
      <c r="EE12" s="11">
        <f>ED12+預測IC!EF16</f>
        <v>0.34422939757148097</v>
      </c>
    </row>
    <row r="13" spans="1:136" ht="16" customHeight="1">
      <c r="A13" s="6" t="s">
        <v>243</v>
      </c>
      <c r="B13" s="9">
        <v>6.50249954433373E-2</v>
      </c>
      <c r="C13" s="11">
        <f>B13+預測IC!D17</f>
        <v>-1.2012001089701491E-2</v>
      </c>
      <c r="D13" s="11">
        <f>C13+預測IC!E17</f>
        <v>-1.5090621522073914E-2</v>
      </c>
      <c r="E13" s="11">
        <f>D13+預測IC!F17</f>
        <v>2.3093760821920033E-2</v>
      </c>
      <c r="F13" s="11">
        <f>E13+預測IC!G17</f>
        <v>0.11626921799687122</v>
      </c>
      <c r="G13" s="11">
        <f>F13+預測IC!H17</f>
        <v>0.12355064875697222</v>
      </c>
      <c r="H13" s="11">
        <f>G13+預測IC!I17</f>
        <v>0.21270740720038694</v>
      </c>
      <c r="I13" s="11">
        <f>H13+預測IC!J17</f>
        <v>0.22928152743730459</v>
      </c>
      <c r="J13" s="11">
        <f>I13+預測IC!K17</f>
        <v>0.27707546569913483</v>
      </c>
      <c r="K13" s="11">
        <f>J13+預測IC!L17</f>
        <v>0.2891578622381698</v>
      </c>
      <c r="L13" s="11">
        <f>K13+預測IC!M17</f>
        <v>0.25652986941639955</v>
      </c>
      <c r="M13" s="11">
        <f>L13+預測IC!N17</f>
        <v>0.11046638247462595</v>
      </c>
      <c r="N13" s="11">
        <f>M13+預測IC!O17</f>
        <v>0.1526948947304626</v>
      </c>
      <c r="O13" s="11">
        <f>N13+預測IC!P17</f>
        <v>0.15272909387775263</v>
      </c>
      <c r="P13" s="11">
        <f>O13+預測IC!Q17</f>
        <v>0.1936593052036138</v>
      </c>
      <c r="Q13" s="11">
        <f>P13+預測IC!R17</f>
        <v>0.27246891036891868</v>
      </c>
      <c r="R13" s="11">
        <f>Q13+預測IC!S17</f>
        <v>0.31109854273849635</v>
      </c>
      <c r="S13" s="11">
        <f>R13+預測IC!T17</f>
        <v>0.31023803256377486</v>
      </c>
      <c r="T13" s="11">
        <f>S13+預測IC!U17</f>
        <v>0.42350715507375547</v>
      </c>
      <c r="U13" s="11">
        <f>T13+預測IC!V17</f>
        <v>0.4693962883135121</v>
      </c>
      <c r="V13" s="11">
        <f>U13+預測IC!W17</f>
        <v>0.54761203396365354</v>
      </c>
      <c r="W13" s="11">
        <f>V13+預測IC!X17</f>
        <v>0.55363487400236133</v>
      </c>
      <c r="X13" s="11">
        <f>W13+預測IC!Y17</f>
        <v>0.51427524925652102</v>
      </c>
      <c r="Y13" s="11">
        <f>X13+預測IC!Z17</f>
        <v>0.56286339770357419</v>
      </c>
      <c r="Z13" s="11">
        <f>Y13+預測IC!AA17</f>
        <v>0.52169249429830655</v>
      </c>
      <c r="AA13" s="11">
        <f>Z13+預測IC!AB17</f>
        <v>0.52409452571896087</v>
      </c>
      <c r="AB13" s="11">
        <f>AA13+預測IC!AC17</f>
        <v>0.59095831387027553</v>
      </c>
      <c r="AC13" s="11">
        <f>AB13+預測IC!AD17</f>
        <v>0.62558236595403083</v>
      </c>
      <c r="AD13" s="11">
        <f>AC13+預測IC!AE17</f>
        <v>0.54247148252752631</v>
      </c>
      <c r="AE13" s="11">
        <f>AD13+預測IC!AF17</f>
        <v>0.66143375674404803</v>
      </c>
      <c r="AF13" s="11">
        <f>AE13+預測IC!AG17</f>
        <v>0.63849091733479613</v>
      </c>
      <c r="AG13" s="11">
        <f>AF13+預測IC!AH17</f>
        <v>0.59406447142332053</v>
      </c>
      <c r="AH13" s="11">
        <f>AG13+預測IC!AI17</f>
        <v>0.66295527031443335</v>
      </c>
      <c r="AI13" s="11">
        <f>AH13+預測IC!AJ17</f>
        <v>0.7146210191964939</v>
      </c>
      <c r="AJ13" s="11">
        <f>AI13+預測IC!AK17</f>
        <v>0.62612728624076897</v>
      </c>
      <c r="AK13" s="11">
        <f>AJ13+預測IC!AL17</f>
        <v>0.6140847015455223</v>
      </c>
      <c r="AL13" s="11">
        <f>AK13+預測IC!AM17</f>
        <v>0.59037242688763114</v>
      </c>
      <c r="AM13" s="11">
        <f>AL13+預測IC!AN17</f>
        <v>0.6690635533637086</v>
      </c>
      <c r="AN13" s="11">
        <f>AM13+預測IC!AO17</f>
        <v>0.63027554991479551</v>
      </c>
      <c r="AO13" s="11">
        <f>AN13+預測IC!AP17</f>
        <v>0.60744919955456789</v>
      </c>
      <c r="AP13" s="11">
        <f>AO13+預測IC!AQ17</f>
        <v>0.53744930742719144</v>
      </c>
      <c r="AQ13" s="11">
        <f>AP13+預測IC!AR17</f>
        <v>0.57187813690959888</v>
      </c>
      <c r="AR13" s="11">
        <f>AQ13+預測IC!AS17</f>
        <v>0.57726583324579761</v>
      </c>
      <c r="AS13" s="11">
        <f>AR13+預測IC!AT17</f>
        <v>0.52760841671551462</v>
      </c>
      <c r="AT13" s="11">
        <f>AS13+預測IC!AU17</f>
        <v>0.56095647152265893</v>
      </c>
      <c r="AU13" s="11">
        <f>AT13+預測IC!AV17</f>
        <v>0.57378321999011783</v>
      </c>
      <c r="AV13" s="11">
        <f>AU13+預測IC!AW17</f>
        <v>0.564473086557987</v>
      </c>
      <c r="AW13" s="11">
        <f>AV13+預測IC!AX17</f>
        <v>0.52624551027669586</v>
      </c>
      <c r="AX13" s="11">
        <f>AW13+預測IC!AY17</f>
        <v>0.58284659164631925</v>
      </c>
      <c r="AY13" s="11">
        <f>AX13+預測IC!AZ17</f>
        <v>0.58769589375617071</v>
      </c>
      <c r="AZ13" s="11">
        <f>AY13+預測IC!BA17</f>
        <v>0.59223324683836409</v>
      </c>
      <c r="BA13" s="11">
        <f>AZ13+預測IC!BB17</f>
        <v>0.54439280251179767</v>
      </c>
      <c r="BB13" s="11">
        <f>BA13+預測IC!BC17</f>
        <v>0.54388696545419779</v>
      </c>
      <c r="BC13" s="11">
        <f>BB13+預測IC!BD17</f>
        <v>0.59662478482824877</v>
      </c>
      <c r="BD13" s="11">
        <f>BC13+預測IC!BE17</f>
        <v>0.57682299819873661</v>
      </c>
      <c r="BE13" s="11">
        <f>BD13+預測IC!BF17</f>
        <v>0.52617453214442256</v>
      </c>
      <c r="BF13" s="11">
        <f>BE13+預測IC!BG17</f>
        <v>0.57369859539000212</v>
      </c>
      <c r="BG13" s="11">
        <f>BF13+預測IC!BH17</f>
        <v>0.47661958690842832</v>
      </c>
      <c r="BH13" s="11">
        <f>BG13+預測IC!BI17</f>
        <v>0.39899179118332906</v>
      </c>
      <c r="BI13" s="11">
        <f>BH13+預測IC!BJ17</f>
        <v>0.36324949675294149</v>
      </c>
      <c r="BJ13" s="11">
        <f>BI13+預測IC!BK17</f>
        <v>0.34093559559386899</v>
      </c>
      <c r="BK13" s="11">
        <f>BJ13+預測IC!BL17</f>
        <v>0.3648602603199782</v>
      </c>
      <c r="BL13" s="11">
        <f>BK13+預測IC!BM17</f>
        <v>0.37235352007701994</v>
      </c>
      <c r="BM13" s="11">
        <f>BL13+預測IC!BN17</f>
        <v>0.30178625943287501</v>
      </c>
      <c r="BN13" s="11">
        <f>BM13+預測IC!BO17</f>
        <v>0.22796597931831508</v>
      </c>
      <c r="BO13" s="11">
        <f>BN13+預測IC!BP17</f>
        <v>0.33311303161780059</v>
      </c>
      <c r="BP13" s="11">
        <f>BO13+預測IC!BQ17</f>
        <v>0.37486044750999808</v>
      </c>
      <c r="BQ13" s="11">
        <f>BP13+預測IC!BR17</f>
        <v>0.53529814758088767</v>
      </c>
      <c r="BR13" s="11">
        <f>BQ13+預測IC!BS17</f>
        <v>0.51156417677265043</v>
      </c>
      <c r="BS13" s="11">
        <f>BR13+預測IC!BT17</f>
        <v>0.54422150468378061</v>
      </c>
      <c r="BT13" s="11">
        <f>BS13+預測IC!BU17</f>
        <v>0.59842808351447696</v>
      </c>
      <c r="BU13" s="11">
        <f>BT13+預測IC!BV17</f>
        <v>0.51936224765025163</v>
      </c>
      <c r="BV13" s="11">
        <f>BU13+預測IC!BW17</f>
        <v>0.58763186948675861</v>
      </c>
      <c r="BW13" s="11">
        <f>BV13+預測IC!BX17</f>
        <v>0.6523288078874121</v>
      </c>
      <c r="BX13" s="11">
        <f>BW13+預測IC!BY17</f>
        <v>0.7255783890825398</v>
      </c>
      <c r="BY13" s="11">
        <f>BX13+預測IC!BZ17</f>
        <v>0.7324456945766542</v>
      </c>
      <c r="BZ13" s="11">
        <f>BY13+預測IC!CA17</f>
        <v>0.72308866382851456</v>
      </c>
      <c r="CA13" s="11">
        <f>BZ13+預測IC!CB17</f>
        <v>0.75532192759274486</v>
      </c>
      <c r="CB13" s="11">
        <f>CA13+預測IC!CC17</f>
        <v>0.75463417190839799</v>
      </c>
      <c r="CC13" s="11">
        <f>CB13+預測IC!CD17</f>
        <v>0.71336250748351282</v>
      </c>
      <c r="CD13" s="11">
        <f>CC13+預測IC!CE17</f>
        <v>0.75840469730922755</v>
      </c>
      <c r="CE13" s="11">
        <f>CD13+預測IC!CF17</f>
        <v>0.69123316852833627</v>
      </c>
      <c r="CF13" s="11">
        <f>CE13+預測IC!CG17</f>
        <v>0.66380552964121631</v>
      </c>
      <c r="CG13" s="11">
        <f>CF13+預測IC!CH17</f>
        <v>0.58346951302343075</v>
      </c>
      <c r="CH13" s="11">
        <f>CG13+預測IC!CI17</f>
        <v>0.77631452571103343</v>
      </c>
      <c r="CI13" s="11">
        <f>CH13+預測IC!CJ17</f>
        <v>0.76840897951459342</v>
      </c>
      <c r="CJ13" s="11">
        <f>CI13+預測IC!CK17</f>
        <v>0.85819357545225017</v>
      </c>
      <c r="CK13" s="11">
        <f>CJ13+預測IC!CL17</f>
        <v>0.69239080578032131</v>
      </c>
      <c r="CL13" s="11">
        <f>CK13+預測IC!CM17</f>
        <v>0.63694783464276761</v>
      </c>
      <c r="CM13" s="11">
        <f>CL13+預測IC!CN17</f>
        <v>0.73920676625598047</v>
      </c>
      <c r="CN13" s="11">
        <f>CM13+預測IC!CO17</f>
        <v>0.77081890831789235</v>
      </c>
      <c r="CO13" s="11">
        <f>CN13+預測IC!CP17</f>
        <v>0.80899964009344072</v>
      </c>
      <c r="CP13" s="11">
        <f>CO13+預測IC!CQ17</f>
        <v>0.80633789063693828</v>
      </c>
      <c r="CQ13" s="11">
        <f>CP13+預測IC!CR17</f>
        <v>0.73969308420744562</v>
      </c>
      <c r="CR13" s="11">
        <f>CQ13+預測IC!CS17</f>
        <v>0.7906162660952486</v>
      </c>
      <c r="CS13" s="11">
        <f>CR13+預測IC!CT17</f>
        <v>0.81087314514454445</v>
      </c>
      <c r="CT13" s="11">
        <f>CS13+預測IC!CU17</f>
        <v>0.89209289415569426</v>
      </c>
      <c r="CU13" s="11">
        <f>CT13+預測IC!CV17</f>
        <v>0.97734176169046361</v>
      </c>
      <c r="CV13" s="11">
        <f>CU13+預測IC!CW17</f>
        <v>0.94161687206433597</v>
      </c>
      <c r="CW13" s="11">
        <f>CV13+預測IC!CX17</f>
        <v>0.89391084744946359</v>
      </c>
      <c r="CX13" s="11">
        <f>CW13+預測IC!CY17</f>
        <v>0.88192110225235099</v>
      </c>
      <c r="CY13" s="11">
        <f>CX13+預測IC!CZ17</f>
        <v>0.99248178361765216</v>
      </c>
      <c r="CZ13" s="11">
        <f>CY13+預測IC!DA17</f>
        <v>1.0419122109073791</v>
      </c>
      <c r="DA13" s="11">
        <f>CZ13+預測IC!DB17</f>
        <v>0.97146282530643213</v>
      </c>
      <c r="DB13" s="11">
        <f>DA13+預測IC!DC17</f>
        <v>0.96228887220088166</v>
      </c>
      <c r="DC13" s="11">
        <f>DB13+預測IC!DD17</f>
        <v>0.93383744984730421</v>
      </c>
      <c r="DD13" s="11">
        <f>DC13+預測IC!DE17</f>
        <v>1.0127430684177139</v>
      </c>
      <c r="DE13" s="11">
        <f>DD13+預測IC!DF17</f>
        <v>0.9494766680525436</v>
      </c>
      <c r="DF13" s="11">
        <f>DE13+預測IC!DG17</f>
        <v>0.87577683089440039</v>
      </c>
      <c r="DG13" s="11">
        <f>DF13+預測IC!DH17</f>
        <v>0.79649129803089014</v>
      </c>
      <c r="DH13" s="11">
        <f>DG13+預測IC!DI17</f>
        <v>0.7145436790071491</v>
      </c>
      <c r="DI13" s="11">
        <f>DH13+預測IC!DJ17</f>
        <v>0.85072234397079027</v>
      </c>
      <c r="DJ13" s="11">
        <f>DI13+預測IC!DK17</f>
        <v>0.7303914466062934</v>
      </c>
      <c r="DK13" s="11">
        <f>DJ13+預測IC!DL17</f>
        <v>0.68015840551842277</v>
      </c>
      <c r="DL13" s="11">
        <f>DK13+預測IC!DM17</f>
        <v>0.65076321097730361</v>
      </c>
      <c r="DM13" s="11">
        <f>DL13+預測IC!DN17</f>
        <v>0.70377669918909136</v>
      </c>
      <c r="DN13" s="11">
        <f>DM13+預測IC!DO17</f>
        <v>0.57405298707780861</v>
      </c>
      <c r="DO13" s="11">
        <f>DN13+預測IC!DP17</f>
        <v>0.56418404170538183</v>
      </c>
      <c r="DP13" s="11">
        <f>DO13+預測IC!DQ17</f>
        <v>0.61180110353235873</v>
      </c>
      <c r="DQ13" s="11">
        <f>DP13+預測IC!DR17</f>
        <v>0.63601319609973994</v>
      </c>
      <c r="DR13" s="11">
        <f>DQ13+預測IC!DS17</f>
        <v>0.64428432168670025</v>
      </c>
      <c r="DS13" s="11">
        <f>DR13+預測IC!DT17</f>
        <v>0.61943751150754645</v>
      </c>
      <c r="DT13" s="11">
        <f>DS13+預測IC!DU17</f>
        <v>0.618597781305537</v>
      </c>
      <c r="DU13" s="11">
        <f>DT13+預測IC!DV17</f>
        <v>0.74656031830907332</v>
      </c>
      <c r="DV13" s="11">
        <f>DU13+預測IC!DW17</f>
        <v>0.73115492604682375</v>
      </c>
      <c r="DW13" s="11">
        <f>DV13+預測IC!DX17</f>
        <v>0.68977375837571808</v>
      </c>
      <c r="DX13" s="11">
        <f>DW13+預測IC!DY17</f>
        <v>0.72122535861773807</v>
      </c>
      <c r="DY13" s="11">
        <f>DX13+預測IC!DZ17</f>
        <v>0.64315614802815335</v>
      </c>
      <c r="DZ13" s="11">
        <f>DY13+預測IC!EA17</f>
        <v>0.57711711800794152</v>
      </c>
      <c r="EA13" s="11">
        <f>DZ13+預測IC!EB17</f>
        <v>0.54803660112905428</v>
      </c>
      <c r="EB13" s="11">
        <f>EA13+預測IC!EC17</f>
        <v>0.52164355587641531</v>
      </c>
      <c r="EC13" s="11">
        <f>EB13+預測IC!ED17</f>
        <v>0.47716632109559781</v>
      </c>
      <c r="ED13" s="11">
        <f>EC13+預測IC!EE17</f>
        <v>0.49460376272960488</v>
      </c>
      <c r="EE13" s="11">
        <f>ED13+預測IC!EF17</f>
        <v>0.54822972047275487</v>
      </c>
    </row>
    <row r="14" spans="1:136" ht="16" customHeight="1">
      <c r="A14" s="6" t="s">
        <v>244</v>
      </c>
      <c r="B14" s="9">
        <v>1.2727346334157331E-2</v>
      </c>
      <c r="C14" s="11">
        <f>B14+預測IC!D18</f>
        <v>-6.845101503725802E-2</v>
      </c>
      <c r="D14" s="11">
        <f>C14+預測IC!E18</f>
        <v>-4.5008359096394432E-2</v>
      </c>
      <c r="E14" s="11">
        <f>D14+預測IC!F18</f>
        <v>-1.314253335788914E-2</v>
      </c>
      <c r="F14" s="11">
        <f>E14+預測IC!G18</f>
        <v>0.12380575391092505</v>
      </c>
      <c r="G14" s="11">
        <f>F14+預測IC!H18</f>
        <v>0.11836723953041425</v>
      </c>
      <c r="H14" s="11">
        <f>G14+預測IC!I18</f>
        <v>0.19626096910933022</v>
      </c>
      <c r="I14" s="11">
        <f>H14+預測IC!J18</f>
        <v>0.22220436717540024</v>
      </c>
      <c r="J14" s="11">
        <f>I14+預測IC!K18</f>
        <v>0.28183404717933686</v>
      </c>
      <c r="K14" s="11">
        <f>J14+預測IC!L18</f>
        <v>0.26700729756223923</v>
      </c>
      <c r="L14" s="11">
        <f>K14+預測IC!M18</f>
        <v>0.13499321193832844</v>
      </c>
      <c r="M14" s="11">
        <f>L14+預測IC!N18</f>
        <v>-8.6693175112890486E-3</v>
      </c>
      <c r="N14" s="11">
        <f>M14+預測IC!O18</f>
        <v>3.4138209333360724E-2</v>
      </c>
      <c r="O14" s="11">
        <f>N14+預測IC!P18</f>
        <v>3.6598587686821074E-2</v>
      </c>
      <c r="P14" s="11">
        <f>O14+預測IC!Q18</f>
        <v>7.4328826167686657E-2</v>
      </c>
      <c r="Q14" s="11">
        <f>P14+預測IC!R18</f>
        <v>0.15827922428155955</v>
      </c>
      <c r="R14" s="11">
        <f>Q14+預測IC!S18</f>
        <v>0.18952243975339347</v>
      </c>
      <c r="S14" s="11">
        <f>R14+預測IC!T18</f>
        <v>0.18965310276316527</v>
      </c>
      <c r="T14" s="11">
        <f>S14+預測IC!U18</f>
        <v>0.30854656590004675</v>
      </c>
      <c r="U14" s="11">
        <f>T14+預測IC!V18</f>
        <v>0.35387016530912252</v>
      </c>
      <c r="V14" s="11">
        <f>U14+預測IC!W18</f>
        <v>0.43083383655629104</v>
      </c>
      <c r="W14" s="11">
        <f>V14+預測IC!X18</f>
        <v>0.44531837133579583</v>
      </c>
      <c r="X14" s="11">
        <f>W14+預測IC!Y18</f>
        <v>0.41085492559691894</v>
      </c>
      <c r="Y14" s="11">
        <f>X14+預測IC!Z18</f>
        <v>0.46094664307247235</v>
      </c>
      <c r="Z14" s="11">
        <f>Y14+預測IC!AA18</f>
        <v>0.41788202259376817</v>
      </c>
      <c r="AA14" s="11">
        <f>Z14+預測IC!AB18</f>
        <v>0.41292925944494496</v>
      </c>
      <c r="AB14" s="11">
        <f>AA14+預測IC!AC18</f>
        <v>0.4932648222614372</v>
      </c>
      <c r="AC14" s="11">
        <f>AB14+預測IC!AD18</f>
        <v>0.54314534430176764</v>
      </c>
      <c r="AD14" s="11">
        <f>AC14+預測IC!AE18</f>
        <v>0.46893660525137526</v>
      </c>
      <c r="AE14" s="11">
        <f>AD14+預測IC!AF18</f>
        <v>0.59013044249918201</v>
      </c>
      <c r="AF14" s="11">
        <f>AE14+預測IC!AG18</f>
        <v>0.59835114433040149</v>
      </c>
      <c r="AG14" s="11">
        <f>AF14+預測IC!AH18</f>
        <v>0.54172423956457327</v>
      </c>
      <c r="AH14" s="11">
        <f>AG14+預測IC!AI18</f>
        <v>0.63176387781065113</v>
      </c>
      <c r="AI14" s="11">
        <f>AH14+預測IC!AJ18</f>
        <v>0.68613690592405463</v>
      </c>
      <c r="AJ14" s="11">
        <f>AI14+預測IC!AK18</f>
        <v>0.5860671786684617</v>
      </c>
      <c r="AK14" s="11">
        <f>AJ14+預測IC!AL18</f>
        <v>0.53561196757629448</v>
      </c>
      <c r="AL14" s="11">
        <f>AK14+預測IC!AM18</f>
        <v>0.53512906359240264</v>
      </c>
      <c r="AM14" s="11">
        <f>AL14+預測IC!AN18</f>
        <v>0.62737602943884818</v>
      </c>
      <c r="AN14" s="11">
        <f>AM14+預測IC!AO18</f>
        <v>0.54939362259430424</v>
      </c>
      <c r="AO14" s="11">
        <f>AN14+預測IC!AP18</f>
        <v>0.5145690911254317</v>
      </c>
      <c r="AP14" s="11">
        <f>AO14+預測IC!AQ18</f>
        <v>0.43258683694144479</v>
      </c>
      <c r="AQ14" s="11">
        <f>AP14+預測IC!AR18</f>
        <v>0.48602150512272468</v>
      </c>
      <c r="AR14" s="11">
        <f>AQ14+預測IC!AS18</f>
        <v>0.46213626418167558</v>
      </c>
      <c r="AS14" s="11">
        <f>AR14+預測IC!AT18</f>
        <v>0.47285073583587134</v>
      </c>
      <c r="AT14" s="11">
        <f>AS14+預測IC!AU18</f>
        <v>0.51038382214014844</v>
      </c>
      <c r="AU14" s="11">
        <f>AT14+預測IC!AV18</f>
        <v>0.52997746698548021</v>
      </c>
      <c r="AV14" s="11">
        <f>AU14+預測IC!AW18</f>
        <v>0.50994224775351304</v>
      </c>
      <c r="AW14" s="11">
        <f>AV14+預測IC!AX18</f>
        <v>0.46700467360525261</v>
      </c>
      <c r="AX14" s="11">
        <f>AW14+預測IC!AY18</f>
        <v>0.54289200047569564</v>
      </c>
      <c r="AY14" s="11">
        <f>AX14+預測IC!AZ18</f>
        <v>0.54701025883957244</v>
      </c>
      <c r="AZ14" s="11">
        <f>AY14+預測IC!BA18</f>
        <v>0.56809254102825557</v>
      </c>
      <c r="BA14" s="11">
        <f>AZ14+預測IC!BB18</f>
        <v>0.51587761851362435</v>
      </c>
      <c r="BB14" s="11">
        <f>BA14+預測IC!BC18</f>
        <v>0.51392396346226032</v>
      </c>
      <c r="BC14" s="11">
        <f>BB14+預測IC!BD18</f>
        <v>0.58193633526050259</v>
      </c>
      <c r="BD14" s="11">
        <f>BC14+預測IC!BE18</f>
        <v>0.59932081020851224</v>
      </c>
      <c r="BE14" s="11">
        <f>BD14+預測IC!BF18</f>
        <v>0.54650122290421155</v>
      </c>
      <c r="BF14" s="11">
        <f>BE14+預測IC!BG18</f>
        <v>0.60308173522022168</v>
      </c>
      <c r="BG14" s="11">
        <f>BF14+預測IC!BH18</f>
        <v>0.52122799885573834</v>
      </c>
      <c r="BH14" s="11">
        <f>BG14+預測IC!BI18</f>
        <v>0.44201592074537083</v>
      </c>
      <c r="BI14" s="11">
        <f>BH14+預測IC!BJ18</f>
        <v>0.37886993355441867</v>
      </c>
      <c r="BJ14" s="11">
        <f>BI14+預測IC!BK18</f>
        <v>0.36219416576268071</v>
      </c>
      <c r="BK14" s="11">
        <f>BJ14+預測IC!BL18</f>
        <v>0.39868754124510181</v>
      </c>
      <c r="BL14" s="11">
        <f>BK14+預測IC!BM18</f>
        <v>0.39821356319658058</v>
      </c>
      <c r="BM14" s="11">
        <f>BL14+預測IC!BN18</f>
        <v>0.29391944211914489</v>
      </c>
      <c r="BN14" s="11">
        <f>BM14+預測IC!BO18</f>
        <v>0.22448706708252808</v>
      </c>
      <c r="BO14" s="11">
        <f>BN14+預測IC!BP18</f>
        <v>0.34011864629220839</v>
      </c>
      <c r="BP14" s="11">
        <f>BO14+預測IC!BQ18</f>
        <v>0.38328857956878881</v>
      </c>
      <c r="BQ14" s="11">
        <f>BP14+預測IC!BR18</f>
        <v>0.54514234086854318</v>
      </c>
      <c r="BR14" s="11">
        <f>BQ14+預測IC!BS18</f>
        <v>0.5054199886257783</v>
      </c>
      <c r="BS14" s="11">
        <f>BR14+預測IC!BT18</f>
        <v>0.54911668563572391</v>
      </c>
      <c r="BT14" s="11">
        <f>BS14+預測IC!BU18</f>
        <v>0.60462130853139362</v>
      </c>
      <c r="BU14" s="11">
        <f>BT14+預測IC!BV18</f>
        <v>0.50422434051410026</v>
      </c>
      <c r="BV14" s="11">
        <f>BU14+預測IC!BW18</f>
        <v>0.57224279246512588</v>
      </c>
      <c r="BW14" s="11">
        <f>BV14+預測IC!BX18</f>
        <v>0.64479427771857023</v>
      </c>
      <c r="BX14" s="11">
        <f>BW14+預測IC!BY18</f>
        <v>0.71655891008266415</v>
      </c>
      <c r="BY14" s="11">
        <f>BX14+預測IC!BZ18</f>
        <v>0.73754481427220897</v>
      </c>
      <c r="BZ14" s="11">
        <f>BY14+預測IC!CA18</f>
        <v>0.72715126933417895</v>
      </c>
      <c r="CA14" s="11">
        <f>BZ14+預測IC!CB18</f>
        <v>0.77424039131275257</v>
      </c>
      <c r="CB14" s="11">
        <f>CA14+預測IC!CC18</f>
        <v>0.79405083003594168</v>
      </c>
      <c r="CC14" s="11">
        <f>CB14+預測IC!CD18</f>
        <v>0.75606695520522471</v>
      </c>
      <c r="CD14" s="11">
        <f>CC14+預測IC!CE18</f>
        <v>0.81189552241186425</v>
      </c>
      <c r="CE14" s="11">
        <f>CD14+預測IC!CF18</f>
        <v>0.73119148104640441</v>
      </c>
      <c r="CF14" s="11">
        <f>CE14+預測IC!CG18</f>
        <v>0.70188781614755635</v>
      </c>
      <c r="CG14" s="11">
        <f>CF14+預測IC!CH18</f>
        <v>0.60345588703056707</v>
      </c>
      <c r="CH14" s="11">
        <f>CG14+預測IC!CI18</f>
        <v>0.79301733316298173</v>
      </c>
      <c r="CI14" s="11">
        <f>CH14+預測IC!CJ18</f>
        <v>0.77098909260669368</v>
      </c>
      <c r="CJ14" s="11">
        <f>CI14+預測IC!CK18</f>
        <v>0.90790063530294118</v>
      </c>
      <c r="CK14" s="11">
        <f>CJ14+預測IC!CL18</f>
        <v>0.74045153415348874</v>
      </c>
      <c r="CL14" s="11">
        <f>CK14+預測IC!CM18</f>
        <v>0.69483925757042042</v>
      </c>
      <c r="CM14" s="11">
        <f>CL14+預測IC!CN18</f>
        <v>0.78856149628529859</v>
      </c>
      <c r="CN14" s="11">
        <f>CM14+預測IC!CO18</f>
        <v>0.82589958114100603</v>
      </c>
      <c r="CO14" s="11">
        <f>CN14+預測IC!CP18</f>
        <v>0.83118597569955943</v>
      </c>
      <c r="CP14" s="11">
        <f>CO14+預測IC!CQ18</f>
        <v>0.84964082013979003</v>
      </c>
      <c r="CQ14" s="11">
        <f>CP14+預測IC!CR18</f>
        <v>0.80769952726425298</v>
      </c>
      <c r="CR14" s="11">
        <f>CQ14+預測IC!CS18</f>
        <v>0.86627085945765303</v>
      </c>
      <c r="CS14" s="11">
        <f>CR14+預測IC!CT18</f>
        <v>0.89101202938127122</v>
      </c>
      <c r="CT14" s="11">
        <f>CS14+預測IC!CU18</f>
        <v>0.97591649550990656</v>
      </c>
      <c r="CU14" s="11">
        <f>CT14+預測IC!CV18</f>
        <v>1.0514256196752778</v>
      </c>
      <c r="CV14" s="11">
        <f>CU14+預測IC!CW18</f>
        <v>1.0049775947694921</v>
      </c>
      <c r="CW14" s="11">
        <f>CV14+預測IC!CX18</f>
        <v>0.96018199508813007</v>
      </c>
      <c r="CX14" s="11">
        <f>CW14+預測IC!CY18</f>
        <v>0.9678215776970237</v>
      </c>
      <c r="CY14" s="11">
        <f>CX14+預測IC!CZ18</f>
        <v>1.0480910864821562</v>
      </c>
      <c r="CZ14" s="11">
        <f>CY14+預測IC!DA18</f>
        <v>1.1087009493151201</v>
      </c>
      <c r="DA14" s="11">
        <f>CZ14+預測IC!DB18</f>
        <v>1.0438453507784544</v>
      </c>
      <c r="DB14" s="11">
        <f>DA14+預測IC!DC18</f>
        <v>0.99819150197911111</v>
      </c>
      <c r="DC14" s="11">
        <f>DB14+預測IC!DD18</f>
        <v>0.97888564309361703</v>
      </c>
      <c r="DD14" s="11">
        <f>DC14+預測IC!DE18</f>
        <v>1.047686383601798</v>
      </c>
      <c r="DE14" s="11">
        <f>DD14+預測IC!DF18</f>
        <v>1.0046639977539595</v>
      </c>
      <c r="DF14" s="11">
        <f>DE14+預測IC!DG18</f>
        <v>0.92818167525969519</v>
      </c>
      <c r="DG14" s="11">
        <f>DF14+預測IC!DH18</f>
        <v>0.84152070907349696</v>
      </c>
      <c r="DH14" s="11">
        <f>DG14+預測IC!DI18</f>
        <v>0.76422584212272093</v>
      </c>
      <c r="DI14" s="11">
        <f>DH14+預測IC!DJ18</f>
        <v>0.92006276604967141</v>
      </c>
      <c r="DJ14" s="11">
        <f>DI14+預測IC!DK18</f>
        <v>0.80450409770684439</v>
      </c>
      <c r="DK14" s="11">
        <f>DJ14+預測IC!DL18</f>
        <v>0.7305387487220345</v>
      </c>
      <c r="DL14" s="11">
        <f>DK14+預測IC!DM18</f>
        <v>0.69509373247843964</v>
      </c>
      <c r="DM14" s="11">
        <f>DL14+預測IC!DN18</f>
        <v>0.74953740866671692</v>
      </c>
      <c r="DN14" s="11">
        <f>DM14+預測IC!DO18</f>
        <v>0.69811418536275038</v>
      </c>
      <c r="DO14" s="11">
        <f>DN14+預測IC!DP18</f>
        <v>0.68728849501973965</v>
      </c>
      <c r="DP14" s="11">
        <f>DO14+預測IC!DQ18</f>
        <v>0.73478805020972227</v>
      </c>
      <c r="DQ14" s="11">
        <f>DP14+預測IC!DR18</f>
        <v>0.76601431042344281</v>
      </c>
      <c r="DR14" s="11">
        <f>DQ14+預測IC!DS18</f>
        <v>0.77733759822678339</v>
      </c>
      <c r="DS14" s="11">
        <f>DR14+預測IC!DT18</f>
        <v>0.75109987849067072</v>
      </c>
      <c r="DT14" s="11">
        <f>DS14+預測IC!DU18</f>
        <v>0.76290313544750565</v>
      </c>
      <c r="DU14" s="11">
        <f>DT14+預測IC!DV18</f>
        <v>0.90474649153824349</v>
      </c>
      <c r="DV14" s="11">
        <f>DU14+預測IC!DW18</f>
        <v>0.84594154949346878</v>
      </c>
      <c r="DW14" s="11">
        <f>DV14+預測IC!DX18</f>
        <v>0.80257472348567804</v>
      </c>
      <c r="DX14" s="11">
        <f>DW14+預測IC!DY18</f>
        <v>0.8677773562485076</v>
      </c>
      <c r="DY14" s="11">
        <f>DX14+預測IC!DZ18</f>
        <v>0.81066994363333877</v>
      </c>
      <c r="DZ14" s="11">
        <f>DY14+預測IC!EA18</f>
        <v>0.7353566812755068</v>
      </c>
      <c r="EA14" s="11">
        <f>DZ14+預測IC!EB18</f>
        <v>0.70596210909684687</v>
      </c>
      <c r="EB14" s="11">
        <f>EA14+預測IC!EC18</f>
        <v>0.70151734299685009</v>
      </c>
      <c r="EC14" s="11">
        <f>EB14+預測IC!ED18</f>
        <v>0.64964517851750758</v>
      </c>
      <c r="ED14" s="11">
        <f>EC14+預測IC!EE18</f>
        <v>0.66126585688760375</v>
      </c>
      <c r="EE14" s="11">
        <f>ED14+預測IC!EF18</f>
        <v>0.72681056990612525</v>
      </c>
    </row>
    <row r="15" spans="1:136" ht="16" customHeight="1">
      <c r="A15" s="6" t="s">
        <v>245</v>
      </c>
      <c r="B15" s="9">
        <v>3.443052165985146E-3</v>
      </c>
      <c r="C15" s="11">
        <f>B15+預測IC!D19</f>
        <v>-3.0671707311080348E-2</v>
      </c>
      <c r="D15" s="11">
        <f>C15+預測IC!E19</f>
        <v>-9.4417769559900395E-3</v>
      </c>
      <c r="E15" s="11">
        <f>D15+預測IC!F19</f>
        <v>7.1310387196329067E-2</v>
      </c>
      <c r="F15" s="11">
        <f>E15+預測IC!G19</f>
        <v>0.21301234053096996</v>
      </c>
      <c r="G15" s="11">
        <f>F15+預測IC!H19</f>
        <v>0.18767785372267054</v>
      </c>
      <c r="H15" s="11">
        <f>G15+預測IC!I19</f>
        <v>0.32171354851602008</v>
      </c>
      <c r="I15" s="11">
        <f>H15+預測IC!J19</f>
        <v>0.35495107691597072</v>
      </c>
      <c r="J15" s="11">
        <f>I15+預測IC!K19</f>
        <v>0.43540011896251735</v>
      </c>
      <c r="K15" s="11">
        <f>J15+預測IC!L19</f>
        <v>0.43668697099312809</v>
      </c>
      <c r="L15" s="11">
        <f>K15+預測IC!M19</f>
        <v>0.35111385288027286</v>
      </c>
      <c r="M15" s="11">
        <f>L15+預測IC!N19</f>
        <v>0.14340551461129966</v>
      </c>
      <c r="N15" s="11">
        <f>M15+預測IC!O19</f>
        <v>0.20383667892152205</v>
      </c>
      <c r="O15" s="11">
        <f>N15+預測IC!P19</f>
        <v>0.19992497572861898</v>
      </c>
      <c r="P15" s="11">
        <f>O15+預測IC!Q19</f>
        <v>0.23927642530951126</v>
      </c>
      <c r="Q15" s="11">
        <f>P15+預測IC!R19</f>
        <v>0.2559354498139787</v>
      </c>
      <c r="R15" s="11">
        <f>Q15+預測IC!S19</f>
        <v>0.28688307018875142</v>
      </c>
      <c r="S15" s="11">
        <f>R15+預測IC!T19</f>
        <v>0.30456794346612931</v>
      </c>
      <c r="T15" s="11">
        <f>S15+預測IC!U19</f>
        <v>0.43413016419995965</v>
      </c>
      <c r="U15" s="11">
        <f>T15+預測IC!V19</f>
        <v>0.46170000525060723</v>
      </c>
      <c r="V15" s="11">
        <f>U15+預測IC!W19</f>
        <v>0.56895357269461622</v>
      </c>
      <c r="W15" s="11">
        <f>V15+預測IC!X19</f>
        <v>0.57157783554425312</v>
      </c>
      <c r="X15" s="11">
        <f>W15+預測IC!Y19</f>
        <v>0.56165746268361338</v>
      </c>
      <c r="Y15" s="11">
        <f>X15+預測IC!Z19</f>
        <v>0.6217630163141814</v>
      </c>
      <c r="Z15" s="11">
        <f>Y15+預測IC!AA19</f>
        <v>0.59046634777840357</v>
      </c>
      <c r="AA15" s="11">
        <f>Z15+預測IC!AB19</f>
        <v>0.55821985507597582</v>
      </c>
      <c r="AB15" s="11">
        <f>AA15+預測IC!AC19</f>
        <v>0.62594211127459609</v>
      </c>
      <c r="AC15" s="11">
        <f>AB15+預測IC!AD19</f>
        <v>0.66674440825607217</v>
      </c>
      <c r="AD15" s="11">
        <f>AC15+預測IC!AE19</f>
        <v>0.58700104012529697</v>
      </c>
      <c r="AE15" s="11">
        <f>AD15+預測IC!AF19</f>
        <v>0.72410323204043148</v>
      </c>
      <c r="AF15" s="11">
        <f>AE15+預測IC!AG19</f>
        <v>0.71957585167253935</v>
      </c>
      <c r="AG15" s="11">
        <f>AF15+預測IC!AH19</f>
        <v>0.66646928804836991</v>
      </c>
      <c r="AH15" s="11">
        <f>AG15+預測IC!AI19</f>
        <v>0.77583119621740393</v>
      </c>
      <c r="AI15" s="11">
        <f>AH15+預測IC!AJ19</f>
        <v>0.84305711358850344</v>
      </c>
      <c r="AJ15" s="11">
        <f>AI15+預測IC!AK19</f>
        <v>0.73656181692362155</v>
      </c>
      <c r="AK15" s="11">
        <f>AJ15+預測IC!AL19</f>
        <v>0.70936112584637334</v>
      </c>
      <c r="AL15" s="11">
        <f>AK15+預測IC!AM19</f>
        <v>0.70947892318503269</v>
      </c>
      <c r="AM15" s="11">
        <f>AL15+預測IC!AN19</f>
        <v>0.82908018075769796</v>
      </c>
      <c r="AN15" s="11">
        <f>AM15+預測IC!AO19</f>
        <v>0.7078977874927852</v>
      </c>
      <c r="AO15" s="11">
        <f>AN15+預測IC!AP19</f>
        <v>0.68111282702135989</v>
      </c>
      <c r="AP15" s="11">
        <f>AO15+預測IC!AQ19</f>
        <v>0.55697616571154673</v>
      </c>
      <c r="AQ15" s="11">
        <f>AP15+預測IC!AR19</f>
        <v>0.59493002226779257</v>
      </c>
      <c r="AR15" s="11">
        <f>AQ15+預測IC!AS19</f>
        <v>0.5872392848176905</v>
      </c>
      <c r="AS15" s="11">
        <f>AR15+預測IC!AT19</f>
        <v>0.60901163369100231</v>
      </c>
      <c r="AT15" s="11">
        <f>AS15+預測IC!AU19</f>
        <v>0.65018831255562737</v>
      </c>
      <c r="AU15" s="11">
        <f>AT15+預測IC!AV19</f>
        <v>0.66412154240383858</v>
      </c>
      <c r="AV15" s="11">
        <f>AU15+預測IC!AW19</f>
        <v>0.61902799952332876</v>
      </c>
      <c r="AW15" s="11">
        <f>AV15+預測IC!AX19</f>
        <v>0.5919324863414297</v>
      </c>
      <c r="AX15" s="11">
        <f>AW15+預測IC!AY19</f>
        <v>0.62665068628287679</v>
      </c>
      <c r="AY15" s="11">
        <f>AX15+預測IC!AZ19</f>
        <v>0.64695667001713264</v>
      </c>
      <c r="AZ15" s="11">
        <f>AY15+預測IC!BA19</f>
        <v>0.65481687695883029</v>
      </c>
      <c r="BA15" s="11">
        <f>AZ15+預測IC!BB19</f>
        <v>0.57418022299913807</v>
      </c>
      <c r="BB15" s="11">
        <f>BA15+預測IC!BC19</f>
        <v>0.53860241650930174</v>
      </c>
      <c r="BC15" s="11">
        <f>BB15+預測IC!BD19</f>
        <v>0.58863399407888151</v>
      </c>
      <c r="BD15" s="11">
        <f>BC15+預測IC!BE19</f>
        <v>0.59987280114172814</v>
      </c>
      <c r="BE15" s="11">
        <f>BD15+預測IC!BF19</f>
        <v>0.5241260986185039</v>
      </c>
      <c r="BF15" s="11">
        <f>BE15+預測IC!BG19</f>
        <v>0.62690403757548618</v>
      </c>
      <c r="BG15" s="11">
        <f>BF15+預測IC!BH19</f>
        <v>0.52090363994858457</v>
      </c>
      <c r="BH15" s="11">
        <f>BG15+預測IC!BI19</f>
        <v>0.43244142526058005</v>
      </c>
      <c r="BI15" s="11">
        <f>BH15+預測IC!BJ19</f>
        <v>0.35825086067879458</v>
      </c>
      <c r="BJ15" s="11">
        <f>BI15+預測IC!BK19</f>
        <v>0.35080278220667221</v>
      </c>
      <c r="BK15" s="11">
        <f>BJ15+預測IC!BL19</f>
        <v>0.40192012130812571</v>
      </c>
      <c r="BL15" s="11">
        <f>BK15+預測IC!BM19</f>
        <v>0.38766803800864946</v>
      </c>
      <c r="BM15" s="11">
        <f>BL15+預測IC!BN19</f>
        <v>0.28214367415824537</v>
      </c>
      <c r="BN15" s="11">
        <f>BM15+預測IC!BO19</f>
        <v>0.28703636385978426</v>
      </c>
      <c r="BO15" s="11">
        <f>BN15+預測IC!BP19</f>
        <v>0.39785619359384145</v>
      </c>
      <c r="BP15" s="11">
        <f>BO15+預測IC!BQ19</f>
        <v>0.45225139016194638</v>
      </c>
      <c r="BQ15" s="11">
        <f>BP15+預測IC!BR19</f>
        <v>0.63570396127299134</v>
      </c>
      <c r="BR15" s="11">
        <f>BQ15+預測IC!BS19</f>
        <v>0.60280065130757721</v>
      </c>
      <c r="BS15" s="11">
        <f>BR15+預測IC!BT19</f>
        <v>0.648701774028971</v>
      </c>
      <c r="BT15" s="11">
        <f>BS15+預測IC!BU19</f>
        <v>0.69892312341570972</v>
      </c>
      <c r="BU15" s="11">
        <f>BT15+預測IC!BV19</f>
        <v>0.60252555249904194</v>
      </c>
      <c r="BV15" s="11">
        <f>BU15+預測IC!BW19</f>
        <v>0.66562397596718792</v>
      </c>
      <c r="BW15" s="11">
        <f>BV15+預測IC!BX19</f>
        <v>0.744543685036956</v>
      </c>
      <c r="BX15" s="11">
        <f>BW15+預測IC!BY19</f>
        <v>0.83199061366686278</v>
      </c>
      <c r="BY15" s="11">
        <f>BX15+預測IC!BZ19</f>
        <v>0.8539842368769528</v>
      </c>
      <c r="BZ15" s="11">
        <f>BY15+預測IC!CA19</f>
        <v>0.83787115869507256</v>
      </c>
      <c r="CA15" s="11">
        <f>BZ15+預測IC!CB19</f>
        <v>0.89634276503512189</v>
      </c>
      <c r="CB15" s="11">
        <f>CA15+預測IC!CC19</f>
        <v>0.90081719679111827</v>
      </c>
      <c r="CC15" s="11">
        <f>CB15+預測IC!CD19</f>
        <v>0.8394405065427839</v>
      </c>
      <c r="CD15" s="11">
        <f>CC15+預測IC!CE19</f>
        <v>0.91928218965475661</v>
      </c>
      <c r="CE15" s="11">
        <f>CD15+預測IC!CF19</f>
        <v>0.83294647120936027</v>
      </c>
      <c r="CF15" s="11">
        <f>CE15+預測IC!CG19</f>
        <v>0.73719233846530119</v>
      </c>
      <c r="CG15" s="11">
        <f>CF15+預測IC!CH19</f>
        <v>0.59848987222530059</v>
      </c>
      <c r="CH15" s="11">
        <f>CG15+預測IC!CI19</f>
        <v>0.8123752190904765</v>
      </c>
      <c r="CI15" s="11">
        <f>CH15+預測IC!CJ19</f>
        <v>0.80911269513711082</v>
      </c>
      <c r="CJ15" s="11">
        <f>CI15+預測IC!CK19</f>
        <v>0.95280336366107288</v>
      </c>
      <c r="CK15" s="11">
        <f>CJ15+預測IC!CL19</f>
        <v>0.70432447115256058</v>
      </c>
      <c r="CL15" s="11">
        <f>CK15+預測IC!CM19</f>
        <v>0.66060910432248621</v>
      </c>
      <c r="CM15" s="11">
        <f>CL15+預測IC!CN19</f>
        <v>0.79537231125842656</v>
      </c>
      <c r="CN15" s="11">
        <f>CM15+預測IC!CO19</f>
        <v>0.81693186437323673</v>
      </c>
      <c r="CO15" s="11">
        <f>CN15+預測IC!CP19</f>
        <v>0.81043377593404486</v>
      </c>
      <c r="CP15" s="11">
        <f>CO15+預測IC!CQ19</f>
        <v>0.82156885790502887</v>
      </c>
      <c r="CQ15" s="11">
        <f>CP15+預測IC!CR19</f>
        <v>0.78788567892446171</v>
      </c>
      <c r="CR15" s="11">
        <f>CQ15+預測IC!CS19</f>
        <v>0.85165895187371721</v>
      </c>
      <c r="CS15" s="11">
        <f>CR15+預測IC!CT19</f>
        <v>0.87198176707203667</v>
      </c>
      <c r="CT15" s="11">
        <f>CS15+預測IC!CU19</f>
        <v>0.96630919166554619</v>
      </c>
      <c r="CU15" s="11">
        <f>CT15+預測IC!CV19</f>
        <v>1.0459606034286137</v>
      </c>
      <c r="CV15" s="11">
        <f>CU15+預測IC!CW19</f>
        <v>1.0197950977069834</v>
      </c>
      <c r="CW15" s="11">
        <f>CV15+預測IC!CX19</f>
        <v>0.9899281700494087</v>
      </c>
      <c r="CX15" s="11">
        <f>CW15+預測IC!CY19</f>
        <v>1.0007954475682064</v>
      </c>
      <c r="CY15" s="11">
        <f>CX15+預測IC!CZ19</f>
        <v>1.090878098887482</v>
      </c>
      <c r="CZ15" s="11">
        <f>CY15+預測IC!DA19</f>
        <v>1.1587803744626219</v>
      </c>
      <c r="DA15" s="11">
        <f>CZ15+預測IC!DB19</f>
        <v>1.0989630741300942</v>
      </c>
      <c r="DB15" s="11">
        <f>DA15+預測IC!DC19</f>
        <v>1.053997787280023</v>
      </c>
      <c r="DC15" s="11">
        <f>DB15+預測IC!DD19</f>
        <v>1.0369461489450837</v>
      </c>
      <c r="DD15" s="11">
        <f>DC15+預測IC!DE19</f>
        <v>1.0466506727777938</v>
      </c>
      <c r="DE15" s="11">
        <f>DD15+預測IC!DF19</f>
        <v>0.99982456811854392</v>
      </c>
      <c r="DF15" s="11">
        <f>DE15+預測IC!DG19</f>
        <v>0.89742228865464657</v>
      </c>
      <c r="DG15" s="11">
        <f>DF15+預測IC!DH19</f>
        <v>0.80523757635630444</v>
      </c>
      <c r="DH15" s="11">
        <f>DG15+預測IC!DI19</f>
        <v>0.73405774577371052</v>
      </c>
      <c r="DI15" s="11">
        <f>DH15+預測IC!DJ19</f>
        <v>0.9013227220498583</v>
      </c>
      <c r="DJ15" s="11">
        <f>DI15+預測IC!DK19</f>
        <v>0.79976252021595584</v>
      </c>
      <c r="DK15" s="11">
        <f>DJ15+預測IC!DL19</f>
        <v>0.7249007124584923</v>
      </c>
      <c r="DL15" s="11">
        <f>DK15+預測IC!DM19</f>
        <v>0.70006946268977788</v>
      </c>
      <c r="DM15" s="11">
        <f>DL15+預測IC!DN19</f>
        <v>0.74367568299991971</v>
      </c>
      <c r="DN15" s="11">
        <f>DM15+預測IC!DO19</f>
        <v>0.68439461498237786</v>
      </c>
      <c r="DO15" s="11">
        <f>DN15+預測IC!DP19</f>
        <v>0.67021502980175918</v>
      </c>
      <c r="DP15" s="11">
        <f>DO15+預測IC!DQ19</f>
        <v>0.706099006576279</v>
      </c>
      <c r="DQ15" s="11">
        <f>DP15+預測IC!DR19</f>
        <v>0.74278796790777823</v>
      </c>
      <c r="DR15" s="11">
        <f>DQ15+預測IC!DS19</f>
        <v>0.76269120630698939</v>
      </c>
      <c r="DS15" s="11">
        <f>DR15+預測IC!DT19</f>
        <v>0.75515671647796678</v>
      </c>
      <c r="DT15" s="11">
        <f>DS15+預測IC!DU19</f>
        <v>0.77115427255806046</v>
      </c>
      <c r="DU15" s="11">
        <f>DT15+預測IC!DV19</f>
        <v>0.91549482707156249</v>
      </c>
      <c r="DV15" s="11">
        <f>DU15+預測IC!DW19</f>
        <v>0.87676335267505534</v>
      </c>
      <c r="DW15" s="11">
        <f>DV15+預測IC!DX19</f>
        <v>0.83410014187449188</v>
      </c>
      <c r="DX15" s="11">
        <f>DW15+預測IC!DY19</f>
        <v>0.91226495647555528</v>
      </c>
      <c r="DY15" s="11">
        <f>DX15+預測IC!DZ19</f>
        <v>0.91042938872445767</v>
      </c>
      <c r="DZ15" s="11">
        <f>DY15+預測IC!EA19</f>
        <v>0.85406487017048505</v>
      </c>
      <c r="EA15" s="11">
        <f>DZ15+預測IC!EB19</f>
        <v>0.82110981068118993</v>
      </c>
      <c r="EB15" s="11">
        <f>EA15+預測IC!EC19</f>
        <v>0.82531855382350083</v>
      </c>
      <c r="EC15" s="11">
        <f>EB15+預測IC!ED19</f>
        <v>0.8054410585909938</v>
      </c>
      <c r="ED15" s="11">
        <f>EC15+預測IC!EE19</f>
        <v>0.82336556879633205</v>
      </c>
      <c r="EE15" s="11">
        <f>ED15+預測IC!EF19</f>
        <v>0.89262094990705587</v>
      </c>
    </row>
    <row r="16" spans="1:136" ht="16" customHeight="1">
      <c r="A16" s="6" t="s">
        <v>246</v>
      </c>
      <c r="B16" s="9">
        <v>2.0288327461452829E-2</v>
      </c>
      <c r="C16" s="11">
        <f>B16+預測IC!D20</f>
        <v>6.4702312885330793E-3</v>
      </c>
      <c r="D16" s="11">
        <f>C16+預測IC!E20</f>
        <v>3.297138877368571E-2</v>
      </c>
      <c r="E16" s="11">
        <f>D16+預測IC!F20</f>
        <v>0.15235434887587551</v>
      </c>
      <c r="F16" s="11">
        <f>E16+預測IC!G20</f>
        <v>0.31031448812356299</v>
      </c>
      <c r="G16" s="11">
        <f>F16+預測IC!H20</f>
        <v>0.26717892530588144</v>
      </c>
      <c r="H16" s="11">
        <f>G16+預測IC!I20</f>
        <v>0.42340904464118601</v>
      </c>
      <c r="I16" s="11">
        <f>H16+預測IC!J20</f>
        <v>0.4776912749962654</v>
      </c>
      <c r="J16" s="11">
        <f>I16+預測IC!K20</f>
        <v>0.59274544203330393</v>
      </c>
      <c r="K16" s="11">
        <f>J16+預測IC!L20</f>
        <v>0.59502972820153088</v>
      </c>
      <c r="L16" s="11">
        <f>K16+預測IC!M20</f>
        <v>0.50690693779628071</v>
      </c>
      <c r="M16" s="11">
        <f>L16+預測IC!N20</f>
        <v>0.20750585004819261</v>
      </c>
      <c r="N16" s="11">
        <f>M16+預測IC!O20</f>
        <v>0.27689203956160791</v>
      </c>
      <c r="O16" s="11">
        <f>N16+預測IC!P20</f>
        <v>0.2863060767571714</v>
      </c>
      <c r="P16" s="11">
        <f>O16+預測IC!Q20</f>
        <v>0.25109907955170235</v>
      </c>
      <c r="Q16" s="11">
        <f>P16+預測IC!R20</f>
        <v>0.28047741493674833</v>
      </c>
      <c r="R16" s="11">
        <f>Q16+預測IC!S20</f>
        <v>0.31470585086819808</v>
      </c>
      <c r="S16" s="11">
        <f>R16+預測IC!T20</f>
        <v>0.33031761064031556</v>
      </c>
      <c r="T16" s="11">
        <f>S16+預測IC!U20</f>
        <v>0.46304365819364168</v>
      </c>
      <c r="U16" s="11">
        <f>T16+預測IC!V20</f>
        <v>0.48718039365210597</v>
      </c>
      <c r="V16" s="11">
        <f>U16+預測IC!W20</f>
        <v>0.58837469501275974</v>
      </c>
      <c r="W16" s="11">
        <f>V16+預測IC!X20</f>
        <v>0.59505976870272637</v>
      </c>
      <c r="X16" s="11">
        <f>W16+預測IC!Y20</f>
        <v>0.57467092981799395</v>
      </c>
      <c r="Y16" s="11">
        <f>X16+預測IC!Z20</f>
        <v>0.65514204034047419</v>
      </c>
      <c r="Z16" s="11">
        <f>Y16+預測IC!AA20</f>
        <v>0.63593199953157542</v>
      </c>
      <c r="AA16" s="11">
        <f>Z16+預測IC!AB20</f>
        <v>0.60263639967244864</v>
      </c>
      <c r="AB16" s="11">
        <f>AA16+預測IC!AC20</f>
        <v>0.6855636431525991</v>
      </c>
      <c r="AC16" s="11">
        <f>AB16+預測IC!AD20</f>
        <v>0.71541135565705449</v>
      </c>
      <c r="AD16" s="11">
        <f>AC16+預測IC!AE20</f>
        <v>0.63104256872526332</v>
      </c>
      <c r="AE16" s="11">
        <f>AD16+預測IC!AF20</f>
        <v>0.76249902007276471</v>
      </c>
      <c r="AF16" s="11">
        <f>AE16+預測IC!AG20</f>
        <v>0.72914313861622349</v>
      </c>
      <c r="AG16" s="11">
        <f>AF16+預測IC!AH20</f>
        <v>0.67645073389719279</v>
      </c>
      <c r="AH16" s="11">
        <f>AG16+預測IC!AI20</f>
        <v>0.82565076201355003</v>
      </c>
      <c r="AI16" s="11">
        <f>AH16+預測IC!AJ20</f>
        <v>0.89255339544110823</v>
      </c>
      <c r="AJ16" s="11">
        <f>AI16+預測IC!AK20</f>
        <v>0.81705278339493081</v>
      </c>
      <c r="AK16" s="11">
        <f>AJ16+預測IC!AL20</f>
        <v>0.79329647216103605</v>
      </c>
      <c r="AL16" s="11">
        <f>AK16+預測IC!AM20</f>
        <v>0.71001751930483004</v>
      </c>
      <c r="AM16" s="11">
        <f>AL16+預測IC!AN20</f>
        <v>0.81796399153050969</v>
      </c>
      <c r="AN16" s="11">
        <f>AM16+預測IC!AO20</f>
        <v>0.70001947771855522</v>
      </c>
      <c r="AO16" s="11">
        <f>AN16+預測IC!AP20</f>
        <v>0.66403356806703651</v>
      </c>
      <c r="AP16" s="11">
        <f>AO16+預測IC!AQ20</f>
        <v>0.51463340128199797</v>
      </c>
      <c r="AQ16" s="11">
        <f>AP16+預測IC!AR20</f>
        <v>0.56823309249048837</v>
      </c>
      <c r="AR16" s="11">
        <f>AQ16+預測IC!AS20</f>
        <v>0.57991522014811958</v>
      </c>
      <c r="AS16" s="11">
        <f>AR16+預測IC!AT20</f>
        <v>0.59393257735908001</v>
      </c>
      <c r="AT16" s="11">
        <f>AS16+預測IC!AU20</f>
        <v>0.62575137242009837</v>
      </c>
      <c r="AU16" s="11">
        <f>AT16+預測IC!AV20</f>
        <v>0.61956089564724393</v>
      </c>
      <c r="AV16" s="11">
        <f>AU16+預測IC!AW20</f>
        <v>0.59213194619500642</v>
      </c>
      <c r="AW16" s="11">
        <f>AV16+預測IC!AX20</f>
        <v>0.56506388738258251</v>
      </c>
      <c r="AX16" s="11">
        <f>AW16+預測IC!AY20</f>
        <v>0.55262088830308609</v>
      </c>
      <c r="AY16" s="11">
        <f>AX16+預測IC!AZ20</f>
        <v>0.57576573013183674</v>
      </c>
      <c r="AZ16" s="11">
        <f>AY16+預測IC!BA20</f>
        <v>0.58729910241646022</v>
      </c>
      <c r="BA16" s="11">
        <f>AZ16+預測IC!BB20</f>
        <v>0.49245766524316925</v>
      </c>
      <c r="BB16" s="11">
        <f>BA16+預測IC!BC20</f>
        <v>0.44823118844453086</v>
      </c>
      <c r="BC16" s="11">
        <f>BB16+預測IC!BD20</f>
        <v>0.51309188783911974</v>
      </c>
      <c r="BD16" s="11">
        <f>BC16+預測IC!BE20</f>
        <v>0.52336528995345466</v>
      </c>
      <c r="BE16" s="11">
        <f>BD16+預測IC!BF20</f>
        <v>0.42230576163076677</v>
      </c>
      <c r="BF16" s="11">
        <f>BE16+預測IC!BG20</f>
        <v>0.55585054458281924</v>
      </c>
      <c r="BG16" s="11">
        <f>BF16+預測IC!BH20</f>
        <v>0.47176322633498924</v>
      </c>
      <c r="BH16" s="11">
        <f>BG16+預測IC!BI20</f>
        <v>0.35257375212744835</v>
      </c>
      <c r="BI16" s="11">
        <f>BH16+預測IC!BJ20</f>
        <v>0.29222149132625203</v>
      </c>
      <c r="BJ16" s="11">
        <f>BI16+預測IC!BK20</f>
        <v>0.28798697972740073</v>
      </c>
      <c r="BK16" s="11">
        <f>BJ16+預測IC!BL20</f>
        <v>0.32261156339665681</v>
      </c>
      <c r="BL16" s="11">
        <f>BK16+預測IC!BM20</f>
        <v>0.30074807796420067</v>
      </c>
      <c r="BM16" s="11">
        <f>BL16+預測IC!BN20</f>
        <v>0.2063547941498044</v>
      </c>
      <c r="BN16" s="11">
        <f>BM16+預測IC!BO20</f>
        <v>0.21462392910238512</v>
      </c>
      <c r="BO16" s="11">
        <f>BN16+預測IC!BP20</f>
        <v>0.25411207587951767</v>
      </c>
      <c r="BP16" s="11">
        <f>BO16+預測IC!BQ20</f>
        <v>0.2918423195181859</v>
      </c>
      <c r="BQ16" s="11">
        <f>BP16+預測IC!BR20</f>
        <v>0.46093451357074378</v>
      </c>
      <c r="BR16" s="11">
        <f>BQ16+預測IC!BS20</f>
        <v>0.4418367181955033</v>
      </c>
      <c r="BS16" s="11">
        <f>BR16+預測IC!BT20</f>
        <v>0.47684147404655486</v>
      </c>
      <c r="BT16" s="11">
        <f>BS16+預測IC!BU20</f>
        <v>0.52996165893979785</v>
      </c>
      <c r="BU16" s="11">
        <f>BT16+預測IC!BV20</f>
        <v>0.42924289507337987</v>
      </c>
      <c r="BV16" s="11">
        <f>BU16+預測IC!BW20</f>
        <v>0.46190948617258887</v>
      </c>
      <c r="BW16" s="11">
        <f>BV16+預測IC!BX20</f>
        <v>0.55580953185238302</v>
      </c>
      <c r="BX16" s="11">
        <f>BW16+預測IC!BY20</f>
        <v>0.65180796522015705</v>
      </c>
      <c r="BY16" s="11">
        <f>BX16+預測IC!BZ20</f>
        <v>0.58402272173759606</v>
      </c>
      <c r="BZ16" s="11">
        <f>BY16+預測IC!CA20</f>
        <v>0.57175524894639118</v>
      </c>
      <c r="CA16" s="11">
        <f>BZ16+預測IC!CB20</f>
        <v>0.64466650604446329</v>
      </c>
      <c r="CB16" s="11">
        <f>CA16+預測IC!CC20</f>
        <v>0.65088045953161522</v>
      </c>
      <c r="CC16" s="11">
        <f>CB16+預測IC!CD20</f>
        <v>0.60193115546879705</v>
      </c>
      <c r="CD16" s="11">
        <f>CC16+預測IC!CE20</f>
        <v>0.69253990358482909</v>
      </c>
      <c r="CE16" s="11">
        <f>CD16+預測IC!CF20</f>
        <v>0.61562528952911899</v>
      </c>
      <c r="CF16" s="11">
        <f>CE16+預測IC!CG20</f>
        <v>0.51735979935701315</v>
      </c>
      <c r="CG16" s="11">
        <f>CF16+預測IC!CH20</f>
        <v>0.32144674495728887</v>
      </c>
      <c r="CH16" s="11">
        <f>CG16+預測IC!CI20</f>
        <v>0.5406041026033277</v>
      </c>
      <c r="CI16" s="11">
        <f>CH16+預測IC!CJ20</f>
        <v>0.53364702627368543</v>
      </c>
      <c r="CJ16" s="11">
        <f>CI16+預測IC!CK20</f>
        <v>0.63700968403979052</v>
      </c>
      <c r="CK16" s="11">
        <f>CJ16+預測IC!CL20</f>
        <v>0.35063223767825302</v>
      </c>
      <c r="CL16" s="11">
        <f>CK16+預測IC!CM20</f>
        <v>0.28310076890991931</v>
      </c>
      <c r="CM16" s="11">
        <f>CL16+預測IC!CN20</f>
        <v>0.4240688976216882</v>
      </c>
      <c r="CN16" s="11">
        <f>CM16+預測IC!CO20</f>
        <v>0.50203896673313819</v>
      </c>
      <c r="CO16" s="11">
        <f>CN16+預測IC!CP20</f>
        <v>0.48422981552462224</v>
      </c>
      <c r="CP16" s="11">
        <f>CO16+預測IC!CQ20</f>
        <v>0.482282868625036</v>
      </c>
      <c r="CQ16" s="11">
        <f>CP16+預測IC!CR20</f>
        <v>0.42564576721858266</v>
      </c>
      <c r="CR16" s="11">
        <f>CQ16+預測IC!CS20</f>
        <v>0.51868030824864308</v>
      </c>
      <c r="CS16" s="11">
        <f>CR16+預測IC!CT20</f>
        <v>0.52217749955137127</v>
      </c>
      <c r="CT16" s="11">
        <f>CS16+預測IC!CU20</f>
        <v>0.62180057908337893</v>
      </c>
      <c r="CU16" s="11">
        <f>CT16+預測IC!CV20</f>
        <v>0.71076875847123078</v>
      </c>
      <c r="CV16" s="11">
        <f>CU16+預測IC!CW20</f>
        <v>0.65569446010822152</v>
      </c>
      <c r="CW16" s="11">
        <f>CV16+預測IC!CX20</f>
        <v>0.61325803100087994</v>
      </c>
      <c r="CX16" s="11">
        <f>CW16+預測IC!CY20</f>
        <v>0.6181302709519626</v>
      </c>
      <c r="CY16" s="11">
        <f>CX16+預測IC!CZ20</f>
        <v>0.68689320198862136</v>
      </c>
      <c r="CZ16" s="11">
        <f>CY16+預測IC!DA20</f>
        <v>0.75931027694450293</v>
      </c>
      <c r="DA16" s="11">
        <f>CZ16+預測IC!DB20</f>
        <v>0.67284967284448549</v>
      </c>
      <c r="DB16" s="11">
        <f>DA16+預測IC!DC20</f>
        <v>0.61276646881324948</v>
      </c>
      <c r="DC16" s="11">
        <f>DB16+預測IC!DD20</f>
        <v>0.56396034122844352</v>
      </c>
      <c r="DD16" s="11">
        <f>DC16+預測IC!DE20</f>
        <v>0.58858865623191647</v>
      </c>
      <c r="DE16" s="11">
        <f>DD16+預測IC!DF20</f>
        <v>0.54021444127118212</v>
      </c>
      <c r="DF16" s="11">
        <f>DE16+預測IC!DG20</f>
        <v>0.41464336960280435</v>
      </c>
      <c r="DG16" s="11">
        <f>DF16+預測IC!DH20</f>
        <v>0.31221278592763263</v>
      </c>
      <c r="DH16" s="11">
        <f>DG16+預測IC!DI20</f>
        <v>0.23114640408551237</v>
      </c>
      <c r="DI16" s="11">
        <f>DH16+預測IC!DJ20</f>
        <v>0.41418803658516656</v>
      </c>
      <c r="DJ16" s="11">
        <f>DI16+預測IC!DK20</f>
        <v>0.31514697423816335</v>
      </c>
      <c r="DK16" s="11">
        <f>DJ16+預測IC!DL20</f>
        <v>0.26870843460681038</v>
      </c>
      <c r="DL16" s="11">
        <f>DK16+預測IC!DM20</f>
        <v>0.21581130339708818</v>
      </c>
      <c r="DM16" s="11">
        <f>DL16+預測IC!DN20</f>
        <v>0.22470389581235647</v>
      </c>
      <c r="DN16" s="11">
        <f>DM16+預測IC!DO20</f>
        <v>0.15744450067763618</v>
      </c>
      <c r="DO16" s="11">
        <f>DN16+預測IC!DP20</f>
        <v>0.14323537141486864</v>
      </c>
      <c r="DP16" s="11">
        <f>DO16+預測IC!DQ20</f>
        <v>0.17745428720027551</v>
      </c>
      <c r="DQ16" s="11">
        <f>DP16+預測IC!DR20</f>
        <v>0.22890633889366135</v>
      </c>
      <c r="DR16" s="11">
        <f>DQ16+預測IC!DS20</f>
        <v>0.2428601388126323</v>
      </c>
      <c r="DS16" s="11">
        <f>DR16+預測IC!DT20</f>
        <v>0.23764841576601481</v>
      </c>
      <c r="DT16" s="11">
        <f>DS16+預測IC!DU20</f>
        <v>0.23821415333087093</v>
      </c>
      <c r="DU16" s="11">
        <f>DT16+預測IC!DV20</f>
        <v>0.29725041231858901</v>
      </c>
      <c r="DV16" s="11">
        <f>DU16+預測IC!DW20</f>
        <v>0.24372229741400708</v>
      </c>
      <c r="DW16" s="11">
        <f>DV16+預測IC!DX20</f>
        <v>0.19000459494251221</v>
      </c>
      <c r="DX16" s="11">
        <f>DW16+預測IC!DY20</f>
        <v>0.24349297363831912</v>
      </c>
      <c r="DY16" s="11">
        <f>DX16+預測IC!DZ20</f>
        <v>0.23108750143960324</v>
      </c>
      <c r="DZ16" s="11">
        <f>DY16+預測IC!EA20</f>
        <v>0.17041435395561039</v>
      </c>
      <c r="EA16" s="11">
        <f>DZ16+預測IC!EB20</f>
        <v>0.13736012342759049</v>
      </c>
      <c r="EB16" s="11">
        <f>EA16+預測IC!EC20</f>
        <v>0.1522125967947765</v>
      </c>
      <c r="EC16" s="11">
        <f>EB16+預測IC!ED20</f>
        <v>0.12589679115653873</v>
      </c>
      <c r="ED16" s="11">
        <f>EC16+預測IC!EE20</f>
        <v>0.15149747385497514</v>
      </c>
      <c r="EE16" s="11">
        <f>ED16+預測IC!EF20</f>
        <v>0.23067995756411952</v>
      </c>
    </row>
    <row r="17" spans="1:136" ht="16" customHeight="1">
      <c r="A17" s="6" t="s">
        <v>247</v>
      </c>
      <c r="B17" s="9">
        <v>1.417061362584035E-2</v>
      </c>
      <c r="C17" s="11">
        <f>B17+預測IC!D21</f>
        <v>1.7909556275104377E-2</v>
      </c>
      <c r="D17" s="11">
        <f>C17+預測IC!E21</f>
        <v>4.7470608269140638E-2</v>
      </c>
      <c r="E17" s="11">
        <f>D17+預測IC!F21</f>
        <v>0.22515927007470116</v>
      </c>
      <c r="F17" s="11">
        <f>E17+預測IC!G21</f>
        <v>0.35054582943137602</v>
      </c>
      <c r="G17" s="11">
        <f>F17+預測IC!H21</f>
        <v>0.35575779055773976</v>
      </c>
      <c r="H17" s="11">
        <f>G17+預測IC!I21</f>
        <v>0.54105925435538516</v>
      </c>
      <c r="I17" s="11">
        <f>H17+預測IC!J21</f>
        <v>0.62534898271166628</v>
      </c>
      <c r="J17" s="11">
        <f>I17+預測IC!K21</f>
        <v>0.76070784256694302</v>
      </c>
      <c r="K17" s="11">
        <f>J17+預測IC!L21</f>
        <v>0.7769811603475042</v>
      </c>
      <c r="L17" s="11">
        <f>K17+預測IC!M21</f>
        <v>0.71019306114990954</v>
      </c>
      <c r="M17" s="11">
        <f>L17+預測IC!N21</f>
        <v>0.41176689844106956</v>
      </c>
      <c r="N17" s="11">
        <f>M17+預測IC!O21</f>
        <v>0.49427734425303504</v>
      </c>
      <c r="O17" s="11">
        <f>N17+預測IC!P21</f>
        <v>0.52274850266596495</v>
      </c>
      <c r="P17" s="11">
        <f>O17+預測IC!Q21</f>
        <v>0.45652755191186833</v>
      </c>
      <c r="Q17" s="11">
        <f>P17+預測IC!R21</f>
        <v>0.46818137010390481</v>
      </c>
      <c r="R17" s="11">
        <f>Q17+預測IC!S21</f>
        <v>0.50775444438894524</v>
      </c>
      <c r="S17" s="11">
        <f>R17+預測IC!T21</f>
        <v>0.54025333419676569</v>
      </c>
      <c r="T17" s="11">
        <f>S17+預測IC!U21</f>
        <v>0.63562870654650472</v>
      </c>
      <c r="U17" s="11">
        <f>T17+預測IC!V21</f>
        <v>0.6314183539901157</v>
      </c>
      <c r="V17" s="11">
        <f>U17+預測IC!W21</f>
        <v>0.72532502353315631</v>
      </c>
      <c r="W17" s="11">
        <f>V17+預測IC!X21</f>
        <v>0.75722114763996873</v>
      </c>
      <c r="X17" s="11">
        <f>W17+預測IC!Y21</f>
        <v>0.71413230435616837</v>
      </c>
      <c r="Y17" s="11">
        <f>X17+預測IC!Z21</f>
        <v>0.81913079546680378</v>
      </c>
      <c r="Z17" s="11">
        <f>Y17+預測IC!AA21</f>
        <v>0.80715842244130542</v>
      </c>
      <c r="AA17" s="11">
        <f>Z17+預測IC!AB21</f>
        <v>0.77889693579464792</v>
      </c>
      <c r="AB17" s="11">
        <f>AA17+預測IC!AC21</f>
        <v>0.86185456650989989</v>
      </c>
      <c r="AC17" s="11">
        <f>AB17+預測IC!AD21</f>
        <v>0.93686471371360203</v>
      </c>
      <c r="AD17" s="11">
        <f>AC17+預測IC!AE21</f>
        <v>0.87806038985169654</v>
      </c>
      <c r="AE17" s="11">
        <f>AD17+預測IC!AF21</f>
        <v>0.95183388726304519</v>
      </c>
      <c r="AF17" s="11">
        <f>AE17+預測IC!AG21</f>
        <v>0.95637130041747453</v>
      </c>
      <c r="AG17" s="11">
        <f>AF17+預測IC!AH21</f>
        <v>0.89205799616803549</v>
      </c>
      <c r="AH17" s="11">
        <f>AG17+預測IC!AI21</f>
        <v>1.0699385166821533</v>
      </c>
      <c r="AI17" s="11">
        <f>AH17+預測IC!AJ21</f>
        <v>1.1137353043302436</v>
      </c>
      <c r="AJ17" s="11">
        <f>AI17+預測IC!AK21</f>
        <v>1.0179428030729039</v>
      </c>
      <c r="AK17" s="11">
        <f>AJ17+預測IC!AL21</f>
        <v>0.95623395713335912</v>
      </c>
      <c r="AL17" s="11">
        <f>AK17+預測IC!AM21</f>
        <v>0.86572736646760595</v>
      </c>
      <c r="AM17" s="11">
        <f>AL17+預測IC!AN21</f>
        <v>0.9812869076780566</v>
      </c>
      <c r="AN17" s="11">
        <f>AM17+預測IC!AO21</f>
        <v>0.90238923084661882</v>
      </c>
      <c r="AO17" s="11">
        <f>AN17+預測IC!AP21</f>
        <v>0.79800218478827922</v>
      </c>
      <c r="AP17" s="11">
        <f>AO17+預測IC!AQ21</f>
        <v>0.6612552425265481</v>
      </c>
      <c r="AQ17" s="11">
        <f>AP17+預測IC!AR21</f>
        <v>0.72218400182340337</v>
      </c>
      <c r="AR17" s="11">
        <f>AQ17+預測IC!AS21</f>
        <v>0.7707380275178306</v>
      </c>
      <c r="AS17" s="11">
        <f>AR17+預測IC!AT21</f>
        <v>0.77716014090579411</v>
      </c>
      <c r="AT17" s="11">
        <f>AS17+預測IC!AU21</f>
        <v>0.82277544157658677</v>
      </c>
      <c r="AU17" s="11">
        <f>AT17+預測IC!AV21</f>
        <v>0.80505841686948298</v>
      </c>
      <c r="AV17" s="11">
        <f>AU17+預測IC!AW21</f>
        <v>0.77622148368811161</v>
      </c>
      <c r="AW17" s="11">
        <f>AV17+預測IC!AX21</f>
        <v>0.77075610911399428</v>
      </c>
      <c r="AX17" s="11">
        <f>AW17+預測IC!AY21</f>
        <v>0.79981953446064025</v>
      </c>
      <c r="AY17" s="11">
        <f>AX17+預測IC!AZ21</f>
        <v>0.80567618203457669</v>
      </c>
      <c r="AZ17" s="11">
        <f>AY17+預測IC!BA21</f>
        <v>0.82368002158978593</v>
      </c>
      <c r="BA17" s="11">
        <f>AZ17+預測IC!BB21</f>
        <v>0.70902969701698892</v>
      </c>
      <c r="BB17" s="11">
        <f>BA17+預測IC!BC21</f>
        <v>0.6434321450164544</v>
      </c>
      <c r="BC17" s="11">
        <f>BB17+預測IC!BD21</f>
        <v>0.72720334702563982</v>
      </c>
      <c r="BD17" s="11">
        <f>BC17+預測IC!BE21</f>
        <v>0.72654540413035118</v>
      </c>
      <c r="BE17" s="11">
        <f>BD17+預測IC!BF21</f>
        <v>0.60307560790195569</v>
      </c>
      <c r="BF17" s="11">
        <f>BE17+預測IC!BG21</f>
        <v>0.7570825340387588</v>
      </c>
      <c r="BG17" s="11">
        <f>BF17+預測IC!BH21</f>
        <v>0.64907221200233445</v>
      </c>
      <c r="BH17" s="11">
        <f>BG17+預測IC!BI21</f>
        <v>0.52150007748575034</v>
      </c>
      <c r="BI17" s="11">
        <f>BH17+預測IC!BJ21</f>
        <v>0.46078849955361084</v>
      </c>
      <c r="BJ17" s="11">
        <f>BI17+預測IC!BK21</f>
        <v>0.441460587116495</v>
      </c>
      <c r="BK17" s="11">
        <f>BJ17+預測IC!BL21</f>
        <v>0.48415328347242498</v>
      </c>
      <c r="BL17" s="11">
        <f>BK17+預測IC!BM21</f>
        <v>0.47185875002688593</v>
      </c>
      <c r="BM17" s="11">
        <f>BL17+預測IC!BN21</f>
        <v>0.38810793271660804</v>
      </c>
      <c r="BN17" s="11">
        <f>BM17+預測IC!BO21</f>
        <v>0.37542719681505204</v>
      </c>
      <c r="BO17" s="11">
        <f>BN17+預測IC!BP21</f>
        <v>0.43218860338850318</v>
      </c>
      <c r="BP17" s="11">
        <f>BO17+預測IC!BQ21</f>
        <v>0.46246325581801667</v>
      </c>
      <c r="BQ17" s="11">
        <f>BP17+預測IC!BR21</f>
        <v>0.56458991884705867</v>
      </c>
      <c r="BR17" s="11">
        <f>BQ17+預測IC!BS21</f>
        <v>0.57417081808904813</v>
      </c>
      <c r="BS17" s="11">
        <f>BR17+預測IC!BT21</f>
        <v>0.61603577470127846</v>
      </c>
      <c r="BT17" s="11">
        <f>BS17+預測IC!BU21</f>
        <v>0.68527010671453281</v>
      </c>
      <c r="BU17" s="11">
        <f>BT17+預測IC!BV21</f>
        <v>0.55613312171762364</v>
      </c>
      <c r="BV17" s="11">
        <f>BU17+預測IC!BW21</f>
        <v>0.6029045826745979</v>
      </c>
      <c r="BW17" s="11">
        <f>BV17+預測IC!BX21</f>
        <v>0.7204742145127585</v>
      </c>
      <c r="BX17" s="11">
        <f>BW17+預測IC!BY21</f>
        <v>0.8327805697896381</v>
      </c>
      <c r="BY17" s="11">
        <f>BX17+預測IC!BZ21</f>
        <v>0.80040627487918548</v>
      </c>
      <c r="BZ17" s="11">
        <f>BY17+預測IC!CA21</f>
        <v>0.80622416886809656</v>
      </c>
      <c r="CA17" s="11">
        <f>BZ17+預測IC!CB21</f>
        <v>0.89648908210398459</v>
      </c>
      <c r="CB17" s="11">
        <f>CA17+預測IC!CC21</f>
        <v>0.87177804176893259</v>
      </c>
      <c r="CC17" s="11">
        <f>CB17+預測IC!CD21</f>
        <v>0.84551682081777324</v>
      </c>
      <c r="CD17" s="11">
        <f>CC17+預測IC!CE21</f>
        <v>0.93436707109055916</v>
      </c>
      <c r="CE17" s="11">
        <f>CD17+預測IC!CF21</f>
        <v>0.85884536212647111</v>
      </c>
      <c r="CF17" s="11">
        <f>CE17+預測IC!CG21</f>
        <v>0.7712053499215048</v>
      </c>
      <c r="CG17" s="11">
        <f>CF17+預測IC!CH21</f>
        <v>0.57509661768464848</v>
      </c>
      <c r="CH17" s="11">
        <f>CG17+預測IC!CI21</f>
        <v>0.86885758245837552</v>
      </c>
      <c r="CI17" s="11">
        <f>CH17+預測IC!CJ21</f>
        <v>0.86389602302634905</v>
      </c>
      <c r="CJ17" s="11">
        <f>CI17+預測IC!CK21</f>
        <v>0.96871119972899711</v>
      </c>
      <c r="CK17" s="11">
        <f>CJ17+預測IC!CL21</f>
        <v>0.65272752769985032</v>
      </c>
      <c r="CL17" s="11">
        <f>CK17+預測IC!CM21</f>
        <v>0.60421955028371332</v>
      </c>
      <c r="CM17" s="11">
        <f>CL17+預測IC!CN21</f>
        <v>0.77084733779004311</v>
      </c>
      <c r="CN17" s="11">
        <f>CM17+預測IC!CO21</f>
        <v>0.81698043387164387</v>
      </c>
      <c r="CO17" s="11">
        <f>CN17+預測IC!CP21</f>
        <v>0.79526578443654017</v>
      </c>
      <c r="CP17" s="11">
        <f>CO17+預測IC!CQ21</f>
        <v>0.79170425041334347</v>
      </c>
      <c r="CQ17" s="11">
        <f>CP17+預測IC!CR21</f>
        <v>0.7908852876000726</v>
      </c>
      <c r="CR17" s="11">
        <f>CQ17+預測IC!CS21</f>
        <v>0.926788738350944</v>
      </c>
      <c r="CS17" s="11">
        <f>CR17+預測IC!CT21</f>
        <v>0.93108137225972221</v>
      </c>
      <c r="CT17" s="11">
        <f>CS17+預測IC!CU21</f>
        <v>1.0264943446663357</v>
      </c>
      <c r="CU17" s="11">
        <f>CT17+預測IC!CV21</f>
        <v>1.106826961643899</v>
      </c>
      <c r="CV17" s="11">
        <f>CU17+預測IC!CW21</f>
        <v>1.0546225616489737</v>
      </c>
      <c r="CW17" s="11">
        <f>CV17+預測IC!CX21</f>
        <v>1.0763470416640253</v>
      </c>
      <c r="CX17" s="11">
        <f>CW17+預測IC!CY21</f>
        <v>1.0905012295785688</v>
      </c>
      <c r="CY17" s="11">
        <f>CX17+預測IC!CZ21</f>
        <v>1.1737359769103801</v>
      </c>
      <c r="CZ17" s="11">
        <f>CY17+預測IC!DA21</f>
        <v>1.2305466456549938</v>
      </c>
      <c r="DA17" s="11">
        <f>CZ17+預測IC!DB21</f>
        <v>1.1357598624156628</v>
      </c>
      <c r="DB17" s="11">
        <f>DA17+預測IC!DC21</f>
        <v>1.0541679262868782</v>
      </c>
      <c r="DC17" s="11">
        <f>DB17+預測IC!DD21</f>
        <v>1.052651056013941</v>
      </c>
      <c r="DD17" s="11">
        <f>DC17+預測IC!DE21</f>
        <v>1.1132415415241048</v>
      </c>
      <c r="DE17" s="11">
        <f>DD17+預測IC!DF21</f>
        <v>1.055181541077681</v>
      </c>
      <c r="DF17" s="11">
        <f>DE17+預測IC!DG21</f>
        <v>0.95725582110993779</v>
      </c>
      <c r="DG17" s="11">
        <f>DF17+預測IC!DH21</f>
        <v>0.86015483797362102</v>
      </c>
      <c r="DH17" s="11">
        <f>DG17+預測IC!DI21</f>
        <v>0.78216408737486376</v>
      </c>
      <c r="DI17" s="11">
        <f>DH17+預測IC!DJ21</f>
        <v>0.96181408778267152</v>
      </c>
      <c r="DJ17" s="11">
        <f>DI17+預測IC!DK21</f>
        <v>0.82834397516419644</v>
      </c>
      <c r="DK17" s="11">
        <f>DJ17+預測IC!DL21</f>
        <v>0.78680477909253987</v>
      </c>
      <c r="DL17" s="11">
        <f>DK17+預測IC!DM21</f>
        <v>0.73432180074396103</v>
      </c>
      <c r="DM17" s="11">
        <f>DL17+預測IC!DN21</f>
        <v>0.75940615416421853</v>
      </c>
      <c r="DN17" s="11">
        <f>DM17+預測IC!DO21</f>
        <v>0.69420302621002239</v>
      </c>
      <c r="DO17" s="11">
        <f>DN17+預測IC!DP21</f>
        <v>0.66840336656979027</v>
      </c>
      <c r="DP17" s="11">
        <f>DO17+預測IC!DQ21</f>
        <v>0.67590475933627481</v>
      </c>
      <c r="DQ17" s="11">
        <f>DP17+預測IC!DR21</f>
        <v>0.74247766889149036</v>
      </c>
      <c r="DR17" s="11">
        <f>DQ17+預測IC!DS21</f>
        <v>0.74018848945842697</v>
      </c>
      <c r="DS17" s="11">
        <f>DR17+預測IC!DT21</f>
        <v>0.79555600246439995</v>
      </c>
      <c r="DT17" s="11">
        <f>DS17+預測IC!DU21</f>
        <v>0.76971960639085635</v>
      </c>
      <c r="DU17" s="11">
        <f>DT17+預測IC!DV21</f>
        <v>0.79113247737680381</v>
      </c>
      <c r="DV17" s="11">
        <f>DU17+預測IC!DW21</f>
        <v>0.73852941957181151</v>
      </c>
      <c r="DW17" s="11">
        <f>DV17+預測IC!DX21</f>
        <v>0.73886904162257794</v>
      </c>
      <c r="DX17" s="11">
        <f>DW17+預測IC!DY21</f>
        <v>0.81593814118265207</v>
      </c>
      <c r="DY17" s="11">
        <f>DX17+預測IC!DZ21</f>
        <v>0.84550544574309472</v>
      </c>
      <c r="DZ17" s="11">
        <f>DY17+預測IC!EA21</f>
        <v>0.75172886751363721</v>
      </c>
      <c r="EA17" s="11">
        <f>DZ17+預測IC!EB21</f>
        <v>0.73476054325630236</v>
      </c>
      <c r="EB17" s="11">
        <f>EA17+預測IC!EC21</f>
        <v>0.75269259274685762</v>
      </c>
      <c r="EC17" s="11">
        <f>EB17+預測IC!ED21</f>
        <v>0.77059369613794593</v>
      </c>
      <c r="ED17" s="11">
        <f>EC17+預測IC!EE21</f>
        <v>0.81332873913326242</v>
      </c>
      <c r="EE17" s="11">
        <f>ED17+預測IC!EF21</f>
        <v>0.91625765304056483</v>
      </c>
    </row>
    <row r="18" spans="1:136" ht="16" customHeight="1">
      <c r="A18" s="6" t="s">
        <v>248</v>
      </c>
      <c r="B18" s="9">
        <v>1.2696408260164469E-2</v>
      </c>
      <c r="C18" s="11">
        <f>B18+預測IC!D22</f>
        <v>1.8432370099865845E-2</v>
      </c>
      <c r="D18" s="11">
        <f>C18+預測IC!E22</f>
        <v>6.3999861276398951E-2</v>
      </c>
      <c r="E18" s="11">
        <f>D18+預測IC!F22</f>
        <v>0.21458168129568814</v>
      </c>
      <c r="F18" s="11">
        <f>E18+預測IC!G22</f>
        <v>0.35528008948186335</v>
      </c>
      <c r="G18" s="11">
        <f>F18+預測IC!H22</f>
        <v>0.38058863788047514</v>
      </c>
      <c r="H18" s="11">
        <f>G18+預測IC!I22</f>
        <v>0.62103443333967623</v>
      </c>
      <c r="I18" s="11">
        <f>H18+預測IC!J22</f>
        <v>0.63350818113619045</v>
      </c>
      <c r="J18" s="11">
        <f>I18+預測IC!K22</f>
        <v>0.76586846222842919</v>
      </c>
      <c r="K18" s="11">
        <f>J18+預測IC!L22</f>
        <v>0.7725147285521009</v>
      </c>
      <c r="L18" s="11">
        <f>K18+預測IC!M22</f>
        <v>0.7029120007190397</v>
      </c>
      <c r="M18" s="11">
        <f>L18+預測IC!N22</f>
        <v>0.37732973864595221</v>
      </c>
      <c r="N18" s="11">
        <f>M18+預測IC!O22</f>
        <v>0.47941950832781871</v>
      </c>
      <c r="O18" s="11">
        <f>N18+預測IC!P22</f>
        <v>0.52540956751329349</v>
      </c>
      <c r="P18" s="11">
        <f>O18+預測IC!Q22</f>
        <v>0.45908014249548995</v>
      </c>
      <c r="Q18" s="11">
        <f>P18+預測IC!R22</f>
        <v>0.44460856227455037</v>
      </c>
      <c r="R18" s="11">
        <f>Q18+預測IC!S22</f>
        <v>0.550367032014633</v>
      </c>
      <c r="S18" s="11">
        <f>R18+預測IC!T22</f>
        <v>0.54915385096759795</v>
      </c>
      <c r="T18" s="11">
        <f>S18+預測IC!U22</f>
        <v>0.6423062948832734</v>
      </c>
      <c r="U18" s="11">
        <f>T18+預測IC!V22</f>
        <v>0.61987657846186883</v>
      </c>
      <c r="V18" s="11">
        <f>U18+預測IC!W22</f>
        <v>0.72810949214343035</v>
      </c>
      <c r="W18" s="11">
        <f>V18+預測IC!X22</f>
        <v>0.76579633570274874</v>
      </c>
      <c r="X18" s="11">
        <f>W18+預測IC!Y22</f>
        <v>0.70337599380888638</v>
      </c>
      <c r="Y18" s="11">
        <f>X18+預測IC!Z22</f>
        <v>0.74749498632945532</v>
      </c>
      <c r="Z18" s="11">
        <f>Y18+預測IC!AA22</f>
        <v>0.74649072954850137</v>
      </c>
      <c r="AA18" s="11">
        <f>Z18+預測IC!AB22</f>
        <v>0.72119928873396777</v>
      </c>
      <c r="AB18" s="11">
        <f>AA18+預測IC!AC22</f>
        <v>0.82164553300017673</v>
      </c>
      <c r="AC18" s="11">
        <f>AB18+預測IC!AD22</f>
        <v>0.93402844289527887</v>
      </c>
      <c r="AD18" s="11">
        <f>AC18+預測IC!AE22</f>
        <v>0.92406795981807166</v>
      </c>
      <c r="AE18" s="11">
        <f>AD18+預測IC!AF22</f>
        <v>1.047997193987898</v>
      </c>
      <c r="AF18" s="11">
        <f>AE18+預測IC!AG22</f>
        <v>1.0426557246919308</v>
      </c>
      <c r="AG18" s="11">
        <f>AF18+預測IC!AH22</f>
        <v>1.0343488459096173</v>
      </c>
      <c r="AH18" s="11">
        <f>AG18+預測IC!AI22</f>
        <v>1.1450388415605695</v>
      </c>
      <c r="AI18" s="11">
        <f>AH18+預測IC!AJ22</f>
        <v>1.1756099315069035</v>
      </c>
      <c r="AJ18" s="11">
        <f>AI18+預測IC!AK22</f>
        <v>1.1610087976880712</v>
      </c>
      <c r="AK18" s="11">
        <f>AJ18+預測IC!AL22</f>
        <v>1.1196825481328014</v>
      </c>
      <c r="AL18" s="11">
        <f>AK18+預測IC!AM22</f>
        <v>1.0329510176919066</v>
      </c>
      <c r="AM18" s="11">
        <f>AL18+預測IC!AN22</f>
        <v>1.1018718729143253</v>
      </c>
      <c r="AN18" s="11">
        <f>AM18+預測IC!AO22</f>
        <v>1.0648976121533853</v>
      </c>
      <c r="AO18" s="11">
        <f>AN18+預測IC!AP22</f>
        <v>0.93174256851274828</v>
      </c>
      <c r="AP18" s="11">
        <f>AO18+預測IC!AQ22</f>
        <v>0.74586151099689513</v>
      </c>
      <c r="AQ18" s="11">
        <f>AP18+預測IC!AR22</f>
        <v>0.79669030833125987</v>
      </c>
      <c r="AR18" s="11">
        <f>AQ18+預測IC!AS22</f>
        <v>0.78888756269660376</v>
      </c>
      <c r="AS18" s="11">
        <f>AR18+預測IC!AT22</f>
        <v>0.79270522170544255</v>
      </c>
      <c r="AT18" s="11">
        <f>AS18+預測IC!AU22</f>
        <v>0.85314293246845496</v>
      </c>
      <c r="AU18" s="11">
        <f>AT18+預測IC!AV22</f>
        <v>0.86462380381550696</v>
      </c>
      <c r="AV18" s="11">
        <f>AU18+預測IC!AW22</f>
        <v>0.80119139779077109</v>
      </c>
      <c r="AW18" s="11">
        <f>AV18+預測IC!AX22</f>
        <v>0.80115703014223194</v>
      </c>
      <c r="AX18" s="11">
        <f>AW18+預測IC!AY22</f>
        <v>0.82835519191438889</v>
      </c>
      <c r="AY18" s="11">
        <f>AX18+預測IC!AZ22</f>
        <v>0.83123206584609022</v>
      </c>
      <c r="AZ18" s="11">
        <f>AY18+預測IC!BA22</f>
        <v>0.84752990211661128</v>
      </c>
      <c r="BA18" s="11">
        <f>AZ18+預測IC!BB22</f>
        <v>0.74403919802647878</v>
      </c>
      <c r="BB18" s="11">
        <f>BA18+預測IC!BC22</f>
        <v>0.61360370877229686</v>
      </c>
      <c r="BC18" s="11">
        <f>BB18+預測IC!BD22</f>
        <v>0.72279380412413796</v>
      </c>
      <c r="BD18" s="11">
        <f>BC18+預測IC!BE22</f>
        <v>0.72754451324069525</v>
      </c>
      <c r="BE18" s="11">
        <f>BD18+預測IC!BF22</f>
        <v>0.60694106613176646</v>
      </c>
      <c r="BF18" s="11">
        <f>BE18+預測IC!BG22</f>
        <v>0.7949547253871978</v>
      </c>
      <c r="BG18" s="11">
        <f>BF18+預測IC!BH22</f>
        <v>0.71395411114651897</v>
      </c>
      <c r="BH18" s="11">
        <f>BG18+預測IC!BI22</f>
        <v>0.56419734134308253</v>
      </c>
      <c r="BI18" s="11">
        <f>BH18+預測IC!BJ22</f>
        <v>0.50288717948726291</v>
      </c>
      <c r="BJ18" s="11">
        <f>BI18+預測IC!BK22</f>
        <v>0.45979249000393452</v>
      </c>
      <c r="BK18" s="11">
        <f>BJ18+預測IC!BL22</f>
        <v>0.49079407840908795</v>
      </c>
      <c r="BL18" s="11">
        <f>BK18+預測IC!BM22</f>
        <v>0.48344070317987992</v>
      </c>
      <c r="BM18" s="11">
        <f>BL18+預測IC!BN22</f>
        <v>0.32059810984909021</v>
      </c>
      <c r="BN18" s="11">
        <f>BM18+預測IC!BO22</f>
        <v>0.32933228883928367</v>
      </c>
      <c r="BO18" s="11">
        <f>BN18+預測IC!BP22</f>
        <v>0.36776197570377039</v>
      </c>
      <c r="BP18" s="11">
        <f>BO18+預測IC!BQ22</f>
        <v>0.40689370603310621</v>
      </c>
      <c r="BQ18" s="11">
        <f>BP18+預測IC!BR22</f>
        <v>0.53339672710541985</v>
      </c>
      <c r="BR18" s="11">
        <f>BQ18+預測IC!BS22</f>
        <v>0.54748312158260226</v>
      </c>
      <c r="BS18" s="11">
        <f>BR18+預測IC!BT22</f>
        <v>0.53651088744353204</v>
      </c>
      <c r="BT18" s="11">
        <f>BS18+預測IC!BU22</f>
        <v>0.60441410879624269</v>
      </c>
      <c r="BU18" s="11">
        <f>BT18+預測IC!BV22</f>
        <v>0.47948935002202459</v>
      </c>
      <c r="BV18" s="11">
        <f>BU18+預測IC!BW22</f>
        <v>0.49445784508523649</v>
      </c>
      <c r="BW18" s="11">
        <f>BV18+預測IC!BX22</f>
        <v>0.63438505007526336</v>
      </c>
      <c r="BX18" s="11">
        <f>BW18+預測IC!BY22</f>
        <v>0.81214792546985237</v>
      </c>
      <c r="BY18" s="11">
        <f>BX18+預測IC!BZ22</f>
        <v>0.75365249963494085</v>
      </c>
      <c r="BZ18" s="11">
        <f>BY18+預測IC!CA22</f>
        <v>0.77362595489918851</v>
      </c>
      <c r="CA18" s="11">
        <f>BZ18+預測IC!CB22</f>
        <v>0.87945536295920856</v>
      </c>
      <c r="CB18" s="11">
        <f>CA18+預測IC!CC22</f>
        <v>0.85056826982497924</v>
      </c>
      <c r="CC18" s="11">
        <f>CB18+預測IC!CD22</f>
        <v>0.77580663274031914</v>
      </c>
      <c r="CD18" s="11">
        <f>CC18+預測IC!CE22</f>
        <v>0.88893625428077971</v>
      </c>
      <c r="CE18" s="11">
        <f>CD18+預測IC!CF22</f>
        <v>0.83733289616169104</v>
      </c>
      <c r="CF18" s="11">
        <f>CE18+預測IC!CG22</f>
        <v>0.72446074914576308</v>
      </c>
      <c r="CG18" s="11">
        <f>CF18+預測IC!CH22</f>
        <v>0.5823809593722219</v>
      </c>
      <c r="CH18" s="11">
        <f>CG18+預測IC!CI22</f>
        <v>0.94285424883162638</v>
      </c>
      <c r="CI18" s="11">
        <f>CH18+預測IC!CJ22</f>
        <v>0.94513410351183469</v>
      </c>
      <c r="CJ18" s="11">
        <f>CI18+預測IC!CK22</f>
        <v>1.0895125978628044</v>
      </c>
      <c r="CK18" s="11">
        <f>CJ18+預測IC!CL22</f>
        <v>0.66339365629019653</v>
      </c>
      <c r="CL18" s="11">
        <f>CK18+預測IC!CM22</f>
        <v>0.62383209135949591</v>
      </c>
      <c r="CM18" s="11">
        <f>CL18+預測IC!CN22</f>
        <v>0.82533759904237702</v>
      </c>
      <c r="CN18" s="11">
        <f>CM18+預測IC!CO22</f>
        <v>0.90390353874153662</v>
      </c>
      <c r="CO18" s="11">
        <f>CN18+預測IC!CP22</f>
        <v>0.88709519286658167</v>
      </c>
      <c r="CP18" s="11">
        <f>CO18+預測IC!CQ22</f>
        <v>0.86080709246053655</v>
      </c>
      <c r="CQ18" s="11">
        <f>CP18+預測IC!CR22</f>
        <v>0.88267235676862932</v>
      </c>
      <c r="CR18" s="11">
        <f>CQ18+預測IC!CS22</f>
        <v>1.0778831621501379</v>
      </c>
      <c r="CS18" s="11">
        <f>CR18+預測IC!CT22</f>
        <v>1.0194035150355225</v>
      </c>
      <c r="CT18" s="11">
        <f>CS18+預測IC!CU22</f>
        <v>1.1681665375829171</v>
      </c>
      <c r="CU18" s="11">
        <f>CT18+預測IC!CV22</f>
        <v>1.2922671468548699</v>
      </c>
      <c r="CV18" s="11">
        <f>CU18+預測IC!CW22</f>
        <v>1.2550165567131149</v>
      </c>
      <c r="CW18" s="11">
        <f>CV18+預測IC!CX22</f>
        <v>1.240250494354469</v>
      </c>
      <c r="CX18" s="11">
        <f>CW18+預測IC!CY22</f>
        <v>1.2700635734161201</v>
      </c>
      <c r="CY18" s="11">
        <f>CX18+預測IC!CZ22</f>
        <v>1.3288929133033198</v>
      </c>
      <c r="CZ18" s="11">
        <f>CY18+預測IC!DA22</f>
        <v>1.3833690834966779</v>
      </c>
      <c r="DA18" s="11">
        <f>CZ18+預測IC!DB22</f>
        <v>1.3134281454539596</v>
      </c>
      <c r="DB18" s="11">
        <f>DA18+預測IC!DC22</f>
        <v>1.238278413324323</v>
      </c>
      <c r="DC18" s="11">
        <f>DB18+預測IC!DD22</f>
        <v>1.1705485458723015</v>
      </c>
      <c r="DD18" s="11">
        <f>DC18+預測IC!DE22</f>
        <v>1.2244399787098539</v>
      </c>
      <c r="DE18" s="11">
        <f>DD18+預測IC!DF22</f>
        <v>1.1456919887096604</v>
      </c>
      <c r="DF18" s="11">
        <f>DE18+預測IC!DG22</f>
        <v>0.98443435618326647</v>
      </c>
      <c r="DG18" s="11">
        <f>DF18+預測IC!DH22</f>
        <v>0.87706802719713384</v>
      </c>
      <c r="DH18" s="11">
        <f>DG18+預測IC!DI22</f>
        <v>0.76979035453975253</v>
      </c>
      <c r="DI18" s="11">
        <f>DH18+預測IC!DJ22</f>
        <v>0.90391955012387237</v>
      </c>
      <c r="DJ18" s="11">
        <f>DI18+預測IC!DK22</f>
        <v>0.8073127358706671</v>
      </c>
      <c r="DK18" s="11">
        <f>DJ18+預測IC!DL22</f>
        <v>0.80717436521517638</v>
      </c>
      <c r="DL18" s="11">
        <f>DK18+預測IC!DM22</f>
        <v>0.78906466286988863</v>
      </c>
      <c r="DM18" s="11">
        <f>DL18+預測IC!DN22</f>
        <v>0.82317810772951538</v>
      </c>
      <c r="DN18" s="11">
        <f>DM18+預測IC!DO22</f>
        <v>0.76638854824017111</v>
      </c>
      <c r="DO18" s="11">
        <f>DN18+預測IC!DP22</f>
        <v>0.74127148712105873</v>
      </c>
      <c r="DP18" s="11">
        <f>DO18+預測IC!DQ22</f>
        <v>0.72752850435720395</v>
      </c>
      <c r="DQ18" s="11">
        <f>DP18+預測IC!DR22</f>
        <v>0.78231605796319459</v>
      </c>
      <c r="DR18" s="11">
        <f>DQ18+預測IC!DS22</f>
        <v>0.78156762917102474</v>
      </c>
      <c r="DS18" s="11">
        <f>DR18+預測IC!DT22</f>
        <v>0.83259287530545456</v>
      </c>
      <c r="DT18" s="11">
        <f>DS18+預測IC!DU22</f>
        <v>0.78828790052892461</v>
      </c>
      <c r="DU18" s="11">
        <f>DT18+預測IC!DV22</f>
        <v>0.80528566019304093</v>
      </c>
      <c r="DV18" s="11">
        <f>DU18+預測IC!DW22</f>
        <v>0.76255461125618673</v>
      </c>
      <c r="DW18" s="11">
        <f>DV18+預測IC!DX22</f>
        <v>0.76967590089007987</v>
      </c>
      <c r="DX18" s="11">
        <f>DW18+預測IC!DY22</f>
        <v>0.86014368996442048</v>
      </c>
      <c r="DY18" s="11">
        <f>DX18+預測IC!DZ22</f>
        <v>0.89400554303671675</v>
      </c>
      <c r="DZ18" s="11">
        <f>DY18+預測IC!EA22</f>
        <v>0.79910679826158559</v>
      </c>
      <c r="EA18" s="11">
        <f>DZ18+預測IC!EB22</f>
        <v>0.85423416901390503</v>
      </c>
      <c r="EB18" s="11">
        <f>EA18+預測IC!EC22</f>
        <v>0.83641159582857161</v>
      </c>
      <c r="EC18" s="11">
        <f>EB18+預測IC!ED22</f>
        <v>0.82543104449536653</v>
      </c>
      <c r="ED18" s="11">
        <f>EC18+預測IC!EE22</f>
        <v>0.86700894922001503</v>
      </c>
      <c r="EE18" s="11">
        <f>ED18+預測IC!EF22</f>
        <v>0.94771467301522705</v>
      </c>
    </row>
    <row r="19" spans="1:136" ht="16" customHeight="1">
      <c r="A19" s="6" t="s">
        <v>249</v>
      </c>
      <c r="B19" s="9">
        <v>1.7768557544988659E-2</v>
      </c>
      <c r="C19" s="11">
        <f>B19+預測IC!D23</f>
        <v>2.1397931391489298E-2</v>
      </c>
      <c r="D19" s="11">
        <f>C19+預測IC!E23</f>
        <v>5.476338536287309E-2</v>
      </c>
      <c r="E19" s="11">
        <f>D19+預測IC!F23</f>
        <v>0.23880196696900308</v>
      </c>
      <c r="F19" s="11">
        <f>E19+預測IC!G23</f>
        <v>0.3706283351451124</v>
      </c>
      <c r="G19" s="11">
        <f>F19+預測IC!H23</f>
        <v>0.33672662755064875</v>
      </c>
      <c r="H19" s="11">
        <f>G19+預測IC!I23</f>
        <v>0.55645044562896062</v>
      </c>
      <c r="I19" s="11">
        <f>H19+預測IC!J23</f>
        <v>0.58035167179300462</v>
      </c>
      <c r="J19" s="11">
        <f>I19+預測IC!K23</f>
        <v>0.66148780863789525</v>
      </c>
      <c r="K19" s="11">
        <f>J19+預測IC!L23</f>
        <v>0.71883379541432546</v>
      </c>
      <c r="L19" s="11">
        <f>K19+預測IC!M23</f>
        <v>0.70100727884303982</v>
      </c>
      <c r="M19" s="11">
        <f>L19+預測IC!N23</f>
        <v>0.34242130429944284</v>
      </c>
      <c r="N19" s="11">
        <f>M19+預測IC!O23</f>
        <v>0.46119912286436093</v>
      </c>
      <c r="O19" s="11">
        <f>N19+預測IC!P23</f>
        <v>0.51286927531091864</v>
      </c>
      <c r="P19" s="11">
        <f>O19+預測IC!Q23</f>
        <v>0.45826063947428758</v>
      </c>
      <c r="Q19" s="11">
        <f>P19+預測IC!R23</f>
        <v>0.43664203543637192</v>
      </c>
      <c r="R19" s="11">
        <f>Q19+預測IC!S23</f>
        <v>0.54280479301645268</v>
      </c>
      <c r="S19" s="11">
        <f>R19+預測IC!T23</f>
        <v>0.55791027658106407</v>
      </c>
      <c r="T19" s="11">
        <f>S19+預測IC!U23</f>
        <v>0.64335936207147149</v>
      </c>
      <c r="U19" s="11">
        <f>T19+預測IC!V23</f>
        <v>0.66919907506060372</v>
      </c>
      <c r="V19" s="11">
        <f>U19+預測IC!W23</f>
        <v>0.71414044680384592</v>
      </c>
      <c r="W19" s="11">
        <f>V19+預測IC!X23</f>
        <v>0.76501637585745408</v>
      </c>
      <c r="X19" s="11">
        <f>W19+預測IC!Y23</f>
        <v>0.70450783914430537</v>
      </c>
      <c r="Y19" s="11">
        <f>X19+預測IC!Z23</f>
        <v>0.7388272296967453</v>
      </c>
      <c r="Z19" s="11">
        <f>Y19+預測IC!AA23</f>
        <v>0.67408249294294587</v>
      </c>
      <c r="AA19" s="11">
        <f>Z19+預測IC!AB23</f>
        <v>0.69180005408167478</v>
      </c>
      <c r="AB19" s="11">
        <f>AA19+預測IC!AC23</f>
        <v>0.83087036191710339</v>
      </c>
      <c r="AC19" s="11">
        <f>AB19+預測IC!AD23</f>
        <v>0.92746123672929504</v>
      </c>
      <c r="AD19" s="11">
        <f>AC19+預測IC!AE23</f>
        <v>0.87872499449473584</v>
      </c>
      <c r="AE19" s="11">
        <f>AD19+預測IC!AF23</f>
        <v>1.0073831622924585</v>
      </c>
      <c r="AF19" s="11">
        <f>AE19+預測IC!AG23</f>
        <v>0.97425109168152013</v>
      </c>
      <c r="AG19" s="11">
        <f>AF19+預測IC!AH23</f>
        <v>0.95047220699198498</v>
      </c>
      <c r="AH19" s="11">
        <f>AG19+預測IC!AI23</f>
        <v>1.0437323712546329</v>
      </c>
      <c r="AI19" s="11">
        <f>AH19+預測IC!AJ23</f>
        <v>1.059992180265251</v>
      </c>
      <c r="AJ19" s="11">
        <f>AI19+預測IC!AK23</f>
        <v>1.0095429712550088</v>
      </c>
      <c r="AK19" s="11">
        <f>AJ19+預測IC!AL23</f>
        <v>0.98050200994794601</v>
      </c>
      <c r="AL19" s="11">
        <f>AK19+預測IC!AM23</f>
        <v>0.87097733936330313</v>
      </c>
      <c r="AM19" s="11">
        <f>AL19+預測IC!AN23</f>
        <v>0.98572113761932745</v>
      </c>
      <c r="AN19" s="11">
        <f>AM19+預測IC!AO23</f>
        <v>1.0170420437441123</v>
      </c>
      <c r="AO19" s="11">
        <f>AN19+預測IC!AP23</f>
        <v>0.82934616134601213</v>
      </c>
      <c r="AP19" s="11">
        <f>AO19+預測IC!AQ23</f>
        <v>0.68691365919766245</v>
      </c>
      <c r="AQ19" s="11">
        <f>AP19+預測IC!AR23</f>
        <v>0.71595758851090341</v>
      </c>
      <c r="AR19" s="11">
        <f>AQ19+預測IC!AS23</f>
        <v>0.69950545516422735</v>
      </c>
      <c r="AS19" s="11">
        <f>AR19+預測IC!AT23</f>
        <v>0.71574642710853187</v>
      </c>
      <c r="AT19" s="11">
        <f>AS19+預測IC!AU23</f>
        <v>0.75243959399633709</v>
      </c>
      <c r="AU19" s="11">
        <f>AT19+預測IC!AV23</f>
        <v>0.75891063748648468</v>
      </c>
      <c r="AV19" s="11">
        <f>AU19+預測IC!AW23</f>
        <v>0.68027837090299248</v>
      </c>
      <c r="AW19" s="11">
        <f>AV19+預測IC!AX23</f>
        <v>0.67665811594633118</v>
      </c>
      <c r="AX19" s="11">
        <f>AW19+預測IC!AY23</f>
        <v>0.66999971075348408</v>
      </c>
      <c r="AY19" s="11">
        <f>AX19+預測IC!AZ23</f>
        <v>0.71363651701816411</v>
      </c>
      <c r="AZ19" s="11">
        <f>AY19+預測IC!BA23</f>
        <v>0.72894703816172035</v>
      </c>
      <c r="BA19" s="11">
        <f>AZ19+預測IC!BB23</f>
        <v>0.60838222007950293</v>
      </c>
      <c r="BB19" s="11">
        <f>BA19+預測IC!BC23</f>
        <v>0.51769272427799018</v>
      </c>
      <c r="BC19" s="11">
        <f>BB19+預測IC!BD23</f>
        <v>0.59179923839272586</v>
      </c>
      <c r="BD19" s="11">
        <f>BC19+預測IC!BE23</f>
        <v>0.6534310409318711</v>
      </c>
      <c r="BE19" s="11">
        <f>BD19+預測IC!BF23</f>
        <v>0.51217085933450124</v>
      </c>
      <c r="BF19" s="11">
        <f>BE19+預測IC!BG23</f>
        <v>0.77193531812594662</v>
      </c>
      <c r="BG19" s="11">
        <f>BF19+預測IC!BH23</f>
        <v>0.6849115833930679</v>
      </c>
      <c r="BH19" s="11">
        <f>BG19+預測IC!BI23</f>
        <v>0.52161183447334558</v>
      </c>
      <c r="BI19" s="11">
        <f>BH19+預測IC!BJ23</f>
        <v>0.51696215200920115</v>
      </c>
      <c r="BJ19" s="11">
        <f>BI19+預測IC!BK23</f>
        <v>0.48425275105758031</v>
      </c>
      <c r="BK19" s="11">
        <f>BJ19+預測IC!BL23</f>
        <v>0.50582938587050863</v>
      </c>
      <c r="BL19" s="11">
        <f>BK19+預測IC!BM23</f>
        <v>0.44982076989989322</v>
      </c>
      <c r="BM19" s="11">
        <f>BL19+預測IC!BN23</f>
        <v>0.40194747683893733</v>
      </c>
      <c r="BN19" s="11">
        <f>BM19+預測IC!BO23</f>
        <v>0.38294160574559183</v>
      </c>
      <c r="BO19" s="11">
        <f>BN19+預測IC!BP23</f>
        <v>0.44812249573556207</v>
      </c>
      <c r="BP19" s="11">
        <f>BO19+預測IC!BQ23</f>
        <v>0.51301288997769401</v>
      </c>
      <c r="BQ19" s="11">
        <f>BP19+預測IC!BR23</f>
        <v>0.59348527056978895</v>
      </c>
      <c r="BR19" s="11">
        <f>BQ19+預測IC!BS23</f>
        <v>0.62329080470862497</v>
      </c>
      <c r="BS19" s="11">
        <f>BR19+預測IC!BT23</f>
        <v>0.66166414176589627</v>
      </c>
      <c r="BT19" s="11">
        <f>BS19+預測IC!BU23</f>
        <v>0.69765835989313796</v>
      </c>
      <c r="BU19" s="11">
        <f>BT19+預測IC!BV23</f>
        <v>0.69506182098779767</v>
      </c>
      <c r="BV19" s="11">
        <f>BU19+預測IC!BW23</f>
        <v>0.68076790194724868</v>
      </c>
      <c r="BW19" s="11">
        <f>BV19+預測IC!BX23</f>
        <v>0.74678983182920755</v>
      </c>
      <c r="BX19" s="11">
        <f>BW19+預測IC!BY23</f>
        <v>0.93649436990203827</v>
      </c>
      <c r="BY19" s="11">
        <f>BX19+預測IC!BZ23</f>
        <v>0.82923931185607413</v>
      </c>
      <c r="BZ19" s="11">
        <f>BY19+預測IC!CA23</f>
        <v>0.88684887485477693</v>
      </c>
      <c r="CA19" s="11">
        <f>BZ19+預測IC!CB23</f>
        <v>1.0148658095239833</v>
      </c>
      <c r="CB19" s="11">
        <f>CA19+預測IC!CC23</f>
        <v>0.99028343325681967</v>
      </c>
      <c r="CC19" s="11">
        <f>CB19+預測IC!CD23</f>
        <v>0.88965041625945807</v>
      </c>
      <c r="CD19" s="11">
        <f>CC19+預測IC!CE23</f>
        <v>1.0081481729150226</v>
      </c>
      <c r="CE19" s="11">
        <f>CD19+預測IC!CF23</f>
        <v>0.93965690947449532</v>
      </c>
      <c r="CF19" s="11">
        <f>CE19+預測IC!CG23</f>
        <v>0.85953195591009113</v>
      </c>
      <c r="CG19" s="11">
        <f>CF19+預測IC!CH23</f>
        <v>0.71706853628915468</v>
      </c>
      <c r="CH19" s="11">
        <f>CG19+預測IC!CI23</f>
        <v>1.1404291871337215</v>
      </c>
      <c r="CI19" s="11">
        <f>CH19+預測IC!CJ23</f>
        <v>1.1331484982322</v>
      </c>
      <c r="CJ19" s="11">
        <f>CI19+預測IC!CK23</f>
        <v>1.2930161767793797</v>
      </c>
      <c r="CK19" s="11">
        <f>CJ19+預測IC!CL23</f>
        <v>0.93411703732427331</v>
      </c>
      <c r="CL19" s="11">
        <f>CK19+預測IC!CM23</f>
        <v>0.91337489606399003</v>
      </c>
      <c r="CM19" s="11">
        <f>CL19+預測IC!CN23</f>
        <v>1.1856233452501455</v>
      </c>
      <c r="CN19" s="11">
        <f>CM19+預測IC!CO23</f>
        <v>1.2768998698714644</v>
      </c>
      <c r="CO19" s="11">
        <f>CN19+預測IC!CP23</f>
        <v>1.2078754951699828</v>
      </c>
      <c r="CP19" s="11">
        <f>CO19+預測IC!CQ23</f>
        <v>1.1861860716832688</v>
      </c>
      <c r="CQ19" s="11">
        <f>CP19+預測IC!CR23</f>
        <v>1.2195291573256239</v>
      </c>
      <c r="CR19" s="11">
        <f>CQ19+預測IC!CS23</f>
        <v>1.4133974669475606</v>
      </c>
      <c r="CS19" s="11">
        <f>CR19+預測IC!CT23</f>
        <v>1.3786124553502395</v>
      </c>
      <c r="CT19" s="11">
        <f>CS19+預測IC!CU23</f>
        <v>1.4829940043556629</v>
      </c>
      <c r="CU19" s="11">
        <f>CT19+預測IC!CV23</f>
        <v>1.5835259929025034</v>
      </c>
      <c r="CV19" s="11">
        <f>CU19+預測IC!CW23</f>
        <v>1.5546411853164908</v>
      </c>
      <c r="CW19" s="11">
        <f>CV19+預測IC!CX23</f>
        <v>1.4659812178915632</v>
      </c>
      <c r="CX19" s="11">
        <f>CW19+預測IC!CY23</f>
        <v>1.5454904124531015</v>
      </c>
      <c r="CY19" s="11">
        <f>CX19+預測IC!CZ23</f>
        <v>1.5734669922180189</v>
      </c>
      <c r="CZ19" s="11">
        <f>CY19+預測IC!DA23</f>
        <v>1.6042123951511962</v>
      </c>
      <c r="DA19" s="11">
        <f>CZ19+預測IC!DB23</f>
        <v>1.5423465975341291</v>
      </c>
      <c r="DB19" s="11">
        <f>DA19+預測IC!DC23</f>
        <v>1.4338320690296436</v>
      </c>
      <c r="DC19" s="11">
        <f>DB19+預測IC!DD23</f>
        <v>1.3532835468405464</v>
      </c>
      <c r="DD19" s="11">
        <f>DC19+預測IC!DE23</f>
        <v>1.4394921206220934</v>
      </c>
      <c r="DE19" s="11">
        <f>DD19+預測IC!DF23</f>
        <v>1.3472950871115592</v>
      </c>
      <c r="DF19" s="11">
        <f>DE19+預測IC!DG23</f>
        <v>1.2222624101189525</v>
      </c>
      <c r="DG19" s="11">
        <f>DF19+預測IC!DH23</f>
        <v>1.1208958957418498</v>
      </c>
      <c r="DH19" s="11">
        <f>DG19+預測IC!DI23</f>
        <v>1.005592552200631</v>
      </c>
      <c r="DI19" s="11">
        <f>DH19+預測IC!DJ23</f>
        <v>1.1381946990900793</v>
      </c>
      <c r="DJ19" s="11">
        <f>DI19+預測IC!DK23</f>
        <v>1.0573143256967334</v>
      </c>
      <c r="DK19" s="11">
        <f>DJ19+預測IC!DL23</f>
        <v>1.0728313890320873</v>
      </c>
      <c r="DL19" s="11">
        <f>DK19+預測IC!DM23</f>
        <v>1.0829403277055238</v>
      </c>
      <c r="DM19" s="11">
        <f>DL19+預測IC!DN23</f>
        <v>1.1595281451584085</v>
      </c>
      <c r="DN19" s="11">
        <f>DM19+預測IC!DO23</f>
        <v>1.1231505999042202</v>
      </c>
      <c r="DO19" s="11">
        <f>DN19+預測IC!DP23</f>
        <v>1.1028753063080305</v>
      </c>
      <c r="DP19" s="11">
        <f>DO19+預測IC!DQ23</f>
        <v>1.1017685499252916</v>
      </c>
      <c r="DQ19" s="11">
        <f>DP19+預測IC!DR23</f>
        <v>1.1537136954625704</v>
      </c>
      <c r="DR19" s="11">
        <f>DQ19+預測IC!DS23</f>
        <v>1.157471891116246</v>
      </c>
      <c r="DS19" s="11">
        <f>DR19+預測IC!DT23</f>
        <v>1.2175802464817442</v>
      </c>
      <c r="DT19" s="11">
        <f>DS19+預測IC!DU23</f>
        <v>1.1491278449316731</v>
      </c>
      <c r="DU19" s="11">
        <f>DT19+預測IC!DV23</f>
        <v>1.1767785591624149</v>
      </c>
      <c r="DV19" s="11">
        <f>DU19+預測IC!DW23</f>
        <v>1.1244228847633377</v>
      </c>
      <c r="DW19" s="11">
        <f>DV19+預測IC!DX23</f>
        <v>1.1142420973907805</v>
      </c>
      <c r="DX19" s="11">
        <f>DW19+預測IC!DY23</f>
        <v>1.2726001447421966</v>
      </c>
      <c r="DY19" s="11">
        <f>DX19+預測IC!DZ23</f>
        <v>1.3238675608540029</v>
      </c>
      <c r="DZ19" s="11">
        <f>DY19+預測IC!EA23</f>
        <v>1.2488001243490068</v>
      </c>
      <c r="EA19" s="11">
        <f>DZ19+預測IC!EB23</f>
        <v>1.2980178214443316</v>
      </c>
      <c r="EB19" s="11">
        <f>EA19+預測IC!EC23</f>
        <v>1.2743788230109867</v>
      </c>
      <c r="EC19" s="11">
        <f>EB19+預測IC!ED23</f>
        <v>1.2768579607879733</v>
      </c>
      <c r="ED19" s="11">
        <f>EC19+預測IC!EE23</f>
        <v>1.3588454178883129</v>
      </c>
      <c r="EE19" s="11">
        <f>ED19+預測IC!EF23</f>
        <v>1.4576766202223599</v>
      </c>
    </row>
    <row r="20" spans="1:136" ht="16" customHeight="1">
      <c r="A20" s="6" t="s">
        <v>250</v>
      </c>
      <c r="B20" s="9">
        <v>-6.3062694489166519E-3</v>
      </c>
      <c r="C20" s="11">
        <f>B20+預測IC!D24</f>
        <v>-1.117543247743979E-2</v>
      </c>
      <c r="D20" s="11">
        <f>C20+預測IC!E24</f>
        <v>-3.0899114666553998E-2</v>
      </c>
      <c r="E20" s="11">
        <f>D20+預測IC!F24</f>
        <v>3.6931946254723569E-2</v>
      </c>
      <c r="F20" s="11">
        <f>E20+預測IC!G24</f>
        <v>0.21852809141631846</v>
      </c>
      <c r="G20" s="11">
        <f>F20+預測IC!H24</f>
        <v>0.2588031522623267</v>
      </c>
      <c r="H20" s="11">
        <f>G20+預測IC!I24</f>
        <v>0.50534262545817121</v>
      </c>
      <c r="I20" s="11">
        <f>H20+預測IC!J24</f>
        <v>0.48303795051097154</v>
      </c>
      <c r="J20" s="11">
        <f>I20+預測IC!K24</f>
        <v>0.65605737457559388</v>
      </c>
      <c r="K20" s="11">
        <f>J20+預測IC!L24</f>
        <v>0.76737248149130621</v>
      </c>
      <c r="L20" s="11">
        <f>K20+預測IC!M24</f>
        <v>0.73835547044423233</v>
      </c>
      <c r="M20" s="11">
        <f>L20+預測IC!N24</f>
        <v>0.51076373747917236</v>
      </c>
      <c r="N20" s="11">
        <f>M20+預測IC!O24</f>
        <v>0.6360474169740109</v>
      </c>
      <c r="O20" s="11">
        <f>N20+預測IC!P24</f>
        <v>0.65667236235214521</v>
      </c>
      <c r="P20" s="11">
        <f>O20+預測IC!Q24</f>
        <v>0.69180166794313824</v>
      </c>
      <c r="Q20" s="11">
        <f>P20+預測IC!R24</f>
        <v>0.6481750924397377</v>
      </c>
      <c r="R20" s="11">
        <f>Q20+預測IC!S24</f>
        <v>0.74845218972790795</v>
      </c>
      <c r="S20" s="11">
        <f>R20+預測IC!T24</f>
        <v>0.78665990108989881</v>
      </c>
      <c r="T20" s="11">
        <f>S20+預測IC!U24</f>
        <v>0.89547965234437377</v>
      </c>
      <c r="U20" s="11">
        <f>T20+預測IC!V24</f>
        <v>0.93478389153383534</v>
      </c>
      <c r="V20" s="11">
        <f>U20+預測IC!W24</f>
        <v>1.0106651454779372</v>
      </c>
      <c r="W20" s="11">
        <f>V20+預測IC!X24</f>
        <v>1.0059496532500474</v>
      </c>
      <c r="X20" s="11">
        <f>W20+預測IC!Y24</f>
        <v>0.9393306285575671</v>
      </c>
      <c r="Y20" s="11">
        <f>X20+預測IC!Z24</f>
        <v>0.96889120313449895</v>
      </c>
      <c r="Z20" s="11">
        <f>Y20+預測IC!AA24</f>
        <v>0.94972278808566402</v>
      </c>
      <c r="AA20" s="11">
        <f>Z20+預測IC!AB24</f>
        <v>0.97064117083129331</v>
      </c>
      <c r="AB20" s="11">
        <f>AA20+預測IC!AC24</f>
        <v>0.99206734314212341</v>
      </c>
      <c r="AC20" s="11">
        <f>AB20+預測IC!AD24</f>
        <v>1.0973103801539492</v>
      </c>
      <c r="AD20" s="11">
        <f>AC20+預測IC!AE24</f>
        <v>1.0864963239530179</v>
      </c>
      <c r="AE20" s="11">
        <f>AD20+預測IC!AF24</f>
        <v>1.1719171355471592</v>
      </c>
      <c r="AF20" s="11">
        <f>AE20+預測IC!AG24</f>
        <v>1.0756546318451474</v>
      </c>
      <c r="AG20" s="11">
        <f>AF20+預測IC!AH24</f>
        <v>1.0464153101754128</v>
      </c>
      <c r="AH20" s="11">
        <f>AG20+預測IC!AI24</f>
        <v>1.143191217115805</v>
      </c>
      <c r="AI20" s="11">
        <f>AH20+預測IC!AJ24</f>
        <v>1.1624301784428763</v>
      </c>
      <c r="AJ20" s="11">
        <f>AI20+預測IC!AK24</f>
        <v>1.0895227563485643</v>
      </c>
      <c r="AK20" s="11">
        <f>AJ20+預測IC!AL24</f>
        <v>1.089106594487667</v>
      </c>
      <c r="AL20" s="11">
        <f>AK20+預測IC!AM24</f>
        <v>0.99262513492940252</v>
      </c>
      <c r="AM20" s="11">
        <f>AL20+預測IC!AN24</f>
        <v>1.1013929832207234</v>
      </c>
      <c r="AN20" s="11">
        <f>AM20+預測IC!AO24</f>
        <v>1.1221884507286637</v>
      </c>
      <c r="AO20" s="11">
        <f>AN20+預測IC!AP24</f>
        <v>0.88748523194326445</v>
      </c>
      <c r="AP20" s="11">
        <f>AO20+預測IC!AQ24</f>
        <v>0.70691987805804046</v>
      </c>
      <c r="AQ20" s="11">
        <f>AP20+預測IC!AR24</f>
        <v>0.71624083009927464</v>
      </c>
      <c r="AR20" s="11">
        <f>AQ20+預測IC!AS24</f>
        <v>0.65928202124811786</v>
      </c>
      <c r="AS20" s="11">
        <f>AR20+預測IC!AT24</f>
        <v>0.679300064788803</v>
      </c>
      <c r="AT20" s="11">
        <f>AS20+預測IC!AU24</f>
        <v>0.77929836002364328</v>
      </c>
      <c r="AU20" s="11">
        <f>AT20+預測IC!AV24</f>
        <v>0.84120931832447199</v>
      </c>
      <c r="AV20" s="11">
        <f>AU20+預測IC!AW24</f>
        <v>0.77194457017996765</v>
      </c>
      <c r="AW20" s="11">
        <f>AV20+預測IC!AX24</f>
        <v>0.76499344775033318</v>
      </c>
      <c r="AX20" s="11">
        <f>AW20+預測IC!AY24</f>
        <v>0.77662633805608527</v>
      </c>
      <c r="AY20" s="11">
        <f>AX20+預測IC!AZ24</f>
        <v>0.88509431892407708</v>
      </c>
      <c r="AZ20" s="11">
        <f>AY20+預測IC!BA24</f>
        <v>0.87599644946667976</v>
      </c>
      <c r="BA20" s="11">
        <f>AZ20+預測IC!BB24</f>
        <v>0.64374005144479918</v>
      </c>
      <c r="BB20" s="11">
        <f>BA20+預測IC!BC24</f>
        <v>0.55680221377970984</v>
      </c>
      <c r="BC20" s="11">
        <f>BB20+預測IC!BD24</f>
        <v>0.64018008841066043</v>
      </c>
      <c r="BD20" s="11">
        <f>BC20+預測IC!BE24</f>
        <v>0.67999615405436376</v>
      </c>
      <c r="BE20" s="11">
        <f>BD20+預測IC!BF24</f>
        <v>0.48335993623424867</v>
      </c>
      <c r="BF20" s="11">
        <f>BE20+預測IC!BG24</f>
        <v>0.78268006530475343</v>
      </c>
      <c r="BG20" s="11">
        <f>BF20+預測IC!BH24</f>
        <v>0.80266355165396774</v>
      </c>
      <c r="BH20" s="11">
        <f>BG20+預測IC!BI24</f>
        <v>0.60403926645393402</v>
      </c>
      <c r="BI20" s="11">
        <f>BH20+預測IC!BJ24</f>
        <v>0.71529331979168065</v>
      </c>
      <c r="BJ20" s="11">
        <f>BI20+預測IC!BK24</f>
        <v>0.66389995369363042</v>
      </c>
      <c r="BK20" s="11">
        <f>BJ20+預測IC!BL24</f>
        <v>0.71372633022356924</v>
      </c>
      <c r="BL20" s="11">
        <f>BK20+預測IC!BM24</f>
        <v>0.60941260395213859</v>
      </c>
      <c r="BM20" s="11">
        <f>BL20+預測IC!BN24</f>
        <v>0.54786466048605564</v>
      </c>
      <c r="BN20" s="11">
        <f>BM20+預測IC!BO24</f>
        <v>0.53950187215078793</v>
      </c>
      <c r="BO20" s="11">
        <f>BN20+預測IC!BP24</f>
        <v>0.60248367847101514</v>
      </c>
      <c r="BP20" s="11">
        <f>BO20+預測IC!BQ24</f>
        <v>0.67660524277437495</v>
      </c>
      <c r="BQ20" s="11">
        <f>BP20+預測IC!BR24</f>
        <v>0.77425398692399328</v>
      </c>
      <c r="BR20" s="11">
        <f>BQ20+預測IC!BS24</f>
        <v>0.74810621944632327</v>
      </c>
      <c r="BS20" s="11">
        <f>BR20+預測IC!BT24</f>
        <v>0.79462299461221242</v>
      </c>
      <c r="BT20" s="11">
        <f>BS20+預測IC!BU24</f>
        <v>0.84808721543904153</v>
      </c>
      <c r="BU20" s="11">
        <f>BT20+預測IC!BV24</f>
        <v>0.95721077861903658</v>
      </c>
      <c r="BV20" s="11">
        <f>BU20+預測IC!BW24</f>
        <v>0.91567465465472975</v>
      </c>
      <c r="BW20" s="11">
        <f>BV20+預測IC!BX24</f>
        <v>1.0253628886752184</v>
      </c>
      <c r="BX20" s="11">
        <f>BW20+預測IC!BY24</f>
        <v>1.2803229183480731</v>
      </c>
      <c r="BY20" s="11">
        <f>BX20+預測IC!BZ24</f>
        <v>1.132478331255192</v>
      </c>
      <c r="BZ20" s="11">
        <f>BY20+預測IC!CA24</f>
        <v>1.1942685577185859</v>
      </c>
      <c r="CA20" s="11">
        <f>BZ20+預測IC!CB24</f>
        <v>1.2809514080208373</v>
      </c>
      <c r="CB20" s="11">
        <f>CA20+預測IC!CC24</f>
        <v>1.2776565262037165</v>
      </c>
      <c r="CC20" s="11">
        <f>CB20+預測IC!CD24</f>
        <v>1.2083578811897382</v>
      </c>
      <c r="CD20" s="11">
        <f>CC20+預測IC!CE24</f>
        <v>1.3580437188128858</v>
      </c>
      <c r="CE20" s="11">
        <f>CD20+預測IC!CF24</f>
        <v>1.1854114532019462</v>
      </c>
      <c r="CF20" s="11">
        <f>CE20+預測IC!CG24</f>
        <v>1.1576929488403862</v>
      </c>
      <c r="CG20" s="11">
        <f>CF20+預測IC!CH24</f>
        <v>1.0188879924650096</v>
      </c>
      <c r="CH20" s="11">
        <f>CG20+預測IC!CI24</f>
        <v>1.5177594894284361</v>
      </c>
      <c r="CI20" s="11">
        <f>CH20+預測IC!CJ24</f>
        <v>1.479521542645164</v>
      </c>
      <c r="CJ20" s="11">
        <f>CI20+預測IC!CK24</f>
        <v>1.6723447353390506</v>
      </c>
      <c r="CK20" s="11">
        <f>CJ20+預測IC!CL24</f>
        <v>1.4367534045352304</v>
      </c>
      <c r="CL20" s="11">
        <f>CK20+預測IC!CM24</f>
        <v>1.4396537950900299</v>
      </c>
      <c r="CM20" s="11">
        <f>CL20+預測IC!CN24</f>
        <v>1.7950411245825348</v>
      </c>
      <c r="CN20" s="11">
        <f>CM20+預測IC!CO24</f>
        <v>1.9008463123164034</v>
      </c>
      <c r="CO20" s="11">
        <f>CN20+預測IC!CP24</f>
        <v>1.833413311165337</v>
      </c>
      <c r="CP20" s="11">
        <f>CO20+預測IC!CQ24</f>
        <v>1.8107034904326835</v>
      </c>
      <c r="CQ20" s="11">
        <f>CP20+預測IC!CR24</f>
        <v>1.8192063385175046</v>
      </c>
      <c r="CR20" s="11">
        <f>CQ20+預測IC!CS24</f>
        <v>2.0946935155712554</v>
      </c>
      <c r="CS20" s="11">
        <f>CR20+預測IC!CT24</f>
        <v>2.0471544033459526</v>
      </c>
      <c r="CT20" s="11">
        <f>CS20+預測IC!CU24</f>
        <v>2.160038622429985</v>
      </c>
      <c r="CU20" s="11">
        <f>CT20+預測IC!CV24</f>
        <v>2.2384385240152218</v>
      </c>
      <c r="CV20" s="11">
        <f>CU20+預測IC!CW24</f>
        <v>2.2136645106735848</v>
      </c>
      <c r="CW20" s="11">
        <f>CV20+預測IC!CX24</f>
        <v>2.0319283521358908</v>
      </c>
      <c r="CX20" s="11">
        <f>CW20+預測IC!CY24</f>
        <v>2.1500379309737214</v>
      </c>
      <c r="CY20" s="11">
        <f>CX20+預測IC!CZ24</f>
        <v>2.2396399449973354</v>
      </c>
      <c r="CZ20" s="11">
        <f>CY20+預測IC!DA24</f>
        <v>2.3725425518762675</v>
      </c>
      <c r="DA20" s="11">
        <f>CZ20+預測IC!DB24</f>
        <v>2.22603702944336</v>
      </c>
      <c r="DB20" s="11">
        <f>DA20+預測IC!DC24</f>
        <v>2.0581918636101948</v>
      </c>
      <c r="DC20" s="11">
        <f>DB20+預測IC!DD24</f>
        <v>1.9907972367144677</v>
      </c>
      <c r="DD20" s="11">
        <f>DC20+預測IC!DE24</f>
        <v>2.0772310946520518</v>
      </c>
      <c r="DE20" s="11">
        <f>DD20+預測IC!DF24</f>
        <v>1.9548799185754091</v>
      </c>
      <c r="DF20" s="11">
        <f>DE20+預測IC!DG24</f>
        <v>1.8719622017857134</v>
      </c>
      <c r="DG20" s="11">
        <f>DF20+預測IC!DH24</f>
        <v>1.8656246781376058</v>
      </c>
      <c r="DH20" s="11">
        <f>DG20+預測IC!DI24</f>
        <v>1.7069830124615932</v>
      </c>
      <c r="DI20" s="11">
        <f>DH20+預測IC!DJ24</f>
        <v>1.903804758742919</v>
      </c>
      <c r="DJ20" s="11">
        <f>DI20+預測IC!DK24</f>
        <v>1.7687058370590922</v>
      </c>
      <c r="DK20" s="11">
        <f>DJ20+預測IC!DL24</f>
        <v>1.7743794710297687</v>
      </c>
      <c r="DL20" s="11">
        <f>DK20+預測IC!DM24</f>
        <v>1.7823863464060496</v>
      </c>
      <c r="DM20" s="11">
        <f>DL20+預測IC!DN24</f>
        <v>1.8408893884580004</v>
      </c>
      <c r="DN20" s="11">
        <f>DM20+預測IC!DO24</f>
        <v>1.8115558344902347</v>
      </c>
      <c r="DO20" s="11">
        <f>DN20+預測IC!DP24</f>
        <v>1.7769921752599589</v>
      </c>
      <c r="DP20" s="11">
        <f>DO20+預測IC!DQ24</f>
        <v>1.7820673789401873</v>
      </c>
      <c r="DQ20" s="11">
        <f>DP20+預測IC!DR24</f>
        <v>1.7535782366976482</v>
      </c>
      <c r="DR20" s="11">
        <f>DQ20+預測IC!DS24</f>
        <v>1.781065732584791</v>
      </c>
      <c r="DS20" s="11">
        <f>DR20+預測IC!DT24</f>
        <v>1.8403056397471165</v>
      </c>
      <c r="DT20" s="11">
        <f>DS20+預測IC!DU24</f>
        <v>1.7810680952067846</v>
      </c>
      <c r="DU20" s="11">
        <f>DT20+預測IC!DV24</f>
        <v>1.8285955372882854</v>
      </c>
      <c r="DV20" s="11">
        <f>DU20+預測IC!DW24</f>
        <v>1.7227167765427718</v>
      </c>
      <c r="DW20" s="11">
        <f>DV20+預測IC!DX24</f>
        <v>1.7625031437411984</v>
      </c>
      <c r="DX20" s="11">
        <f>DW20+預測IC!DY24</f>
        <v>2.0541396363608251</v>
      </c>
      <c r="DY20" s="11">
        <f>DX20+預測IC!DZ24</f>
        <v>2.1235579248385505</v>
      </c>
      <c r="DZ20" s="11">
        <f>DY20+預測IC!EA24</f>
        <v>2.0832568234281235</v>
      </c>
      <c r="EA20" s="11">
        <f>DZ20+預測IC!EB24</f>
        <v>2.1593744656453411</v>
      </c>
      <c r="EB20" s="11">
        <f>EA20+預測IC!EC24</f>
        <v>2.0726666054865261</v>
      </c>
      <c r="EC20" s="11">
        <f>EB20+預測IC!ED24</f>
        <v>2.0926623874975285</v>
      </c>
      <c r="ED20" s="11">
        <f>EC20+預測IC!EE24</f>
        <v>2.1543272704251129</v>
      </c>
      <c r="EE20" s="11">
        <f>ED20+預測IC!EF24</f>
        <v>2.2626722845960767</v>
      </c>
    </row>
    <row r="21" spans="1:136" ht="16" customHeight="1">
      <c r="A21" s="6" t="s">
        <v>251</v>
      </c>
      <c r="B21" s="9">
        <v>-1.1176635397692329E-2</v>
      </c>
      <c r="C21" s="11">
        <f>B21+預測IC!D25</f>
        <v>9.0529219066149774E-2</v>
      </c>
      <c r="D21" s="11">
        <f>C21+預測IC!E25</f>
        <v>9.2259025590030866E-2</v>
      </c>
      <c r="E21" s="11">
        <f>D21+預測IC!F25</f>
        <v>0.27465510091090956</v>
      </c>
      <c r="F21" s="11">
        <f>E21+預測IC!G25</f>
        <v>0.41062840648769272</v>
      </c>
      <c r="G21" s="11">
        <f>F21+預測IC!H25</f>
        <v>0.52811100540949507</v>
      </c>
      <c r="H21" s="11">
        <f>G21+預測IC!I25</f>
        <v>0.80007218729671215</v>
      </c>
      <c r="I21" s="11">
        <f>H21+預測IC!J25</f>
        <v>0.83819092578294074</v>
      </c>
      <c r="J21" s="11">
        <f>I21+預測IC!K25</f>
        <v>1.0405479316055819</v>
      </c>
      <c r="K21" s="11">
        <f>J21+預測IC!L25</f>
        <v>1.2465417937084287</v>
      </c>
      <c r="L21" s="11">
        <f>K21+預測IC!M25</f>
        <v>1.1903569372811726</v>
      </c>
      <c r="M21" s="11">
        <f>L21+預測IC!N25</f>
        <v>1.0813784499300332</v>
      </c>
      <c r="N21" s="11">
        <f>M21+預測IC!O25</f>
        <v>1.188451703729239</v>
      </c>
      <c r="O21" s="11">
        <f>N21+預測IC!P25</f>
        <v>1.2128616139456185</v>
      </c>
      <c r="P21" s="11">
        <f>O21+預測IC!Q25</f>
        <v>1.34326163989217</v>
      </c>
      <c r="Q21" s="11">
        <f>P21+預測IC!R25</f>
        <v>1.2318059457781843</v>
      </c>
      <c r="R21" s="11">
        <f>Q21+預測IC!S25</f>
        <v>1.390564743889168</v>
      </c>
      <c r="S21" s="11">
        <f>R21+預測IC!T25</f>
        <v>1.2360265105592272</v>
      </c>
      <c r="T21" s="11">
        <f>S21+預測IC!U25</f>
        <v>1.2964432517094902</v>
      </c>
      <c r="U21" s="11">
        <f>T21+預測IC!V25</f>
        <v>1.3090298756858669</v>
      </c>
      <c r="V21" s="11">
        <f>U21+預測IC!W25</f>
        <v>1.391825912223519</v>
      </c>
      <c r="W21" s="11">
        <f>V21+預測IC!X25</f>
        <v>1.4171429896043994</v>
      </c>
      <c r="X21" s="11">
        <f>W21+預測IC!Y25</f>
        <v>1.335329515957</v>
      </c>
      <c r="Y21" s="11">
        <f>X21+預測IC!Z25</f>
        <v>1.4738314208488854</v>
      </c>
      <c r="Z21" s="11">
        <f>Y21+預測IC!AA25</f>
        <v>1.3993532949289105</v>
      </c>
      <c r="AA21" s="11">
        <f>Z21+預測IC!AB25</f>
        <v>1.4668924908711192</v>
      </c>
      <c r="AB21" s="11">
        <f>AA21+預測IC!AC25</f>
        <v>1.4275500181940091</v>
      </c>
      <c r="AC21" s="11">
        <f>AB21+預測IC!AD25</f>
        <v>1.5675563921517026</v>
      </c>
      <c r="AD21" s="11">
        <f>AC21+預測IC!AE25</f>
        <v>1.5511145528646808</v>
      </c>
      <c r="AE21" s="11">
        <f>AD21+預測IC!AF25</f>
        <v>1.5045490216733204</v>
      </c>
      <c r="AF21" s="11">
        <f>AE21+預測IC!AG25</f>
        <v>1.4142601043880076</v>
      </c>
      <c r="AG21" s="11">
        <f>AF21+預測IC!AH25</f>
        <v>1.3993772860257629</v>
      </c>
      <c r="AH21" s="11">
        <f>AG21+預測IC!AI25</f>
        <v>1.4538836056299163</v>
      </c>
      <c r="AI21" s="11">
        <f>AH21+預測IC!AJ25</f>
        <v>1.3865561012967953</v>
      </c>
      <c r="AJ21" s="11">
        <f>AI21+預測IC!AK25</f>
        <v>1.3327776547531187</v>
      </c>
      <c r="AK21" s="11">
        <f>AJ21+預測IC!AL25</f>
        <v>1.3681374451138535</v>
      </c>
      <c r="AL21" s="11">
        <f>AK21+預測IC!AM25</f>
        <v>1.2282394888702295</v>
      </c>
      <c r="AM21" s="11">
        <f>AL21+預測IC!AN25</f>
        <v>1.2463114219152318</v>
      </c>
      <c r="AN21" s="11">
        <f>AM21+預測IC!AO25</f>
        <v>1.263597241612519</v>
      </c>
      <c r="AO21" s="11">
        <f>AN21+預測IC!AP25</f>
        <v>0.99481408853531805</v>
      </c>
      <c r="AP21" s="11">
        <f>AO21+預測IC!AQ25</f>
        <v>0.81694833174370995</v>
      </c>
      <c r="AQ21" s="11">
        <f>AP21+預測IC!AR25</f>
        <v>0.81091940119680461</v>
      </c>
      <c r="AR21" s="11">
        <f>AQ21+預測IC!AS25</f>
        <v>0.80918241593535101</v>
      </c>
      <c r="AS21" s="11">
        <f>AR21+預測IC!AT25</f>
        <v>0.78744395914933418</v>
      </c>
      <c r="AT21" s="11">
        <f>AS21+預測IC!AU25</f>
        <v>0.87706134791570178</v>
      </c>
      <c r="AU21" s="11">
        <f>AT21+預測IC!AV25</f>
        <v>0.94337411991778419</v>
      </c>
      <c r="AV21" s="11">
        <f>AU21+預測IC!AW25</f>
        <v>0.79704551919121225</v>
      </c>
      <c r="AW21" s="11">
        <f>AV21+預測IC!AX25</f>
        <v>0.76043506892239776</v>
      </c>
      <c r="AX21" s="11">
        <f>AW21+預測IC!AY25</f>
        <v>0.80005552415277981</v>
      </c>
      <c r="AY21" s="11">
        <f>AX21+預測IC!AZ25</f>
        <v>1.012775446993974</v>
      </c>
      <c r="AZ21" s="11">
        <f>AY21+預測IC!BA25</f>
        <v>1.0230058584558281</v>
      </c>
      <c r="BA21" s="11">
        <f>AZ21+預測IC!BB25</f>
        <v>0.61710203848640877</v>
      </c>
      <c r="BB21" s="11">
        <f>BA21+預測IC!BC25</f>
        <v>0.35837426069311096</v>
      </c>
      <c r="BC21" s="11">
        <f>BB21+預測IC!BD25</f>
        <v>0.42712501576620354</v>
      </c>
      <c r="BD21" s="11">
        <f>BC21+預測IC!BE25</f>
        <v>0.43200881815321135</v>
      </c>
      <c r="BE21" s="11">
        <f>BD21+預測IC!BF25</f>
        <v>0.35392882516284996</v>
      </c>
      <c r="BF21" s="11">
        <f>BE21+預測IC!BG25</f>
        <v>0.63597329130802926</v>
      </c>
      <c r="BG21" s="11">
        <f>BF21+預測IC!BH25</f>
        <v>0.71466570415896435</v>
      </c>
      <c r="BH21" s="11">
        <f>BG21+預測IC!BI25</f>
        <v>0.50955631768722531</v>
      </c>
      <c r="BI21" s="11">
        <f>BH21+預測IC!BJ25</f>
        <v>0.63041971487679238</v>
      </c>
      <c r="BJ21" s="11">
        <f>BI21+預測IC!BK25</f>
        <v>0.69580224981656869</v>
      </c>
      <c r="BK21" s="11">
        <f>BJ21+預測IC!BL25</f>
        <v>0.66943223644058125</v>
      </c>
      <c r="BL21" s="11">
        <f>BK21+預測IC!BM25</f>
        <v>0.58400779420418558</v>
      </c>
      <c r="BM21" s="11">
        <f>BL21+預測IC!BN25</f>
        <v>0.30220347620374016</v>
      </c>
      <c r="BN21" s="11">
        <f>BM21+預測IC!BO25</f>
        <v>0.31221015339009012</v>
      </c>
      <c r="BO21" s="11">
        <f>BN21+預測IC!BP25</f>
        <v>0.38673362526067667</v>
      </c>
      <c r="BP21" s="11">
        <f>BO21+預測IC!BQ25</f>
        <v>0.41567707472416249</v>
      </c>
      <c r="BQ21" s="11">
        <f>BP21+預測IC!BR25</f>
        <v>0.51940713893435841</v>
      </c>
      <c r="BR21" s="11">
        <f>BQ21+預測IC!BS25</f>
        <v>0.50160556705609938</v>
      </c>
      <c r="BS21" s="11">
        <f>BR21+預測IC!BT25</f>
        <v>0.50455259280025511</v>
      </c>
      <c r="BT21" s="11">
        <f>BS21+預測IC!BU25</f>
        <v>0.55806773281232669</v>
      </c>
      <c r="BU21" s="11">
        <f>BT21+預測IC!BV25</f>
        <v>0.61942340120512385</v>
      </c>
      <c r="BV21" s="11">
        <f>BU21+預測IC!BW25</f>
        <v>0.69624462313096824</v>
      </c>
      <c r="BW21" s="11">
        <f>BV21+預測IC!BX25</f>
        <v>0.81273021147265267</v>
      </c>
      <c r="BX21" s="11">
        <f>BW21+預測IC!BY25</f>
        <v>1.0719509825762896</v>
      </c>
      <c r="BY21" s="11">
        <f>BX21+預測IC!BZ25</f>
        <v>1.0179373616875949</v>
      </c>
      <c r="BZ21" s="11">
        <f>BY21+預測IC!CA25</f>
        <v>0.95464521996040275</v>
      </c>
      <c r="CA21" s="11">
        <f>BZ21+預測IC!CB25</f>
        <v>1.005021730633453</v>
      </c>
      <c r="CB21" s="11">
        <f>CA21+預測IC!CC25</f>
        <v>0.95006872874417603</v>
      </c>
      <c r="CC21" s="11">
        <f>CB21+預測IC!CD25</f>
        <v>0.90266760886970721</v>
      </c>
      <c r="CD21" s="11">
        <f>CC21+預測IC!CE25</f>
        <v>0.87641621796806657</v>
      </c>
      <c r="CE21" s="11">
        <f>CD21+預測IC!CF25</f>
        <v>0.77881836892733824</v>
      </c>
      <c r="CF21" s="11">
        <f>CE21+預測IC!CG25</f>
        <v>0.65267288906084109</v>
      </c>
      <c r="CG21" s="11">
        <f>CF21+預測IC!CH25</f>
        <v>0.45612422135370456</v>
      </c>
      <c r="CH21" s="11">
        <f>CG21+預測IC!CI25</f>
        <v>0.69822510789049508</v>
      </c>
      <c r="CI21" s="11">
        <f>CH21+預測IC!CJ25</f>
        <v>0.66800663114280612</v>
      </c>
      <c r="CJ21" s="11">
        <f>CI21+預測IC!CK25</f>
        <v>0.86292524716248342</v>
      </c>
      <c r="CK21" s="11">
        <f>CJ21+預測IC!CL25</f>
        <v>0.59588009520669316</v>
      </c>
      <c r="CL21" s="11">
        <f>CK21+預測IC!CM25</f>
        <v>0.66621776312685055</v>
      </c>
      <c r="CM21" s="11">
        <f>CL21+預測IC!CN25</f>
        <v>1.0492900132505665</v>
      </c>
      <c r="CN21" s="11">
        <f>CM21+預測IC!CO25</f>
        <v>1.2925225404769398</v>
      </c>
      <c r="CO21" s="11">
        <f>CN21+預測IC!CP25</f>
        <v>1.2082553671471528</v>
      </c>
      <c r="CP21" s="11">
        <f>CO21+預測IC!CQ25</f>
        <v>1.1962898751795086</v>
      </c>
      <c r="CQ21" s="11">
        <f>CP21+預測IC!CR25</f>
        <v>1.2590444804423346</v>
      </c>
      <c r="CR21" s="11">
        <f>CQ21+預測IC!CS25</f>
        <v>1.5677942187298</v>
      </c>
      <c r="CS21" s="11">
        <f>CR21+預測IC!CT25</f>
        <v>1.5054073255383578</v>
      </c>
      <c r="CT21" s="11">
        <f>CS21+預測IC!CU25</f>
        <v>1.4420605219684364</v>
      </c>
      <c r="CU21" s="11">
        <f>CT21+預測IC!CV25</f>
        <v>1.5230712664636492</v>
      </c>
      <c r="CV21" s="11">
        <f>CU21+預測IC!CW25</f>
        <v>1.4728503107928421</v>
      </c>
      <c r="CW21" s="11">
        <f>CV21+預測IC!CX25</f>
        <v>1.3764789106223287</v>
      </c>
      <c r="CX21" s="11">
        <f>CW21+預測IC!CY25</f>
        <v>1.55323137376368</v>
      </c>
      <c r="CY21" s="11">
        <f>CX21+預測IC!CZ25</f>
        <v>1.6227201962770683</v>
      </c>
      <c r="CZ21" s="11">
        <f>CY21+預測IC!DA25</f>
        <v>1.8733672420487695</v>
      </c>
      <c r="DA21" s="11">
        <f>CZ21+預測IC!DB25</f>
        <v>1.658685855069123</v>
      </c>
      <c r="DB21" s="11">
        <f>DA21+預測IC!DC25</f>
        <v>1.4507211474357027</v>
      </c>
      <c r="DC21" s="11">
        <f>DB21+預測IC!DD25</f>
        <v>1.3292638659989351</v>
      </c>
      <c r="DD21" s="11">
        <f>DC21+預測IC!DE25</f>
        <v>1.508595211832819</v>
      </c>
      <c r="DE21" s="11">
        <f>DD21+預測IC!DF25</f>
        <v>1.3610719180158217</v>
      </c>
      <c r="DF21" s="11">
        <f>DE21+預測IC!DG25</f>
        <v>1.2776784509865247</v>
      </c>
      <c r="DG21" s="11">
        <f>DF21+預測IC!DH25</f>
        <v>1.355747812962256</v>
      </c>
      <c r="DH21" s="11">
        <f>DG21+預測IC!DI25</f>
        <v>1.2269284485347938</v>
      </c>
      <c r="DI21" s="11">
        <f>DH21+預測IC!DJ25</f>
        <v>1.3492470809689683</v>
      </c>
      <c r="DJ21" s="11">
        <f>DI21+預測IC!DK25</f>
        <v>1.3278562558301583</v>
      </c>
      <c r="DK21" s="11">
        <f>DJ21+預測IC!DL25</f>
        <v>1.3249410448591246</v>
      </c>
      <c r="DL21" s="11">
        <f>DK21+預測IC!DM25</f>
        <v>1.3789600539542755</v>
      </c>
      <c r="DM21" s="11">
        <f>DL21+預測IC!DN25</f>
        <v>1.3897221714421097</v>
      </c>
      <c r="DN21" s="11">
        <f>DM21+預測IC!DO25</f>
        <v>1.3536854884209535</v>
      </c>
      <c r="DO21" s="11">
        <f>DN21+預測IC!DP25</f>
        <v>1.3313054964084481</v>
      </c>
      <c r="DP21" s="11">
        <f>DO21+預測IC!DQ25</f>
        <v>1.3064285064645169</v>
      </c>
      <c r="DQ21" s="11">
        <f>DP21+預測IC!DR25</f>
        <v>1.3088803126854296</v>
      </c>
      <c r="DR21" s="11">
        <f>DQ21+預測IC!DS25</f>
        <v>1.3659266477943788</v>
      </c>
      <c r="DS21" s="11">
        <f>DR21+預測IC!DT25</f>
        <v>1.4201688188413848</v>
      </c>
      <c r="DT21" s="11">
        <f>DS21+預測IC!DU25</f>
        <v>1.4609544074244345</v>
      </c>
      <c r="DU21" s="11">
        <f>DT21+預測IC!DV25</f>
        <v>1.4684645154173845</v>
      </c>
      <c r="DV21" s="11">
        <f>DU21+預測IC!DW25</f>
        <v>1.3516186309566616</v>
      </c>
      <c r="DW21" s="11">
        <f>DV21+預測IC!DX25</f>
        <v>1.3922749955734663</v>
      </c>
      <c r="DX21" s="11">
        <f>DW21+預測IC!DY25</f>
        <v>1.6929672263716382</v>
      </c>
      <c r="DY21" s="11">
        <f>DX21+預測IC!DZ25</f>
        <v>1.751487874213304</v>
      </c>
      <c r="DZ21" s="11">
        <f>DY21+預測IC!EA25</f>
        <v>1.7088613459773372</v>
      </c>
      <c r="EA21" s="11">
        <f>DZ21+預測IC!EB25</f>
        <v>1.8078018952965127</v>
      </c>
      <c r="EB21" s="11">
        <f>EA21+預測IC!EC25</f>
        <v>1.8646159756148086</v>
      </c>
      <c r="EC21" s="11">
        <f>EB21+預測IC!ED25</f>
        <v>1.8422975339148178</v>
      </c>
      <c r="ED21" s="11">
        <f>EC21+預測IC!EE25</f>
        <v>1.9503692224537361</v>
      </c>
      <c r="EE21" s="11">
        <f>ED21+預測IC!EF25</f>
        <v>2.1033959321529272</v>
      </c>
    </row>
    <row r="22" spans="1:136" ht="16" customHeight="1">
      <c r="A22" s="6" t="s">
        <v>252</v>
      </c>
      <c r="B22" s="9">
        <v>-2.397827262489214E-2</v>
      </c>
      <c r="C22" s="11">
        <f>B22+預測IC!D26</f>
        <v>8.3488570003702467E-2</v>
      </c>
      <c r="D22" s="11">
        <f>C22+預測IC!E26</f>
        <v>0.16536890461409998</v>
      </c>
      <c r="E22" s="11">
        <f>D22+預測IC!F26</f>
        <v>0.36691462348574622</v>
      </c>
      <c r="F22" s="11">
        <f>E22+預測IC!G26</f>
        <v>0.33679186403063793</v>
      </c>
      <c r="G22" s="11">
        <f>F22+預測IC!H26</f>
        <v>0.79694526222418949</v>
      </c>
      <c r="H22" s="11">
        <f>G22+預測IC!I26</f>
        <v>0.9297427186922731</v>
      </c>
      <c r="I22" s="11">
        <f>H22+預測IC!J26</f>
        <v>0.7899380047174499</v>
      </c>
      <c r="J22" s="11">
        <f>I22+預測IC!K26</f>
        <v>0.85651172264082243</v>
      </c>
      <c r="K22" s="11">
        <f>J22+預測IC!L26</f>
        <v>0.93474000237086918</v>
      </c>
      <c r="L22" s="11">
        <f>K22+預測IC!M26</f>
        <v>0.83274134378184439</v>
      </c>
      <c r="M22" s="11">
        <f>L22+預測IC!N26</f>
        <v>0.78722830688457845</v>
      </c>
      <c r="N22" s="11">
        <f>M22+預測IC!O26</f>
        <v>0.84640914083377838</v>
      </c>
      <c r="O22" s="11">
        <f>N22+預測IC!P26</f>
        <v>0.83668120861069495</v>
      </c>
      <c r="P22" s="11">
        <f>O22+預測IC!Q26</f>
        <v>0.81475744528128924</v>
      </c>
      <c r="Q22" s="11">
        <f>P22+預測IC!R26</f>
        <v>0.63738603134684513</v>
      </c>
      <c r="R22" s="11">
        <f>Q22+預測IC!S26</f>
        <v>0.99147820397012054</v>
      </c>
      <c r="S22" s="11">
        <f>R22+預測IC!T26</f>
        <v>0.66961211973826962</v>
      </c>
      <c r="T22" s="11">
        <f>S22+預測IC!U26</f>
        <v>0.79119216264210801</v>
      </c>
      <c r="U22" s="11">
        <f>T22+預測IC!V26</f>
        <v>0.80927800050407039</v>
      </c>
      <c r="V22" s="11">
        <f>U22+預測IC!W26</f>
        <v>0.72603273351083009</v>
      </c>
      <c r="W22" s="11">
        <f>V22+預測IC!X26</f>
        <v>0.7149479010863371</v>
      </c>
      <c r="X22" s="11">
        <f>W22+預測IC!Y26</f>
        <v>0.58059830373738863</v>
      </c>
      <c r="Y22" s="11">
        <f>X22+預測IC!Z26</f>
        <v>0.88358052799919173</v>
      </c>
      <c r="Z22" s="11">
        <f>Y22+預測IC!AA26</f>
        <v>0.81892975179371741</v>
      </c>
      <c r="AA22" s="11">
        <f>Z22+預測IC!AB26</f>
        <v>1.1177915794731781</v>
      </c>
      <c r="AB22" s="11">
        <f>AA22+預測IC!AC26</f>
        <v>0.99780185527350196</v>
      </c>
      <c r="AC22" s="11">
        <f>AB22+預測IC!AD26</f>
        <v>1.0004331550173551</v>
      </c>
      <c r="AD22" s="11">
        <f>AC22+預測IC!AE26</f>
        <v>1.2724996265271729</v>
      </c>
      <c r="AE22" s="11">
        <f>AD22+預測IC!AF26</f>
        <v>1.3292117114152802</v>
      </c>
      <c r="AF22" s="11">
        <f>AE22+預測IC!AG26</f>
        <v>1.1613308387761199</v>
      </c>
      <c r="AG22" s="11">
        <f>AF22+預測IC!AH26</f>
        <v>1.1624390533017777</v>
      </c>
      <c r="AH22" s="11">
        <f>AG22+預測IC!AI26</f>
        <v>1.2561887071822939</v>
      </c>
      <c r="AI22" s="11">
        <f>AH22+預測IC!AJ26</f>
        <v>1.26612401125814</v>
      </c>
      <c r="AJ22" s="11">
        <f>AI22+預測IC!AK26</f>
        <v>1.0568845626754031</v>
      </c>
      <c r="AK22" s="11">
        <f>AJ22+預測IC!AL26</f>
        <v>1.1081295821542667</v>
      </c>
      <c r="AL22" s="11">
        <f>AK22+預測IC!AM26</f>
        <v>1.1499172937944808</v>
      </c>
      <c r="AM22" s="11">
        <f>AL22+預測IC!AN26</f>
        <v>1.1725029952856347</v>
      </c>
      <c r="AN22" s="11">
        <f>AM22+預測IC!AO26</f>
        <v>1.4299631794327876</v>
      </c>
      <c r="AO22" s="11">
        <f>AN22+預測IC!AP26</f>
        <v>1.3047594413542503</v>
      </c>
      <c r="AP22" s="11">
        <f>AO22+預測IC!AQ26</f>
        <v>1.2400337682019091</v>
      </c>
      <c r="AQ22" s="11">
        <f>AP22+預測IC!AR26</f>
        <v>1.2573490425034399</v>
      </c>
      <c r="AR22" s="11">
        <f>AQ22+預測IC!AS26</f>
        <v>1.4110099463933947</v>
      </c>
      <c r="AS22" s="11">
        <f>AR22+預測IC!AT26</f>
        <v>1.3372310027858674</v>
      </c>
      <c r="AT22" s="11">
        <f>AS22+預測IC!AU26</f>
        <v>1.4161058348451336</v>
      </c>
      <c r="AU22" s="11">
        <f>AT22+預測IC!AV26</f>
        <v>1.4922273847026908</v>
      </c>
      <c r="AV22" s="11">
        <f>AU22+預測IC!AW26</f>
        <v>1.2637237517529236</v>
      </c>
      <c r="AW22" s="11">
        <f>AV22+預測IC!AX26</f>
        <v>1.2096143593646482</v>
      </c>
      <c r="AX22" s="11">
        <f>AW22+預測IC!AY26</f>
        <v>0.87702987478124506</v>
      </c>
      <c r="AY22" s="11">
        <f>AX22+預測IC!AZ26</f>
        <v>1.3212591133623373</v>
      </c>
      <c r="AZ22" s="11">
        <f>AY22+預測IC!BA26</f>
        <v>1.239937241976103</v>
      </c>
      <c r="BA22" s="11">
        <f>AZ22+預測IC!BB26</f>
        <v>0.66216148907345229</v>
      </c>
      <c r="BB22" s="11">
        <f>BA22+預測IC!BC26</f>
        <v>0.29753413668978951</v>
      </c>
      <c r="BC22" s="11">
        <f>BB22+預測IC!BD26</f>
        <v>0.26845187145005717</v>
      </c>
      <c r="BD22" s="11">
        <f>BC22+預測IC!BE26</f>
        <v>0.11299671549612886</v>
      </c>
      <c r="BE22" s="11">
        <f>BD22+預測IC!BF26</f>
        <v>0.33722735929408854</v>
      </c>
      <c r="BF22" s="11">
        <f>BE22+預測IC!BG26</f>
        <v>0.41013686290634771</v>
      </c>
      <c r="BG22" s="11">
        <f>BF22+預測IC!BH26</f>
        <v>0.28286444478802031</v>
      </c>
      <c r="BH22" s="11">
        <f>BG22+預測IC!BI26</f>
        <v>0.19454730047466601</v>
      </c>
      <c r="BI22" s="11">
        <f>BH22+預測IC!BJ26</f>
        <v>0.13602572885501005</v>
      </c>
      <c r="BJ22" s="11">
        <f>BI22+預測IC!BK26</f>
        <v>0.13502522852142659</v>
      </c>
      <c r="BK22" s="11">
        <f>BJ22+預測IC!BL26</f>
        <v>0.12584143962446742</v>
      </c>
      <c r="BL22" s="11">
        <f>BK22+預測IC!BM26</f>
        <v>-5.9396182300423567E-2</v>
      </c>
      <c r="BM22" s="11">
        <f>BL22+預測IC!BN26</f>
        <v>-0.29802696110583671</v>
      </c>
      <c r="BN22" s="11">
        <f>BM22+預測IC!BO26</f>
        <v>-0.34285621914394826</v>
      </c>
      <c r="BO22" s="11">
        <f>BN22+預測IC!BP26</f>
        <v>-0.27299501156101469</v>
      </c>
      <c r="BP22" s="11">
        <f>BO22+預測IC!BQ26</f>
        <v>-0.15513503211203358</v>
      </c>
      <c r="BQ22" s="11">
        <f>BP22+預測IC!BR26</f>
        <v>9.7822309422957804E-2</v>
      </c>
      <c r="BR22" s="11">
        <f>BQ22+預測IC!BS26</f>
        <v>0.17352968681720568</v>
      </c>
      <c r="BS22" s="11">
        <f>BR22+預測IC!BT26</f>
        <v>0.18165770837166784</v>
      </c>
      <c r="BT22" s="11">
        <f>BS22+預測IC!BU26</f>
        <v>0.28305084734264024</v>
      </c>
      <c r="BU22" s="11">
        <f>BT22+預測IC!BV26</f>
        <v>0.43362621850277183</v>
      </c>
      <c r="BV22" s="11">
        <f>BU22+預測IC!BW26</f>
        <v>0.44744013986675707</v>
      </c>
      <c r="BW22" s="11">
        <f>BV22+預測IC!BX26</f>
        <v>0.8906843811031393</v>
      </c>
      <c r="BX22" s="11">
        <f>BW22+預測IC!BY26</f>
        <v>1.094287834759812</v>
      </c>
      <c r="BY22" s="11">
        <f>BX22+預測IC!BZ26</f>
        <v>0.98945022937714699</v>
      </c>
      <c r="BZ22" s="11">
        <f>BY22+預測IC!CA26</f>
        <v>0.96433214703356274</v>
      </c>
      <c r="CA22" s="11">
        <f>BZ22+預測IC!CB26</f>
        <v>0.97464769970336473</v>
      </c>
      <c r="CB22" s="11">
        <f>CA22+預測IC!CC26</f>
        <v>1.1020077817879363</v>
      </c>
      <c r="CC22" s="11">
        <f>CB22+預測IC!CD26</f>
        <v>0.93661559011839668</v>
      </c>
      <c r="CD22" s="11">
        <f>CC22+預測IC!CE26</f>
        <v>0.90927424451407557</v>
      </c>
      <c r="CE22" s="11">
        <f>CD22+預測IC!CF26</f>
        <v>0.70003366135354639</v>
      </c>
      <c r="CF22" s="11">
        <f>CE22+預測IC!CG26</f>
        <v>0.7000566302345419</v>
      </c>
      <c r="CG22" s="11">
        <f>CF22+預測IC!CH26</f>
        <v>0.64578092981887125</v>
      </c>
      <c r="CH22" s="11">
        <f>CG22+預測IC!CI26</f>
        <v>0.61065672436106899</v>
      </c>
      <c r="CI22" s="11">
        <f>CH22+預測IC!CJ26</f>
        <v>0.58116457471511251</v>
      </c>
      <c r="CJ22" s="11">
        <f>CI22+預測IC!CK26</f>
        <v>0.55705177886669344</v>
      </c>
      <c r="CK22" s="11">
        <f>CJ22+預測IC!CL26</f>
        <v>0.23934672165418025</v>
      </c>
      <c r="CL22" s="11">
        <f>CK22+預測IC!CM26</f>
        <v>0.39022622766873671</v>
      </c>
      <c r="CM22" s="11">
        <f>CL22+預測IC!CN26</f>
        <v>1.0059534354290842</v>
      </c>
      <c r="CN22" s="11">
        <f>CM22+預測IC!CO26</f>
        <v>1.3368483634003465</v>
      </c>
      <c r="CO22" s="11">
        <f>CN22+預測IC!CP26</f>
        <v>1.2037290833848491</v>
      </c>
      <c r="CP22" s="11">
        <f>CO22+預測IC!CQ26</f>
        <v>1.159802655645318</v>
      </c>
      <c r="CQ22" s="11">
        <f>CP22+預測IC!CR26</f>
        <v>1.1409854426872221</v>
      </c>
      <c r="CR22" s="11">
        <f>CQ22+預測IC!CS26</f>
        <v>1.2570215639977758</v>
      </c>
      <c r="CS22" s="11">
        <f>CR22+預測IC!CT26</f>
        <v>1.3629239049497548</v>
      </c>
      <c r="CT22" s="11">
        <f>CS22+預測IC!CU26</f>
        <v>1.3130382256684765</v>
      </c>
      <c r="CU22" s="11">
        <f>CT22+預測IC!CV26</f>
        <v>1.4940094634385641</v>
      </c>
      <c r="CV22" s="11">
        <f>CU22+預測IC!CW26</f>
        <v>1.4385282294135027</v>
      </c>
      <c r="CW22" s="11">
        <f>CV22+預測IC!CX26</f>
        <v>1.4388109948614491</v>
      </c>
      <c r="CX22" s="11">
        <f>CW22+預測IC!CY26</f>
        <v>1.8410336816661932</v>
      </c>
      <c r="CY22" s="11">
        <f>CX22+預測IC!CZ26</f>
        <v>1.990005109494289</v>
      </c>
      <c r="CZ22" s="11">
        <f>CY22+預測IC!DA26</f>
        <v>2.0362983934651337</v>
      </c>
      <c r="DA22" s="11">
        <f>CZ22+預測IC!DB26</f>
        <v>1.7439558237683728</v>
      </c>
      <c r="DB22" s="11">
        <f>DA22+預測IC!DC26</f>
        <v>1.3959991691451386</v>
      </c>
      <c r="DC22" s="11">
        <f>DB22+預測IC!DD26</f>
        <v>1.6114262957694963</v>
      </c>
      <c r="DD22" s="11">
        <f>DC22+預測IC!DE26</f>
        <v>1.8105547242785831</v>
      </c>
      <c r="DE22" s="11">
        <f>DD22+預測IC!DF26</f>
        <v>1.7198576336175038</v>
      </c>
      <c r="DF22" s="11">
        <f>DE22+預測IC!DG26</f>
        <v>1.5895302045113018</v>
      </c>
      <c r="DG22" s="11">
        <f>DF22+預測IC!DH26</f>
        <v>1.6958490336109395</v>
      </c>
      <c r="DH22" s="11">
        <f>DG22+預測IC!DI26</f>
        <v>1.7879611889454845</v>
      </c>
      <c r="DI22" s="11">
        <f>DH22+預測IC!DJ26</f>
        <v>2.0722557592793853</v>
      </c>
      <c r="DJ22" s="11">
        <f>DI22+預測IC!DK26</f>
        <v>2.2561904931872401</v>
      </c>
      <c r="DK22" s="11">
        <f>DJ22+預測IC!DL26</f>
        <v>2.3465136987907127</v>
      </c>
      <c r="DL22" s="11">
        <f>DK22+預測IC!DM26</f>
        <v>2.8048744505060013</v>
      </c>
      <c r="DM22" s="11">
        <f>DL22+預測IC!DN26</f>
        <v>2.9429079976393098</v>
      </c>
      <c r="DN22" s="11">
        <f>DM22+預測IC!DO26</f>
        <v>2.884368586769646</v>
      </c>
      <c r="DO22" s="11">
        <f>DN22+預測IC!DP26</f>
        <v>2.9510925082591242</v>
      </c>
      <c r="DP22" s="11">
        <f>DO22+預測IC!DQ26</f>
        <v>2.8511775620680511</v>
      </c>
      <c r="DQ22" s="11">
        <f>DP22+預測IC!DR26</f>
        <v>2.8259076454124776</v>
      </c>
      <c r="DR22" s="11">
        <f>DQ22+預測IC!DS26</f>
        <v>2.9500345966823311</v>
      </c>
      <c r="DS22" s="11">
        <f>DR22+預測IC!DT26</f>
        <v>3.0122775856926269</v>
      </c>
      <c r="DT22" s="11">
        <f>DS22+預測IC!DU26</f>
        <v>2.9594323047700941</v>
      </c>
      <c r="DU22" s="11">
        <f>DT22+預測IC!DV26</f>
        <v>2.9409311244213567</v>
      </c>
      <c r="DV22" s="11">
        <f>DU22+預測IC!DW26</f>
        <v>2.97161517010381</v>
      </c>
      <c r="DW22" s="11">
        <f>DV22+預測IC!DX26</f>
        <v>2.9779543355475457</v>
      </c>
      <c r="DX22" s="11">
        <f>DW22+預測IC!DY26</f>
        <v>3.1185829900428299</v>
      </c>
      <c r="DY22" s="11">
        <f>DX22+預測IC!DZ26</f>
        <v>3.1735565352384389</v>
      </c>
      <c r="DZ22" s="11">
        <f>DY22+預測IC!EA26</f>
        <v>3.1004538119373173</v>
      </c>
      <c r="EA22" s="11">
        <f>DZ22+預測IC!EB26</f>
        <v>3.1409068604542063</v>
      </c>
      <c r="EB22" s="11">
        <f>EA22+預測IC!EC26</f>
        <v>3.2618095860988463</v>
      </c>
      <c r="EC22" s="11">
        <f>EB22+預測IC!ED26</f>
        <v>3.2654967343425461</v>
      </c>
      <c r="ED22" s="11">
        <f>EC22+預測IC!EE26</f>
        <v>3.3068850123594449</v>
      </c>
      <c r="EE22" s="11">
        <f>ED22+預測IC!EF26</f>
        <v>3.3955278395281048</v>
      </c>
    </row>
    <row r="23" spans="1:136" ht="16" customHeight="1">
      <c r="A23" s="6" t="s">
        <v>147</v>
      </c>
      <c r="B23" s="20">
        <v>-1.7446770539390338E-2</v>
      </c>
      <c r="C23" s="29">
        <f>B23+預測IC!D27</f>
        <v>3.2542899924252917E-3</v>
      </c>
      <c r="D23" s="29">
        <f>C23+預測IC!E27</f>
        <v>2.7236419247192001E-2</v>
      </c>
      <c r="E23" s="29">
        <f>D23+預測IC!F27</f>
        <v>2.0678840274368924E-2</v>
      </c>
      <c r="F23" s="29">
        <f>E23+預測IC!G27</f>
        <v>5.2523970074888612E-2</v>
      </c>
      <c r="G23" s="29">
        <f>F23+預測IC!H27</f>
        <v>8.6872502811879138E-2</v>
      </c>
      <c r="H23" s="29">
        <f>G23+預測IC!I27</f>
        <v>7.8617570030553904E-2</v>
      </c>
      <c r="I23" s="29">
        <f>H23+預測IC!J27</f>
        <v>9.1461094424606662E-2</v>
      </c>
      <c r="J23" s="29">
        <f>I23+預測IC!K27</f>
        <v>4.0442569797815839E-2</v>
      </c>
      <c r="K23" s="29">
        <f>J23+預測IC!L27</f>
        <v>4.1316512538852428E-2</v>
      </c>
      <c r="L23" s="29">
        <f>K23+預測IC!M27</f>
        <v>6.4706088044348353E-2</v>
      </c>
      <c r="M23" s="29">
        <f>L23+預測IC!N27</f>
        <v>7.7695060244681202E-2</v>
      </c>
      <c r="N23" s="29">
        <f>M23+預測IC!O27</f>
        <v>8.3549648970316082E-2</v>
      </c>
      <c r="O23" s="29">
        <f>N23+預測IC!P27</f>
        <v>0.11096285554210664</v>
      </c>
      <c r="P23" s="29">
        <f>O23+預測IC!Q27</f>
        <v>0.10724991942441378</v>
      </c>
      <c r="Q23" s="29">
        <f>P23+預測IC!R27</f>
        <v>0.13132653347223711</v>
      </c>
      <c r="R23" s="29">
        <f>Q23+預測IC!S27</f>
        <v>0.11913650817319715</v>
      </c>
      <c r="S23" s="29">
        <f>R23+預測IC!T27</f>
        <v>7.9386930013607554E-2</v>
      </c>
      <c r="T23" s="29">
        <f>S23+預測IC!U27</f>
        <v>6.2314801819580018E-3</v>
      </c>
      <c r="U23" s="29">
        <f>T23+預測IC!V27</f>
        <v>-5.2028749728156659E-2</v>
      </c>
      <c r="V23" s="29">
        <f>U23+預測IC!W27</f>
        <v>-5.1255952162648284E-2</v>
      </c>
      <c r="W23" s="29">
        <f>V23+預測IC!X27</f>
        <v>-6.6644310274293142E-3</v>
      </c>
      <c r="X23" s="29">
        <f>W23+預測IC!Y27</f>
        <v>-3.4364111077642409E-2</v>
      </c>
      <c r="Y23" s="29">
        <f>X23+預測IC!Z27</f>
        <v>-3.226910512789876E-2</v>
      </c>
      <c r="Z23" s="29">
        <f>Y23+預測IC!AA27</f>
        <v>-5.5669656120462874E-2</v>
      </c>
      <c r="AA23" s="29">
        <f>Z23+預測IC!AB27</f>
        <v>-2.3540285023140685E-2</v>
      </c>
      <c r="AB23" s="29">
        <f>AA23+預測IC!AC27</f>
        <v>1.5362988070925745E-2</v>
      </c>
      <c r="AC23" s="29">
        <f>AB23+預測IC!AD27</f>
        <v>-2.7502394100178525E-2</v>
      </c>
      <c r="AD23" s="29">
        <f>AC23+預測IC!AE27</f>
        <v>-8.8551995500263658E-3</v>
      </c>
      <c r="AE23" s="29">
        <f>AD23+預測IC!AF27</f>
        <v>6.3745687725025833E-3</v>
      </c>
      <c r="AF23" s="29">
        <f>AE23+預測IC!AG27</f>
        <v>4.2391172551395004E-2</v>
      </c>
      <c r="AG23" s="29">
        <f>AF23+預測IC!AH27</f>
        <v>5.174578393671117E-2</v>
      </c>
      <c r="AH23" s="29">
        <f>AG23+預測IC!AI27</f>
        <v>6.2494035273549312E-2</v>
      </c>
      <c r="AI23" s="29">
        <f>AH23+預測IC!AJ27</f>
        <v>7.5851789326630281E-2</v>
      </c>
      <c r="AJ23" s="29">
        <f>AI23+預測IC!AK27</f>
        <v>7.0519041997534893E-2</v>
      </c>
      <c r="AK23" s="29">
        <f>AJ23+預測IC!AL27</f>
        <v>7.1902177804796574E-2</v>
      </c>
      <c r="AL23" s="29">
        <f>AK23+預測IC!AM27</f>
        <v>9.2698106224871041E-2</v>
      </c>
      <c r="AM23" s="29">
        <f>AL23+預測IC!AN27</f>
        <v>0.12421580844526167</v>
      </c>
      <c r="AN23" s="29">
        <f>AM23+預測IC!AO27</f>
        <v>0.13045752497859112</v>
      </c>
      <c r="AO23" s="29">
        <f>AN23+預測IC!AP27</f>
        <v>0.13660278663216249</v>
      </c>
      <c r="AP23" s="29">
        <f>AO23+預測IC!AQ27</f>
        <v>0.15354914430885899</v>
      </c>
      <c r="AQ23" s="29">
        <f>AP23+預測IC!AR27</f>
        <v>0.18823197476316722</v>
      </c>
      <c r="AR23" s="29">
        <f>AQ23+預測IC!AS27</f>
        <v>0.19133056338036419</v>
      </c>
      <c r="AS23" s="29">
        <f>AR23+預測IC!AT27</f>
        <v>0.2064119105238503</v>
      </c>
      <c r="AT23" s="29">
        <f>AS23+預測IC!AU27</f>
        <v>0.18716070129398632</v>
      </c>
      <c r="AU23" s="29">
        <f>AT23+預測IC!AV27</f>
        <v>0.22587221468161775</v>
      </c>
      <c r="AV23" s="29">
        <f>AU23+預測IC!AW27</f>
        <v>0.20401526354588115</v>
      </c>
      <c r="AW23" s="29">
        <f>AV23+預測IC!AX27</f>
        <v>0.21178956425567083</v>
      </c>
      <c r="AX23" s="29">
        <f>AW23+預測IC!AY27</f>
        <v>0.25418681095099677</v>
      </c>
      <c r="AY23" s="29">
        <f>AX23+預測IC!AZ27</f>
        <v>0.22787783608983703</v>
      </c>
      <c r="AZ23" s="29">
        <f>AY23+預測IC!BA27</f>
        <v>0.23744958539855326</v>
      </c>
      <c r="BA23" s="29">
        <f>AZ23+預測IC!BB27</f>
        <v>0.21319984413227844</v>
      </c>
      <c r="BB23" s="29">
        <f>BA23+預測IC!BC27</f>
        <v>0.23336321827619427</v>
      </c>
      <c r="BC23" s="29">
        <f>BB23+預測IC!BD27</f>
        <v>0.22985821949407825</v>
      </c>
      <c r="BD23" s="29">
        <f>BC23+預測IC!BE27</f>
        <v>0.25001015459262055</v>
      </c>
      <c r="BE23" s="29">
        <f>BD23+預測IC!BF27</f>
        <v>0.25059149082339083</v>
      </c>
      <c r="BF23" s="29">
        <f>BE23+預測IC!BG27</f>
        <v>0.24537178987013822</v>
      </c>
      <c r="BG23" s="29">
        <f>BF23+預測IC!BH27</f>
        <v>0.12950002846800823</v>
      </c>
      <c r="BH23" s="29">
        <f>BG23+預測IC!BI27</f>
        <v>0.13822525416044559</v>
      </c>
      <c r="BI23" s="29">
        <f>BH23+預測IC!BJ27</f>
        <v>0.12184799318262345</v>
      </c>
      <c r="BJ23" s="29">
        <f>BI23+預測IC!BK27</f>
        <v>0.14268836478288388</v>
      </c>
      <c r="BK23" s="29">
        <f>BJ23+預測IC!BL27</f>
        <v>0.18766423688499859</v>
      </c>
      <c r="BL23" s="29">
        <f>BK23+預測IC!BM27</f>
        <v>0.21161854296686244</v>
      </c>
      <c r="BM23" s="29">
        <f>BL23+預測IC!BN27</f>
        <v>0.24185764435830504</v>
      </c>
      <c r="BN23" s="29">
        <f>BM23+預測IC!BO27</f>
        <v>0.19813175676721753</v>
      </c>
      <c r="BO23" s="29">
        <f>BN23+預測IC!BP27</f>
        <v>0.22002122633541615</v>
      </c>
      <c r="BP23" s="29">
        <f>BO23+預測IC!BQ27</f>
        <v>0.22864865659892455</v>
      </c>
      <c r="BQ23" s="29">
        <f>BP23+預測IC!BR27</f>
        <v>0.20945570260426577</v>
      </c>
      <c r="BR23" s="29">
        <f>BQ23+預測IC!BS27</f>
        <v>0.22919083249239883</v>
      </c>
      <c r="BS23" s="29">
        <f>BR23+預測IC!BT27</f>
        <v>0.27688516997609824</v>
      </c>
      <c r="BT23" s="29">
        <f>BS23+預測IC!BU27</f>
        <v>0.28833998678268163</v>
      </c>
      <c r="BU23" s="29">
        <f>BT23+預測IC!BV27</f>
        <v>0.33156860751789485</v>
      </c>
      <c r="BV23" s="29">
        <f>BU23+預測IC!BW27</f>
        <v>0.28882117708097205</v>
      </c>
      <c r="BW23" s="29">
        <f>BV23+預測IC!BX27</f>
        <v>0.27100988465317749</v>
      </c>
      <c r="BX23" s="29">
        <f>BW23+預測IC!BY27</f>
        <v>0.11985678778410189</v>
      </c>
      <c r="BY23" s="29">
        <f>BX23+預測IC!BZ27</f>
        <v>0.24408079140367717</v>
      </c>
      <c r="BZ23" s="29">
        <f>BY23+預測IC!CA27</f>
        <v>0.23952353755914751</v>
      </c>
      <c r="CA23" s="29">
        <f>BZ23+預測IC!CB27</f>
        <v>0.29973477776405871</v>
      </c>
      <c r="CB23" s="29">
        <f>CA23+預測IC!CC27</f>
        <v>0.385726811246561</v>
      </c>
      <c r="CC23" s="29">
        <f>CB23+預測IC!CD27</f>
        <v>0.37991833166419492</v>
      </c>
      <c r="CD23" s="29">
        <f>CC23+預測IC!CE27</f>
        <v>0.37387698467522684</v>
      </c>
      <c r="CE23" s="29">
        <f>CD23+預測IC!CF27</f>
        <v>0.37632930904747891</v>
      </c>
      <c r="CF23" s="29">
        <f>CE23+預測IC!CG27</f>
        <v>0.46596556098450181</v>
      </c>
      <c r="CG23" s="29">
        <f>CF23+預測IC!CH27</f>
        <v>0.53695829351125968</v>
      </c>
      <c r="CH23" s="29">
        <f>CG23+預測IC!CI27</f>
        <v>0.56412893641304307</v>
      </c>
      <c r="CI23" s="29">
        <f>CH23+預測IC!CJ27</f>
        <v>0.61659736483837313</v>
      </c>
      <c r="CJ23" s="29">
        <f>CI23+預測IC!CK27</f>
        <v>0.64607802578142259</v>
      </c>
      <c r="CK23" s="29">
        <f>CJ23+預測IC!CL27</f>
        <v>0.71290310684162383</v>
      </c>
      <c r="CL23" s="29">
        <f>CK23+預測IC!CM27</f>
        <v>0.68413087782180682</v>
      </c>
      <c r="CM23" s="29">
        <f>CL23+預測IC!CN27</f>
        <v>0.72359339372344467</v>
      </c>
      <c r="CN23" s="29">
        <f>CM23+預測IC!CO27</f>
        <v>0.69456230674608477</v>
      </c>
      <c r="CO23" s="29">
        <f>CN23+預測IC!CP27</f>
        <v>0.70854618926555268</v>
      </c>
      <c r="CP23" s="29">
        <f>CO23+預測IC!CQ27</f>
        <v>0.67626922430621883</v>
      </c>
      <c r="CQ23" s="29">
        <f>CP23+預測IC!CR27</f>
        <v>0.6793728009191129</v>
      </c>
      <c r="CR23" s="29">
        <f>CQ23+預測IC!CS27</f>
        <v>0.70496465668619601</v>
      </c>
      <c r="CS23" s="29">
        <f>CR23+預測IC!CT27</f>
        <v>0.74935654297338927</v>
      </c>
      <c r="CT23" s="29">
        <f>CS23+預測IC!CU27</f>
        <v>0.71901758442381181</v>
      </c>
      <c r="CU23" s="29">
        <f>CT23+預測IC!CV27</f>
        <v>0.7177596079692401</v>
      </c>
      <c r="CV23" s="29">
        <f>CU23+預測IC!CW27</f>
        <v>0.72009596442509805</v>
      </c>
      <c r="CW23" s="29">
        <f>CV23+預測IC!CX27</f>
        <v>0.655831819499192</v>
      </c>
      <c r="CX23" s="29">
        <f>CW23+預測IC!CY27</f>
        <v>0.66874159895818441</v>
      </c>
      <c r="CY23" s="29">
        <f>CX23+預測IC!CZ27</f>
        <v>0.54326450428732564</v>
      </c>
      <c r="CZ23" s="29">
        <f>CY23+預測IC!DA27</f>
        <v>0.55495518722711823</v>
      </c>
      <c r="DA23" s="29">
        <f>CZ23+預測IC!DB27</f>
        <v>0.56129303092785998</v>
      </c>
      <c r="DB23" s="29">
        <f>DA23+預測IC!DC27</f>
        <v>0.44398767445847448</v>
      </c>
      <c r="DC23" s="29">
        <f>DB23+預測IC!DD27</f>
        <v>0.40797680240902789</v>
      </c>
      <c r="DD23" s="29">
        <f>DC23+預測IC!DE27</f>
        <v>0.54688810648129582</v>
      </c>
      <c r="DE23" s="29">
        <f>DD23+預測IC!DF27</f>
        <v>0.49574460025519007</v>
      </c>
      <c r="DF23" s="29">
        <f>DE23+預測IC!DG27</f>
        <v>0.57247604743715907</v>
      </c>
      <c r="DG23" s="29">
        <f>DF23+預測IC!DH27</f>
        <v>0.58798482963416721</v>
      </c>
      <c r="DH23" s="29">
        <f>DG23+預測IC!DI27</f>
        <v>0.61120860330892302</v>
      </c>
      <c r="DI23" s="29">
        <f>DH23+預測IC!DJ27</f>
        <v>0.59283572694769515</v>
      </c>
      <c r="DJ23" s="29">
        <f>DI23+預測IC!DK27</f>
        <v>0.65503474103279458</v>
      </c>
      <c r="DK23" s="29">
        <f>DJ23+預測IC!DL27</f>
        <v>0.67513304551975173</v>
      </c>
      <c r="DL23" s="29">
        <f>DK23+預測IC!DM27</f>
        <v>0.68863198526781977</v>
      </c>
      <c r="DM23" s="29">
        <f>DL23+預測IC!DN27</f>
        <v>0.65837977253939894</v>
      </c>
      <c r="DN23" s="29">
        <f>DM23+預測IC!DO27</f>
        <v>0.64135693683134509</v>
      </c>
      <c r="DO23" s="29">
        <f>DN23+預測IC!DP27</f>
        <v>0.61956841355888315</v>
      </c>
      <c r="DP23" s="29">
        <f>DO23+預測IC!DQ27</f>
        <v>0.70531403814402038</v>
      </c>
      <c r="DQ23" s="29">
        <f>DP23+預測IC!DR27</f>
        <v>0.73342078174899417</v>
      </c>
      <c r="DR23" s="29">
        <f>DQ23+預測IC!DS27</f>
        <v>0.73111762194163477</v>
      </c>
      <c r="DS23" s="29">
        <f>DR23+預測IC!DT27</f>
        <v>0.78958882007312226</v>
      </c>
      <c r="DT23" s="29">
        <f>DS23+預測IC!DU27</f>
        <v>0.85724776912176992</v>
      </c>
      <c r="DU23" s="29">
        <f>DT23+預測IC!DV27</f>
        <v>0.86226853976220219</v>
      </c>
      <c r="DV23" s="29">
        <f>DU23+預測IC!DW27</f>
        <v>0.89968472343740924</v>
      </c>
      <c r="DW23" s="29">
        <f>DV23+預測IC!DX27</f>
        <v>0.98379572718345132</v>
      </c>
      <c r="DX23" s="29">
        <f>DW23+預測IC!DY27</f>
        <v>0.94696332863943844</v>
      </c>
      <c r="DY23" s="29">
        <f>DX23+預測IC!DZ27</f>
        <v>0.95005503145637549</v>
      </c>
      <c r="DZ23" s="29">
        <f>DY23+預測IC!EA27</f>
        <v>0.94809740324208092</v>
      </c>
      <c r="EA23" s="29">
        <f>DZ23+預測IC!EB27</f>
        <v>0.97455650684560069</v>
      </c>
      <c r="EB23" s="29">
        <f>EA23+預測IC!EC27</f>
        <v>0.94980396808491041</v>
      </c>
      <c r="EC23" s="29">
        <f>EB23+預測IC!ED27</f>
        <v>0.98391945906747036</v>
      </c>
      <c r="ED23" s="29">
        <f>EC23+預測IC!EE27</f>
        <v>1.0049814330565034</v>
      </c>
      <c r="EE23" s="29">
        <f>ED23+預測IC!EF27</f>
        <v>0.98470404035049752</v>
      </c>
      <c r="EF23" s="3"/>
    </row>
  </sheetData>
  <mergeCells count="1">
    <mergeCell ref="A8:B8"/>
  </mergeCells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EH29"/>
  <sheetViews>
    <sheetView topLeftCell="DN8" zoomScale="89" zoomScaleNormal="74" workbookViewId="0">
      <selection activeCell="ED32" sqref="ED32"/>
    </sheetView>
  </sheetViews>
  <sheetFormatPr baseColWidth="10" defaultColWidth="8.83203125" defaultRowHeight="15"/>
  <cols>
    <col min="2" max="2" width="7.6640625" style="21" customWidth="1"/>
    <col min="3" max="3" width="10.83203125" style="21" customWidth="1"/>
  </cols>
  <sheetData>
    <row r="3" spans="3:137" ht="16" customHeight="1">
      <c r="C3" s="6" t="s">
        <v>142</v>
      </c>
      <c r="D3" s="10">
        <v>964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</row>
    <row r="4" spans="3:137" ht="18" customHeight="1">
      <c r="C4" s="25" t="s">
        <v>144</v>
      </c>
      <c r="D4" s="14" t="s">
        <v>3</v>
      </c>
      <c r="E4" s="14" t="s">
        <v>4</v>
      </c>
      <c r="F4" s="14" t="s">
        <v>5</v>
      </c>
      <c r="G4" s="14" t="s">
        <v>6</v>
      </c>
      <c r="H4" s="14" t="s">
        <v>7</v>
      </c>
      <c r="I4" s="14" t="s">
        <v>8</v>
      </c>
      <c r="J4" s="14" t="s">
        <v>9</v>
      </c>
      <c r="K4" s="14" t="s">
        <v>10</v>
      </c>
      <c r="L4" s="14" t="s">
        <v>11</v>
      </c>
      <c r="M4" s="14" t="s">
        <v>12</v>
      </c>
      <c r="N4" s="14" t="s">
        <v>13</v>
      </c>
      <c r="O4" s="14" t="s">
        <v>14</v>
      </c>
      <c r="P4" s="14" t="s">
        <v>15</v>
      </c>
      <c r="Q4" s="14" t="s">
        <v>16</v>
      </c>
      <c r="R4" s="14" t="s">
        <v>17</v>
      </c>
      <c r="S4" s="14" t="s">
        <v>18</v>
      </c>
      <c r="T4" s="14" t="s">
        <v>19</v>
      </c>
      <c r="U4" s="14" t="s">
        <v>20</v>
      </c>
      <c r="V4" s="14" t="s">
        <v>21</v>
      </c>
      <c r="W4" s="14" t="s">
        <v>22</v>
      </c>
      <c r="X4" s="14" t="s">
        <v>23</v>
      </c>
      <c r="Y4" s="14" t="s">
        <v>24</v>
      </c>
      <c r="Z4" s="14" t="s">
        <v>25</v>
      </c>
      <c r="AA4" s="14" t="s">
        <v>26</v>
      </c>
      <c r="AB4" s="14" t="s">
        <v>27</v>
      </c>
      <c r="AC4" s="14" t="s">
        <v>28</v>
      </c>
      <c r="AD4" s="14" t="s">
        <v>29</v>
      </c>
      <c r="AE4" s="14" t="s">
        <v>30</v>
      </c>
      <c r="AF4" s="14" t="s">
        <v>31</v>
      </c>
      <c r="AG4" s="14" t="s">
        <v>32</v>
      </c>
      <c r="AH4" s="14" t="s">
        <v>33</v>
      </c>
      <c r="AI4" s="14" t="s">
        <v>34</v>
      </c>
      <c r="AJ4" s="14" t="s">
        <v>35</v>
      </c>
      <c r="AK4" s="14" t="s">
        <v>36</v>
      </c>
      <c r="AL4" s="14" t="s">
        <v>37</v>
      </c>
      <c r="AM4" s="14" t="s">
        <v>38</v>
      </c>
      <c r="AN4" s="14" t="s">
        <v>39</v>
      </c>
      <c r="AO4" s="14" t="s">
        <v>40</v>
      </c>
      <c r="AP4" s="14" t="s">
        <v>41</v>
      </c>
      <c r="AQ4" s="14" t="s">
        <v>42</v>
      </c>
      <c r="AR4" s="14" t="s">
        <v>43</v>
      </c>
      <c r="AS4" s="14" t="s">
        <v>44</v>
      </c>
      <c r="AT4" s="14" t="s">
        <v>45</v>
      </c>
      <c r="AU4" s="14" t="s">
        <v>46</v>
      </c>
      <c r="AV4" s="14" t="s">
        <v>47</v>
      </c>
      <c r="AW4" s="14" t="s">
        <v>48</v>
      </c>
      <c r="AX4" s="14" t="s">
        <v>49</v>
      </c>
      <c r="AY4" s="14" t="s">
        <v>50</v>
      </c>
      <c r="AZ4" s="14" t="s">
        <v>51</v>
      </c>
      <c r="BA4" s="14" t="s">
        <v>52</v>
      </c>
      <c r="BB4" s="14" t="s">
        <v>53</v>
      </c>
      <c r="BC4" s="14" t="s">
        <v>54</v>
      </c>
      <c r="BD4" s="14" t="s">
        <v>55</v>
      </c>
      <c r="BE4" s="14" t="s">
        <v>56</v>
      </c>
      <c r="BF4" s="14" t="s">
        <v>57</v>
      </c>
      <c r="BG4" s="14" t="s">
        <v>58</v>
      </c>
      <c r="BH4" s="14" t="s">
        <v>59</v>
      </c>
      <c r="BI4" s="14" t="s">
        <v>60</v>
      </c>
      <c r="BJ4" s="14" t="s">
        <v>61</v>
      </c>
      <c r="BK4" s="14" t="s">
        <v>62</v>
      </c>
      <c r="BL4" s="14" t="s">
        <v>63</v>
      </c>
      <c r="BM4" s="14" t="s">
        <v>64</v>
      </c>
      <c r="BN4" s="14" t="s">
        <v>65</v>
      </c>
      <c r="BO4" s="14" t="s">
        <v>66</v>
      </c>
      <c r="BP4" s="14" t="s">
        <v>67</v>
      </c>
      <c r="BQ4" s="14" t="s">
        <v>68</v>
      </c>
      <c r="BR4" s="14" t="s">
        <v>69</v>
      </c>
      <c r="BS4" s="14" t="s">
        <v>70</v>
      </c>
      <c r="BT4" s="14" t="s">
        <v>71</v>
      </c>
      <c r="BU4" s="14" t="s">
        <v>72</v>
      </c>
      <c r="BV4" s="14" t="s">
        <v>73</v>
      </c>
      <c r="BW4" s="14" t="s">
        <v>74</v>
      </c>
      <c r="BX4" s="14" t="s">
        <v>75</v>
      </c>
      <c r="BY4" s="14" t="s">
        <v>76</v>
      </c>
      <c r="BZ4" s="14" t="s">
        <v>77</v>
      </c>
      <c r="CA4" s="14" t="s">
        <v>78</v>
      </c>
      <c r="CB4" s="14" t="s">
        <v>79</v>
      </c>
      <c r="CC4" s="14" t="s">
        <v>80</v>
      </c>
      <c r="CD4" s="14" t="s">
        <v>81</v>
      </c>
      <c r="CE4" s="14" t="s">
        <v>82</v>
      </c>
      <c r="CF4" s="14" t="s">
        <v>83</v>
      </c>
      <c r="CG4" s="14" t="s">
        <v>84</v>
      </c>
      <c r="CH4" s="14" t="s">
        <v>85</v>
      </c>
      <c r="CI4" s="14" t="s">
        <v>86</v>
      </c>
      <c r="CJ4" s="14" t="s">
        <v>87</v>
      </c>
      <c r="CK4" s="14" t="s">
        <v>88</v>
      </c>
      <c r="CL4" s="14" t="s">
        <v>89</v>
      </c>
      <c r="CM4" s="14" t="s">
        <v>90</v>
      </c>
      <c r="CN4" s="14" t="s">
        <v>91</v>
      </c>
      <c r="CO4" s="14" t="s">
        <v>92</v>
      </c>
      <c r="CP4" s="14" t="s">
        <v>93</v>
      </c>
      <c r="CQ4" s="14" t="s">
        <v>94</v>
      </c>
      <c r="CR4" s="14" t="s">
        <v>95</v>
      </c>
      <c r="CS4" s="14" t="s">
        <v>96</v>
      </c>
      <c r="CT4" s="14" t="s">
        <v>97</v>
      </c>
      <c r="CU4" s="14" t="s">
        <v>98</v>
      </c>
      <c r="CV4" s="14" t="s">
        <v>99</v>
      </c>
      <c r="CW4" s="14" t="s">
        <v>100</v>
      </c>
      <c r="CX4" s="14" t="s">
        <v>101</v>
      </c>
      <c r="CY4" s="14" t="s">
        <v>102</v>
      </c>
      <c r="CZ4" s="14" t="s">
        <v>103</v>
      </c>
      <c r="DA4" s="14" t="s">
        <v>104</v>
      </c>
      <c r="DB4" s="14" t="s">
        <v>105</v>
      </c>
      <c r="DC4" s="14" t="s">
        <v>106</v>
      </c>
      <c r="DD4" s="14" t="s">
        <v>107</v>
      </c>
      <c r="DE4" s="14" t="s">
        <v>108</v>
      </c>
      <c r="DF4" s="14" t="s">
        <v>109</v>
      </c>
      <c r="DG4" s="14" t="s">
        <v>110</v>
      </c>
      <c r="DH4" s="14" t="s">
        <v>111</v>
      </c>
      <c r="DI4" s="14" t="s">
        <v>112</v>
      </c>
      <c r="DJ4" s="14" t="s">
        <v>113</v>
      </c>
      <c r="DK4" s="14" t="s">
        <v>114</v>
      </c>
      <c r="DL4" s="14" t="s">
        <v>115</v>
      </c>
      <c r="DM4" s="14" t="s">
        <v>116</v>
      </c>
      <c r="DN4" s="14" t="s">
        <v>117</v>
      </c>
      <c r="DO4" s="14" t="s">
        <v>118</v>
      </c>
      <c r="DP4" s="14" t="s">
        <v>119</v>
      </c>
      <c r="DQ4" s="14" t="s">
        <v>120</v>
      </c>
      <c r="DR4" s="14" t="s">
        <v>121</v>
      </c>
      <c r="DS4" s="14" t="s">
        <v>122</v>
      </c>
      <c r="DT4" s="14" t="s">
        <v>123</v>
      </c>
      <c r="DU4" s="14" t="s">
        <v>124</v>
      </c>
      <c r="DV4" s="14" t="s">
        <v>125</v>
      </c>
      <c r="DW4" s="14" t="s">
        <v>126</v>
      </c>
      <c r="DX4" s="14" t="s">
        <v>127</v>
      </c>
      <c r="DY4" s="14" t="s">
        <v>128</v>
      </c>
      <c r="DZ4" s="14" t="s">
        <v>129</v>
      </c>
      <c r="EA4" s="14" t="s">
        <v>130</v>
      </c>
      <c r="EB4" s="14" t="s">
        <v>131</v>
      </c>
      <c r="EC4" s="14" t="s">
        <v>132</v>
      </c>
      <c r="ED4" s="14" t="s">
        <v>133</v>
      </c>
      <c r="EE4" s="14" t="s">
        <v>134</v>
      </c>
      <c r="EF4" s="14" t="s">
        <v>135</v>
      </c>
      <c r="EG4" s="14" t="s">
        <v>146</v>
      </c>
    </row>
    <row r="5" spans="3:137" ht="16" customHeight="1">
      <c r="C5" s="6">
        <v>10</v>
      </c>
      <c r="D5" s="9">
        <f t="array" ref="D5">PRODUCT(1 + 預測IC!$C14:C14) - 1</f>
        <v>-1.7914421842699091E-2</v>
      </c>
      <c r="E5" s="9">
        <f t="array" ref="E5">PRODUCT(1 + 預測IC!$C14:D14) - 1</f>
        <v>-3.4347586072042136E-3</v>
      </c>
      <c r="F5" s="9">
        <f t="array" ref="F5">PRODUCT(1 + 預測IC!$C14:E14) - 1</f>
        <v>-1.5597068839209305E-2</v>
      </c>
      <c r="G5" s="9">
        <f t="array" ref="G5">PRODUCT(1 + 預測IC!$C14:F14) - 1</f>
        <v>-6.7915499647871913E-2</v>
      </c>
      <c r="H5" s="9">
        <f t="array" ref="H5">PRODUCT(1 + 預測IC!$C14:G14) - 1</f>
        <v>-3.051243901381373E-2</v>
      </c>
      <c r="I5" s="9">
        <f t="array" ref="I5">PRODUCT(1 + 預測IC!$C14:H14) - 1</f>
        <v>-5.8909788944397135E-2</v>
      </c>
      <c r="J5" s="9">
        <f t="array" ref="J5">PRODUCT(1 + 預測IC!$C14:I14) - 1</f>
        <v>-5.0449417119105777E-2</v>
      </c>
      <c r="K5" s="9">
        <f t="array" ref="K5">PRODUCT(1 + 預測IC!$C14:J14) - 1</f>
        <v>-2.8246397264521939E-2</v>
      </c>
      <c r="L5" s="9">
        <f t="array" ref="L5">PRODUCT(1 + 預測IC!$C14:K14) - 1</f>
        <v>-6.9357992956435854E-3</v>
      </c>
      <c r="M5" s="9">
        <f t="array" ref="M5">PRODUCT(1 + 預測IC!$C14:L14) - 1</f>
        <v>-3.3712882129187327E-2</v>
      </c>
      <c r="N5" s="9">
        <f t="array" ref="N5">PRODUCT(1 + 預測IC!$C14:M14) - 1</f>
        <v>6.9234646667852839E-3</v>
      </c>
      <c r="O5" s="9">
        <f t="array" ref="O5">PRODUCT(1 + 預測IC!$C14:N14) - 1</f>
        <v>-5.6290423278292478E-2</v>
      </c>
      <c r="P5" s="9">
        <f t="array" ref="P5">PRODUCT(1 + 預測IC!$C14:O14) - 1</f>
        <v>-4.0971280845467639E-2</v>
      </c>
      <c r="Q5" s="9">
        <f t="array" ref="Q5">PRODUCT(1 + 預測IC!$C14:P14) - 1</f>
        <v>-2.9277393538867602E-2</v>
      </c>
      <c r="R5" s="9">
        <f t="array" ref="R5">PRODUCT(1 + 預測IC!$C14:Q14) - 1</f>
        <v>-2.1877489239800929E-2</v>
      </c>
      <c r="S5" s="9">
        <f t="array" ref="S5">PRODUCT(1 + 預測IC!$C14:R14) - 1</f>
        <v>-4.1577701495651986E-3</v>
      </c>
      <c r="T5" s="9">
        <f t="array" ref="T5">PRODUCT(1 + 預測IC!$C14:S14) - 1</f>
        <v>3.536338718487464E-3</v>
      </c>
      <c r="U5" s="9">
        <f t="array" ref="U5">PRODUCT(1 + 預測IC!$C14:T14) - 1</f>
        <v>2.0460825849497821E-2</v>
      </c>
      <c r="V5" s="9">
        <f t="array" ref="V5">PRODUCT(1 + 預測IC!$C14:U14) - 1</f>
        <v>4.4486957748398392E-2</v>
      </c>
      <c r="W5" s="9">
        <f t="array" ref="W5">PRODUCT(1 + 預測IC!$C14:V14) - 1</f>
        <v>5.1913261975180092E-2</v>
      </c>
      <c r="X5" s="9">
        <f t="array" ref="X5">PRODUCT(1 + 預測IC!$C14:W14) - 1</f>
        <v>5.5524008163701177E-2</v>
      </c>
      <c r="Y5" s="9">
        <f t="array" ref="Y5">PRODUCT(1 + 預測IC!$C14:X14) - 1</f>
        <v>4.0336529325248227E-2</v>
      </c>
      <c r="Z5" s="9">
        <f t="array" ref="Z5">PRODUCT(1 + 預測IC!$C14:Y14) - 1</f>
        <v>2.1950339979501354E-2</v>
      </c>
      <c r="AA5" s="9">
        <f t="array" ref="AA5">PRODUCT(1 + 預測IC!$C14:Z14) - 1</f>
        <v>3.7643424598212905E-2</v>
      </c>
      <c r="AB5" s="9">
        <f t="array" ref="AB5">PRODUCT(1 + 預測IC!$C14:AA14) - 1</f>
        <v>1.66427872630317E-2</v>
      </c>
      <c r="AC5" s="9">
        <f t="array" ref="AC5">PRODUCT(1 + 預測IC!$C14:AB14) - 1</f>
        <v>1.1360845244459128E-3</v>
      </c>
      <c r="AD5" s="9">
        <f t="array" ref="AD5">PRODUCT(1 + 預測IC!$C14:AC14) - 1</f>
        <v>5.3511744003550188E-2</v>
      </c>
      <c r="AE5" s="9">
        <f t="array" ref="AE5">PRODUCT(1 + 預測IC!$C14:AD14) - 1</f>
        <v>6.8093827754622804E-2</v>
      </c>
      <c r="AF5" s="9">
        <f t="array" ref="AF5">PRODUCT(1 + 預測IC!$C14:AE14) - 1</f>
        <v>2.1311065528177853E-2</v>
      </c>
      <c r="AG5" s="9">
        <f t="array" ref="AG5">PRODUCT(1 + 預測IC!$C14:AF14) - 1</f>
        <v>5.6406037421509625E-2</v>
      </c>
      <c r="AH5" s="9">
        <f t="array" ref="AH5">PRODUCT(1 + 預測IC!$C14:AG14) - 1</f>
        <v>5.5202300164420848E-2</v>
      </c>
      <c r="AI5" s="9">
        <f t="array" ref="AI5">PRODUCT(1 + 預測IC!$C14:AH14) - 1</f>
        <v>4.3232281421489827E-2</v>
      </c>
      <c r="AJ5" s="9">
        <f t="array" ref="AJ5">PRODUCT(1 + 預測IC!$C14:AI14) - 1</f>
        <v>1.4461939837606019E-2</v>
      </c>
      <c r="AK5" s="9">
        <f t="array" ref="AK5">PRODUCT(1 + 預測IC!$C14:AJ14) - 1</f>
        <v>2.3031129582020249E-2</v>
      </c>
      <c r="AL5" s="9">
        <f t="array" ref="AL5">PRODUCT(1 + 預測IC!$C14:AK14) - 1</f>
        <v>3.5522597233443642E-2</v>
      </c>
      <c r="AM5" s="9">
        <f t="array" ref="AM5">PRODUCT(1 + 預測IC!$C14:AL14) - 1</f>
        <v>3.6335859845936236E-2</v>
      </c>
      <c r="AN5" s="9">
        <f t="array" ref="AN5">PRODUCT(1 + 預測IC!$C14:AM14) - 1</f>
        <v>2.0594128148618163E-2</v>
      </c>
      <c r="AO5" s="9">
        <f t="array" ref="AO5">PRODUCT(1 + 預測IC!$C14:AN14) - 1</f>
        <v>1.7418008313886402E-2</v>
      </c>
      <c r="AP5" s="9">
        <f t="array" ref="AP5">PRODUCT(1 + 預測IC!$C14:AO14) - 1</f>
        <v>4.946267795816528E-3</v>
      </c>
      <c r="AQ5" s="9">
        <f t="array" ref="AQ5">PRODUCT(1 + 預測IC!$C14:AP14) - 1</f>
        <v>1.6150621353948846E-2</v>
      </c>
      <c r="AR5" s="9">
        <f t="array" ref="AR5">PRODUCT(1 + 預測IC!$C14:AQ14) - 1</f>
        <v>1.4335761134896208E-2</v>
      </c>
      <c r="AS5" s="9">
        <f t="array" ref="AS5">PRODUCT(1 + 預測IC!$C14:AR14) - 1</f>
        <v>8.3601932140560109E-3</v>
      </c>
      <c r="AT5" s="9">
        <f t="array" ref="AT5">PRODUCT(1 + 預測IC!$C14:AS14) - 1</f>
        <v>4.1811499174442268E-3</v>
      </c>
      <c r="AU5" s="9">
        <f t="array" ref="AU5">PRODUCT(1 + 預測IC!$C14:AT14) - 1</f>
        <v>3.0923312426116567E-2</v>
      </c>
      <c r="AV5" s="9">
        <f t="array" ref="AV5">PRODUCT(1 + 預測IC!$C14:AU14) - 1</f>
        <v>5.8177984709695485E-2</v>
      </c>
      <c r="AW5" s="9">
        <f t="array" ref="AW5">PRODUCT(1 + 預測IC!$C14:AV14) - 1</f>
        <v>6.0312718599101256E-2</v>
      </c>
      <c r="AX5" s="9">
        <f t="array" ref="AX5">PRODUCT(1 + 預測IC!$C14:AW14) - 1</f>
        <v>5.0653879345697428E-2</v>
      </c>
      <c r="AY5" s="9">
        <f t="array" ref="AY5">PRODUCT(1 + 預測IC!$C14:AX14) - 1</f>
        <v>4.7302031441046166E-2</v>
      </c>
      <c r="AZ5" s="9">
        <f t="array" ref="AZ5">PRODUCT(1 + 預測IC!$C14:AY14) - 1</f>
        <v>6.6025195776349577E-2</v>
      </c>
      <c r="BA5" s="9">
        <f t="array" ref="BA5">PRODUCT(1 + 預測IC!$C14:AZ14) - 1</f>
        <v>6.3377163262380298E-2</v>
      </c>
      <c r="BB5" s="9">
        <f t="array" ref="BB5">PRODUCT(1 + 預測IC!$C14:BA14) - 1</f>
        <v>2.8633796635588071E-2</v>
      </c>
      <c r="BC5" s="9">
        <f t="array" ref="BC5">PRODUCT(1 + 預測IC!$C14:BB14) - 1</f>
        <v>-6.2808569378436374E-4</v>
      </c>
      <c r="BD5" s="9">
        <f t="array" ref="BD5">PRODUCT(1 + 預測IC!$C14:BC14) - 1</f>
        <v>5.0118551213922391E-3</v>
      </c>
      <c r="BE5" s="9">
        <f t="array" ref="BE5">PRODUCT(1 + 預測IC!$C14:BD14) - 1</f>
        <v>6.471603690223926E-3</v>
      </c>
      <c r="BF5" s="9">
        <f t="array" ref="BF5">PRODUCT(1 + 預測IC!$C14:BE14) - 1</f>
        <v>-4.0610445218348667E-3</v>
      </c>
      <c r="BG5" s="9">
        <f t="array" ref="BG5">PRODUCT(1 + 預測IC!$C14:BF14) - 1</f>
        <v>1.2520912920339633E-3</v>
      </c>
      <c r="BH5" s="9">
        <f t="array" ref="BH5">PRODUCT(1 + 預測IC!$C14:BG14) - 1</f>
        <v>-2.6874232058674563E-2</v>
      </c>
      <c r="BI5" s="9">
        <f t="array" ref="BI5">PRODUCT(1 + 預測IC!$C14:BH14) - 1</f>
        <v>-0.12527142799466018</v>
      </c>
      <c r="BJ5" s="9">
        <f t="array" ref="BJ5">PRODUCT(1 + 預測IC!$C14:BI14) - 1</f>
        <v>-0.19509045691302285</v>
      </c>
      <c r="BK5" s="9">
        <f t="array" ref="BK5">PRODUCT(1 + 預測IC!$C14:BJ14) - 1</f>
        <v>-0.20963537305977065</v>
      </c>
      <c r="BL5" s="9">
        <f t="array" ref="BL5">PRODUCT(1 + 預測IC!$C14:BK14) - 1</f>
        <v>-0.20871192095062452</v>
      </c>
      <c r="BM5" s="9">
        <f t="array" ref="BM5">PRODUCT(1 + 預測IC!$C14:BL14) - 1</f>
        <v>-0.20654408948277325</v>
      </c>
      <c r="BN5" s="9">
        <f t="array" ref="BN5">PRODUCT(1 + 預測IC!$C14:BM14) - 1</f>
        <v>-0.19639166370106564</v>
      </c>
      <c r="BO5" s="9">
        <f t="array" ref="BO5">PRODUCT(1 + 預測IC!$C14:BN14) - 1</f>
        <v>-0.18690916352390596</v>
      </c>
      <c r="BP5" s="9">
        <f t="array" ref="BP5">PRODUCT(1 + 預測IC!$C14:BO14) - 1</f>
        <v>-0.18767903693601762</v>
      </c>
      <c r="BQ5" s="9">
        <f t="array" ref="BQ5">PRODUCT(1 + 預測IC!$C14:BP14) - 1</f>
        <v>-0.16287527878598129</v>
      </c>
      <c r="BR5" s="9">
        <f t="array" ref="BR5">PRODUCT(1 + 預測IC!$C14:BQ14) - 1</f>
        <v>-0.15970427404782583</v>
      </c>
      <c r="BS5" s="9">
        <f t="array" ref="BS5">PRODUCT(1 + 預測IC!$C14:BR14) - 1</f>
        <v>-0.12195724823825582</v>
      </c>
      <c r="BT5" s="9">
        <f t="array" ref="BT5">PRODUCT(1 + 預測IC!$C14:BS14) - 1</f>
        <v>-0.12451737673793672</v>
      </c>
      <c r="BU5" s="9">
        <f t="array" ref="BU5">PRODUCT(1 + 預測IC!$C14:BT14) - 1</f>
        <v>-0.10845220551372481</v>
      </c>
      <c r="BV5" s="9">
        <f t="array" ref="BV5">PRODUCT(1 + 預測IC!$C14:BU14) - 1</f>
        <v>-9.4595854104260635E-2</v>
      </c>
      <c r="BW5" s="9">
        <f t="array" ref="BW5">PRODUCT(1 + 預測IC!$C14:BV14) - 1</f>
        <v>-0.11916042016364903</v>
      </c>
      <c r="BX5" s="9">
        <f t="array" ref="BX5">PRODUCT(1 + 預測IC!$C14:BW14) - 1</f>
        <v>-0.11883245376587881</v>
      </c>
      <c r="BY5" s="9">
        <f t="array" ref="BY5">PRODUCT(1 + 預測IC!$C14:BX14) - 1</f>
        <v>-9.6519760165300839E-2</v>
      </c>
      <c r="BZ5" s="9">
        <f t="array" ref="BZ5">PRODUCT(1 + 預測IC!$C14:BY14) - 1</f>
        <v>-0.12958004841045467</v>
      </c>
      <c r="CA5" s="9">
        <f t="array" ref="CA5">PRODUCT(1 + 預測IC!$C14:BZ14) - 1</f>
        <v>-0.13027744487830495</v>
      </c>
      <c r="CB5" s="9">
        <f t="array" ref="CB5">PRODUCT(1 + 預測IC!$C14:CA14) - 1</f>
        <v>-0.13200212728793437</v>
      </c>
      <c r="CC5" s="9">
        <f t="array" ref="CC5">PRODUCT(1 + 預測IC!$C14:CB14) - 1</f>
        <v>-0.11353571447547173</v>
      </c>
      <c r="CD5" s="9">
        <f t="array" ref="CD5">PRODUCT(1 + 預測IC!$C14:CC14) - 1</f>
        <v>-0.13079409675478337</v>
      </c>
      <c r="CE5" s="9">
        <f t="array" ref="CE5">PRODUCT(1 + 預測IC!$C14:CD14) - 1</f>
        <v>-0.14309625609799193</v>
      </c>
      <c r="CF5" s="9">
        <f t="array" ref="CF5">PRODUCT(1 + 預測IC!$C14:CE14) - 1</f>
        <v>-0.10331380214366481</v>
      </c>
      <c r="CG5" s="9">
        <f t="array" ref="CG5">PRODUCT(1 + 預測IC!$C14:CF14) - 1</f>
        <v>-0.13536351499400379</v>
      </c>
      <c r="CH5" s="9">
        <f t="array" ref="CH5">PRODUCT(1 + 預測IC!$C14:CG14) - 1</f>
        <v>-0.11655828144418612</v>
      </c>
      <c r="CI5" s="9">
        <f t="array" ref="CI5">PRODUCT(1 + 預測IC!$C14:CH14) - 1</f>
        <v>-0.13361167669053475</v>
      </c>
      <c r="CJ5" s="9">
        <f t="array" ref="CJ5">PRODUCT(1 + 預測IC!$C14:CI14) - 1</f>
        <v>-0.13197551974602562</v>
      </c>
      <c r="CK5" s="9">
        <f t="array" ref="CK5">PRODUCT(1 + 預測IC!$C14:CJ14) - 1</f>
        <v>-0.10261990062069859</v>
      </c>
      <c r="CL5" s="9">
        <f t="array" ref="CL5">PRODUCT(1 + 預測IC!$C14:CK14) - 1</f>
        <v>-0.10261837238493854</v>
      </c>
      <c r="CM5" s="9">
        <f t="array" ref="CM5">PRODUCT(1 + 預測IC!$C14:CL14) - 1</f>
        <v>-0.18483968901103098</v>
      </c>
      <c r="CN5" s="9">
        <f t="array" ref="CN5">PRODUCT(1 + 預測IC!$C14:CM14) - 1</f>
        <v>-0.18865616809244068</v>
      </c>
      <c r="CO5" s="9">
        <f t="array" ref="CO5">PRODUCT(1 + 預測IC!$C14:CN14) - 1</f>
        <v>-0.14329496782596163</v>
      </c>
      <c r="CP5" s="9">
        <f t="array" ref="CP5">PRODUCT(1 + 預測IC!$C14:CO14) - 1</f>
        <v>-0.11464530390329586</v>
      </c>
      <c r="CQ5" s="9">
        <f t="array" ref="CQ5">PRODUCT(1 + 預測IC!$C14:CP14) - 1</f>
        <v>-0.12968579554368487</v>
      </c>
      <c r="CR5" s="9">
        <f t="array" ref="CR5">PRODUCT(1 + 預測IC!$C14:CQ14) - 1</f>
        <v>-0.14122555750886689</v>
      </c>
      <c r="CS5" s="9">
        <f t="array" ref="CS5">PRODUCT(1 + 預測IC!$C14:CR14) - 1</f>
        <v>-0.15589330299670834</v>
      </c>
      <c r="CT5" s="9">
        <f t="array" ref="CT5">PRODUCT(1 + 預測IC!$C14:CS14) - 1</f>
        <v>-0.15809066234050917</v>
      </c>
      <c r="CU5" s="9">
        <f t="array" ref="CU5">PRODUCT(1 + 預測IC!$C14:CT14) - 1</f>
        <v>-0.12762990238598526</v>
      </c>
      <c r="CV5" s="9">
        <f t="array" ref="CV5">PRODUCT(1 + 預測IC!$C14:CU14) - 1</f>
        <v>-0.10540801840296965</v>
      </c>
      <c r="CW5" s="9">
        <f t="array" ref="CW5">PRODUCT(1 + 預測IC!$C14:CV14) - 1</f>
        <v>-0.12993789473831852</v>
      </c>
      <c r="CX5" s="9">
        <f t="array" ref="CX5">PRODUCT(1 + 預測IC!$C14:CW14) - 1</f>
        <v>-0.14492729190408993</v>
      </c>
      <c r="CY5" s="9">
        <f t="array" ref="CY5">PRODUCT(1 + 預測IC!$C14:CX14) - 1</f>
        <v>-0.1458357633056071</v>
      </c>
      <c r="CZ5" s="9">
        <f t="array" ref="CZ5">PRODUCT(1 + 預測IC!$C14:CY14) - 1</f>
        <v>-0.14066427660243053</v>
      </c>
      <c r="DA5" s="9">
        <f t="array" ref="DA5">PRODUCT(1 + 預測IC!$C14:CZ14) - 1</f>
        <v>-0.11113720129007743</v>
      </c>
      <c r="DB5" s="9">
        <f t="array" ref="DB5">PRODUCT(1 + 預測IC!$C14:DA14) - 1</f>
        <v>-9.7738026835545222E-2</v>
      </c>
      <c r="DC5" s="9">
        <f t="array" ref="DC5">PRODUCT(1 + 預測IC!$C14:DB14) - 1</f>
        <v>-9.4906714410961213E-2</v>
      </c>
      <c r="DD5" s="9">
        <f t="array" ref="DD5">PRODUCT(1 + 預測IC!$C14:DC14) - 1</f>
        <v>-6.0553006281868771E-2</v>
      </c>
      <c r="DE5" s="9">
        <f t="array" ref="DE5">PRODUCT(1 + 預測IC!$C14:DD14) - 1</f>
        <v>-9.0942718465393257E-2</v>
      </c>
      <c r="DF5" s="9">
        <f t="array" ref="DF5">PRODUCT(1 + 預測IC!$C14:DE14) - 1</f>
        <v>-0.10987191808404051</v>
      </c>
      <c r="DG5" s="9">
        <f t="array" ref="DG5">PRODUCT(1 + 預測IC!$C14:DF14) - 1</f>
        <v>-0.11058780172141469</v>
      </c>
      <c r="DH5" s="9">
        <f t="array" ref="DH5">PRODUCT(1 + 預測IC!$C14:DG14) - 1</f>
        <v>-0.13722656232951269</v>
      </c>
      <c r="DI5" s="9">
        <f t="array" ref="DI5">PRODUCT(1 + 預測IC!$C14:DH14) - 1</f>
        <v>-0.15689027364373032</v>
      </c>
      <c r="DJ5" s="9">
        <f t="array" ref="DJ5">PRODUCT(1 + 預測IC!$C14:DI14) - 1</f>
        <v>-0.17093084572330486</v>
      </c>
      <c r="DK5" s="9">
        <f t="array" ref="DK5">PRODUCT(1 + 預測IC!$C14:DJ14) - 1</f>
        <v>-0.1415516597324179</v>
      </c>
      <c r="DL5" s="9">
        <f t="array" ref="DL5">PRODUCT(1 + 預測IC!$C14:DK14) - 1</f>
        <v>-0.13885616297070225</v>
      </c>
      <c r="DM5" s="9">
        <f t="array" ref="DM5">PRODUCT(1 + 預測IC!$C14:DL14) - 1</f>
        <v>-0.1478316632239921</v>
      </c>
      <c r="DN5" s="9">
        <f t="array" ref="DN5">PRODUCT(1 + 預測IC!$C14:DM14) - 1</f>
        <v>-0.15031454277238099</v>
      </c>
      <c r="DO5" s="9">
        <f t="array" ref="DO5">PRODUCT(1 + 預測IC!$C14:DN14) - 1</f>
        <v>-0.12050309521121672</v>
      </c>
      <c r="DP5" s="9">
        <f t="array" ref="DP5">PRODUCT(1 + 預測IC!$C14:DO14) - 1</f>
        <v>-0.13530056537085811</v>
      </c>
      <c r="DQ5" s="9">
        <f t="array" ref="DQ5">PRODUCT(1 + 預測IC!$C14:DP14) - 1</f>
        <v>-0.12759259909198695</v>
      </c>
      <c r="DR5" s="9">
        <f t="array" ref="DR5">PRODUCT(1 + 預測IC!$C14:DQ14) - 1</f>
        <v>-0.12841836152738051</v>
      </c>
      <c r="DS5" s="9">
        <f t="array" ref="DS5">PRODUCT(1 + 預測IC!$C14:DR14) - 1</f>
        <v>-0.12731743376825078</v>
      </c>
      <c r="DT5" s="9">
        <f t="array" ref="DT5">PRODUCT(1 + 預測IC!$C14:DS14) - 1</f>
        <v>-0.10887602410856012</v>
      </c>
      <c r="DU5" s="9">
        <f t="array" ref="DU5">PRODUCT(1 + 預測IC!$C14:DT14) - 1</f>
        <v>-9.9910824057605097E-2</v>
      </c>
      <c r="DV5" s="9">
        <f t="array" ref="DV5">PRODUCT(1 + 預測IC!$C14:DU14) - 1</f>
        <v>-0.11652771382049554</v>
      </c>
      <c r="DW5" s="9">
        <f t="array" ref="DW5">PRODUCT(1 + 預測IC!$C14:DV14) - 1</f>
        <v>-0.10962964384681462</v>
      </c>
      <c r="DX5" s="9">
        <f t="array" ref="DX5">PRODUCT(1 + 預測IC!$C14:DW14) - 1</f>
        <v>-9.5327197571402511E-2</v>
      </c>
      <c r="DY5" s="9">
        <f t="array" ref="DY5">PRODUCT(1 + 預測IC!$C14:DX14) - 1</f>
        <v>-0.10222118284949377</v>
      </c>
      <c r="DZ5" s="9">
        <f t="array" ref="DZ5">PRODUCT(1 + 預測IC!$C14:DY14) - 1</f>
        <v>-0.1064090056163548</v>
      </c>
      <c r="EA5" s="9">
        <f t="array" ref="EA5">PRODUCT(1 + 預測IC!$C14:DZ14) - 1</f>
        <v>-0.1241085601024694</v>
      </c>
      <c r="EB5" s="9">
        <f t="array" ref="EB5">PRODUCT(1 + 預測IC!$C14:EA14) - 1</f>
        <v>-0.11230522894261274</v>
      </c>
      <c r="EC5" s="9">
        <f t="array" ref="EC5">PRODUCT(1 + 預測IC!$C14:EB14) - 1</f>
        <v>-9.9911741382268326E-2</v>
      </c>
      <c r="ED5" s="9">
        <f t="array" ref="ED5">PRODUCT(1 + 預測IC!$C14:EC14) - 1</f>
        <v>-9.7521612744201347E-2</v>
      </c>
      <c r="EE5" s="9">
        <f t="array" ref="EE5">PRODUCT(1 + 預測IC!$C14:ED14) - 1</f>
        <v>-8.3619625767513694E-2</v>
      </c>
      <c r="EF5" s="9">
        <f t="array" ref="EF5">PRODUCT(1 + 預測IC!$C14:EE14) - 1</f>
        <v>-9.8321436708951548E-2</v>
      </c>
      <c r="EG5" s="9">
        <f t="array" ref="EG5">PRODUCT(1 + 預測IC!$C14:EF14) - 1</f>
        <v>-9.501927904187113E-2</v>
      </c>
    </row>
    <row r="6" spans="3:137" ht="16" customHeight="1">
      <c r="C6" s="6">
        <v>20</v>
      </c>
      <c r="D6" s="9">
        <f t="array" ref="D6">PRODUCT(1 + 預測IC!$C15:C15) - 1</f>
        <v>-3.9502830356474838E-3</v>
      </c>
      <c r="E6" s="9">
        <f t="array" ref="E6">PRODUCT(1 + 預測IC!$C15:D15) - 1</f>
        <v>-6.448867181062079E-3</v>
      </c>
      <c r="F6" s="9">
        <f t="array" ref="F6">PRODUCT(1 + 預測IC!$C15:E15) - 1</f>
        <v>-1.2504304806040256E-2</v>
      </c>
      <c r="G6" s="9">
        <f t="array" ref="G6">PRODUCT(1 + 預測IC!$C15:F15) - 1</f>
        <v>-6.6999733869133049E-2</v>
      </c>
      <c r="H6" s="9">
        <f t="array" ref="H6">PRODUCT(1 + 預測IC!$C15:G15) - 1</f>
        <v>-2.2091693627482201E-2</v>
      </c>
      <c r="I6" s="9">
        <f t="array" ref="I6">PRODUCT(1 + 預測IC!$C15:H15) - 1</f>
        <v>-6.3097969281783906E-2</v>
      </c>
      <c r="J6" s="9">
        <f t="array" ref="J6">PRODUCT(1 + 預測IC!$C15:I15) - 1</f>
        <v>-3.3486079329392182E-2</v>
      </c>
      <c r="K6" s="9">
        <f t="array" ref="K6">PRODUCT(1 + 預測IC!$C15:J15) - 1</f>
        <v>-1.2447467722700889E-2</v>
      </c>
      <c r="L6" s="9">
        <f t="array" ref="L6">PRODUCT(1 + 預測IC!$C15:K15) - 1</f>
        <v>2.9424657181760239E-2</v>
      </c>
      <c r="M6" s="9">
        <f t="array" ref="M6">PRODUCT(1 + 預測IC!$C15:L15) - 1</f>
        <v>-6.7163541081978195E-3</v>
      </c>
      <c r="N6" s="9">
        <f t="array" ref="N6">PRODUCT(1 + 預測IC!$C15:M15) - 1</f>
        <v>5.888468054186502E-2</v>
      </c>
      <c r="O6" s="9">
        <f t="array" ref="O6">PRODUCT(1 + 預測IC!$C15:N15) - 1</f>
        <v>-1.8218672314882389E-2</v>
      </c>
      <c r="P6" s="9">
        <f t="array" ref="P6">PRODUCT(1 + 預測IC!$C15:O15) - 1</f>
        <v>1.1808159971427479E-2</v>
      </c>
      <c r="Q6" s="9">
        <f t="array" ref="Q6">PRODUCT(1 + 預測IC!$C15:P15) - 1</f>
        <v>1.7427601956367944E-2</v>
      </c>
      <c r="R6" s="9">
        <f t="array" ref="R6">PRODUCT(1 + 預測IC!$C15:Q15) - 1</f>
        <v>4.2681017996136106E-2</v>
      </c>
      <c r="S6" s="9">
        <f t="array" ref="S6">PRODUCT(1 + 預測IC!$C15:R15) - 1</f>
        <v>6.2611482529304929E-2</v>
      </c>
      <c r="T6" s="9">
        <f t="array" ref="T6">PRODUCT(1 + 預測IC!$C15:S15) - 1</f>
        <v>7.3699334660539018E-2</v>
      </c>
      <c r="U6" s="9">
        <f t="array" ref="U6">PRODUCT(1 + 預測IC!$C15:T15) - 1</f>
        <v>9.4592623144504895E-2</v>
      </c>
      <c r="V6" s="9">
        <f t="array" ref="V6">PRODUCT(1 + 預測IC!$C15:U15) - 1</f>
        <v>0.12942278767207638</v>
      </c>
      <c r="W6" s="9">
        <f t="array" ref="W6">PRODUCT(1 + 預測IC!$C15:V15) - 1</f>
        <v>0.11719728205643642</v>
      </c>
      <c r="X6" s="9">
        <f t="array" ref="X6">PRODUCT(1 + 預測IC!$C15:W15) - 1</f>
        <v>0.11797345249915403</v>
      </c>
      <c r="Y6" s="9">
        <f t="array" ref="Y6">PRODUCT(1 + 預測IC!$C15:X15) - 1</f>
        <v>8.0428584197903552E-2</v>
      </c>
      <c r="Z6" s="9">
        <f t="array" ref="Z6">PRODUCT(1 + 預測IC!$C15:Y15) - 1</f>
        <v>4.038238299871999E-2</v>
      </c>
      <c r="AA6" s="9">
        <f t="array" ref="AA6">PRODUCT(1 + 預測IC!$C15:Z15) - 1</f>
        <v>6.0733087027458721E-2</v>
      </c>
      <c r="AB6" s="9">
        <f t="array" ref="AB6">PRODUCT(1 + 預測IC!$C15:AA15) - 1</f>
        <v>1.5165000380103599E-2</v>
      </c>
      <c r="AC6" s="9">
        <f t="array" ref="AC6">PRODUCT(1 + 預測IC!$C15:AB15) - 1</f>
        <v>-3.7253646340175139E-3</v>
      </c>
      <c r="AD6" s="9">
        <f t="array" ref="AD6">PRODUCT(1 + 預測IC!$C15:AC15) - 1</f>
        <v>4.5558423478638588E-2</v>
      </c>
      <c r="AE6" s="9">
        <f t="array" ref="AE6">PRODUCT(1 + 預測IC!$C15:AD15) - 1</f>
        <v>6.2587654906564261E-2</v>
      </c>
      <c r="AF6" s="9">
        <f t="array" ref="AF6">PRODUCT(1 + 預測IC!$C15:AE15) - 1</f>
        <v>2.4972931759597028E-3</v>
      </c>
      <c r="AG6" s="9">
        <f t="array" ref="AG6">PRODUCT(1 + 預測IC!$C15:AF15) - 1</f>
        <v>6.0942477061400657E-2</v>
      </c>
      <c r="AH6" s="9">
        <f t="array" ref="AH6">PRODUCT(1 + 預測IC!$C15:AG15) - 1</f>
        <v>6.5879306864708331E-2</v>
      </c>
      <c r="AI6" s="9">
        <f t="array" ref="AI6">PRODUCT(1 + 預測IC!$C15:AH15) - 1</f>
        <v>6.2725824293867305E-2</v>
      </c>
      <c r="AJ6" s="9">
        <f t="array" ref="AJ6">PRODUCT(1 + 預測IC!$C15:AI15) - 1</f>
        <v>6.5880614633626822E-2</v>
      </c>
      <c r="AK6" s="9">
        <f t="array" ref="AK6">PRODUCT(1 + 預測IC!$C15:AJ15) - 1</f>
        <v>8.6501257939567422E-2</v>
      </c>
      <c r="AL6" s="9">
        <f t="array" ref="AL6">PRODUCT(1 + 預測IC!$C15:AK15) - 1</f>
        <v>9.1011953813416202E-2</v>
      </c>
      <c r="AM6" s="9">
        <f t="array" ref="AM6">PRODUCT(1 + 預測IC!$C15:AL15) - 1</f>
        <v>7.012608334962267E-2</v>
      </c>
      <c r="AN6" s="9">
        <f t="array" ref="AN6">PRODUCT(1 + 預測IC!$C15:AM15) - 1</f>
        <v>7.0908155780141868E-2</v>
      </c>
      <c r="AO6" s="9">
        <f t="array" ref="AO6">PRODUCT(1 + 預測IC!$C15:AN15) - 1</f>
        <v>5.6307960077332186E-2</v>
      </c>
      <c r="AP6" s="9">
        <f t="array" ref="AP6">PRODUCT(1 + 預測IC!$C15:AO15) - 1</f>
        <v>4.7754603570966836E-2</v>
      </c>
      <c r="AQ6" s="9">
        <f t="array" ref="AQ6">PRODUCT(1 + 預測IC!$C15:AP15) - 1</f>
        <v>6.0700843828499274E-2</v>
      </c>
      <c r="AR6" s="9">
        <f t="array" ref="AR6">PRODUCT(1 + 預測IC!$C15:AQ15) - 1</f>
        <v>6.9685635560652104E-2</v>
      </c>
      <c r="AS6" s="9">
        <f t="array" ref="AS6">PRODUCT(1 + 預測IC!$C15:AR15) - 1</f>
        <v>8.6174401951554014E-2</v>
      </c>
      <c r="AT6" s="9">
        <f t="array" ref="AT6">PRODUCT(1 + 預測IC!$C15:AS15) - 1</f>
        <v>0.10507966394208434</v>
      </c>
      <c r="AU6" s="9">
        <f t="array" ref="AU6">PRODUCT(1 + 預測IC!$C15:AT15) - 1</f>
        <v>9.5433546886893872E-2</v>
      </c>
      <c r="AV6" s="9">
        <f t="array" ref="AV6">PRODUCT(1 + 預測IC!$C15:AU15) - 1</f>
        <v>0.14535116177898377</v>
      </c>
      <c r="AW6" s="9">
        <f t="array" ref="AW6">PRODUCT(1 + 預測IC!$C15:AV15) - 1</f>
        <v>0.14784388813330884</v>
      </c>
      <c r="AX6" s="9">
        <f t="array" ref="AX6">PRODUCT(1 + 預測IC!$C15:AW15) - 1</f>
        <v>0.15925761252453663</v>
      </c>
      <c r="AY6" s="9">
        <f t="array" ref="AY6">PRODUCT(1 + 預測IC!$C15:AX15) - 1</f>
        <v>0.16175800005424645</v>
      </c>
      <c r="AZ6" s="9">
        <f t="array" ref="AZ6">PRODUCT(1 + 預測IC!$C15:AY15) - 1</f>
        <v>0.18988121472391972</v>
      </c>
      <c r="BA6" s="9">
        <f t="array" ref="BA6">PRODUCT(1 + 預測IC!$C15:AZ15) - 1</f>
        <v>0.19904153586064366</v>
      </c>
      <c r="BB6" s="9">
        <f t="array" ref="BB6">PRODUCT(1 + 預測IC!$C15:BA15) - 1</f>
        <v>0.16505068288367131</v>
      </c>
      <c r="BC6" s="9">
        <f t="array" ref="BC6">PRODUCT(1 + 預測IC!$C15:BB15) - 1</f>
        <v>0.12383990952194357</v>
      </c>
      <c r="BD6" s="9">
        <f t="array" ref="BD6">PRODUCT(1 + 預測IC!$C15:BC15) - 1</f>
        <v>0.11069899715170783</v>
      </c>
      <c r="BE6" s="9">
        <f t="array" ref="BE6">PRODUCT(1 + 預測IC!$C15:BD15) - 1</f>
        <v>0.13410889653011893</v>
      </c>
      <c r="BF6" s="9">
        <f t="array" ref="BF6">PRODUCT(1 + 預測IC!$C15:BE15) - 1</f>
        <v>0.13880468700842807</v>
      </c>
      <c r="BG6" s="9">
        <f t="array" ref="BG6">PRODUCT(1 + 預測IC!$C15:BF15) - 1</f>
        <v>0.1124896706218439</v>
      </c>
      <c r="BH6" s="9">
        <f t="array" ref="BH6">PRODUCT(1 + 預測IC!$C15:BG15) - 1</f>
        <v>0.10004323532735904</v>
      </c>
      <c r="BI6" s="9">
        <f t="array" ref="BI6">PRODUCT(1 + 預測IC!$C15:BH15) - 1</f>
        <v>-2.8980755019590965E-2</v>
      </c>
      <c r="BJ6" s="9">
        <f t="array" ref="BJ6">PRODUCT(1 + 預測IC!$C15:BI15) - 1</f>
        <v>-0.11199311577803672</v>
      </c>
      <c r="BK6" s="9">
        <f t="array" ref="BK6">PRODUCT(1 + 預測IC!$C15:BJ15) - 1</f>
        <v>-0.11448141899783071</v>
      </c>
      <c r="BL6" s="9">
        <f t="array" ref="BL6">PRODUCT(1 + 預測IC!$C15:BK15) - 1</f>
        <v>-0.10117560656284463</v>
      </c>
      <c r="BM6" s="9">
        <f t="array" ref="BM6">PRODUCT(1 + 預測IC!$C15:BL15) - 1</f>
        <v>-9.1457640249463568E-2</v>
      </c>
      <c r="BN6" s="9">
        <f t="array" ref="BN6">PRODUCT(1 + 預測IC!$C15:BM15) - 1</f>
        <v>-9.2436978628333888E-2</v>
      </c>
      <c r="BO6" s="9">
        <f t="array" ref="BO6">PRODUCT(1 + 預測IC!$C15:BN15) - 1</f>
        <v>-8.9936075899575529E-2</v>
      </c>
      <c r="BP6" s="9">
        <f t="array" ref="BP6">PRODUCT(1 + 預測IC!$C15:BO15) - 1</f>
        <v>-8.5453983893018726E-2</v>
      </c>
      <c r="BQ6" s="9">
        <f t="array" ref="BQ6">PRODUCT(1 + 預測IC!$C15:BP15) - 1</f>
        <v>-3.6028348759043261E-2</v>
      </c>
      <c r="BR6" s="9">
        <f t="array" ref="BR6">PRODUCT(1 + 預測IC!$C15:BQ15) - 1</f>
        <v>-2.4635383821681289E-2</v>
      </c>
      <c r="BS6" s="9">
        <f t="array" ref="BS6">PRODUCT(1 + 預測IC!$C15:BR15) - 1</f>
        <v>4.3529827181508329E-2</v>
      </c>
      <c r="BT6" s="9">
        <f t="array" ref="BT6">PRODUCT(1 + 預測IC!$C15:BS15) - 1</f>
        <v>4.4921654339632688E-2</v>
      </c>
      <c r="BU6" s="9">
        <f t="array" ref="BU6">PRODUCT(1 + 預測IC!$C15:BT15) - 1</f>
        <v>5.5397970838857447E-2</v>
      </c>
      <c r="BV6" s="9">
        <f t="array" ref="BV6">PRODUCT(1 + 預測IC!$C15:BU15) - 1</f>
        <v>9.3067351311124646E-2</v>
      </c>
      <c r="BW6" s="9">
        <f t="array" ref="BW6">PRODUCT(1 + 預測IC!$C15:BV15) - 1</f>
        <v>4.7024308568369699E-2</v>
      </c>
      <c r="BX6" s="9">
        <f t="array" ref="BX6">PRODUCT(1 + 預測IC!$C15:BW15) - 1</f>
        <v>5.421143437840148E-2</v>
      </c>
      <c r="BY6" s="9">
        <f t="array" ref="BY6">PRODUCT(1 + 預測IC!$C15:BX15) - 1</f>
        <v>0.10172215774930393</v>
      </c>
      <c r="BZ6" s="9">
        <f t="array" ref="BZ6">PRODUCT(1 + 預測IC!$C15:BY15) - 1</f>
        <v>5.7792546488815821E-2</v>
      </c>
      <c r="CA6" s="9">
        <f t="array" ref="CA6">PRODUCT(1 + 預測IC!$C15:BZ15) - 1</f>
        <v>5.9968837431154665E-2</v>
      </c>
      <c r="CB6" s="9">
        <f t="array" ref="CB6">PRODUCT(1 + 預測IC!$C15:CA15) - 1</f>
        <v>6.7179559371457698E-2</v>
      </c>
      <c r="CC6" s="9">
        <f t="array" ref="CC6">PRODUCT(1 + 預測IC!$C15:CB15) - 1</f>
        <v>0.13026933930810736</v>
      </c>
      <c r="CD6" s="9">
        <f t="array" ref="CD6">PRODUCT(1 + 預測IC!$C15:CC15) - 1</f>
        <v>0.13471075595924176</v>
      </c>
      <c r="CE6" s="9">
        <f t="array" ref="CE6">PRODUCT(1 + 預測IC!$C15:CD15) - 1</f>
        <v>0.10662407569313714</v>
      </c>
      <c r="CF6" s="9">
        <f t="array" ref="CF6">PRODUCT(1 + 預測IC!$C15:CE15) - 1</f>
        <v>0.16294673069777699</v>
      </c>
      <c r="CG6" s="9">
        <f t="array" ref="CG6">PRODUCT(1 + 預測IC!$C15:CF15) - 1</f>
        <v>0.14334041949481091</v>
      </c>
      <c r="CH6" s="9">
        <f t="array" ref="CH6">PRODUCT(1 + 預測IC!$C15:CG15) - 1</f>
        <v>0.17548612243532968</v>
      </c>
      <c r="CI6" s="9">
        <f t="array" ref="CI6">PRODUCT(1 + 預測IC!$C15:CH15) - 1</f>
        <v>0.10947227598355758</v>
      </c>
      <c r="CJ6" s="9">
        <f t="array" ref="CJ6">PRODUCT(1 + 預測IC!$C15:CI15) - 1</f>
        <v>9.7909497686655245E-2</v>
      </c>
      <c r="CK6" s="9">
        <f t="array" ref="CK6">PRODUCT(1 + 預測IC!$C15:CJ15) - 1</f>
        <v>0.11723418332963487</v>
      </c>
      <c r="CL6" s="9">
        <f t="array" ref="CL6">PRODUCT(1 + 預測IC!$C15:CK15) - 1</f>
        <v>0.12291130667800965</v>
      </c>
      <c r="CM6" s="9">
        <f t="array" ref="CM6">PRODUCT(1 + 預測IC!$C15:CL15) - 1</f>
        <v>2.3355147309541024E-2</v>
      </c>
      <c r="CN6" s="9">
        <f t="array" ref="CN6">PRODUCT(1 + 預測IC!$C15:CM15) - 1</f>
        <v>-2.5500662250657058E-3</v>
      </c>
      <c r="CO6" s="9">
        <f t="array" ref="CO6">PRODUCT(1 + 預測IC!$C15:CN15) - 1</f>
        <v>6.2761116902938952E-2</v>
      </c>
      <c r="CP6" s="9">
        <f t="array" ref="CP6">PRODUCT(1 + 預測IC!$C15:CO15) - 1</f>
        <v>0.11282673844845781</v>
      </c>
      <c r="CQ6" s="9">
        <f t="array" ref="CQ6">PRODUCT(1 + 預測IC!$C15:CP15) - 1</f>
        <v>0.11083178832347618</v>
      </c>
      <c r="CR6" s="9">
        <f t="array" ref="CR6">PRODUCT(1 + 預測IC!$C15:CQ15) - 1</f>
        <v>9.3047483263086317E-2</v>
      </c>
      <c r="CS6" s="9">
        <f t="array" ref="CS6">PRODUCT(1 + 預測IC!$C15:CR15) - 1</f>
        <v>8.154596358277888E-2</v>
      </c>
      <c r="CT6" s="9">
        <f t="array" ref="CT6">PRODUCT(1 + 預測IC!$C15:CS15) - 1</f>
        <v>9.684093147395445E-2</v>
      </c>
      <c r="CU6" s="9">
        <f t="array" ref="CU6">PRODUCT(1 + 預測IC!$C15:CT15) - 1</f>
        <v>0.11415871634494512</v>
      </c>
      <c r="CV6" s="9">
        <f t="array" ref="CV6">PRODUCT(1 + 預測IC!$C15:CU15) - 1</f>
        <v>0.15633873116250596</v>
      </c>
      <c r="CW6" s="9">
        <f t="array" ref="CW6">PRODUCT(1 + 預測IC!$C15:CV15) - 1</f>
        <v>0.13213487346192609</v>
      </c>
      <c r="CX6" s="9">
        <f t="array" ref="CX6">PRODUCT(1 + 預測IC!$C15:CW15) - 1</f>
        <v>9.6916527853385448E-2</v>
      </c>
      <c r="CY6" s="9">
        <f t="array" ref="CY6">PRODUCT(1 + 預測IC!$C15:CX15) - 1</f>
        <v>8.1006352285259764E-2</v>
      </c>
      <c r="CZ6" s="9">
        <f t="array" ref="CZ6">PRODUCT(1 + 預測IC!$C15:CY15) - 1</f>
        <v>0.10570077896519492</v>
      </c>
      <c r="DA6" s="9">
        <f t="array" ref="DA6">PRODUCT(1 + 預測IC!$C15:CZ15) - 1</f>
        <v>0.13046004376669762</v>
      </c>
      <c r="DB6" s="9">
        <f t="array" ref="DB6">PRODUCT(1 + 預測IC!$C15:DA15) - 1</f>
        <v>0.17351734214835601</v>
      </c>
      <c r="DC6" s="9">
        <f t="array" ref="DC6">PRODUCT(1 + 預測IC!$C15:DB15) - 1</f>
        <v>0.12129633633444814</v>
      </c>
      <c r="DD6" s="9">
        <f t="array" ref="DD6">PRODUCT(1 + 預測IC!$C15:DC15) - 1</f>
        <v>0.12260067079061066</v>
      </c>
      <c r="DE6" s="9">
        <f t="array" ref="DE6">PRODUCT(1 + 預測IC!$C15:DD15) - 1</f>
        <v>9.3727413968601514E-2</v>
      </c>
      <c r="DF6" s="9">
        <f t="array" ref="DF6">PRODUCT(1 + 預測IC!$C15:DE15) - 1</f>
        <v>0.10359825181688964</v>
      </c>
      <c r="DG6" s="9">
        <f t="array" ref="DG6">PRODUCT(1 + 預測IC!$C15:DF15) - 1</f>
        <v>9.9458593554865971E-2</v>
      </c>
      <c r="DH6" s="9">
        <f t="array" ref="DH6">PRODUCT(1 + 預測IC!$C15:DG15) - 1</f>
        <v>4.8906674487202872E-2</v>
      </c>
      <c r="DI6" s="9">
        <f t="array" ref="DI6">PRODUCT(1 + 預測IC!$C15:DH15) - 1</f>
        <v>3.691881709182443E-2</v>
      </c>
      <c r="DJ6" s="9">
        <f t="array" ref="DJ6">PRODUCT(1 + 預測IC!$C15:DI15) - 1</f>
        <v>1.360206088366378E-2</v>
      </c>
      <c r="DK6" s="9">
        <f t="array" ref="DK6">PRODUCT(1 + 預測IC!$C15:DJ15) - 1</f>
        <v>3.9013443549029247E-2</v>
      </c>
      <c r="DL6" s="9">
        <f t="array" ref="DL6">PRODUCT(1 + 預測IC!$C15:DK15) - 1</f>
        <v>6.5621449032456924E-2</v>
      </c>
      <c r="DM6" s="9">
        <f t="array" ref="DM6">PRODUCT(1 + 預測IC!$C15:DL15) - 1</f>
        <v>3.1060644538535964E-2</v>
      </c>
      <c r="DN6" s="9">
        <f t="array" ref="DN6">PRODUCT(1 + 預測IC!$C15:DM15) - 1</f>
        <v>3.204494317639428E-2</v>
      </c>
      <c r="DO6" s="9">
        <f t="array" ref="DO6">PRODUCT(1 + 預測IC!$C15:DN15) - 1</f>
        <v>7.7065764240819012E-2</v>
      </c>
      <c r="DP6" s="9">
        <f t="array" ref="DP6">PRODUCT(1 + 預測IC!$C15:DO15) - 1</f>
        <v>4.3538530355075045E-2</v>
      </c>
      <c r="DQ6" s="9">
        <f t="array" ref="DQ6">PRODUCT(1 + 預測IC!$C15:DP15) - 1</f>
        <v>3.4749471658779285E-2</v>
      </c>
      <c r="DR6" s="9">
        <f t="array" ref="DR6">PRODUCT(1 + 預測IC!$C15:DQ15) - 1</f>
        <v>4.602559454005517E-2</v>
      </c>
      <c r="DS6" s="9">
        <f t="array" ref="DS6">PRODUCT(1 + 預測IC!$C15:DR15) - 1</f>
        <v>5.3106545450606779E-2</v>
      </c>
      <c r="DT6" s="9">
        <f t="array" ref="DT6">PRODUCT(1 + 預測IC!$C15:DS15) - 1</f>
        <v>6.1739222568958363E-2</v>
      </c>
      <c r="DU6" s="9">
        <f t="array" ref="DU6">PRODUCT(1 + 預測IC!$C15:DT15) - 1</f>
        <v>5.4614748915885025E-2</v>
      </c>
      <c r="DV6" s="9">
        <f t="array" ref="DV6">PRODUCT(1 + 預測IC!$C15:DU15) - 1</f>
        <v>6.5522921019772085E-2</v>
      </c>
      <c r="DW6" s="9">
        <f t="array" ref="DW6">PRODUCT(1 + 預測IC!$C15:DV15) - 1</f>
        <v>9.743464604434604E-2</v>
      </c>
      <c r="DX6" s="9">
        <f t="array" ref="DX6">PRODUCT(1 + 預測IC!$C15:DW15) - 1</f>
        <v>0.13982524262123075</v>
      </c>
      <c r="DY6" s="9">
        <f t="array" ref="DY6">PRODUCT(1 + 預測IC!$C15:DX15) - 1</f>
        <v>0.10058691104105888</v>
      </c>
      <c r="DZ6" s="9">
        <f t="array" ref="DZ6">PRODUCT(1 + 預測IC!$C15:DY15) - 1</f>
        <v>0.12376326448981834</v>
      </c>
      <c r="EA6" s="9">
        <f t="array" ref="EA6">PRODUCT(1 + 預測IC!$C15:DZ15) - 1</f>
        <v>9.1848350797647527E-2</v>
      </c>
      <c r="EB6" s="9">
        <f t="array" ref="EB6">PRODUCT(1 + 預測IC!$C15:EA15) - 1</f>
        <v>0.10528859318311379</v>
      </c>
      <c r="EC6" s="9">
        <f t="array" ref="EC6">PRODUCT(1 + 預測IC!$C15:EB15) - 1</f>
        <v>0.14590176657223464</v>
      </c>
      <c r="ED6" s="9">
        <f t="array" ref="ED6">PRODUCT(1 + 預測IC!$C15:EC15) - 1</f>
        <v>0.14259231300900477</v>
      </c>
      <c r="EE6" s="9">
        <f t="array" ref="EE6">PRODUCT(1 + 預測IC!$C15:ED15) - 1</f>
        <v>0.12986317844620121</v>
      </c>
      <c r="EF6" s="9">
        <f t="array" ref="EF6">PRODUCT(1 + 預測IC!$C15:EE15) - 1</f>
        <v>0.13412424911337095</v>
      </c>
      <c r="EG6" s="9">
        <f t="array" ref="EG6">PRODUCT(1 + 預測IC!$C15:EF15) - 1</f>
        <v>0.15909254841636633</v>
      </c>
    </row>
    <row r="7" spans="3:137" ht="16" customHeight="1">
      <c r="C7" s="6">
        <v>50</v>
      </c>
      <c r="D7" s="9">
        <f t="array" ref="D7">PRODUCT(1 + 預測IC!$C16:C16) - 1</f>
        <v>-3.3019748374950586E-3</v>
      </c>
      <c r="E7" s="9">
        <f t="array" ref="E7">PRODUCT(1 + 預測IC!$C16:D16) - 1</f>
        <v>-6.7659978665504106E-2</v>
      </c>
      <c r="F7" s="9">
        <f t="array" ref="F7">PRODUCT(1 + 預測IC!$C16:E16) - 1</f>
        <v>-7.216830603445612E-2</v>
      </c>
      <c r="G7" s="9">
        <f t="array" ref="G7">PRODUCT(1 + 預測IC!$C16:F16) - 1</f>
        <v>-4.2150548155915013E-2</v>
      </c>
      <c r="H7" s="9">
        <f t="array" ref="H7">PRODUCT(1 + 預測IC!$C16:G16) - 1</f>
        <v>4.0863277849302548E-2</v>
      </c>
      <c r="I7" s="9">
        <f t="array" ref="I7">PRODUCT(1 + 預測IC!$C16:H16) - 1</f>
        <v>3.4636991215992508E-2</v>
      </c>
      <c r="J7" s="9">
        <f t="array" ref="J7">PRODUCT(1 + 預測IC!$C16:I16) - 1</f>
        <v>0.12397743071028788</v>
      </c>
      <c r="K7" s="9">
        <f t="array" ref="K7">PRODUCT(1 + 預測IC!$C16:J16) - 1</f>
        <v>0.12580469871230826</v>
      </c>
      <c r="L7" s="9">
        <f t="array" ref="L7">PRODUCT(1 + 預測IC!$C16:K16) - 1</f>
        <v>0.16002962372154816</v>
      </c>
      <c r="M7" s="9">
        <f t="array" ref="M7">PRODUCT(1 + 預測IC!$C16:L16) - 1</f>
        <v>7.7269749241332342E-2</v>
      </c>
      <c r="N7" s="9">
        <f t="array" ref="N7">PRODUCT(1 + 預測IC!$C16:M16) - 1</f>
        <v>8.4815362054072807E-2</v>
      </c>
      <c r="O7" s="9">
        <f t="array" ref="O7">PRODUCT(1 + 預測IC!$C16:N16) - 1</f>
        <v>-6.4466147792631712E-2</v>
      </c>
      <c r="P7" s="9">
        <f t="array" ref="P7">PRODUCT(1 + 預測IC!$C16:O16) - 1</f>
        <v>-3.0332407263699457E-2</v>
      </c>
      <c r="Q7" s="9">
        <f t="array" ref="Q7">PRODUCT(1 + 預測IC!$C16:P16) - 1</f>
        <v>-3.0490307664371996E-2</v>
      </c>
      <c r="R7" s="9">
        <f t="array" ref="R7">PRODUCT(1 + 預測IC!$C16:Q16) - 1</f>
        <v>-4.0483679263085381E-2</v>
      </c>
      <c r="S7" s="9">
        <f t="array" ref="S7">PRODUCT(1 + 預測IC!$C16:R16) - 1</f>
        <v>-6.3353988239864822E-3</v>
      </c>
      <c r="T7" s="9">
        <f t="array" ref="T7">PRODUCT(1 + 預測IC!$C16:S16) - 1</f>
        <v>7.4878522018584359E-3</v>
      </c>
      <c r="U7" s="9">
        <f t="array" ref="U7">PRODUCT(1 + 預測IC!$C16:T16) - 1</f>
        <v>-2.611971031870941E-3</v>
      </c>
      <c r="V7" s="9">
        <f t="array" ref="V7">PRODUCT(1 + 預測IC!$C16:U16) - 1</f>
        <v>4.5782021967378128E-2</v>
      </c>
      <c r="W7" s="9">
        <f t="array" ref="W7">PRODUCT(1 + 預測IC!$C16:V16) - 1</f>
        <v>6.7833670361190146E-2</v>
      </c>
      <c r="X7" s="9">
        <f t="array" ref="X7">PRODUCT(1 + 預測IC!$C16:W16) - 1</f>
        <v>0.1245988390061572</v>
      </c>
      <c r="Y7" s="9">
        <f t="array" ref="Y7">PRODUCT(1 + 預測IC!$C16:X16) - 1</f>
        <v>0.11112030181969446</v>
      </c>
      <c r="Z7" s="9">
        <f t="array" ref="Z7">PRODUCT(1 + 預測IC!$C16:Y16) - 1</f>
        <v>0.12039473693716851</v>
      </c>
      <c r="AA7" s="9">
        <f t="array" ref="AA7">PRODUCT(1 + 預測IC!$C16:Z16) - 1</f>
        <v>0.23553948266793689</v>
      </c>
      <c r="AB7" s="9">
        <f t="array" ref="AB7">PRODUCT(1 + 預測IC!$C16:AA16) - 1</f>
        <v>0.19288526406349971</v>
      </c>
      <c r="AC7" s="9">
        <f t="array" ref="AC7">PRODUCT(1 + 預測IC!$C16:AB16) - 1</f>
        <v>0.17546004105415491</v>
      </c>
      <c r="AD7" s="9">
        <f t="array" ref="AD7">PRODUCT(1 + 預測IC!$C16:AC16) - 1</f>
        <v>0.2628457333581331</v>
      </c>
      <c r="AE7" s="9">
        <f t="array" ref="AE7">PRODUCT(1 + 預測IC!$C16:AD16) - 1</f>
        <v>0.30665845366455846</v>
      </c>
      <c r="AF7" s="9">
        <f t="array" ref="AF7">PRODUCT(1 + 預測IC!$C16:AE16) - 1</f>
        <v>0.22587825237038062</v>
      </c>
      <c r="AG7" s="9">
        <f t="array" ref="AG7">PRODUCT(1 + 預測IC!$C16:AF16) - 1</f>
        <v>0.39248575383891371</v>
      </c>
      <c r="AH7" s="9">
        <f t="array" ref="AH7">PRODUCT(1 + 預測IC!$C16:AG16) - 1</f>
        <v>0.38141517278843895</v>
      </c>
      <c r="AI7" s="9">
        <f t="array" ref="AI7">PRODUCT(1 + 預測IC!$C16:AH16) - 1</f>
        <v>0.36631606323399235</v>
      </c>
      <c r="AJ7" s="9">
        <f t="array" ref="AJ7">PRODUCT(1 + 預測IC!$C16:AI16) - 1</f>
        <v>0.38868356358903688</v>
      </c>
      <c r="AK7" s="9">
        <f t="array" ref="AK7">PRODUCT(1 + 預測IC!$C16:AJ16) - 1</f>
        <v>0.4538988486553106</v>
      </c>
      <c r="AL7" s="9">
        <f t="array" ref="AL7">PRODUCT(1 + 預測IC!$C16:AK16) - 1</f>
        <v>0.40699514330512554</v>
      </c>
      <c r="AM7" s="9">
        <f t="array" ref="AM7">PRODUCT(1 + 預測IC!$C16:AL16) - 1</f>
        <v>0.36483025907800393</v>
      </c>
      <c r="AN7" s="9">
        <f t="array" ref="AN7">PRODUCT(1 + 預測IC!$C16:AM16) - 1</f>
        <v>0.29530862679159209</v>
      </c>
      <c r="AO7" s="9">
        <f t="array" ref="AO7">PRODUCT(1 + 預測IC!$C16:AN16) - 1</f>
        <v>0.34160204254460647</v>
      </c>
      <c r="AP7" s="9">
        <f t="array" ref="AP7">PRODUCT(1 + 預測IC!$C16:AO16) - 1</f>
        <v>0.30726136913421165</v>
      </c>
      <c r="AQ7" s="9">
        <f t="array" ref="AQ7">PRODUCT(1 + 預測IC!$C16:AP16) - 1</f>
        <v>0.30885485058395634</v>
      </c>
      <c r="AR7" s="9">
        <f t="array" ref="AR7">PRODUCT(1 + 預測IC!$C16:AQ16) - 1</f>
        <v>0.25453153012220042</v>
      </c>
      <c r="AS7" s="9">
        <f t="array" ref="AS7">PRODUCT(1 + 預測IC!$C16:AR16) - 1</f>
        <v>0.28631580552549951</v>
      </c>
      <c r="AT7" s="9">
        <f t="array" ref="AT7">PRODUCT(1 + 預測IC!$C16:AS16) - 1</f>
        <v>0.29930449407040505</v>
      </c>
      <c r="AU7" s="9">
        <f t="array" ref="AU7">PRODUCT(1 + 預測IC!$C16:AT16) - 1</f>
        <v>0.28525762126776311</v>
      </c>
      <c r="AV7" s="9">
        <f t="array" ref="AV7">PRODUCT(1 + 預測IC!$C16:AU16) - 1</f>
        <v>0.34085970221863149</v>
      </c>
      <c r="AW7" s="9">
        <f t="array" ref="AW7">PRODUCT(1 + 預測IC!$C16:AV16) - 1</f>
        <v>0.32631415332005864</v>
      </c>
      <c r="AX7" s="9">
        <f t="array" ref="AX7">PRODUCT(1 + 預測IC!$C16:AW16) - 1</f>
        <v>0.33179281373576264</v>
      </c>
      <c r="AY7" s="9">
        <f t="array" ref="AY7">PRODUCT(1 + 預測IC!$C16:AX16) - 1</f>
        <v>0.32472310762552348</v>
      </c>
      <c r="AZ7" s="9">
        <f t="array" ref="AZ7">PRODUCT(1 + 預測IC!$C16:AY16) - 1</f>
        <v>0.36246526569541193</v>
      </c>
      <c r="BA7" s="9">
        <f t="array" ref="BA7">PRODUCT(1 + 預測IC!$C16:AZ16) - 1</f>
        <v>0.37893246893121169</v>
      </c>
      <c r="BB7" s="9">
        <f t="array" ref="BB7">PRODUCT(1 + 預測IC!$C16:BA16) - 1</f>
        <v>0.33953791635726649</v>
      </c>
      <c r="BC7" s="9">
        <f t="array" ref="BC7">PRODUCT(1 + 預測IC!$C16:BB16) - 1</f>
        <v>0.27645944881683859</v>
      </c>
      <c r="BD7" s="9">
        <f t="array" ref="BD7">PRODUCT(1 + 預測IC!$C16:BC16) - 1</f>
        <v>0.31501853978899841</v>
      </c>
      <c r="BE7" s="9">
        <f t="array" ref="BE7">PRODUCT(1 + 預測IC!$C16:BD16) - 1</f>
        <v>0.41771222873522396</v>
      </c>
      <c r="BF7" s="9">
        <f t="array" ref="BF7">PRODUCT(1 + 預測IC!$C16:BE16) - 1</f>
        <v>0.38344214361034634</v>
      </c>
      <c r="BG7" s="9">
        <f t="array" ref="BG7">PRODUCT(1 + 預測IC!$C16:BF16) - 1</f>
        <v>0.3495316186886146</v>
      </c>
      <c r="BH7" s="9">
        <f t="array" ref="BH7">PRODUCT(1 + 預測IC!$C16:BG16) - 1</f>
        <v>0.34164950582419173</v>
      </c>
      <c r="BI7" s="9">
        <f t="array" ref="BI7">PRODUCT(1 + 預測IC!$C16:BH16) - 1</f>
        <v>0.1648864215258643</v>
      </c>
      <c r="BJ7" s="9">
        <f t="array" ref="BJ7">PRODUCT(1 + 預測IC!$C16:BI16) - 1</f>
        <v>8.0248813772602956E-2</v>
      </c>
      <c r="BK7" s="9">
        <f t="array" ref="BK7">PRODUCT(1 + 預測IC!$C16:BJ16) - 1</f>
        <v>5.5502792530159883E-2</v>
      </c>
      <c r="BL7" s="9">
        <f t="array" ref="BL7">PRODUCT(1 + 預測IC!$C16:BK16) - 1</f>
        <v>-2.2102037517057749E-4</v>
      </c>
      <c r="BM7" s="9">
        <f t="array" ref="BM7">PRODUCT(1 + 預測IC!$C16:BL16) - 1</f>
        <v>3.2530186089140045E-2</v>
      </c>
      <c r="BN7" s="9">
        <f t="array" ref="BN7">PRODUCT(1 + 預測IC!$C16:BM16) - 1</f>
        <v>1.8805165654066425E-2</v>
      </c>
      <c r="BO7" s="9">
        <f t="array" ref="BO7">PRODUCT(1 + 預測IC!$C16:BN16) - 1</f>
        <v>-6.8994145718771493E-3</v>
      </c>
      <c r="BP7" s="9">
        <f t="array" ref="BP7">PRODUCT(1 + 預測IC!$C16:BO16) - 1</f>
        <v>-5.8555845578638688E-2</v>
      </c>
      <c r="BQ7" s="9">
        <f t="array" ref="BQ7">PRODUCT(1 + 預測IC!$C16:BP16) - 1</f>
        <v>1.7231641024840982E-2</v>
      </c>
      <c r="BR7" s="9">
        <f t="array" ref="BR7">PRODUCT(1 + 預測IC!$C16:BQ16) - 1</f>
        <v>2.0741417804083895E-2</v>
      </c>
      <c r="BS7" s="9">
        <f t="array" ref="BS7">PRODUCT(1 + 預測IC!$C16:BR16) - 1</f>
        <v>8.0176738504222467E-2</v>
      </c>
      <c r="BT7" s="9">
        <f t="array" ref="BT7">PRODUCT(1 + 預測IC!$C16:BS16) - 1</f>
        <v>6.8897244309225059E-2</v>
      </c>
      <c r="BU7" s="9">
        <f t="array" ref="BU7">PRODUCT(1 + 預測IC!$C16:BT16) - 1</f>
        <v>5.9250877912143229E-2</v>
      </c>
      <c r="BV7" s="9">
        <f t="array" ref="BV7">PRODUCT(1 + 預測IC!$C16:BU16) - 1</f>
        <v>9.670329354822349E-2</v>
      </c>
      <c r="BW7" s="9">
        <f t="array" ref="BW7">PRODUCT(1 + 預測IC!$C16:BV16) - 1</f>
        <v>-3.1564880741902335E-2</v>
      </c>
      <c r="BX7" s="9">
        <f t="array" ref="BX7">PRODUCT(1 + 預測IC!$C16:BW16) - 1</f>
        <v>3.6452123200899189E-2</v>
      </c>
      <c r="BY7" s="9">
        <f t="array" ref="BY7">PRODUCT(1 + 預測IC!$C16:BX16) - 1</f>
        <v>0.10829920324086695</v>
      </c>
      <c r="BZ7" s="9">
        <f t="array" ref="BZ7">PRODUCT(1 + 預測IC!$C16:BY16) - 1</f>
        <v>0.12224046207338235</v>
      </c>
      <c r="CA7" s="9">
        <f t="array" ref="CA7">PRODUCT(1 + 預測IC!$C16:BZ16) - 1</f>
        <v>0.1308678398701657</v>
      </c>
      <c r="CB7" s="9">
        <f t="array" ref="CB7">PRODUCT(1 + 預測IC!$C16:CA16) - 1</f>
        <v>0.12145664927299604</v>
      </c>
      <c r="CC7" s="9">
        <f t="array" ref="CC7">PRODUCT(1 + 預測IC!$C16:CB16) - 1</f>
        <v>0.18542866585149187</v>
      </c>
      <c r="CD7" s="9">
        <f t="array" ref="CD7">PRODUCT(1 + 預測IC!$C16:CC16) - 1</f>
        <v>0.16452484253308652</v>
      </c>
      <c r="CE7" s="9">
        <f t="array" ref="CE7">PRODUCT(1 + 預測IC!$C16:CD16) - 1</f>
        <v>0.10185928605986061</v>
      </c>
      <c r="CF7" s="9">
        <f t="array" ref="CF7">PRODUCT(1 + 預測IC!$C16:CE16) - 1</f>
        <v>0.189191677263993</v>
      </c>
      <c r="CG7" s="9">
        <f t="array" ref="CG7">PRODUCT(1 + 預測IC!$C16:CF16) - 1</f>
        <v>0.21573295124274039</v>
      </c>
      <c r="CH7" s="9">
        <f t="array" ref="CH7">PRODUCT(1 + 預測IC!$C16:CG16) - 1</f>
        <v>0.19040056005879102</v>
      </c>
      <c r="CI7" s="9">
        <f t="array" ref="CI7">PRODUCT(1 + 預測IC!$C16:CH16) - 1</f>
        <v>0.12484503219511933</v>
      </c>
      <c r="CJ7" s="9">
        <f t="array" ref="CJ7">PRODUCT(1 + 預測IC!$C16:CI16) - 1</f>
        <v>0.17779892770616446</v>
      </c>
      <c r="CK7" s="9">
        <f t="array" ref="CK7">PRODUCT(1 + 預測IC!$C16:CJ16) - 1</f>
        <v>0.20322026509942859</v>
      </c>
      <c r="CL7" s="9">
        <f t="array" ref="CL7">PRODUCT(1 + 預測IC!$C16:CK16) - 1</f>
        <v>0.21105863948959058</v>
      </c>
      <c r="CM7" s="9">
        <f t="array" ref="CM7">PRODUCT(1 + 預測IC!$C16:CL16) - 1</f>
        <v>5.7894961204150164E-2</v>
      </c>
      <c r="CN7" s="9">
        <f t="array" ref="CN7">PRODUCT(1 + 預測IC!$C16:CM16) - 1</f>
        <v>2.1734943716832156E-2</v>
      </c>
      <c r="CO7" s="9">
        <f t="array" ref="CO7">PRODUCT(1 + 預測IC!$C16:CN16) - 1</f>
        <v>0.10975934157458145</v>
      </c>
      <c r="CP7" s="9">
        <f t="array" ref="CP7">PRODUCT(1 + 預測IC!$C16:CO16) - 1</f>
        <v>0.18093171027931043</v>
      </c>
      <c r="CQ7" s="9">
        <f t="array" ref="CQ7">PRODUCT(1 + 預測IC!$C16:CP16) - 1</f>
        <v>0.17862734710214512</v>
      </c>
      <c r="CR7" s="9">
        <f t="array" ref="CR7">PRODUCT(1 + 預測IC!$C16:CQ16) - 1</f>
        <v>0.13134811315653505</v>
      </c>
      <c r="CS7" s="9">
        <f t="array" ref="CS7">PRODUCT(1 + 預測IC!$C16:CR16) - 1</f>
        <v>4.7674202750109806E-2</v>
      </c>
      <c r="CT7" s="9">
        <f t="array" ref="CT7">PRODUCT(1 + 預測IC!$C16:CS16) - 1</f>
        <v>7.8741756960966969E-2</v>
      </c>
      <c r="CU7" s="9">
        <f t="array" ref="CU7">PRODUCT(1 + 預測IC!$C16:CT16) - 1</f>
        <v>0.11334800776041809</v>
      </c>
      <c r="CV7" s="9">
        <f t="array" ref="CV7">PRODUCT(1 + 預測IC!$C16:CU16) - 1</f>
        <v>0.21888457026615793</v>
      </c>
      <c r="CW7" s="9">
        <f t="array" ref="CW7">PRODUCT(1 + 預測IC!$C16:CV16) - 1</f>
        <v>0.25204797863749673</v>
      </c>
      <c r="CX7" s="9">
        <f t="array" ref="CX7">PRODUCT(1 + 預測IC!$C16:CW16) - 1</f>
        <v>0.21353787791178624</v>
      </c>
      <c r="CY7" s="9">
        <f t="array" ref="CY7">PRODUCT(1 + 預測IC!$C16:CX16) - 1</f>
        <v>0.20698509164689982</v>
      </c>
      <c r="CZ7" s="9">
        <f t="array" ref="CZ7">PRODUCT(1 + 預測IC!$C16:CY16) - 1</f>
        <v>0.27174228796953082</v>
      </c>
      <c r="DA7" s="9">
        <f t="array" ref="DA7">PRODUCT(1 + 預測IC!$C16:CZ16) - 1</f>
        <v>0.33798134911640254</v>
      </c>
      <c r="DB7" s="9">
        <f t="array" ref="DB7">PRODUCT(1 + 預測IC!$C16:DA16) - 1</f>
        <v>0.43256730921476949</v>
      </c>
      <c r="DC7" s="9">
        <f t="array" ref="DC7">PRODUCT(1 + 預測IC!$C16:DB16) - 1</f>
        <v>0.39374180703044526</v>
      </c>
      <c r="DD7" s="9">
        <f t="array" ref="DD7">PRODUCT(1 + 預測IC!$C16:DC16) - 1</f>
        <v>0.39824146738909616</v>
      </c>
      <c r="DE7" s="9">
        <f t="array" ref="DE7">PRODUCT(1 + 預測IC!$C16:DD16) - 1</f>
        <v>0.34381559496713421</v>
      </c>
      <c r="DF7" s="9">
        <f t="array" ref="DF7">PRODUCT(1 + 預測IC!$C16:DE16) - 1</f>
        <v>0.42552259751619115</v>
      </c>
      <c r="DG7" s="9">
        <f t="array" ref="DG7">PRODUCT(1 + 預測IC!$C16:DF16) - 1</f>
        <v>0.32060655560375717</v>
      </c>
      <c r="DH7" s="9">
        <f t="array" ref="DH7">PRODUCT(1 + 預測IC!$C16:DG16) - 1</f>
        <v>0.25224753335530514</v>
      </c>
      <c r="DI7" s="9">
        <f t="array" ref="DI7">PRODUCT(1 + 預測IC!$C16:DH16) - 1</f>
        <v>0.22278132078373725</v>
      </c>
      <c r="DJ7" s="9">
        <f t="array" ref="DJ7">PRODUCT(1 + 預測IC!$C16:DI16) - 1</f>
        <v>0.14881283602430928</v>
      </c>
      <c r="DK7" s="9">
        <f t="array" ref="DK7">PRODUCT(1 + 預測IC!$C16:DJ16) - 1</f>
        <v>0.2246978479888817</v>
      </c>
      <c r="DL7" s="9">
        <f t="array" ref="DL7">PRODUCT(1 + 預測IC!$C16:DK16) - 1</f>
        <v>0.21592923950803566</v>
      </c>
      <c r="DM7" s="9">
        <f t="array" ref="DM7">PRODUCT(1 + 預測IC!$C16:DL16) - 1</f>
        <v>0.12979450937256942</v>
      </c>
      <c r="DN7" s="9">
        <f t="array" ref="DN7">PRODUCT(1 + 預測IC!$C16:DM16) - 1</f>
        <v>0.10741924897629085</v>
      </c>
      <c r="DO7" s="9">
        <f t="array" ref="DO7">PRODUCT(1 + 預測IC!$C16:DN16) - 1</f>
        <v>0.15079019620147127</v>
      </c>
      <c r="DP7" s="9">
        <f t="array" ref="DP7">PRODUCT(1 + 預測IC!$C16:DO16) - 1</f>
        <v>8.9983222759864923E-2</v>
      </c>
      <c r="DQ7" s="9">
        <f t="array" ref="DQ7">PRODUCT(1 + 預測IC!$C16:DP16) - 1</f>
        <v>8.3663986549497693E-2</v>
      </c>
      <c r="DR7" s="9">
        <f t="array" ref="DR7">PRODUCT(1 + 預測IC!$C16:DQ16) - 1</f>
        <v>0.11678802117222919</v>
      </c>
      <c r="DS7" s="9">
        <f t="array" ref="DS7">PRODUCT(1 + 預測IC!$C16:DR16) - 1</f>
        <v>0.11891117573752963</v>
      </c>
      <c r="DT7" s="9">
        <f t="array" ref="DT7">PRODUCT(1 + 預測IC!$C16:DS16) - 1</f>
        <v>0.14242296382489816</v>
      </c>
      <c r="DU7" s="9">
        <f t="array" ref="DU7">PRODUCT(1 + 預測IC!$C16:DT16) - 1</f>
        <v>0.12590859039872671</v>
      </c>
      <c r="DV7" s="9">
        <f t="array" ref="DV7">PRODUCT(1 + 預測IC!$C16:DU16) - 1</f>
        <v>0.17147554624548</v>
      </c>
      <c r="DW7" s="9">
        <f t="array" ref="DW7">PRODUCT(1 + 預測IC!$C16:DV16) - 1</f>
        <v>0.2680770575226008</v>
      </c>
      <c r="DX7" s="9">
        <f t="array" ref="DX7">PRODUCT(1 + 預測IC!$C16:DW16) - 1</f>
        <v>0.32314190172916701</v>
      </c>
      <c r="DY7" s="9">
        <f t="array" ref="DY7">PRODUCT(1 + 預測IC!$C16:DX16) - 1</f>
        <v>0.26653567369450193</v>
      </c>
      <c r="DZ7" s="9">
        <f t="array" ref="DZ7">PRODUCT(1 + 預測IC!$C16:DY16) - 1</f>
        <v>0.27557941267571051</v>
      </c>
      <c r="EA7" s="9">
        <f t="array" ref="EA7">PRODUCT(1 + 預測IC!$C16:DZ16) - 1</f>
        <v>0.17325216159549917</v>
      </c>
      <c r="EB7" s="9">
        <f t="array" ref="EB7">PRODUCT(1 + 預測IC!$C16:EA16) - 1</f>
        <v>0.13632465756603485</v>
      </c>
      <c r="EC7" s="9">
        <f t="array" ref="EC7">PRODUCT(1 + 預測IC!$C16:EB16) - 1</f>
        <v>0.14906703307955982</v>
      </c>
      <c r="ED7" s="9">
        <f t="array" ref="ED7">PRODUCT(1 + 預測IC!$C16:EC16) - 1</f>
        <v>0.13691406697427833</v>
      </c>
      <c r="EE7" s="9">
        <f t="array" ref="EE7">PRODUCT(1 + 預測IC!$C16:ED16) - 1</f>
        <v>0.15261889040912724</v>
      </c>
      <c r="EF7" s="9">
        <f t="array" ref="EF7">PRODUCT(1 + 預測IC!$C16:EE16) - 1</f>
        <v>0.13749526853144478</v>
      </c>
      <c r="EG7" s="9">
        <f t="array" ref="EG7">PRODUCT(1 + 預測IC!$C16:EF16) - 1</f>
        <v>0.19987739238374869</v>
      </c>
    </row>
    <row r="8" spans="3:137" ht="16" customHeight="1">
      <c r="C8" s="6">
        <v>100</v>
      </c>
      <c r="D8" s="9">
        <f t="array" ref="D8">PRODUCT(1 + 預測IC!$C17:C17) - 1</f>
        <v>6.5024995443337286E-2</v>
      </c>
      <c r="E8" s="9">
        <f t="array" ref="E8">PRODUCT(1 + 預測IC!$C17:D17) - 1</f>
        <v>-1.7021331438230702E-2</v>
      </c>
      <c r="F8" s="9">
        <f t="array" ref="F8">PRODUCT(1 + 預測IC!$C17:E17) - 1</f>
        <v>-2.0047549651851182E-2</v>
      </c>
      <c r="G8" s="9">
        <f t="array" ref="G8">PRODUCT(1 + 預測IC!$C17:F17) - 1</f>
        <v>1.737132939117636E-2</v>
      </c>
      <c r="H8" s="9">
        <f t="array" ref="H8">PRODUCT(1 + 預測IC!$C17:G17) - 1</f>
        <v>0.11216536812388722</v>
      </c>
      <c r="I8" s="9">
        <f t="array" ref="I8">PRODUCT(1 + 預測IC!$C17:H17) - 1</f>
        <v>0.12026352324566347</v>
      </c>
      <c r="J8" s="9">
        <f t="array" ref="J8">PRODUCT(1 + 預測IC!$C17:I17) - 1</f>
        <v>0.22014258758064575</v>
      </c>
      <c r="K8" s="9">
        <f t="array" ref="K8">PRODUCT(1 + 預測IC!$C17:J17) - 1</f>
        <v>0.24036537753339116</v>
      </c>
      <c r="L8" s="9">
        <f t="array" ref="L8">PRODUCT(1 + 預測IC!$C17:K17) - 1</f>
        <v>0.29964732380933379</v>
      </c>
      <c r="M8" s="9">
        <f t="array" ref="M8">PRODUCT(1 + 預測IC!$C17:L17) - 1</f>
        <v>0.3153501781364938</v>
      </c>
      <c r="N8" s="9">
        <f t="array" ref="N8">PRODUCT(1 + 預測IC!$C17:M17) - 1</f>
        <v>0.27243294196614198</v>
      </c>
      <c r="O8" s="9">
        <f t="array" ref="O8">PRODUCT(1 + 預測IC!$C17:N17) - 1</f>
        <v>8.6576949562987782E-2</v>
      </c>
      <c r="P8" s="9">
        <f t="array" ref="P8">PRODUCT(1 + 預測IC!$C17:O17) - 1</f>
        <v>0.13246147759451787</v>
      </c>
      <c r="Q8" s="9">
        <f t="array" ref="Q8">PRODUCT(1 + 預測IC!$C17:P17) - 1</f>
        <v>0.13250020681139052</v>
      </c>
      <c r="R8" s="9">
        <f t="array" ref="R8">PRODUCT(1 + 預測IC!$C17:Q17) - 1</f>
        <v>0.17885367960276222</v>
      </c>
      <c r="S8" s="9">
        <f t="array" ref="S8">PRODUCT(1 + 預測IC!$C17:R17) - 1</f>
        <v>0.27175867263992282</v>
      </c>
      <c r="T8" s="9">
        <f t="array" ref="T8">PRODUCT(1 + 預測IC!$C17:S17) - 1</f>
        <v>0.32088624262682508</v>
      </c>
      <c r="U8" s="9">
        <f t="array" ref="U8">PRODUCT(1 + 預測IC!$C17:T17) - 1</f>
        <v>0.31974960657539508</v>
      </c>
      <c r="V8" s="9">
        <f t="array" ref="V8">PRODUCT(1 + 預測IC!$C17:U17) - 1</f>
        <v>0.4692364864450822</v>
      </c>
      <c r="W8" s="9">
        <f t="array" ref="W8">PRODUCT(1 + 預測IC!$C17:V17) - 1</f>
        <v>0.53665847533227251</v>
      </c>
      <c r="X8" s="9">
        <f t="array" ref="X8">PRODUCT(1 + 預測IC!$C17:W17) - 1</f>
        <v>0.65684936378999548</v>
      </c>
      <c r="Y8" s="9">
        <f t="array" ref="Y8">PRODUCT(1 + 預測IC!$C17:X17) - 1</f>
        <v>0.66682830247633729</v>
      </c>
      <c r="Z8" s="9">
        <f t="array" ref="Z8">PRODUCT(1 + 預測IC!$C17:Y17) - 1</f>
        <v>0.60122256597512269</v>
      </c>
      <c r="AA8" s="9">
        <f t="array" ref="AA8">PRODUCT(1 + 預測IC!$C17:Z17) - 1</f>
        <v>0.6790230057074933</v>
      </c>
      <c r="AB8" s="9">
        <f t="array" ref="AB8">PRODUCT(1 + 預測IC!$C17:AA17) - 1</f>
        <v>0.60989611172428804</v>
      </c>
      <c r="AC8" s="9">
        <f t="array" ref="AC8">PRODUCT(1 + 預測IC!$C17:AB17) - 1</f>
        <v>0.61376313276863903</v>
      </c>
      <c r="AD8" s="9">
        <f t="array" ref="AD8">PRODUCT(1 + 預測IC!$C17:AC17) - 1</f>
        <v>0.72166544900448293</v>
      </c>
      <c r="AE8" s="9">
        <f t="array" ref="AE8">PRODUCT(1 + 預測IC!$C17:AD17) - 1</f>
        <v>0.78127648318161613</v>
      </c>
      <c r="AF8" s="9">
        <f t="array" ref="AF8">PRODUCT(1 + 預測IC!$C17:AE17) - 1</f>
        <v>0.63323302103753498</v>
      </c>
      <c r="AG8" s="9">
        <f t="array" ref="AG8">PRODUCT(1 + 預測IC!$C17:AF17) - 1</f>
        <v>0.82752613554568044</v>
      </c>
      <c r="AH8" s="9">
        <f t="array" ref="AH8">PRODUCT(1 + 預測IC!$C17:AG17) - 1</f>
        <v>0.78559749690164526</v>
      </c>
      <c r="AI8" s="9">
        <f t="array" ref="AI8">PRODUCT(1 + 預測IC!$C17:AH17) - 1</f>
        <v>0.70626974628587802</v>
      </c>
      <c r="AJ8" s="9">
        <f t="array" ref="AJ8">PRODUCT(1 + 預測IC!$C17:AI17) - 1</f>
        <v>0.82381603223124866</v>
      </c>
      <c r="AK8" s="9">
        <f t="array" ref="AK8">PRODUCT(1 + 預測IC!$C17:AJ17) - 1</f>
        <v>0.91804485335958463</v>
      </c>
      <c r="AL8" s="9">
        <f t="array" ref="AL8">PRODUCT(1 + 預測IC!$C17:AK17) - 1</f>
        <v>0.74830990430927891</v>
      </c>
      <c r="AM8" s="9">
        <f t="array" ref="AM8">PRODUCT(1 + 預測IC!$C17:AL17) - 1</f>
        <v>0.72725573421309586</v>
      </c>
      <c r="AN8" s="9">
        <f t="array" ref="AN8">PRODUCT(1 + 預測IC!$C17:AM17) - 1</f>
        <v>0.68629857183901755</v>
      </c>
      <c r="AO8" s="9">
        <f t="array" ref="AO8">PRODUCT(1 + 預測IC!$C17:AN17) - 1</f>
        <v>0.81899530603203052</v>
      </c>
      <c r="AP8" s="9">
        <f t="array" ref="AP8">PRODUCT(1 + 預測IC!$C17:AO17) - 1</f>
        <v>0.74844010982810349</v>
      </c>
      <c r="AQ8" s="9">
        <f t="array" ref="AQ8">PRODUCT(1 + 預測IC!$C17:AP17) - 1</f>
        <v>0.70852960329729231</v>
      </c>
      <c r="AR8" s="9">
        <f t="array" ref="AR8">PRODUCT(1 + 預測IC!$C17:AQ17) - 1</f>
        <v>0.58893271537005254</v>
      </c>
      <c r="AS8" s="9">
        <f t="array" ref="AS8">PRODUCT(1 + 預測IC!$C17:AR17) - 1</f>
        <v>0.64363780888654687</v>
      </c>
      <c r="AT8" s="9">
        <f t="array" ref="AT8">PRODUCT(1 + 預測IC!$C17:AS17) - 1</f>
        <v>0.6524932302875226</v>
      </c>
      <c r="AU8" s="9">
        <f t="array" ref="AU8">PRODUCT(1 + 預測IC!$C17:AT17) - 1</f>
        <v>0.57043468563766231</v>
      </c>
      <c r="AV8" s="9">
        <f t="array" ref="AV8">PRODUCT(1 + 預測IC!$C17:AU17) - 1</f>
        <v>0.62280562760534752</v>
      </c>
      <c r="AW8" s="9">
        <f t="array" ref="AW8">PRODUCT(1 + 預測IC!$C17:AV17) - 1</f>
        <v>0.64362094720221807</v>
      </c>
      <c r="AX8" s="9">
        <f t="array" ref="AX8">PRODUCT(1 + 預測IC!$C17:AW17) - 1</f>
        <v>0.62831861687192014</v>
      </c>
      <c r="AY8" s="9">
        <f t="array" ref="AY8">PRODUCT(1 + 預測IC!$C17:AX17) - 1</f>
        <v>0.56607194273520234</v>
      </c>
      <c r="AZ8" s="9">
        <f t="array" ref="AZ8">PRODUCT(1 + 預測IC!$C17:AY17) - 1</f>
        <v>0.65471330819664164</v>
      </c>
      <c r="BA8" s="9">
        <f t="array" ref="BA8">PRODUCT(1 + 預測IC!$C17:AZ17) - 1</f>
        <v>0.66273751293327887</v>
      </c>
      <c r="BB8" s="9">
        <f t="array" ref="BB8">PRODUCT(1 + 預測IC!$C17:BA17) - 1</f>
        <v>0.67028194011246534</v>
      </c>
      <c r="BC8" s="9">
        <f t="array" ref="BC8">PRODUCT(1 + 預測IC!$C17:BB17) - 1</f>
        <v>0.59037490994684538</v>
      </c>
      <c r="BD8" s="9">
        <f t="array" ref="BD8">PRODUCT(1 + 預測IC!$C17:BC17) - 1</f>
        <v>0.58957043938191722</v>
      </c>
      <c r="BE8" s="9">
        <f t="array" ref="BE8">PRODUCT(1 + 預測IC!$C17:BD17) - 1</f>
        <v>0.67340091809637137</v>
      </c>
      <c r="BF8" s="9">
        <f t="array" ref="BF8">PRODUCT(1 + 預測IC!$C17:BE17) - 1</f>
        <v>0.64026459017059723</v>
      </c>
      <c r="BG8" s="9">
        <f t="array" ref="BG8">PRODUCT(1 + 預測IC!$C17:BF17) - 1</f>
        <v>0.55718770475524848</v>
      </c>
      <c r="BH8" s="9">
        <f t="array" ref="BH8">PRODUCT(1 + 預測IC!$C17:BG17) - 1</f>
        <v>0.63119159172127581</v>
      </c>
      <c r="BI8" s="9">
        <f t="array" ref="BI8">PRODUCT(1 + 預測IC!$C17:BH17) - 1</f>
        <v>0.47283712935349431</v>
      </c>
      <c r="BJ8" s="9">
        <f t="array" ref="BJ8">PRODUCT(1 + 預測IC!$C17:BI17) - 1</f>
        <v>0.35850402953969973</v>
      </c>
      <c r="BK8" s="9">
        <f t="array" ref="BK8">PRODUCT(1 + 預測IC!$C17:BJ17) - 1</f>
        <v>0.30994797853102396</v>
      </c>
      <c r="BL8" s="9">
        <f t="array" ref="BL8">PRODUCT(1 + 預測IC!$C17:BK17) - 1</f>
        <v>0.28071792881455582</v>
      </c>
      <c r="BM8" s="9">
        <f t="array" ref="BM8">PRODUCT(1 + 預測IC!$C17:BL17) - 1</f>
        <v>0.31135867587016119</v>
      </c>
      <c r="BN8" s="9">
        <f t="array" ref="BN8">PRODUCT(1 + 預測IC!$C17:BM17) - 1</f>
        <v>0.3211850270631067</v>
      </c>
      <c r="BO8" s="9">
        <f t="array" ref="BO8">PRODUCT(1 + 預測IC!$C17:BN17) - 1</f>
        <v>0.22795261889920271</v>
      </c>
      <c r="BP8" s="9">
        <f t="array" ref="BP8">PRODUCT(1 + 預測IC!$C17:BO17) - 1</f>
        <v>0.1373048126046561</v>
      </c>
      <c r="BQ8" s="9">
        <f t="array" ref="BQ8">PRODUCT(1 + 預測IC!$C17:BP17) - 1</f>
        <v>0.25688906121605437</v>
      </c>
      <c r="BR8" s="9">
        <f t="array" ref="BR8">PRODUCT(1 + 預測IC!$C17:BQ17) - 1</f>
        <v>0.30936093158499478</v>
      </c>
      <c r="BS8" s="9">
        <f t="array" ref="BS8">PRODUCT(1 + 預測IC!$C17:BR17) - 1</f>
        <v>0.51943178801116874</v>
      </c>
      <c r="BT8" s="9">
        <f t="array" ref="BT8">PRODUCT(1 + 預測IC!$C17:BS17) - 1</f>
        <v>0.48336963830940394</v>
      </c>
      <c r="BU8" s="9">
        <f t="array" ref="BU8">PRODUCT(1 + 預測IC!$C17:BT17) - 1</f>
        <v>0.53181252700108872</v>
      </c>
      <c r="BV8" s="9">
        <f t="array" ref="BV8">PRODUCT(1 + 預測IC!$C17:BU17) - 1</f>
        <v>0.61484684349982133</v>
      </c>
      <c r="BW8" s="9">
        <f t="array" ref="BW8">PRODUCT(1 + 預測IC!$C17:BV17) - 1</f>
        <v>0.48716762802580216</v>
      </c>
      <c r="BX8" s="9">
        <f t="array" ref="BX8">PRODUCT(1 + 預測IC!$C17:BW17) - 1</f>
        <v>0.58869599959861851</v>
      </c>
      <c r="BY8" s="9">
        <f t="array" ref="BY8">PRODUCT(1 + 預測IC!$C17:BX17) - 1</f>
        <v>0.69147976682201495</v>
      </c>
      <c r="BZ8" s="9">
        <f t="array" ref="BZ8">PRODUCT(1 + 預測IC!$C17:BY17) - 1</f>
        <v>0.81537995134175989</v>
      </c>
      <c r="CA8" s="9">
        <f t="array" ref="CA8">PRODUCT(1 + 預測IC!$C17:BZ17) - 1</f>
        <v>0.82784672005551441</v>
      </c>
      <c r="CB8" s="9">
        <f t="array" ref="CB8">PRODUCT(1 + 預測IC!$C17:CA17) - 1</f>
        <v>0.81074350209306867</v>
      </c>
      <c r="CC8" s="9">
        <f t="array" ref="CC8">PRODUCT(1 + 預測IC!$C17:CB17) - 1</f>
        <v>0.86910967500540037</v>
      </c>
      <c r="CD8" s="9">
        <f t="array" ref="CD8">PRODUCT(1 + 預測IC!$C17:CC17) - 1</f>
        <v>0.86782418420174778</v>
      </c>
      <c r="CE8" s="9">
        <f t="array" ref="CE8">PRODUCT(1 + 預測IC!$C17:CD17) - 1</f>
        <v>0.79073597126668838</v>
      </c>
      <c r="CF8" s="9">
        <f t="array" ref="CF8">PRODUCT(1 + 預測IC!$C17:CE17) - 1</f>
        <v>0.87139464081221818</v>
      </c>
      <c r="CG8" s="9">
        <f t="array" ref="CG8">PRODUCT(1 + 預測IC!$C17:CF17) - 1</f>
        <v>0.74569020183649459</v>
      </c>
      <c r="CH8" s="9">
        <f t="array" ref="CH8">PRODUCT(1 + 預測IC!$C17:CG17) - 1</f>
        <v>0.69781004137173963</v>
      </c>
      <c r="CI8" s="9">
        <f t="array" ref="CI8">PRODUCT(1 + 預測IC!$C17:CH17) - 1</f>
        <v>0.56141474567425642</v>
      </c>
      <c r="CJ8" s="9">
        <f t="array" ref="CJ8">PRODUCT(1 + 預測IC!$C17:CI17) - 1</f>
        <v>0.86252579211441827</v>
      </c>
      <c r="CK8" s="9">
        <f t="array" ref="CK8">PRODUCT(1 + 預測IC!$C17:CJ17) - 1</f>
        <v>0.84780150842279678</v>
      </c>
      <c r="CL8" s="9">
        <f t="array" ref="CL8">PRODUCT(1 + 預測IC!$C17:CK17) - 1</f>
        <v>1.0137056202295303</v>
      </c>
      <c r="CM8" s="9">
        <f t="array" ref="CM8">PRODUCT(1 + 預測IC!$C17:CL17) - 1</f>
        <v>0.67982765109154486</v>
      </c>
      <c r="CN8" s="9">
        <f t="array" ref="CN8">PRODUCT(1 + 預測IC!$C17:CM17) - 1</f>
        <v>0.58669301511601168</v>
      </c>
      <c r="CO8" s="9">
        <f t="array" ref="CO8">PRODUCT(1 + 預測IC!$C17:CN17) - 1</f>
        <v>0.74894654763992263</v>
      </c>
      <c r="CP8" s="9">
        <f t="array" ref="CP8">PRODUCT(1 + 預測IC!$C17:CO17) - 1</f>
        <v>0.80423449436260608</v>
      </c>
      <c r="CQ8" s="9">
        <f t="array" ref="CQ8">PRODUCT(1 + 預測IC!$C17:CP17) - 1</f>
        <v>0.87312148765205677</v>
      </c>
      <c r="CR8" s="9">
        <f t="array" ref="CR8">PRODUCT(1 + 預測IC!$C17:CQ17) - 1</f>
        <v>0.86813570755033598</v>
      </c>
      <c r="CS8" s="9">
        <f t="array" ref="CS8">PRODUCT(1 + 預測IC!$C17:CR17) - 1</f>
        <v>0.74363416493662049</v>
      </c>
      <c r="CT8" s="9">
        <f t="array" ref="CT8">PRODUCT(1 + 預測IC!$C17:CS17) - 1</f>
        <v>0.83242556466347528</v>
      </c>
      <c r="CU8" s="9">
        <f t="array" ref="CU8">PRODUCT(1 + 預測IC!$C17:CT17) - 1</f>
        <v>0.86954478769370103</v>
      </c>
      <c r="CV8" s="9">
        <f t="array" ref="CV8">PRODUCT(1 + 預測IC!$C17:CU17) - 1</f>
        <v>1.0213887461152864</v>
      </c>
      <c r="CW8" s="9">
        <f t="array" ref="CW8">PRODUCT(1 + 預測IC!$C17:CV17) - 1</f>
        <v>1.1937098475691421</v>
      </c>
      <c r="CX8" s="9">
        <f t="array" ref="CX8">PRODUCT(1 + 預測IC!$C17:CW17) - 1</f>
        <v>1.1153398053929853</v>
      </c>
      <c r="CY8" s="9">
        <f t="array" ref="CY8">PRODUCT(1 + 預測IC!$C17:CX17) - 1</f>
        <v>1.0144253525680882</v>
      </c>
      <c r="CZ8" s="9">
        <f t="array" ref="CZ8">PRODUCT(1 + 預測IC!$C17:CY17) - 1</f>
        <v>0.99027290587219308</v>
      </c>
      <c r="DA8" s="9">
        <f t="array" ref="DA8">PRODUCT(1 + 預測IC!$C17:CZ17) - 1</f>
        <v>1.2103188344483207</v>
      </c>
      <c r="DB8" s="9">
        <f t="array" ref="DB8">PRODUCT(1 + 預測IC!$C17:DA17) - 1</f>
        <v>1.3195758388816325</v>
      </c>
      <c r="DC8" s="9">
        <f t="array" ref="DC8">PRODUCT(1 + 預測IC!$C17:DB17) - 1</f>
        <v>1.1561631461776205</v>
      </c>
      <c r="DD8" s="9">
        <f t="array" ref="DD8">PRODUCT(1 + 預測IC!$C17:DC17) - 1</f>
        <v>1.1363826065866709</v>
      </c>
      <c r="DE8" s="9">
        <f t="array" ref="DE8">PRODUCT(1 + 預測IC!$C17:DD17) - 1</f>
        <v>1.0755994827378368</v>
      </c>
      <c r="DF8" s="9">
        <f t="array" ref="DF8">PRODUCT(1 + 預測IC!$C17:DE17) - 1</f>
        <v>1.2393759438276883</v>
      </c>
      <c r="DG8" s="9">
        <f t="array" ref="DG8">PRODUCT(1 + 預測IC!$C17:DF17) - 1</f>
        <v>1.0976986887973545</v>
      </c>
      <c r="DH8" s="9">
        <f t="array" ref="DH8">PRODUCT(1 + 預測IC!$C17:DG17) - 1</f>
        <v>0.94309863702613894</v>
      </c>
      <c r="DI8" s="9">
        <f t="array" ref="DI8">PRODUCT(1 + 預測IC!$C17:DH17) - 1</f>
        <v>0.78903902618316102</v>
      </c>
      <c r="DJ8" s="9">
        <f t="array" ref="DJ8">PRODUCT(1 + 預測IC!$C17:DI17) - 1</f>
        <v>0.64243153764689875</v>
      </c>
      <c r="DK8" s="9">
        <f t="array" ref="DK8">PRODUCT(1 + 預測IC!$C17:DJ17) - 1</f>
        <v>0.86609567173783386</v>
      </c>
      <c r="DL8" s="9">
        <f t="array" ref="DL8">PRODUCT(1 + 預測IC!$C17:DK17) - 1</f>
        <v>0.64154670498961663</v>
      </c>
      <c r="DM8" s="9">
        <f t="array" ref="DM8">PRODUCT(1 + 預測IC!$C17:DL17) - 1</f>
        <v>0.55908682191021453</v>
      </c>
      <c r="DN8" s="9">
        <f t="array" ref="DN8">PRODUCT(1 + 預測IC!$C17:DM17) - 1</f>
        <v>0.51325716147366829</v>
      </c>
      <c r="DO8" s="9">
        <f t="array" ref="DO8">PRODUCT(1 + 預測IC!$C17:DN17) - 1</f>
        <v>0.59348020216485575</v>
      </c>
      <c r="DP8" s="9">
        <f t="array" ref="DP8">PRODUCT(1 + 預測IC!$C17:DO17) - 1</f>
        <v>0.38676803516419356</v>
      </c>
      <c r="DQ8" s="9">
        <f t="array" ref="DQ8">PRODUCT(1 + 預測IC!$C17:DP17) - 1</f>
        <v>0.37308209718093055</v>
      </c>
      <c r="DR8" s="9">
        <f t="array" ref="DR8">PRODUCT(1 + 預測IC!$C17:DQ17) - 1</f>
        <v>0.43846423229591003</v>
      </c>
      <c r="DS8" s="9">
        <f t="array" ref="DS8">PRODUCT(1 + 預測IC!$C17:DR17) - 1</f>
        <v>0.47329246144312553</v>
      </c>
      <c r="DT8" s="9">
        <f t="array" ref="DT8">PRODUCT(1 + 預測IC!$C17:DS17) - 1</f>
        <v>0.48547824841804355</v>
      </c>
      <c r="DU8" s="9">
        <f t="array" ref="DU8">PRODUCT(1 + 預測IC!$C17:DT17) - 1</f>
        <v>0.44856885235433852</v>
      </c>
      <c r="DV8" s="9">
        <f t="array" ref="DV8">PRODUCT(1 + 預測IC!$C17:DU17) - 1</f>
        <v>0.4473524453393265</v>
      </c>
      <c r="DW8" s="9">
        <f t="array" ref="DW8">PRODUCT(1 + 預測IC!$C17:DV17) - 1</f>
        <v>0.63255933618321869</v>
      </c>
      <c r="DX8" s="9">
        <f t="array" ref="DX8">PRODUCT(1 + 預測IC!$C17:DW17) - 1</f>
        <v>0.60740911921791851</v>
      </c>
      <c r="DY8" s="9">
        <f t="array" ref="DY8">PRODUCT(1 + 預測IC!$C17:DX17) - 1</f>
        <v>0.54089265293949751</v>
      </c>
      <c r="DZ8" s="9">
        <f t="array" ref="DZ8">PRODUCT(1 + 預測IC!$C17:DY17) - 1</f>
        <v>0.58935619267561612</v>
      </c>
      <c r="EA8" s="9">
        <f t="array" ref="EA8">PRODUCT(1 + 預測IC!$C17:DZ17) - 1</f>
        <v>0.4652764093677626</v>
      </c>
      <c r="EB8" s="9">
        <f t="array" ref="EB8">PRODUCT(1 + 預測IC!$C17:EA17) - 1</f>
        <v>0.3685109765816168</v>
      </c>
      <c r="EC8" s="9">
        <f t="array" ref="EC8">PRODUCT(1 + 預測IC!$C17:EB17) - 1</f>
        <v>0.32871397002819269</v>
      </c>
      <c r="ED8" s="9">
        <f t="array" ref="ED8">PRODUCT(1 + 預測IC!$C17:EC17) - 1</f>
        <v>0.29364516208942493</v>
      </c>
      <c r="EE8" s="9">
        <f t="array" ref="EE8">PRODUCT(1 + 預測IC!$C17:ED17) - 1</f>
        <v>0.23610740249210505</v>
      </c>
      <c r="EF8" s="9">
        <f t="array" ref="EF8">PRODUCT(1 + 預測IC!$C17:EE17) - 1</f>
        <v>0.25766195317642526</v>
      </c>
      <c r="EG8" s="9">
        <f t="array" ref="EG8">PRODUCT(1 + 預測IC!$C17:EF17) - 1</f>
        <v>0.32510527993263172</v>
      </c>
    </row>
    <row r="9" spans="3:137" ht="16" customHeight="1">
      <c r="C9" s="6">
        <v>107</v>
      </c>
      <c r="D9" s="9">
        <f t="array" ref="D9">PRODUCT(1 + 預測IC!$C18:C18) - 1</f>
        <v>1.2727346334157286E-2</v>
      </c>
      <c r="E9" s="9">
        <f t="array" ref="E9">PRODUCT(1 + 預測IC!$C18:D18) - 1</f>
        <v>-6.9484200157271414E-2</v>
      </c>
      <c r="F9" s="9">
        <f t="array" ref="F9">PRODUCT(1 + 預測IC!$C18:E18) - 1</f>
        <v>-4.7670438414020855E-2</v>
      </c>
      <c r="G9" s="9">
        <f t="array" ref="G9">PRODUCT(1 + 預測IC!$C18:F18) - 1</f>
        <v>-1.7323670558894833E-2</v>
      </c>
      <c r="H9" s="9">
        <f t="array" ref="H9">PRODUCT(1 + 預測IC!$C18:G18) - 1</f>
        <v>0.11725216969766938</v>
      </c>
      <c r="I9" s="9">
        <f t="array" ref="I9">PRODUCT(1 + 預測IC!$C18:H18) - 1</f>
        <v>0.11117597770611165</v>
      </c>
      <c r="J9" s="9">
        <f t="array" ref="J9">PRODUCT(1 + 預測IC!$C18:I18) - 1</f>
        <v>0.197729618828139</v>
      </c>
      <c r="K9" s="9">
        <f t="array" ref="K9">PRODUCT(1 + 預測IC!$C18:J18) - 1</f>
        <v>0.22880279510491963</v>
      </c>
      <c r="L9" s="9">
        <f t="array" ref="L9">PRODUCT(1 + 預測IC!$C18:K18) - 1</f>
        <v>0.30207591256496902</v>
      </c>
      <c r="M9" s="9">
        <f t="array" ref="M9">PRODUCT(1 + 預測IC!$C18:L18) - 1</f>
        <v>0.28277035902691439</v>
      </c>
      <c r="N9" s="9">
        <f t="array" ref="N9">PRODUCT(1 + 預測IC!$C18:M18) - 1</f>
        <v>0.11342660301452057</v>
      </c>
      <c r="O9" s="9">
        <f t="array" ref="O9">PRODUCT(1 + 預測IC!$C18:N18) - 1</f>
        <v>-4.6531079131040487E-2</v>
      </c>
      <c r="P9" s="9">
        <f t="array" ref="P9">PRODUCT(1 + 預測IC!$C18:O18) - 1</f>
        <v>-5.7154327054033116E-3</v>
      </c>
      <c r="Q9" s="9">
        <f t="array" ref="Q9">PRODUCT(1 + 預測IC!$C18:P18) - 1</f>
        <v>-3.2691164788520855E-3</v>
      </c>
      <c r="R9" s="9">
        <f t="array" ref="R9">PRODUCT(1 + 預測IC!$C18:Q18) - 1</f>
        <v>3.4337777457644547E-2</v>
      </c>
      <c r="S9" s="9">
        <f t="array" ref="S9">PRODUCT(1 + 預測IC!$C18:R18) - 1</f>
        <v>0.12117084565943226</v>
      </c>
      <c r="T9" s="9">
        <f t="array" ref="T9">PRODUCT(1 + 預測IC!$C18:S18) - 1</f>
        <v>0.1561998279711081</v>
      </c>
      <c r="U9" s="9">
        <f t="array" ref="U9">PRODUCT(1 + 預測IC!$C18:T18) - 1</f>
        <v>0.15635090052052836</v>
      </c>
      <c r="V9" s="9">
        <f t="array" ref="V9">PRODUCT(1 + 預測IC!$C18:U18) - 1</f>
        <v>0.2938334636848654</v>
      </c>
      <c r="W9" s="9">
        <f t="array" ref="W9">PRODUCT(1 + 預測IC!$C18:V18) - 1</f>
        <v>0.35247465329497518</v>
      </c>
      <c r="X9" s="9">
        <f t="array" ref="X9">PRODUCT(1 + 預測IC!$C18:W18) - 1</f>
        <v>0.45656606788129794</v>
      </c>
      <c r="Y9" s="9">
        <f t="array" ref="Y9">PRODUCT(1 + 預測IC!$C18:X18) - 1</f>
        <v>0.47766374975017123</v>
      </c>
      <c r="Z9" s="9">
        <f t="array" ref="Z9">PRODUCT(1 + 預測IC!$C18:Y18) - 1</f>
        <v>0.4267383652903507</v>
      </c>
      <c r="AA9" s="9">
        <f t="array" ref="AA9">PRODUCT(1 + 預測IC!$C18:Z18) - 1</f>
        <v>0.49820614039600808</v>
      </c>
      <c r="AB9" s="9">
        <f t="array" ref="AB9">PRODUCT(1 + 預測IC!$C18:AA18) - 1</f>
        <v>0.43368646156098989</v>
      </c>
      <c r="AC9" s="9">
        <f t="array" ref="AC9">PRODUCT(1 + 預測IC!$C18:AB18) - 1</f>
        <v>0.42658575208720384</v>
      </c>
      <c r="AD9" s="9">
        <f t="array" ref="AD9">PRODUCT(1 + 預測IC!$C18:AC18) - 1</f>
        <v>0.54119132138711845</v>
      </c>
      <c r="AE9" s="9">
        <f t="array" ref="AE9">PRODUCT(1 + 預測IC!$C18:AD18) - 1</f>
        <v>0.61806674906193471</v>
      </c>
      <c r="AF9" s="9">
        <f t="array" ref="AF9">PRODUCT(1 + 預測IC!$C18:AE18) - 1</f>
        <v>0.49799205591468088</v>
      </c>
      <c r="AG9" s="9">
        <f t="array" ref="AG9">PRODUCT(1 + 預測IC!$C18:AF18) - 1</f>
        <v>0.67953946133771215</v>
      </c>
      <c r="AH9" s="9">
        <f t="array" ref="AH9">PRODUCT(1 + 預測IC!$C18:AG18) - 1</f>
        <v>0.69334645446313647</v>
      </c>
      <c r="AI9" s="9">
        <f t="array" ref="AI9">PRODUCT(1 + 預測IC!$C18:AH18) - 1</f>
        <v>0.59745748605069959</v>
      </c>
      <c r="AJ9" s="9">
        <f t="array" ref="AJ9">PRODUCT(1 + 預測IC!$C18:AI18) - 1</f>
        <v>0.74129198020819365</v>
      </c>
      <c r="AK9" s="9">
        <f t="array" ref="AK9">PRODUCT(1 + 預測IC!$C18:AJ18) - 1</f>
        <v>0.83597129800169756</v>
      </c>
      <c r="AL9" s="9">
        <f t="array" ref="AL9">PRODUCT(1 + 預測IC!$C18:AK18) - 1</f>
        <v>0.65224615096157068</v>
      </c>
      <c r="AM9" s="9">
        <f t="array" ref="AM9">PRODUCT(1 + 預測IC!$C18:AL18) - 1</f>
        <v>0.56888172263858383</v>
      </c>
      <c r="AN9" s="9">
        <f t="array" ref="AN9">PRODUCT(1 + 預測IC!$C18:AM18) - 1</f>
        <v>0.56812410340446662</v>
      </c>
      <c r="AO9" s="9">
        <f t="array" ref="AO9">PRODUCT(1 + 預測IC!$C18:AN18) - 1</f>
        <v>0.71277879401420652</v>
      </c>
      <c r="AP9" s="9">
        <f t="array" ref="AP9">PRODUCT(1 + 預測IC!$C18:AO18) - 1</f>
        <v>0.57921218126468332</v>
      </c>
      <c r="AQ9" s="9">
        <f t="array" ref="AQ9">PRODUCT(1 + 預測IC!$C18:AP18) - 1</f>
        <v>0.52421685696220455</v>
      </c>
      <c r="AR9" s="9">
        <f t="array" ref="AR9">PRODUCT(1 + 預測IC!$C18:AQ18) - 1</f>
        <v>0.3992581231632113</v>
      </c>
      <c r="AS9" s="9">
        <f t="array" ref="AS9">PRODUCT(1 + 預測IC!$C18:AR18) - 1</f>
        <v>0.47402701667439784</v>
      </c>
      <c r="AT9" s="9">
        <f t="array" ref="AT9">PRODUCT(1 + 預測IC!$C18:AS18) - 1</f>
        <v>0.43881952622751386</v>
      </c>
      <c r="AU9" s="9">
        <f t="array" ref="AU9">PRODUCT(1 + 預測IC!$C18:AT18) - 1</f>
        <v>0.45423571725678191</v>
      </c>
      <c r="AV9" s="9">
        <f t="array" ref="AV9">PRODUCT(1 + 預測IC!$C18:AU18) - 1</f>
        <v>0.50881767193934291</v>
      </c>
      <c r="AW9" s="9">
        <f t="array" ref="AW9">PRODUCT(1 + 預測IC!$C18:AV18) - 1</f>
        <v>0.53838090953968276</v>
      </c>
      <c r="AX9" s="9">
        <f t="array" ref="AX9">PRODUCT(1 + 預測IC!$C18:AW18) - 1</f>
        <v>0.50755911075478211</v>
      </c>
      <c r="AY9" s="9">
        <f t="array" ref="AY9">PRODUCT(1 + 預測IC!$C18:AX18) - 1</f>
        <v>0.44282817965386312</v>
      </c>
      <c r="AZ9" s="9">
        <f t="array" ref="AZ9">PRODUCT(1 + 預測IC!$C18:AY18) - 1</f>
        <v>0.55232055334114194</v>
      </c>
      <c r="BA9" s="9">
        <f t="array" ref="BA9">PRODUCT(1 + 預測IC!$C18:AZ18) - 1</f>
        <v>0.55871341044335687</v>
      </c>
      <c r="BB9" s="9">
        <f t="array" ref="BB9">PRODUCT(1 + 預測IC!$C18:BA18) - 1</f>
        <v>0.59157464641360846</v>
      </c>
      <c r="BC9" s="9">
        <f t="array" ref="BC9">PRODUCT(1 + 預測IC!$C18:BB18) - 1</f>
        <v>0.50847069957487023</v>
      </c>
      <c r="BD9" s="9">
        <f t="array" ref="BD9">PRODUCT(1 + 預測IC!$C18:BC18) - 1</f>
        <v>0.50552366817281125</v>
      </c>
      <c r="BE9" s="9">
        <f t="array" ref="BE9">PRODUCT(1 + 預測IC!$C18:BD18) - 1</f>
        <v>0.60791790364363418</v>
      </c>
      <c r="BF9" s="9">
        <f t="array" ref="BF9">PRODUCT(1 + 預測IC!$C18:BE18) - 1</f>
        <v>0.63587071215798319</v>
      </c>
      <c r="BG9" s="9">
        <f t="array" ref="BG9">PRODUCT(1 + 預測IC!$C18:BF18) - 1</f>
        <v>0.54946469625860606</v>
      </c>
      <c r="BH9" s="9">
        <f t="array" ref="BH9">PRODUCT(1 + 預測IC!$C18:BG18) - 1</f>
        <v>0.63713420258848896</v>
      </c>
      <c r="BI9" s="9">
        <f t="array" ref="BI9">PRODUCT(1 + 預測IC!$C18:BH18) - 1</f>
        <v>0.50312865117653205</v>
      </c>
      <c r="BJ9" s="9">
        <f t="array" ref="BJ9">PRODUCT(1 + 預測IC!$C18:BI18) - 1</f>
        <v>0.38406270704960521</v>
      </c>
      <c r="BK9" s="9">
        <f t="array" ref="BK9">PRODUCT(1 + 預測IC!$C18:BJ18) - 1</f>
        <v>0.29666470107877618</v>
      </c>
      <c r="BL9" s="9">
        <f t="array" ref="BL9">PRODUCT(1 + 預測IC!$C18:BK18) - 1</f>
        <v>0.27504182161984314</v>
      </c>
      <c r="BM9" s="9">
        <f t="array" ref="BM9">PRODUCT(1 + 預測IC!$C18:BL18) - 1</f>
        <v>0.32157240157200628</v>
      </c>
      <c r="BN9" s="9">
        <f t="array" ref="BN9">PRODUCT(1 + 預測IC!$C18:BM18) - 1</f>
        <v>0.32094600526412975</v>
      </c>
      <c r="BO9" s="9">
        <f t="array" ref="BO9">PRODUCT(1 + 預測IC!$C18:BN18) - 1</f>
        <v>0.18317910265435744</v>
      </c>
      <c r="BP9" s="9">
        <f t="array" ref="BP9">PRODUCT(1 + 預測IC!$C18:BO18) - 1</f>
        <v>0.1010281674633724</v>
      </c>
      <c r="BQ9" s="9">
        <f t="array" ref="BQ9">PRODUCT(1 + 預測IC!$C18:BP18) - 1</f>
        <v>0.22834179322150239</v>
      </c>
      <c r="BR9" s="9">
        <f t="array" ref="BR9">PRODUCT(1 + 預測IC!$C18:BQ18) - 1</f>
        <v>0.28136922647570994</v>
      </c>
      <c r="BS9" s="9">
        <f t="array" ref="BS9">PRODUCT(1 + 預測IC!$C18:BR18) - 1</f>
        <v>0.48876365539456046</v>
      </c>
      <c r="BT9" s="9">
        <f t="array" ref="BT9">PRODUCT(1 + 預測IC!$C18:BS18) - 1</f>
        <v>0.42962646106875146</v>
      </c>
      <c r="BU9" s="9">
        <f t="array" ref="BU9">PRODUCT(1 + 預測IC!$C18:BT18) - 1</f>
        <v>0.49209641537547366</v>
      </c>
      <c r="BV9" s="9">
        <f t="array" ref="BV9">PRODUCT(1 + 預測IC!$C18:BU18) - 1</f>
        <v>0.57491466423486992</v>
      </c>
      <c r="BW9" s="9">
        <f t="array" ref="BW9">PRODUCT(1 + 預測IC!$C18:BV18) - 1</f>
        <v>0.41679800705971526</v>
      </c>
      <c r="BX9" s="9">
        <f t="array" ref="BX9">PRODUCT(1 + 預測IC!$C18:BW18) - 1</f>
        <v>0.51316641422721543</v>
      </c>
      <c r="BY9" s="9">
        <f t="array" ref="BY9">PRODUCT(1 + 預測IC!$C18:BX18) - 1</f>
        <v>0.62294888501502843</v>
      </c>
      <c r="BZ9" s="9">
        <f t="array" ref="BZ9">PRODUCT(1 + 預測IC!$C18:BY18) - 1</f>
        <v>0.73941921509384811</v>
      </c>
      <c r="CA9" s="9">
        <f t="array" ref="CA9">PRODUCT(1 + 預測IC!$C18:BZ18) - 1</f>
        <v>0.77592250008726094</v>
      </c>
      <c r="CB9" s="9">
        <f t="array" ref="CB9">PRODUCT(1 + 預測IC!$C18:CA18) - 1</f>
        <v>0.7574643697761454</v>
      </c>
      <c r="CC9" s="9">
        <f t="array" ref="CC9">PRODUCT(1 + 預測IC!$C18:CB18) - 1</f>
        <v>0.84022182385753141</v>
      </c>
      <c r="CD9" s="9">
        <f t="array" ref="CD9">PRODUCT(1 + 預測IC!$C18:CC18) - 1</f>
        <v>0.87667742553613603</v>
      </c>
      <c r="CE9" s="9">
        <f t="array" ref="CE9">PRODUCT(1 + 預測IC!$C18:CD18) - 1</f>
        <v>0.80539394510693918</v>
      </c>
      <c r="CF9" s="9">
        <f t="array" ref="CF9">PRODUCT(1 + 預測IC!$C18:CE18) - 1</f>
        <v>0.90618650230580178</v>
      </c>
      <c r="CG9" s="9">
        <f t="array" ref="CG9">PRODUCT(1 + 預測IC!$C18:CF18) - 1</f>
        <v>0.75234954797343323</v>
      </c>
      <c r="CH9" s="9">
        <f t="array" ref="CH9">PRODUCT(1 + 預測IC!$C18:CG18) - 1</f>
        <v>0.70099928403397183</v>
      </c>
      <c r="CI9" s="9">
        <f t="array" ref="CI9">PRODUCT(1 + 預測IC!$C18:CH18) - 1</f>
        <v>0.53356664307989043</v>
      </c>
      <c r="CJ9" s="9">
        <f t="array" ref="CJ9">PRODUCT(1 + 預測IC!$C18:CI18) - 1</f>
        <v>0.82427175368254701</v>
      </c>
      <c r="CK9" s="9">
        <f t="array" ref="CK9">PRODUCT(1 + 預測IC!$C18:CJ18) - 1</f>
        <v>0.78408625665238652</v>
      </c>
      <c r="CL9" s="9">
        <f t="array" ref="CL9">PRODUCT(1 + 預測IC!$C18:CK18) - 1</f>
        <v>1.0283482583538381</v>
      </c>
      <c r="CM9" s="9">
        <f t="array" ref="CM9">PRODUCT(1 + 預測IC!$C18:CL18) - 1</f>
        <v>0.68870316567443068</v>
      </c>
      <c r="CN9" s="9">
        <f t="array" ref="CN9">PRODUCT(1 + 預測IC!$C18:CM18) - 1</f>
        <v>0.61167756981498544</v>
      </c>
      <c r="CO9" s="9">
        <f t="array" ref="CO9">PRODUCT(1 + 預測IC!$C18:CN18) - 1</f>
        <v>0.76272759974460014</v>
      </c>
      <c r="CP9" s="9">
        <f t="array" ref="CP9">PRODUCT(1 + 預測IC!$C18:CO18) - 1</f>
        <v>0.82854447244136153</v>
      </c>
      <c r="CQ9" s="9">
        <f t="array" ref="CQ9">PRODUCT(1 + 預測IC!$C18:CP18) - 1</f>
        <v>0.83821087999054855</v>
      </c>
      <c r="CR9" s="9">
        <f t="array" ref="CR9">PRODUCT(1 + 預測IC!$C18:CQ18) - 1</f>
        <v>0.87213477582911358</v>
      </c>
      <c r="CS9" s="9">
        <f t="array" ref="CS9">PRODUCT(1 + 預測IC!$C18:CR18) - 1</f>
        <v>0.79361502289358676</v>
      </c>
      <c r="CT9" s="9">
        <f t="array" ref="CT9">PRODUCT(1 + 預測IC!$C18:CS18) - 1</f>
        <v>0.89866944422655992</v>
      </c>
      <c r="CU9" s="9">
        <f t="array" ref="CU9">PRODUCT(1 + 預測IC!$C18:CT18) - 1</f>
        <v>0.94564474757495098</v>
      </c>
      <c r="CV9" s="9">
        <f t="array" ref="CV9">PRODUCT(1 + 預測IC!$C18:CU18) - 1</f>
        <v>1.1108386761437856</v>
      </c>
      <c r="CW9" s="9">
        <f t="array" ref="CW9">PRODUCT(1 + 預測IC!$C18:CV18) - 1</f>
        <v>1.2702262558337942</v>
      </c>
      <c r="CX9" s="9">
        <f t="array" ref="CX9">PRODUCT(1 + 預測IC!$C18:CW18) - 1</f>
        <v>1.1647787301610575</v>
      </c>
      <c r="CY9" s="9">
        <f t="array" ref="CY9">PRODUCT(1 + 預測IC!$C18:CX18) - 1</f>
        <v>1.0678061687660354</v>
      </c>
      <c r="CZ9" s="9">
        <f t="array" ref="CZ9">PRODUCT(1 + 預測IC!$C18:CY18) - 1</f>
        <v>1.0836033448115034</v>
      </c>
      <c r="DA9" s="9">
        <f t="array" ref="DA9">PRODUCT(1 + 預測IC!$C18:CZ18) - 1</f>
        <v>1.2508531618025818</v>
      </c>
      <c r="DB9" s="9">
        <f t="array" ref="DB9">PRODUCT(1 + 預測IC!$C18:DA18) - 1</f>
        <v>1.3872770631965792</v>
      </c>
      <c r="DC9" s="9">
        <f t="array" ref="DC9">PRODUCT(1 + 預測IC!$C18:DB18) - 1</f>
        <v>1.2324487803901114</v>
      </c>
      <c r="DD9" s="9">
        <f t="array" ref="DD9">PRODUCT(1 + 預測IC!$C18:DC18) - 1</f>
        <v>1.130528901317903</v>
      </c>
      <c r="DE9" s="9">
        <f t="array" ref="DE9">PRODUCT(1 + 預測IC!$C18:DD18) - 1</f>
        <v>1.0893972109975931</v>
      </c>
      <c r="DF9" s="9">
        <f t="array" ref="DF9">PRODUCT(1 + 預測IC!$C18:DE18) - 1</f>
        <v>1.2331492863299554</v>
      </c>
      <c r="DG9" s="9">
        <f t="array" ref="DG9">PRODUCT(1 + 預測IC!$C18:DF18) - 1</f>
        <v>1.1370738760776433</v>
      </c>
      <c r="DH9" s="9">
        <f t="array" ref="DH9">PRODUCT(1 + 預測IC!$C18:DG18) - 1</f>
        <v>0.97362550269340553</v>
      </c>
      <c r="DI9" s="9">
        <f t="array" ref="DI9">PRODUCT(1 + 預測IC!$C18:DH18) - 1</f>
        <v>0.80258920974027381</v>
      </c>
      <c r="DJ9" s="9">
        <f t="array" ref="DJ9">PRODUCT(1 + 預測IC!$C18:DI18) - 1</f>
        <v>0.66325831660649492</v>
      </c>
      <c r="DK9" s="9">
        <f t="array" ref="DK9">PRODUCT(1 + 預測IC!$C18:DJ18) - 1</f>
        <v>0.92245537636236907</v>
      </c>
      <c r="DL9" s="9">
        <f t="array" ref="DL9">PRODUCT(1 + 預測IC!$C18:DK18) - 1</f>
        <v>0.70029899312142541</v>
      </c>
      <c r="DM9" s="9">
        <f t="array" ref="DM9">PRODUCT(1 + 預測IC!$C18:DL18) - 1</f>
        <v>0.57453578471667832</v>
      </c>
      <c r="DN9" s="9">
        <f t="array" ref="DN9">PRODUCT(1 + 預測IC!$C18:DM18) - 1</f>
        <v>0.51872633825127434</v>
      </c>
      <c r="DO9" s="9">
        <f t="array" ref="DO9">PRODUCT(1 + 預測IC!$C18:DN18) - 1</f>
        <v>0.60141138322963505</v>
      </c>
      <c r="DP9" s="9">
        <f t="array" ref="DP9">PRODUCT(1 + 預測IC!$C18:DO18) - 1</f>
        <v>0.51906164806830368</v>
      </c>
      <c r="DQ9" s="9">
        <f t="array" ref="DQ9">PRODUCT(1 + 預測IC!$C18:DP18) - 1</f>
        <v>0.5026167570543727</v>
      </c>
      <c r="DR9" s="9">
        <f t="array" ref="DR9">PRODUCT(1 + 預測IC!$C18:DQ18) - 1</f>
        <v>0.57399038463546947</v>
      </c>
      <c r="DS9" s="9">
        <f t="array" ref="DS9">PRODUCT(1 + 預測IC!$C18:DR18) - 1</f>
        <v>0.62314021795999075</v>
      </c>
      <c r="DT9" s="9">
        <f t="array" ref="DT9">PRODUCT(1 + 預測IC!$C18:DS18) - 1</f>
        <v>0.64151950179312855</v>
      </c>
      <c r="DU9" s="9">
        <f t="array" ref="DU9">PRODUCT(1 + 預測IC!$C18:DT18) - 1</f>
        <v>0.59844977316371706</v>
      </c>
      <c r="DV9" s="9">
        <f t="array" ref="DV9">PRODUCT(1 + 預測IC!$C18:DU18) - 1</f>
        <v>0.61731668656896299</v>
      </c>
      <c r="DW9" s="9">
        <f t="array" ref="DW9">PRODUCT(1 + 預測IC!$C18:DV18) - 1</f>
        <v>0.84672231325345693</v>
      </c>
      <c r="DX9" s="9">
        <f t="array" ref="DX9">PRODUCT(1 + 預測IC!$C18:DW18) - 1</f>
        <v>0.73812591464979516</v>
      </c>
      <c r="DY9" s="9">
        <f t="array" ref="DY9">PRODUCT(1 + 預測IC!$C18:DX18) - 1</f>
        <v>0.66274891052954543</v>
      </c>
      <c r="DZ9" s="9">
        <f t="array" ref="DZ9">PRODUCT(1 + 預測IC!$C18:DY18) - 1</f>
        <v>0.77116451711959844</v>
      </c>
      <c r="EA9" s="9">
        <f t="array" ref="EA9">PRODUCT(1 + 預測IC!$C18:DZ18) - 1</f>
        <v>0.67001789423110325</v>
      </c>
      <c r="EB9" s="9">
        <f t="array" ref="EB9">PRODUCT(1 + 預測IC!$C18:EA18) - 1</f>
        <v>0.5442433984206021</v>
      </c>
      <c r="EC9" s="9">
        <f t="array" ref="EC9">PRODUCT(1 + 預測IC!$C18:EB18) - 1</f>
        <v>0.49885102438430851</v>
      </c>
      <c r="ED9" s="9">
        <f t="array" ref="ED9">PRODUCT(1 + 預測IC!$C18:EC18) - 1</f>
        <v>0.49218898216217966</v>
      </c>
      <c r="EE9" s="9">
        <f t="array" ref="EE9">PRODUCT(1 + 預測IC!$C18:ED18) - 1</f>
        <v>0.41478590984520047</v>
      </c>
      <c r="EF9" s="9">
        <f t="array" ref="EF9">PRODUCT(1 + 預測IC!$C18:EE18) - 1</f>
        <v>0.43122668186605528</v>
      </c>
      <c r="EG9" s="9">
        <f t="array" ref="EG9">PRODUCT(1 + 預測IC!$C18:EF18) - 1</f>
        <v>0.52503602399341642</v>
      </c>
    </row>
    <row r="10" spans="3:137" ht="16" customHeight="1">
      <c r="C10" s="6">
        <v>120</v>
      </c>
      <c r="D10" s="9">
        <f t="array" ref="D10">PRODUCT(1 + 預測IC!$C19:C19) - 1</f>
        <v>3.4430521659851721E-3</v>
      </c>
      <c r="E10" s="9">
        <f t="array" ref="E10">PRODUCT(1 + 預測IC!$C19:D19) - 1</f>
        <v>-3.0789166207589869E-2</v>
      </c>
      <c r="F10" s="9">
        <f t="array" ref="F10">PRODUCT(1 + 預測IC!$C19:E19) - 1</f>
        <v>-1.0212887706778084E-2</v>
      </c>
      <c r="G10" s="9">
        <f t="array" ref="G10">PRODUCT(1 + 預測IC!$C19:F19) - 1</f>
        <v>6.9714563660973949E-2</v>
      </c>
      <c r="H10" s="9">
        <f t="array" ref="H10">PRODUCT(1 + 預測IC!$C19:G19) - 1</f>
        <v>0.22129520684224691</v>
      </c>
      <c r="I10" s="9">
        <f t="array" ref="I10">PRODUCT(1 + 預測IC!$C19:H19) - 1</f>
        <v>0.19035431953546267</v>
      </c>
      <c r="J10" s="9">
        <f t="array" ref="J10">PRODUCT(1 + 預測IC!$C19:I19) - 1</f>
        <v>0.34990428780466298</v>
      </c>
      <c r="K10" s="9">
        <f t="array" ref="K10">PRODUCT(1 + 預測IC!$C19:J19) - 1</f>
        <v>0.39477176990778551</v>
      </c>
      <c r="L10" s="9">
        <f t="array" ref="L10">PRODUCT(1 + 預測IC!$C19:K19) - 1</f>
        <v>0.50697982267043318</v>
      </c>
      <c r="M10" s="9">
        <f t="array" ref="M10">PRODUCT(1 + 預測IC!$C19:L19) - 1</f>
        <v>0.50891908271532582</v>
      </c>
      <c r="N10" s="9">
        <f t="array" ref="N10">PRODUCT(1 + 預測IC!$C19:M19) - 1</f>
        <v>0.37979617182738612</v>
      </c>
      <c r="O10" s="9">
        <f t="array" ref="O10">PRODUCT(1 + 預測IC!$C19:N19) - 1</f>
        <v>9.3201001827229124E-2</v>
      </c>
      <c r="P10" s="9">
        <f t="array" ref="P10">PRODUCT(1 + 預測IC!$C19:O19) - 1</f>
        <v>0.15926441119275014</v>
      </c>
      <c r="Q10" s="9">
        <f t="array" ref="Q10">PRODUCT(1 + 預測IC!$C19:P19) - 1</f>
        <v>0.15472971289406856</v>
      </c>
      <c r="R10" s="9">
        <f t="array" ref="R10">PRODUCT(1 + 預測IC!$C19:Q19) - 1</f>
        <v>0.20017000097057758</v>
      </c>
      <c r="S10" s="9">
        <f t="array" ref="S10">PRODUCT(1 + 預測IC!$C19:R19) - 1</f>
        <v>0.22016366242627328</v>
      </c>
      <c r="T10" s="9">
        <f t="array" ref="T10">PRODUCT(1 + 預測IC!$C19:S19) - 1</f>
        <v>0.25792482424613383</v>
      </c>
      <c r="U10" s="9">
        <f t="array" ref="U10">PRODUCT(1 + 預測IC!$C19:T19) - 1</f>
        <v>0.2801710653553946</v>
      </c>
      <c r="V10" s="9">
        <f t="array" ref="V10">PRODUCT(1 + 預測IC!$C19:U19) - 1</f>
        <v>0.44603287150203297</v>
      </c>
      <c r="W10" s="9">
        <f t="array" ref="W10">PRODUCT(1 + 預測IC!$C19:V19) - 1</f>
        <v>0.48589976792335543</v>
      </c>
      <c r="X10" s="9">
        <f t="array" ref="X10">PRODUCT(1 + 預測IC!$C19:W19) - 1</f>
        <v>0.64526781889736018</v>
      </c>
      <c r="Y10" s="9">
        <f t="array" ref="Y10">PRODUCT(1 + 預測IC!$C19:X19) - 1</f>
        <v>0.6495854341121956</v>
      </c>
      <c r="Z10" s="9">
        <f t="array" ref="Z10">PRODUCT(1 + 預測IC!$C19:Y19) - 1</f>
        <v>0.63322093154032233</v>
      </c>
      <c r="AA10" s="9">
        <f t="array" ref="AA10">PRODUCT(1 + 預測IC!$C19:Z19) - 1</f>
        <v>0.73138657983158573</v>
      </c>
      <c r="AB10" s="9">
        <f t="array" ref="AB10">PRODUCT(1 + 預測IC!$C19:AA19) - 1</f>
        <v>0.67719994793530258</v>
      </c>
      <c r="AC10" s="9">
        <f t="array" ref="AC10">PRODUCT(1 + 預測IC!$C19:AB19) - 1</f>
        <v>0.62311613205369465</v>
      </c>
      <c r="AD10" s="9">
        <f t="array" ref="AD10">PRODUCT(1 + 預測IC!$C19:AC19) - 1</f>
        <v>0.73303721858874837</v>
      </c>
      <c r="AE10" s="9">
        <f t="array" ref="AE10">PRODUCT(1 + 預測IC!$C19:AD19) - 1</f>
        <v>0.80374911786155767</v>
      </c>
      <c r="AF10" s="9">
        <f t="array" ref="AF10">PRODUCT(1 + 預測IC!$C19:AE19) - 1</f>
        <v>0.65991208794036238</v>
      </c>
      <c r="AG10" s="9">
        <f t="array" ref="AG10">PRODUCT(1 + 預測IC!$C19:AF19) - 1</f>
        <v>0.88748967358341346</v>
      </c>
      <c r="AH10" s="9">
        <f t="array" ref="AH10">PRODUCT(1 + 預測IC!$C19:AG19) - 1</f>
        <v>0.87894428989063278</v>
      </c>
      <c r="AI10" s="9">
        <f t="array" ref="AI10">PRODUCT(1 + 預測IC!$C19:AH19) - 1</f>
        <v>0.77916001541328606</v>
      </c>
      <c r="AJ10" s="9">
        <f t="array" ref="AJ10">PRODUCT(1 + 預測IC!$C19:AI19) - 1</f>
        <v>0.973732349636931</v>
      </c>
      <c r="AK10" s="9">
        <f t="array" ref="AK10">PRODUCT(1 + 預測IC!$C19:AJ19) - 1</f>
        <v>1.1064183174862894</v>
      </c>
      <c r="AL10" s="9">
        <f t="array" ref="AL10">PRODUCT(1 + 預測IC!$C19:AK19) - 1</f>
        <v>0.88209467386524554</v>
      </c>
      <c r="AM10" s="9">
        <f t="array" ref="AM10">PRODUCT(1 + 預測IC!$C19:AL19) - 1</f>
        <v>0.83090039806330274</v>
      </c>
      <c r="AN10" s="9">
        <f t="array" ref="AN10">PRODUCT(1 + 預測IC!$C19:AM19) - 1</f>
        <v>0.83111607325754466</v>
      </c>
      <c r="AO10" s="9">
        <f t="array" ref="AO10">PRODUCT(1 + 預測IC!$C19:AN19) - 1</f>
        <v>1.0501198583806675</v>
      </c>
      <c r="AP10" s="9">
        <f t="array" ref="AP10">PRODUCT(1 + 預測IC!$C19:AO19) - 1</f>
        <v>0.80168142746217419</v>
      </c>
      <c r="AQ10" s="9">
        <f t="array" ref="AQ10">PRODUCT(1 + 預測IC!$C19:AP19) - 1</f>
        <v>0.75342346164549867</v>
      </c>
      <c r="AR10" s="9">
        <f t="array" ref="AR10">PRODUCT(1 + 預測IC!$C19:AQ19) - 1</f>
        <v>0.53575932725453135</v>
      </c>
      <c r="AS10" s="9">
        <f t="array" ref="AS10">PRODUCT(1 + 預測IC!$C19:AR19) - 1</f>
        <v>0.59404731646606646</v>
      </c>
      <c r="AT10" s="9">
        <f t="array" ref="AT10">PRODUCT(1 + 預測IC!$C19:AS19) - 1</f>
        <v>0.5817879170720861</v>
      </c>
      <c r="AU10" s="9">
        <f t="array" ref="AU10">PRODUCT(1 + 預測IC!$C19:AT19) - 1</f>
        <v>0.61622715544616891</v>
      </c>
      <c r="AV10" s="9">
        <f t="array" ref="AV10">PRODUCT(1 + 預測IC!$C19:AU19) - 1</f>
        <v>0.68277802199826221</v>
      </c>
      <c r="AW10" s="9">
        <f t="array" ref="AW10">PRODUCT(1 + 預測IC!$C19:AV19) - 1</f>
        <v>0.70622455496228209</v>
      </c>
      <c r="AX10" s="9">
        <f t="array" ref="AX10">PRODUCT(1 + 預測IC!$C19:AW19) - 1</f>
        <v>0.62928484482931157</v>
      </c>
      <c r="AY10" s="9">
        <f t="array" ref="AY10">PRODUCT(1 + 預測IC!$C19:AX19) - 1</f>
        <v>0.58513853583917053</v>
      </c>
      <c r="AZ10" s="9">
        <f t="array" ref="AZ10">PRODUCT(1 + 預測IC!$C19:AY19) - 1</f>
        <v>0.64017169246132766</v>
      </c>
      <c r="BA10" s="9">
        <f t="array" ref="BA10">PRODUCT(1 + 預測IC!$C19:AZ19) - 1</f>
        <v>0.67347699216983425</v>
      </c>
      <c r="BB10" s="9">
        <f t="array" ref="BB10">PRODUCT(1 + 預測IC!$C19:BA19) - 1</f>
        <v>0.68663086764045866</v>
      </c>
      <c r="BC10" s="9">
        <f t="array" ref="BC10">PRODUCT(1 + 預測IC!$C19:BB19) - 1</f>
        <v>0.55062659800879965</v>
      </c>
      <c r="BD10" s="9">
        <f t="array" ref="BD10">PRODUCT(1 + 預測IC!$C19:BC19) - 1</f>
        <v>0.49545870496684929</v>
      </c>
      <c r="BE10" s="9">
        <f t="array" ref="BE10">PRODUCT(1 + 預測IC!$C19:BD19) - 1</f>
        <v>0.57027886316650145</v>
      </c>
      <c r="BF10" s="9">
        <f t="array" ref="BF10">PRODUCT(1 + 預測IC!$C19:BE19) - 1</f>
        <v>0.587926924344496</v>
      </c>
      <c r="BG10" s="9">
        <f t="array" ref="BG10">PRODUCT(1 + 預測IC!$C19:BF19) - 1</f>
        <v>0.46764669597755515</v>
      </c>
      <c r="BH10" s="9">
        <f t="array" ref="BH10">PRODUCT(1 + 預測IC!$C19:BG19) - 1</f>
        <v>0.61848839850715298</v>
      </c>
      <c r="BI10" s="9">
        <f t="array" ref="BI10">PRODUCT(1 + 預測IC!$C19:BH19) - 1</f>
        <v>0.44692798471086759</v>
      </c>
      <c r="BJ10" s="9">
        <f t="array" ref="BJ10">PRODUCT(1 + 預測IC!$C19:BI19) - 1</f>
        <v>0.31892953068929319</v>
      </c>
      <c r="BK10" s="9">
        <f t="array" ref="BK10">PRODUCT(1 + 預測IC!$C19:BJ19) - 1</f>
        <v>0.22107740416386501</v>
      </c>
      <c r="BL10" s="9">
        <f t="array" ref="BL10">PRODUCT(1 + 預測IC!$C19:BK19) - 1</f>
        <v>0.21198272383711703</v>
      </c>
      <c r="BM10" s="9">
        <f t="array" ref="BM10">PRODUCT(1 + 預測IC!$C19:BL19) - 1</f>
        <v>0.27393605571660218</v>
      </c>
      <c r="BN10" s="9">
        <f t="array" ref="BN10">PRODUCT(1 + 預測IC!$C19:BM19) - 1</f>
        <v>0.25577981293232299</v>
      </c>
      <c r="BO10" s="9">
        <f t="array" ref="BO10">PRODUCT(1 + 預測IC!$C19:BN19) - 1</f>
        <v>0.12326444703646011</v>
      </c>
      <c r="BP10" s="9">
        <f t="array" ref="BP10">PRODUCT(1 + 預測IC!$C19:BO19) - 1</f>
        <v>0.12876023142858029</v>
      </c>
      <c r="BQ10" s="9">
        <f t="array" ref="BQ10">PRODUCT(1 + 預測IC!$C19:BP19) - 1</f>
        <v>0.25384924808607057</v>
      </c>
      <c r="BR10" s="9">
        <f t="array" ref="BR10">PRODUCT(1 + 預測IC!$C19:BQ19) - 1</f>
        <v>0.32205262440248283</v>
      </c>
      <c r="BS10" s="9">
        <f t="array" ref="BS10">PRODUCT(1 + 預測IC!$C19:BR19) - 1</f>
        <v>0.56458657749322305</v>
      </c>
      <c r="BT10" s="9">
        <f t="array" ref="BT10">PRODUCT(1 + 預測IC!$C19:BS19) - 1</f>
        <v>0.51310650036623717</v>
      </c>
      <c r="BU10" s="9">
        <f t="array" ref="BU10">PRODUCT(1 + 預測IC!$C19:BT19) - 1</f>
        <v>0.5825597875300863</v>
      </c>
      <c r="BV10" s="9">
        <f t="array" ref="BV10">PRODUCT(1 + 預測IC!$C19:BU19) - 1</f>
        <v>0.66203807554503769</v>
      </c>
      <c r="BW10" s="9">
        <f t="array" ref="BW10">PRODUCT(1 + 預測IC!$C19:BV19) - 1</f>
        <v>0.50182164229148296</v>
      </c>
      <c r="BX10" s="9">
        <f t="array" ref="BX10">PRODUCT(1 + 預測IC!$C19:BW19) - 1</f>
        <v>0.59658422025041746</v>
      </c>
      <c r="BY10" s="9">
        <f t="array" ref="BY10">PRODUCT(1 + 預測IC!$C19:BX19) - 1</f>
        <v>0.72258618241796269</v>
      </c>
      <c r="BZ10" s="9">
        <f t="array" ref="BZ10">PRODUCT(1 + 預測IC!$C19:BY19) - 1</f>
        <v>0.87322105337073008</v>
      </c>
      <c r="CA10" s="9">
        <f t="array" ref="CA10">PRODUCT(1 + 預測IC!$C19:BZ19) - 1</f>
        <v>0.91441997140777365</v>
      </c>
      <c r="CB10" s="9">
        <f t="array" ref="CB10">PRODUCT(1 + 預測IC!$C19:CA19) - 1</f>
        <v>0.88357277273552737</v>
      </c>
      <c r="CC10" s="9">
        <f t="array" ref="CC10">PRODUCT(1 + 預測IC!$C19:CB19) - 1</f>
        <v>0.99370829841575414</v>
      </c>
      <c r="CD10" s="9">
        <f t="array" ref="CD10">PRODUCT(1 + 預測IC!$C19:CC19) - 1</f>
        <v>1.0026290101383792</v>
      </c>
      <c r="CE10" s="9">
        <f t="array" ref="CE10">PRODUCT(1 + 預測IC!$C19:CD19) - 1</f>
        <v>0.87971426970078759</v>
      </c>
      <c r="CF10" s="9">
        <f t="array" ref="CF10">PRODUCT(1 + 預測IC!$C19:CE19) - 1</f>
        <v>1.0297938207632908</v>
      </c>
      <c r="CG10" s="9">
        <f t="array" ref="CG10">PRODUCT(1 + 預測IC!$C19:CF19) - 1</f>
        <v>0.85455011295166616</v>
      </c>
      <c r="CH10" s="9">
        <f t="array" ref="CH10">PRODUCT(1 + 預測IC!$C19:CG19) - 1</f>
        <v>0.67696927525558248</v>
      </c>
      <c r="CI10" s="9">
        <f t="array" ref="CI10">PRODUCT(1 + 預測IC!$C19:CH19) - 1</f>
        <v>0.4443695009689268</v>
      </c>
      <c r="CJ10" s="9">
        <f t="array" ref="CJ10">PRODUCT(1 + 預測IC!$C19:CI19) - 1</f>
        <v>0.75329897268514689</v>
      </c>
      <c r="CK10" s="9">
        <f t="array" ref="CK10">PRODUCT(1 + 預測IC!$C19:CJ19) - 1</f>
        <v>0.74757879278935024</v>
      </c>
      <c r="CL10" s="9">
        <f t="array" ref="CL10">PRODUCT(1 + 預測IC!$C19:CK19) - 1</f>
        <v>0.99868955782355062</v>
      </c>
      <c r="CM10" s="9">
        <f t="array" ref="CM10">PRODUCT(1 + 預測IC!$C19:CL19) - 1</f>
        <v>0.50205739002722671</v>
      </c>
      <c r="CN10" s="9">
        <f t="array" ref="CN10">PRODUCT(1 + 預測IC!$C19:CM19) - 1</f>
        <v>0.43639440022236231</v>
      </c>
      <c r="CO10" s="9">
        <f t="array" ref="CO10">PRODUCT(1 + 預測IC!$C19:CN19) - 1</f>
        <v>0.62996751602115442</v>
      </c>
      <c r="CP10" s="9">
        <f t="array" ref="CP10">PRODUCT(1 + 預測IC!$C19:CO19) - 1</f>
        <v>0.66510888725822781</v>
      </c>
      <c r="CQ10" s="9">
        <f t="array" ref="CQ10">PRODUCT(1 + 預測IC!$C19:CP19) - 1</f>
        <v>0.65428886244793949</v>
      </c>
      <c r="CR10" s="9">
        <f t="array" ref="CR10">PRODUCT(1 + 預測IC!$C19:CQ19) - 1</f>
        <v>0.67270950453498335</v>
      </c>
      <c r="CS10" s="9">
        <f t="array" ref="CS10">PRODUCT(1 + 預測IC!$C19:CR19) - 1</f>
        <v>0.61636733091123563</v>
      </c>
      <c r="CT10" s="9">
        <f t="array" ref="CT10">PRODUCT(1 + 預測IC!$C19:CS19) - 1</f>
        <v>0.71944836589169747</v>
      </c>
      <c r="CU10" s="9">
        <f t="array" ref="CU10">PRODUCT(1 + 預測IC!$C19:CT19) - 1</f>
        <v>0.75439239727476681</v>
      </c>
      <c r="CV10" s="9">
        <f t="array" ref="CV10">PRODUCT(1 + 預測IC!$C19:CU19) - 1</f>
        <v>0.91987971383612877</v>
      </c>
      <c r="CW10" s="9">
        <f t="array" ref="CW10">PRODUCT(1 + 預測IC!$C19:CV19) - 1</f>
        <v>1.0728008434584506</v>
      </c>
      <c r="CX10" s="9">
        <f t="array" ref="CX10">PRODUCT(1 + 預測IC!$C19:CW19) - 1</f>
        <v>1.0185649611291385</v>
      </c>
      <c r="CY10" s="9">
        <f t="array" ref="CY10">PRODUCT(1 + 預測IC!$C19:CX19) - 1</f>
        <v>0.95827662746297948</v>
      </c>
      <c r="CZ10" s="9">
        <f t="array" ref="CZ10">PRODUCT(1 + 預測IC!$C19:CY19) - 1</f>
        <v>0.97955776303219477</v>
      </c>
      <c r="DA10" s="9">
        <f t="array" ref="DA10">PRODUCT(1 + 預測IC!$C19:CZ19) - 1</f>
        <v>1.1578815747657893</v>
      </c>
      <c r="DB10" s="9">
        <f t="array" ref="DB10">PRODUCT(1 + 預測IC!$C19:DA19) - 1</f>
        <v>1.3044066441140529</v>
      </c>
      <c r="DC10" s="9">
        <f t="array" ref="DC10">PRODUCT(1 + 預測IC!$C19:DB19) - 1</f>
        <v>1.1665632597948106</v>
      </c>
      <c r="DD10" s="9">
        <f t="array" ref="DD10">PRODUCT(1 + 預測IC!$C19:DC19) - 1</f>
        <v>1.0691431213393114</v>
      </c>
      <c r="DE10" s="9">
        <f t="array" ref="DE10">PRODUCT(1 + 預測IC!$C19:DD19) - 1</f>
        <v>1.033860841171006</v>
      </c>
      <c r="DF10" s="9">
        <f t="array" ref="DF10">PRODUCT(1 + 預測IC!$C19:DE19) - 1</f>
        <v>1.0535984921765658</v>
      </c>
      <c r="DG10" s="9">
        <f t="array" ref="DG10">PRODUCT(1 + 預測IC!$C19:DF19) - 1</f>
        <v>0.95743647425382816</v>
      </c>
      <c r="DH10" s="9">
        <f t="array" ref="DH10">PRODUCT(1 + 預測IC!$C19:DG19) - 1</f>
        <v>0.75699051738446155</v>
      </c>
      <c r="DI10" s="9">
        <f t="array" ref="DI10">PRODUCT(1 + 預測IC!$C19:DH19) - 1</f>
        <v>0.59502285202845973</v>
      </c>
      <c r="DJ10" s="9">
        <f t="array" ref="DJ10">PRODUCT(1 + 預測IC!$C19:DI19) - 1</f>
        <v>0.48148939564570825</v>
      </c>
      <c r="DK10" s="9">
        <f t="array" ref="DK10">PRODUCT(1 + 預測IC!$C19:DJ19) - 1</f>
        <v>0.72929068426175214</v>
      </c>
      <c r="DL10" s="9">
        <f t="array" ref="DL10">PRODUCT(1 + 預測IC!$C19:DK19) - 1</f>
        <v>0.55366357333864125</v>
      </c>
      <c r="DM10" s="9">
        <f t="array" ref="DM10">PRODUCT(1 + 預測IC!$C19:DL19) - 1</f>
        <v>0.43735350959158992</v>
      </c>
      <c r="DN10" s="9">
        <f t="array" ref="DN10">PRODUCT(1 + 預測IC!$C19:DM19) - 1</f>
        <v>0.40166222558898279</v>
      </c>
      <c r="DO10" s="9">
        <f t="array" ref="DO10">PRODUCT(1 + 預測IC!$C19:DN19) - 1</f>
        <v>0.46278341739841977</v>
      </c>
      <c r="DP10" s="9">
        <f t="array" ref="DP10">PRODUCT(1 + 預測IC!$C19:DO19) - 1</f>
        <v>0.37606805413669164</v>
      </c>
      <c r="DQ10" s="9">
        <f t="array" ref="DQ10">PRODUCT(1 + 預測IC!$C19:DP19) - 1</f>
        <v>0.35655597994873212</v>
      </c>
      <c r="DR10" s="9">
        <f t="array" ref="DR10">PRODUCT(1 + 預測IC!$C19:DQ19) - 1</f>
        <v>0.40523460322654836</v>
      </c>
      <c r="DS10" s="9">
        <f t="array" ref="DS10">PRODUCT(1 + 預測IC!$C19:DR19) - 1</f>
        <v>0.45679120124601202</v>
      </c>
      <c r="DT10" s="9">
        <f t="array" ref="DT10">PRODUCT(1 + 預測IC!$C19:DS19) - 1</f>
        <v>0.4857860638222844</v>
      </c>
      <c r="DU10" s="9">
        <f t="array" ref="DU10">PRODUCT(1 + 預測IC!$C19:DT19) - 1</f>
        <v>0.47459142383631181</v>
      </c>
      <c r="DV10" s="9">
        <f t="array" ref="DV10">PRODUCT(1 + 預測IC!$C19:DU19) - 1</f>
        <v>0.49818128283435814</v>
      </c>
      <c r="DW10" s="9">
        <f t="array" ref="DW10">PRODUCT(1 + 預測IC!$C19:DV19) - 1</f>
        <v>0.7144295999604191</v>
      </c>
      <c r="DX10" s="9">
        <f t="array" ref="DX10">PRODUCT(1 + 預測IC!$C19:DW19) - 1</f>
        <v>0.64802721380493811</v>
      </c>
      <c r="DY10" s="9">
        <f t="array" ref="DY10">PRODUCT(1 + 預測IC!$C19:DX19) - 1</f>
        <v>0.5777170813773127</v>
      </c>
      <c r="DZ10" s="9">
        <f t="array" ref="DZ10">PRODUCT(1 + 預測IC!$C19:DY19) - 1</f>
        <v>0.70103904453610122</v>
      </c>
      <c r="EA10" s="9">
        <f t="array" ref="EA10">PRODUCT(1 + 預測IC!$C19:DZ19) - 1</f>
        <v>0.6979166721225929</v>
      </c>
      <c r="EB10" s="9">
        <f t="array" ref="EB10">PRODUCT(1 + 預測IC!$C19:EA19) - 1</f>
        <v>0.60221441635363959</v>
      </c>
      <c r="EC10" s="9">
        <f t="array" ref="EC10">PRODUCT(1 + 預測IC!$C19:EB19) - 1</f>
        <v>0.54941334494809912</v>
      </c>
      <c r="ED10" s="9">
        <f t="array" ref="ED10">PRODUCT(1 + 預測IC!$C19:EC19) - 1</f>
        <v>0.5559344277382543</v>
      </c>
      <c r="EE10" s="9">
        <f t="array" ref="EE10">PRODUCT(1 + 預測IC!$C19:ED19) - 1</f>
        <v>0.52500634856879369</v>
      </c>
      <c r="EF10" s="9">
        <f t="array" ref="EF10">PRODUCT(1 + 預測IC!$C19:EE19) - 1</f>
        <v>0.55234134042692062</v>
      </c>
      <c r="EG10" s="9">
        <f t="array" ref="EG10">PRODUCT(1 + 預測IC!$C19:EF19) - 1</f>
        <v>0.659849331572119</v>
      </c>
    </row>
    <row r="11" spans="3:137" ht="16" customHeight="1">
      <c r="C11" s="6">
        <v>137</v>
      </c>
      <c r="D11" s="9">
        <f t="array" ref="D11">PRODUCT(1 + 預測IC!$C20:C20) - 1</f>
        <v>2.0288327461452926E-2</v>
      </c>
      <c r="E11" s="9">
        <f t="array" ref="E11">PRODUCT(1 + 預測IC!$C20:D20) - 1</f>
        <v>6.1898852284831829E-3</v>
      </c>
      <c r="F11" s="9">
        <f t="array" ref="F11">PRODUCT(1 + 預測IC!$C20:E20) - 1</f>
        <v>3.2855081836890898E-2</v>
      </c>
      <c r="G11" s="9">
        <f t="array" ref="G11">PRODUCT(1 + 預測IC!$C20:F20) - 1</f>
        <v>0.15616037886316847</v>
      </c>
      <c r="H11" s="9">
        <f t="array" ref="H11">PRODUCT(1 + 預測IC!$C20:G20) - 1</f>
        <v>0.33878763330105377</v>
      </c>
      <c r="I11" s="9">
        <f t="array" ref="I11">PRODUCT(1 + 預測IC!$C20:H20) - 1</f>
        <v>0.28103827524526093</v>
      </c>
      <c r="J11" s="9">
        <f t="array" ref="J11">PRODUCT(1 + 預測IC!$C20:I20) - 1</f>
        <v>0.48117503785992088</v>
      </c>
      <c r="K11" s="9">
        <f t="array" ref="K11">PRODUCT(1 + 預測IC!$C20:J20) - 1</f>
        <v>0.56157652246122658</v>
      </c>
      <c r="L11" s="9">
        <f t="array" ref="L11">PRODUCT(1 + 預測IC!$C20:K20) - 1</f>
        <v>0.74124240851759815</v>
      </c>
      <c r="M11" s="9">
        <f t="array" ref="M11">PRODUCT(1 + 預測IC!$C20:L20) - 1</f>
        <v>0.74521990446690523</v>
      </c>
      <c r="N11" s="9">
        <f t="array" ref="N11">PRODUCT(1 + 預測IC!$C20:M20) - 1</f>
        <v>0.59142625661449744</v>
      </c>
      <c r="O11" s="9">
        <f t="array" ref="O11">PRODUCT(1 + 預測IC!$C20:N20) - 1</f>
        <v>0.11495150431324874</v>
      </c>
      <c r="P11" s="9">
        <f t="array" ref="P11">PRODUCT(1 + 預測IC!$C20:O20) - 1</f>
        <v>0.19231374068979545</v>
      </c>
      <c r="Q11" s="9">
        <f t="array" ref="Q11">PRODUCT(1 + 預測IC!$C20:P20) - 1</f>
        <v>0.20353822659343068</v>
      </c>
      <c r="R11" s="9">
        <f t="array" ref="R11">PRODUCT(1 + 預測IC!$C20:Q20) - 1</f>
        <v>0.16116525961308059</v>
      </c>
      <c r="S11" s="9">
        <f t="array" ref="S11">PRODUCT(1 + 預測IC!$C20:R20) - 1</f>
        <v>0.19527836204745785</v>
      </c>
      <c r="T11" s="9">
        <f t="array" ref="T11">PRODUCT(1 + 預測IC!$C20:S20) - 1</f>
        <v>0.23619087088304758</v>
      </c>
      <c r="U11" s="9">
        <f t="array" ref="U11">PRODUCT(1 + 預測IC!$C20:T20) - 1</f>
        <v>0.25548998579175852</v>
      </c>
      <c r="V11" s="9">
        <f t="array" ref="V11">PRODUCT(1 + 預測IC!$C20:U20) - 1</f>
        <v>0.42212620934868017</v>
      </c>
      <c r="W11" s="9">
        <f t="array" ref="W11">PRODUCT(1 + 預測IC!$C20:V20) - 1</f>
        <v>0.45645169345227776</v>
      </c>
      <c r="X11" s="9">
        <f t="array" ref="X11">PRODUCT(1 + 預測IC!$C20:W20) - 1</f>
        <v>0.60383630503672214</v>
      </c>
      <c r="Y11" s="9">
        <f t="array" ref="Y11">PRODUCT(1 + 預測IC!$C20:X20) - 1</f>
        <v>0.6145580689225365</v>
      </c>
      <c r="Z11" s="9">
        <f t="array" ref="Z11">PRODUCT(1 + 預測IC!$C20:Y20) - 1</f>
        <v>0.58163910458523027</v>
      </c>
      <c r="AA11" s="9">
        <f t="array" ref="AA11">PRODUCT(1 + 預測IC!$C20:Z20) - 1</f>
        <v>0.70891535977698505</v>
      </c>
      <c r="AB11" s="9">
        <f t="array" ref="AB11">PRODUCT(1 + 預測IC!$C20:AA20) - 1</f>
        <v>0.67608702597671533</v>
      </c>
      <c r="AC11" s="9">
        <f t="array" ref="AC11">PRODUCT(1 + 預測IC!$C20:AB20) - 1</f>
        <v>0.62028070303072069</v>
      </c>
      <c r="AD11" s="9">
        <f t="array" ref="AD11">PRODUCT(1 + 預測IC!$C20:AC20) - 1</f>
        <v>0.75464611539713866</v>
      </c>
      <c r="AE11" s="9">
        <f t="array" ref="AE11">PRODUCT(1 + 預測IC!$C20:AD20) - 1</f>
        <v>0.80701828819657195</v>
      </c>
      <c r="AF11" s="9">
        <f t="array" ref="AF11">PRODUCT(1 + 預測IC!$C20:AE20) - 1</f>
        <v>0.65456234725786544</v>
      </c>
      <c r="AG11" s="9">
        <f t="array" ref="AG11">PRODUCT(1 + 預測IC!$C20:AF20) - 1</f>
        <v>0.87206524196157664</v>
      </c>
      <c r="AH11" s="9">
        <f t="array" ref="AH11">PRODUCT(1 + 預測IC!$C20:AG20) - 1</f>
        <v>0.8096208556717952</v>
      </c>
      <c r="AI11" s="9">
        <f t="array" ref="AI11">PRODUCT(1 + 預測IC!$C20:AH20) - 1</f>
        <v>0.71426758115673827</v>
      </c>
      <c r="AJ11" s="9">
        <f t="array" ref="AJ11">PRODUCT(1 + 預測IC!$C20:AI20) - 1</f>
        <v>0.97003635246428344</v>
      </c>
      <c r="AK11" s="9">
        <f t="array" ref="AK11">PRODUCT(1 + 預測IC!$C20:AJ20) - 1</f>
        <v>1.101836972392165</v>
      </c>
      <c r="AL11" s="9">
        <f t="array" ref="AL11">PRODUCT(1 + 預測IC!$C20:AK20) - 1</f>
        <v>0.94314699455527218</v>
      </c>
      <c r="AM11" s="9">
        <f t="array" ref="AM11">PRODUCT(1 + 預測IC!$C20:AL20) - 1</f>
        <v>0.89698498977940999</v>
      </c>
      <c r="AN11" s="9">
        <f t="array" ref="AN11">PRODUCT(1 + 預測IC!$C20:AM20) - 1</f>
        <v>0.73900606624664</v>
      </c>
      <c r="AO11" s="9">
        <f t="array" ref="AO11">PRODUCT(1 + 預測IC!$C20:AN20) - 1</f>
        <v>0.92672563627702109</v>
      </c>
      <c r="AP11" s="9">
        <f t="array" ref="AP11">PRODUCT(1 + 預測IC!$C20:AO20) - 1</f>
        <v>0.6994789178572991</v>
      </c>
      <c r="AQ11" s="9">
        <f t="array" ref="AQ11">PRODUCT(1 + 預測IC!$C20:AP20) - 1</f>
        <v>0.63832162306462559</v>
      </c>
      <c r="AR11" s="9">
        <f t="array" ref="AR11">PRODUCT(1 + 預測IC!$C20:AQ20) - 1</f>
        <v>0.39355609933123525</v>
      </c>
      <c r="AS11" s="9">
        <f t="array" ref="AS11">PRODUCT(1 + 預測IC!$C20:AR20) - 1</f>
        <v>0.46825027593709789</v>
      </c>
      <c r="AT11" s="9">
        <f t="array" ref="AT11">PRODUCT(1 + 預測IC!$C20:AS20) - 1</f>
        <v>0.48540256309394714</v>
      </c>
      <c r="AU11" s="9">
        <f t="array" ref="AU11">PRODUCT(1 + 預測IC!$C20:AT20) - 1</f>
        <v>0.50622398142291125</v>
      </c>
      <c r="AV11" s="9">
        <f t="array" ref="AV11">PRODUCT(1 + 預測IC!$C20:AU20) - 1</f>
        <v>0.5541502136037979</v>
      </c>
      <c r="AW11" s="9">
        <f t="array" ref="AW11">PRODUCT(1 + 預測IC!$C20:AV20) - 1</f>
        <v>0.54452928280495683</v>
      </c>
      <c r="AX11" s="9">
        <f t="array" ref="AX11">PRODUCT(1 + 預測IC!$C20:AW20) - 1</f>
        <v>0.502164467179399</v>
      </c>
      <c r="AY11" s="9">
        <f t="array" ref="AY11">PRODUCT(1 + 預測IC!$C20:AX20) - 1</f>
        <v>0.46150379103585371</v>
      </c>
      <c r="AZ11" s="9">
        <f t="array" ref="AZ11">PRODUCT(1 + 預測IC!$C20:AY20) - 1</f>
        <v>0.44331830070931399</v>
      </c>
      <c r="BA11" s="9">
        <f t="array" ref="BA11">PRODUCT(1 + 預測IC!$C20:AZ20) - 1</f>
        <v>0.47672367448777209</v>
      </c>
      <c r="BB11" s="9">
        <f t="array" ref="BB11">PRODUCT(1 + 預測IC!$C20:BA20) - 1</f>
        <v>0.49375527838715683</v>
      </c>
      <c r="BC11" s="9">
        <f t="array" ref="BC11">PRODUCT(1 + 預測IC!$C20:BB20) - 1</f>
        <v>0.35208538099972952</v>
      </c>
      <c r="BD11" s="9">
        <f t="array" ref="BD11">PRODUCT(1 + 預測IC!$C20:BC20) - 1</f>
        <v>0.2922874082671667</v>
      </c>
      <c r="BE11" s="9">
        <f t="array" ref="BE11">PRODUCT(1 + 預測IC!$C20:BD20) - 1</f>
        <v>0.37610607338619562</v>
      </c>
      <c r="BF11" s="9">
        <f t="array" ref="BF11">PRODUCT(1 + 預測IC!$C20:BE20) - 1</f>
        <v>0.39024336443007046</v>
      </c>
      <c r="BG11" s="9">
        <f t="array" ref="BG11">PRODUCT(1 + 預測IC!$C20:BF20) - 1</f>
        <v>0.24974602576702076</v>
      </c>
      <c r="BH11" s="9">
        <f t="array" ref="BH11">PRODUCT(1 + 預測IC!$C20:BG20) - 1</f>
        <v>0.41664308752326762</v>
      </c>
      <c r="BI11" s="9">
        <f t="array" ref="BI11">PRODUCT(1 + 預測IC!$C20:BH20) - 1</f>
        <v>0.29752136937911011</v>
      </c>
      <c r="BJ11" s="9">
        <f t="array" ref="BJ11">PRODUCT(1 + 預測IC!$C20:BI20) - 1</f>
        <v>0.14287047958976551</v>
      </c>
      <c r="BK11" s="9">
        <f t="array" ref="BK11">PRODUCT(1 + 預測IC!$C20:BJ20) - 1</f>
        <v>7.3895662343575808E-2</v>
      </c>
      <c r="BL11" s="9">
        <f t="array" ref="BL11">PRODUCT(1 + 預測IC!$C20:BK20) - 1</f>
        <v>6.9348238705425835E-2</v>
      </c>
      <c r="BM11" s="9">
        <f t="array" ref="BM11">PRODUCT(1 + 預測IC!$C20:BL20) - 1</f>
        <v>0.10637397626805334</v>
      </c>
      <c r="BN11" s="9">
        <f t="array" ref="BN11">PRODUCT(1 + 預測IC!$C20:BM20) - 1</f>
        <v>8.2184784955068091E-2</v>
      </c>
      <c r="BO11" s="9">
        <f t="array" ref="BO11">PRODUCT(1 + 預測IC!$C20:BN20) - 1</f>
        <v>-1.9966190590817057E-2</v>
      </c>
      <c r="BP11" s="9">
        <f t="array" ref="BP11">PRODUCT(1 + 預測IC!$C20:BO20) - 1</f>
        <v>-1.1862158762720676E-2</v>
      </c>
      <c r="BQ11" s="9">
        <f t="array" ref="BQ11">PRODUCT(1 + 預測IC!$C20:BP20) - 1</f>
        <v>2.7157573348095987E-2</v>
      </c>
      <c r="BR11" s="9">
        <f t="array" ref="BR11">PRODUCT(1 + 預測IC!$C20:BQ20) - 1</f>
        <v>6.5912478845822742E-2</v>
      </c>
      <c r="BS11" s="9">
        <f t="array" ref="BS11">PRODUCT(1 + 預測IC!$C20:BR20) - 1</f>
        <v>0.24614995856186361</v>
      </c>
      <c r="BT11" s="9">
        <f t="array" ref="BT11">PRODUCT(1 + 預測IC!$C20:BS20) - 1</f>
        <v>0.22235124164638465</v>
      </c>
      <c r="BU11" s="9">
        <f t="array" ref="BU11">PRODUCT(1 + 預測IC!$C20:BT20) - 1</f>
        <v>0.26513934842444598</v>
      </c>
      <c r="BV11" s="9">
        <f t="array" ref="BV11">PRODUCT(1 + 預測IC!$C20:BU20) - 1</f>
        <v>0.33234378452846958</v>
      </c>
      <c r="BW11" s="9">
        <f t="array" ref="BW11">PRODUCT(1 + 預測IC!$C20:BV20) - 1</f>
        <v>0.19815176550565705</v>
      </c>
      <c r="BX11" s="9">
        <f t="array" ref="BX11">PRODUCT(1 + 預測IC!$C20:BW20) - 1</f>
        <v>0.23729129930422577</v>
      </c>
      <c r="BY11" s="9">
        <f t="array" ref="BY11">PRODUCT(1 + 預測IC!$C20:BX20) - 1</f>
        <v>0.3534730088281044</v>
      </c>
      <c r="BZ11" s="9">
        <f t="array" ref="BZ11">PRODUCT(1 + 預測IC!$C20:BY20) - 1</f>
        <v>0.48340429728116963</v>
      </c>
      <c r="CA11" s="9">
        <f t="array" ref="CA11">PRODUCT(1 + 預測IC!$C20:BZ20) - 1</f>
        <v>0.38285137580688833</v>
      </c>
      <c r="CB11" s="9">
        <f t="array" ref="CB11">PRODUCT(1 + 預測IC!$C20:CA20) - 1</f>
        <v>0.36588728417989702</v>
      </c>
      <c r="CC11" s="9">
        <f t="array" ref="CC11">PRODUCT(1 + 預測IC!$C20:CB20) - 1</f>
        <v>0.46547584312372492</v>
      </c>
      <c r="CD11" s="9">
        <f t="array" ref="CD11">PRODUCT(1 + 預測IC!$C20:CC20) - 1</f>
        <v>0.47458224184944053</v>
      </c>
      <c r="CE11" s="9">
        <f t="array" ref="CE11">PRODUCT(1 + 預測IC!$C20:CD20) - 1</f>
        <v>0.40240246732752016</v>
      </c>
      <c r="CF11" s="9">
        <f t="array" ref="CF11">PRODUCT(1 + 預測IC!$C20:CE20) - 1</f>
        <v>0.52947239924690126</v>
      </c>
      <c r="CG11" s="9">
        <f t="array" ref="CG11">PRODUCT(1 + 預測IC!$C20:CF20) - 1</f>
        <v>0.41183361994996504</v>
      </c>
      <c r="CH11" s="9">
        <f t="array" ref="CH11">PRODUCT(1 + 預測IC!$C20:CG20) - 1</f>
        <v>0.27309909724412318</v>
      </c>
      <c r="CI11" s="9">
        <f t="array" ref="CI11">PRODUCT(1 + 預測IC!$C20:CH20) - 1</f>
        <v>2.368236454949546E-2</v>
      </c>
      <c r="CJ11" s="9">
        <f t="array" ref="CJ11">PRODUCT(1 + 預測IC!$C20:CI20) - 1</f>
        <v>0.24802988663301195</v>
      </c>
      <c r="CK11" s="9">
        <f t="array" ref="CK11">PRODUCT(1 + 預測IC!$C20:CJ20) - 1</f>
        <v>0.23934724745003133</v>
      </c>
      <c r="CL11" s="9">
        <f t="array" ref="CL11">PRODUCT(1 + 預測IC!$C20:CK20) - 1</f>
        <v>0.36744947284157337</v>
      </c>
      <c r="CM11" s="9">
        <f t="array" ref="CM11">PRODUCT(1 + 預測IC!$C20:CL20) - 1</f>
        <v>-2.4157215219227091E-2</v>
      </c>
      <c r="CN11" s="9">
        <f t="array" ref="CN11">PRODUCT(1 + 預測IC!$C20:CM20) - 1</f>
        <v>-9.0057311762453685E-2</v>
      </c>
      <c r="CO11" s="9">
        <f t="array" ref="CO11">PRODUCT(1 + 預測IC!$C20:CN20) - 1</f>
        <v>3.821560623334963E-2</v>
      </c>
      <c r="CP11" s="9">
        <f t="array" ref="CP11">PRODUCT(1 + 預測IC!$C20:CO20) - 1</f>
        <v>0.11916534880394991</v>
      </c>
      <c r="CQ11" s="9">
        <f t="array" ref="CQ11">PRODUCT(1 + 預測IC!$C20:CP20) - 1</f>
        <v>9.9233963879769016E-2</v>
      </c>
      <c r="CR11" s="9">
        <f t="array" ref="CR11">PRODUCT(1 + 預測IC!$C20:CQ20) - 1</f>
        <v>9.7093813721873534E-2</v>
      </c>
      <c r="CS11" s="9">
        <f t="array" ref="CS11">PRODUCT(1 + 預測IC!$C20:CR20) - 1</f>
        <v>3.4957600141715117E-2</v>
      </c>
      <c r="CT11" s="9">
        <f t="array" ref="CT11">PRODUCT(1 + 預測IC!$C20:CS20) - 1</f>
        <v>0.13124440545647231</v>
      </c>
      <c r="CU11" s="9">
        <f t="array" ref="CU11">PRODUCT(1 + 預測IC!$C20:CT20) - 1</f>
        <v>0.13520058355249454</v>
      </c>
      <c r="CV11" s="9">
        <f t="array" ref="CV11">PRODUCT(1 + 預測IC!$C20:CU20) - 1</f>
        <v>0.24829276157252611</v>
      </c>
      <c r="CW11" s="9">
        <f t="array" ref="CW11">PRODUCT(1 + 預測IC!$C20:CV20) - 1</f>
        <v>0.35935109591266756</v>
      </c>
      <c r="CX11" s="9">
        <f t="array" ref="CX11">PRODUCT(1 + 預測IC!$C20:CW20) - 1</f>
        <v>0.28448578807628966</v>
      </c>
      <c r="CY11" s="9">
        <f t="array" ref="CY11">PRODUCT(1 + 預測IC!$C20:CX20) - 1</f>
        <v>0.22997679799120241</v>
      </c>
      <c r="CZ11" s="9">
        <f t="array" ref="CZ11">PRODUCT(1 + 預測IC!$C20:CY20) - 1</f>
        <v>0.23596954008527971</v>
      </c>
      <c r="DA11" s="9">
        <f t="array" ref="DA11">PRODUCT(1 + 預測IC!$C20:CZ20) - 1</f>
        <v>0.32095842833357469</v>
      </c>
      <c r="DB11" s="9">
        <f t="array" ref="DB11">PRODUCT(1 + 預測IC!$C20:DA20) - 1</f>
        <v>0.41661837385181077</v>
      </c>
      <c r="DC11" s="9">
        <f t="array" ref="DC11">PRODUCT(1 + 預測IC!$C20:DB20) - 1</f>
        <v>0.29413669346939897</v>
      </c>
      <c r="DD11" s="9">
        <f t="array" ref="DD11">PRODUCT(1 + 預測IC!$C20:DC20) - 1</f>
        <v>0.21638081447136792</v>
      </c>
      <c r="DE11" s="9">
        <f t="array" ref="DE11">PRODUCT(1 + 預測IC!$C20:DD20) - 1</f>
        <v>0.15701397724856814</v>
      </c>
      <c r="DF11" s="9">
        <f t="array" ref="DF11">PRODUCT(1 + 預測IC!$C20:DE20) - 1</f>
        <v>0.185509281943667</v>
      </c>
      <c r="DG11" s="9">
        <f t="array" ref="DG11">PRODUCT(1 + 預測IC!$C20:DF20) - 1</f>
        <v>0.12816120110097828</v>
      </c>
      <c r="DH11" s="9">
        <f t="array" ref="DH11">PRODUCT(1 + 預測IC!$C20:DG20) - 1</f>
        <v>-1.3503209935955773E-2</v>
      </c>
      <c r="DI11" s="9">
        <f t="array" ref="DI11">PRODUCT(1 + 預測IC!$C20:DH20) - 1</f>
        <v>-0.11455065193589908</v>
      </c>
      <c r="DJ11" s="9">
        <f t="array" ref="DJ11">PRODUCT(1 + 預測IC!$C20:DI20) - 1</f>
        <v>-0.18633082688791991</v>
      </c>
      <c r="DK11" s="9">
        <f t="array" ref="DK11">PRODUCT(1 + 預測IC!$C20:DJ20) - 1</f>
        <v>-3.7395493126840984E-2</v>
      </c>
      <c r="DL11" s="9">
        <f t="array" ref="DL11">PRODUCT(1 + 預測IC!$C20:DK20) - 1</f>
        <v>-0.13273286610757185</v>
      </c>
      <c r="DM11" s="9">
        <f t="array" ref="DM11">PRODUCT(1 + 預測IC!$C20:DL20) - 1</f>
        <v>-0.17300748527580523</v>
      </c>
      <c r="DN11" s="9">
        <f t="array" ref="DN11">PRODUCT(1 + 預測IC!$C20:DM20) - 1</f>
        <v>-0.21675301683662906</v>
      </c>
      <c r="DO11" s="9">
        <f t="array" ref="DO11">PRODUCT(1 + 預測IC!$C20:DN20) - 1</f>
        <v>-0.20978792065486873</v>
      </c>
      <c r="DP11" s="9">
        <f t="array" ref="DP11">PRODUCT(1 + 預測IC!$C20:DO20) - 1</f>
        <v>-0.26293710713977181</v>
      </c>
      <c r="DQ11" s="9">
        <f t="array" ref="DQ11">PRODUCT(1 + 預測IC!$C20:DP20) - 1</f>
        <v>-0.27341012905921214</v>
      </c>
      <c r="DR11" s="9">
        <f t="array" ref="DR11">PRODUCT(1 + 預測IC!$C20:DQ20) - 1</f>
        <v>-0.24854701145495961</v>
      </c>
      <c r="DS11" s="9">
        <f t="array" ref="DS11">PRODUCT(1 + 預測IC!$C20:DR20) - 1</f>
        <v>-0.20988321344319094</v>
      </c>
      <c r="DT11" s="9">
        <f t="array" ref="DT11">PRODUCT(1 + 預測IC!$C20:DS20) - 1</f>
        <v>-0.19885808189095699</v>
      </c>
      <c r="DU11" s="9">
        <f t="array" ref="DU11">PRODUCT(1 + 預測IC!$C20:DT20) - 1</f>
        <v>-0.20303341168917721</v>
      </c>
      <c r="DV11" s="9">
        <f t="array" ref="DV11">PRODUCT(1 + 預測IC!$C20:DU20) - 1</f>
        <v>-0.20258253775223467</v>
      </c>
      <c r="DW11" s="9">
        <f t="array" ref="DW11">PRODUCT(1 + 預測IC!$C20:DV20) - 1</f>
        <v>-0.1555059939296467</v>
      </c>
      <c r="DX11" s="9">
        <f t="array" ref="DX11">PRODUCT(1 + 預測IC!$C20:DW20) - 1</f>
        <v>-0.20071016612281123</v>
      </c>
      <c r="DY11" s="9">
        <f t="array" ref="DY11">PRODUCT(1 + 預測IC!$C20:DX20) - 1</f>
        <v>-0.24364617960751667</v>
      </c>
      <c r="DZ11" s="9">
        <f t="array" ref="DZ11">PRODUCT(1 + 預測IC!$C20:DY20) - 1</f>
        <v>-0.20319004003434316</v>
      </c>
      <c r="EA11" s="9">
        <f t="array" ref="EA11">PRODUCT(1 + 預測IC!$C20:DZ20) - 1</f>
        <v>-0.21307484384035702</v>
      </c>
      <c r="EB11" s="9">
        <f t="array" ref="EB11">PRODUCT(1 + 預測IC!$C20:EA20) - 1</f>
        <v>-0.26082006989889517</v>
      </c>
      <c r="EC11" s="9">
        <f t="array" ref="EC11">PRODUCT(1 + 預測IC!$C20:EB20) - 1</f>
        <v>-0.28525309371014274</v>
      </c>
      <c r="ED11" s="9">
        <f t="array" ref="ED11">PRODUCT(1 + 預測IC!$C20:EC20) - 1</f>
        <v>-0.2746373343201941</v>
      </c>
      <c r="EE11" s="9">
        <f t="array" ref="EE11">PRODUCT(1 + 預測IC!$C20:ED20) - 1</f>
        <v>-0.29372583724745793</v>
      </c>
      <c r="EF11" s="9">
        <f t="array" ref="EF11">PRODUCT(1 + 預測IC!$C20:EE20) - 1</f>
        <v>-0.27564473650872623</v>
      </c>
      <c r="EG11" s="9">
        <f t="array" ref="EG11">PRODUCT(1 + 預測IC!$C20:EF20) - 1</f>
        <v>-0.21828848765769548</v>
      </c>
    </row>
    <row r="12" spans="3:137" ht="16" customHeight="1">
      <c r="C12" s="6">
        <v>160</v>
      </c>
      <c r="D12" s="9">
        <f t="array" ref="D12">PRODUCT(1 + 預測IC!$C21:C21) - 1</f>
        <v>1.4170613625840378E-2</v>
      </c>
      <c r="E12" s="9">
        <f t="array" ref="E12">PRODUCT(1 + 預測IC!$C21:D21) - 1</f>
        <v>1.7962539386756182E-2</v>
      </c>
      <c r="F12" s="9">
        <f t="array" ref="F12">PRODUCT(1 + 預測IC!$C21:E21) - 1</f>
        <v>4.8054582941549295E-2</v>
      </c>
      <c r="G12" s="9">
        <f t="array" ref="G12">PRODUCT(1 + 預測IC!$C21:F21) - 1</f>
        <v>0.23428199928361781</v>
      </c>
      <c r="H12" s="9">
        <f t="array" ref="H12">PRODUCT(1 + 預測IC!$C21:G21) - 1</f>
        <v>0.38904437244966861</v>
      </c>
      <c r="I12" s="9">
        <f t="array" ref="I12">PRODUCT(1 + 預測IC!$C21:H21) - 1</f>
        <v>0.39628401772167043</v>
      </c>
      <c r="J12" s="9">
        <f t="array" ref="J12">PRODUCT(1 + 預測IC!$C21:I21) - 1</f>
        <v>0.65501749008275323</v>
      </c>
      <c r="K12" s="9">
        <f t="array" ref="K12">PRODUCT(1 + 預測IC!$C21:J21) - 1</f>
        <v>0.79451846474672272</v>
      </c>
      <c r="L12" s="9">
        <f t="array" ref="L12">PRODUCT(1 + 預測IC!$C21:K21) - 1</f>
        <v>1.0374224381240804</v>
      </c>
      <c r="M12" s="9">
        <f t="array" ref="M12">PRODUCT(1 + 預測IC!$C21:L21) - 1</f>
        <v>1.0705780609129194</v>
      </c>
      <c r="N12" s="9">
        <f t="array" ref="N12">PRODUCT(1 + 預測IC!$C21:M21) - 1</f>
        <v>0.93228808798430407</v>
      </c>
      <c r="O12" s="9">
        <f t="array" ref="O12">PRODUCT(1 + 預測IC!$C21:N21) - 1</f>
        <v>0.35564276863914679</v>
      </c>
      <c r="P12" s="9">
        <f t="array" ref="P12">PRODUCT(1 + 預測IC!$C21:O21) - 1</f>
        <v>0.46749745784132979</v>
      </c>
      <c r="Q12" s="9">
        <f t="array" ref="Q12">PRODUCT(1 + 預測IC!$C21:P21) - 1</f>
        <v>0.50927881043410239</v>
      </c>
      <c r="R12" s="9">
        <f t="array" ref="R12">PRODUCT(1 + 預測IC!$C21:Q21) - 1</f>
        <v>0.40933293265414417</v>
      </c>
      <c r="S12" s="9">
        <f t="array" ref="S12">PRODUCT(1 + 預測IC!$C21:R21) - 1</f>
        <v>0.42575704242334522</v>
      </c>
      <c r="T12" s="9">
        <f t="array" ref="T12">PRODUCT(1 + 預測IC!$C21:S21) - 1</f>
        <v>0.48217863177558384</v>
      </c>
      <c r="U12" s="9">
        <f t="array" ref="U12">PRODUCT(1 + 預測IC!$C21:T21) - 1</f>
        <v>0.53034779180516467</v>
      </c>
      <c r="V12" s="9">
        <f t="array" ref="V12">PRODUCT(1 + 預測IC!$C21:U21) - 1</f>
        <v>0.67630528227318321</v>
      </c>
      <c r="W12" s="9">
        <f t="array" ref="W12">PRODUCT(1 + 預測IC!$C21:V21) - 1</f>
        <v>0.66924744604267583</v>
      </c>
      <c r="X12" s="9">
        <f t="array" ref="X12">PRODUCT(1 + 預測IC!$C21:W21) - 1</f>
        <v>0.82600091434376988</v>
      </c>
      <c r="Y12" s="9">
        <f t="array" ref="Y12">PRODUCT(1 + 預測IC!$C21:X21) - 1</f>
        <v>0.88424326612683157</v>
      </c>
      <c r="Z12" s="9">
        <f t="array" ref="Z12">PRODUCT(1 + 預測IC!$C21:Y21) - 1</f>
        <v>0.80305340332413633</v>
      </c>
      <c r="AA12" s="9">
        <f t="array" ref="AA12">PRODUCT(1 + 預測IC!$C21:Z21) - 1</f>
        <v>0.99237129006506652</v>
      </c>
      <c r="AB12" s="9">
        <f t="array" ref="AB12">PRODUCT(1 + 預測IC!$C21:AA21) - 1</f>
        <v>0.96851787777511422</v>
      </c>
      <c r="AC12" s="9">
        <f t="array" ref="AC12">PRODUCT(1 + 預測IC!$C21:AB21) - 1</f>
        <v>0.91288463605866621</v>
      </c>
      <c r="AD12" s="9">
        <f t="array" ref="AD12">PRODUCT(1 + 預測IC!$C21:AC21) - 1</f>
        <v>1.0715730132977002</v>
      </c>
      <c r="AE12" s="9">
        <f t="array" ref="AE12">PRODUCT(1 + 預測IC!$C21:AD21) - 1</f>
        <v>1.2269620099683776</v>
      </c>
      <c r="AF12" s="9">
        <f t="array" ref="AF12">PRODUCT(1 + 預測IC!$C21:AE21) - 1</f>
        <v>1.096007014706037</v>
      </c>
      <c r="AG12" s="9">
        <f t="array" ref="AG12">PRODUCT(1 + 預測IC!$C21:AF21) - 1</f>
        <v>1.2506367827796216</v>
      </c>
      <c r="AH12" s="9">
        <f t="array" ref="AH12">PRODUCT(1 + 預測IC!$C21:AG21) - 1</f>
        <v>1.2608488517236482</v>
      </c>
      <c r="AI12" s="9">
        <f t="array" ref="AI12">PRODUCT(1 + 預測IC!$C21:AH21) - 1</f>
        <v>1.1154461916607503</v>
      </c>
      <c r="AJ12" s="9">
        <f t="array" ref="AJ12">PRODUCT(1 + 預測IC!$C21:AI21) - 1</f>
        <v>1.4917428613529728</v>
      </c>
      <c r="AK12" s="9">
        <f t="array" ref="AK12">PRODUCT(1 + 預測IC!$C21:AJ21) - 1</f>
        <v>1.6008731943252936</v>
      </c>
      <c r="AL12" s="9">
        <f t="array" ref="AL12">PRODUCT(1 + 預測IC!$C21:AK21) - 1</f>
        <v>1.3517290455877067</v>
      </c>
      <c r="AM12" s="9">
        <f t="array" ref="AM12">PRODUCT(1 + 預測IC!$C21:AL21) - 1</f>
        <v>1.2066065602219824</v>
      </c>
      <c r="AN12" s="9">
        <f t="array" ref="AN12">PRODUCT(1 + 預測IC!$C21:AM21) - 1</f>
        <v>1.0068941235156057</v>
      </c>
      <c r="AO12" s="9">
        <f t="array" ref="AO12">PRODUCT(1 + 預測IC!$C21:AN21) - 1</f>
        <v>1.2388098876870184</v>
      </c>
      <c r="AP12" s="9">
        <f t="array" ref="AP12">PRODUCT(1 + 預測IC!$C21:AO21) - 1</f>
        <v>1.0621729886812603</v>
      </c>
      <c r="AQ12" s="9">
        <f t="array" ref="AQ12">PRODUCT(1 + 預測IC!$C21:AP21) - 1</f>
        <v>0.84690884193152582</v>
      </c>
      <c r="AR12" s="9">
        <f t="array" ref="AR12">PRODUCT(1 + 預測IC!$C21:AQ21) - 1</f>
        <v>0.59434970516123475</v>
      </c>
      <c r="AS12" s="9">
        <f t="array" ref="AS12">PRODUCT(1 + 預測IC!$C21:AR21) - 1</f>
        <v>0.69149145458201589</v>
      </c>
      <c r="AT12" s="9">
        <f t="array" ref="AT12">PRODUCT(1 + 預測IC!$C21:AS21) - 1</f>
        <v>0.77362017412969508</v>
      </c>
      <c r="AU12" s="9">
        <f t="array" ref="AU12">PRODUCT(1 + 預測IC!$C21:AT21) - 1</f>
        <v>0.78501056399513569</v>
      </c>
      <c r="AV12" s="9">
        <f t="array" ref="AV12">PRODUCT(1 + 預測IC!$C21:AU21) - 1</f>
        <v>0.86643435757231502</v>
      </c>
      <c r="AW12" s="9">
        <f t="array" ref="AW12">PRODUCT(1 + 預測IC!$C21:AV21) - 1</f>
        <v>0.83336669394501883</v>
      </c>
      <c r="AX12" s="9">
        <f t="array" ref="AX12">PRODUCT(1 + 預測IC!$C21:AW21) - 1</f>
        <v>0.78049802109477451</v>
      </c>
      <c r="AY12" s="9">
        <f t="array" ref="AY12">PRODUCT(1 + 預測IC!$C21:AX21) - 1</f>
        <v>0.77076693248101691</v>
      </c>
      <c r="AZ12" s="9">
        <f t="array" ref="AZ12">PRODUCT(1 + 預測IC!$C21:AY21) - 1</f>
        <v>0.82223148502948828</v>
      </c>
      <c r="BA12" s="9">
        <f t="array" ref="BA12">PRODUCT(1 + 預測IC!$C21:AZ21) - 1</f>
        <v>0.83290365263543698</v>
      </c>
      <c r="BB12" s="9">
        <f t="array" ref="BB12">PRODUCT(1 + 預測IC!$C21:BA21) - 1</f>
        <v>0.8659029559176421</v>
      </c>
      <c r="BC12" s="9">
        <f t="array" ref="BC12">PRODUCT(1 + 預測IC!$C21:BB21) - 1</f>
        <v>0.65197657640034312</v>
      </c>
      <c r="BD12" s="9">
        <f t="array" ref="BD12">PRODUCT(1 + 預測IC!$C21:BC21) - 1</f>
        <v>0.54361095702625661</v>
      </c>
      <c r="BE12" s="9">
        <f t="array" ref="BE12">PRODUCT(1 + 預測IC!$C21:BD21) - 1</f>
        <v>0.67292110233089519</v>
      </c>
      <c r="BF12" s="9">
        <f t="array" ref="BF12">PRODUCT(1 + 預測IC!$C21:BE21) - 1</f>
        <v>0.67182041577723806</v>
      </c>
      <c r="BG12" s="9">
        <f t="array" ref="BG12">PRODUCT(1 + 預測IC!$C21:BF21) - 1</f>
        <v>0.465401089710751</v>
      </c>
      <c r="BH12" s="9">
        <f t="array" ref="BH12">PRODUCT(1 + 預測IC!$C21:BG21) - 1</f>
        <v>0.69108300709462545</v>
      </c>
      <c r="BI12" s="9">
        <f t="array" ref="BI12">PRODUCT(1 + 預測IC!$C21:BH21) - 1</f>
        <v>0.50842858690801007</v>
      </c>
      <c r="BJ12" s="9">
        <f t="array" ref="BJ12">PRODUCT(1 + 預測IC!$C21:BI21) - 1</f>
        <v>0.3159951323103205</v>
      </c>
      <c r="BK12" s="9">
        <f t="array" ref="BK12">PRODUCT(1 + 預測IC!$C21:BJ21) - 1</f>
        <v>0.23609899127674638</v>
      </c>
      <c r="BL12" s="9">
        <f t="array" ref="BL12">PRODUCT(1 + 預測IC!$C21:BK21) - 1</f>
        <v>0.21220777820974224</v>
      </c>
      <c r="BM12" s="9">
        <f t="array" ref="BM12">PRODUCT(1 + 預測IC!$C21:BL21) - 1</f>
        <v>0.26396019680514726</v>
      </c>
      <c r="BN12" s="9">
        <f t="array" ref="BN12">PRODUCT(1 + 預測IC!$C21:BM21) - 1</f>
        <v>0.24842039589169618</v>
      </c>
      <c r="BO12" s="9">
        <f t="array" ref="BO12">PRODUCT(1 + 預測IC!$C21:BN21) - 1</f>
        <v>0.14386416738894603</v>
      </c>
      <c r="BP12" s="9">
        <f t="array" ref="BP12">PRODUCT(1 + 預測IC!$C21:BO21) - 1</f>
        <v>0.12935912797503368</v>
      </c>
      <c r="BQ12" s="9">
        <f t="array" ref="BQ12">PRODUCT(1 + 預測IC!$C21:BP21) - 1</f>
        <v>0.19346314060546277</v>
      </c>
      <c r="BR12" s="9">
        <f t="array" ref="BR12">PRODUCT(1 + 預測IC!$C21:BQ21) - 1</f>
        <v>0.22959482237472861</v>
      </c>
      <c r="BS12" s="9">
        <f t="array" ref="BS12">PRODUCT(1 + 預測IC!$C21:BR21) - 1</f>
        <v>0.35516923846164739</v>
      </c>
      <c r="BT12" s="9">
        <f t="array" ref="BT12">PRODUCT(1 + 預測IC!$C21:BS21) - 1</f>
        <v>0.3681529783911921</v>
      </c>
      <c r="BU12" s="9">
        <f t="array" ref="BU12">PRODUCT(1 + 預測IC!$C21:BT21) - 1</f>
        <v>0.42543064347043291</v>
      </c>
      <c r="BV12" s="9">
        <f t="array" ref="BV12">PRODUCT(1 + 預測IC!$C21:BU21) - 1</f>
        <v>0.52411938190233176</v>
      </c>
      <c r="BW12" s="9">
        <f t="array" ref="BW12">PRODUCT(1 + 預測IC!$C21:BV21) - 1</f>
        <v>0.32729920014811187</v>
      </c>
      <c r="BX12" s="9">
        <f t="array" ref="BX12">PRODUCT(1 + 預測IC!$C21:BW21) - 1</f>
        <v>0.38937892286606246</v>
      </c>
      <c r="BY12" s="9">
        <f t="array" ref="BY12">PRODUCT(1 + 預測IC!$C21:BX21) - 1</f>
        <v>0.55272769131112542</v>
      </c>
      <c r="BZ12" s="9">
        <f t="array" ref="BZ12">PRODUCT(1 + 預測IC!$C21:BY21) - 1</f>
        <v>0.72710887905976196</v>
      </c>
      <c r="CA12" s="9">
        <f t="array" ref="CA12">PRODUCT(1 + 預測IC!$C21:BZ21) - 1</f>
        <v>0.67119494686662007</v>
      </c>
      <c r="CB12" s="9">
        <f t="array" ref="CB12">PRODUCT(1 + 預測IC!$C21:CA21) - 1</f>
        <v>0.68091778190229402</v>
      </c>
      <c r="CC12" s="9">
        <f t="array" ref="CC12">PRODUCT(1 + 預測IC!$C21:CB21) - 1</f>
        <v>0.8326456796423658</v>
      </c>
      <c r="CD12" s="9">
        <f t="array" ref="CD12">PRODUCT(1 + 預測IC!$C21:CC21) - 1</f>
        <v>0.78735909833286444</v>
      </c>
      <c r="CE12" s="9">
        <f t="array" ref="CE12">PRODUCT(1 + 預測IC!$C21:CD21) - 1</f>
        <v>0.74042086613248004</v>
      </c>
      <c r="CF12" s="9">
        <f t="array" ref="CF12">PRODUCT(1 + 預測IC!$C21:CE21) - 1</f>
        <v>0.89505769566832982</v>
      </c>
      <c r="CG12" s="9">
        <f t="array" ref="CG12">PRODUCT(1 + 預測IC!$C21:CF21) - 1</f>
        <v>0.75193969990591092</v>
      </c>
      <c r="CH12" s="9">
        <f t="array" ref="CH12">PRODUCT(1 + 預測IC!$C21:CG21) - 1</f>
        <v>0.59839968322379189</v>
      </c>
      <c r="CI12" s="9">
        <f t="array" ref="CI12">PRODUCT(1 + 預測IC!$C21:CH21) - 1</f>
        <v>0.28493954773898134</v>
      </c>
      <c r="CJ12" s="9">
        <f t="array" ref="CJ12">PRODUCT(1 + 預測IC!$C21:CI21) - 1</f>
        <v>0.66240462895870089</v>
      </c>
      <c r="CK12" s="9">
        <f t="array" ref="CK12">PRODUCT(1 + 預測IC!$C21:CJ21) - 1</f>
        <v>0.6541565095920463</v>
      </c>
      <c r="CL12" s="9">
        <f t="array" ref="CL12">PRODUCT(1 + 預測IC!$C21:CK21) - 1</f>
        <v>0.82753721643877243</v>
      </c>
      <c r="CM12" s="9">
        <f t="array" ref="CM12">PRODUCT(1 + 預測IC!$C21:CL21) - 1</f>
        <v>0.25006529601852345</v>
      </c>
      <c r="CN12" s="9">
        <f t="array" ref="CN12">PRODUCT(1 + 預測IC!$C21:CM21) - 1</f>
        <v>0.18942715687056033</v>
      </c>
      <c r="CO12" s="9">
        <f t="array" ref="CO12">PRODUCT(1 + 預測IC!$C21:CN21) - 1</f>
        <v>0.3876187724198461</v>
      </c>
      <c r="CP12" s="9">
        <f t="array" ref="CP12">PRODUCT(1 + 預測IC!$C21:CO21) - 1</f>
        <v>0.45163392257252388</v>
      </c>
      <c r="CQ12" s="9">
        <f t="array" ref="CQ12">PRODUCT(1 + 預測IC!$C21:CP21) - 1</f>
        <v>0.42011220083575695</v>
      </c>
      <c r="CR12" s="9">
        <f t="array" ref="CR12">PRODUCT(1 + 預測IC!$C21:CQ21) - 1</f>
        <v>0.41505442291572359</v>
      </c>
      <c r="CS12" s="9">
        <f t="array" ref="CS12">PRODUCT(1 + 預測IC!$C21:CR21) - 1</f>
        <v>0.41389554596460121</v>
      </c>
      <c r="CT12" s="9">
        <f t="array" ref="CT12">PRODUCT(1 + 預測IC!$C21:CS21) - 1</f>
        <v>0.60604882966247775</v>
      </c>
      <c r="CU12" s="9">
        <f t="array" ref="CU12">PRODUCT(1 + 預測IC!$C21:CT21) - 1</f>
        <v>0.61294300932784029</v>
      </c>
      <c r="CV12" s="9">
        <f t="array" ref="CV12">PRODUCT(1 + 預測IC!$C21:CU21) - 1</f>
        <v>0.76683869617027778</v>
      </c>
      <c r="CW12" s="9">
        <f t="array" ref="CW12">PRODUCT(1 + 預測IC!$C21:CV21) - 1</f>
        <v>0.90877347241086248</v>
      </c>
      <c r="CX12" s="9">
        <f t="array" ref="CX12">PRODUCT(1 + 預測IC!$C21:CW21) - 1</f>
        <v>0.80912709855742349</v>
      </c>
      <c r="CY12" s="9">
        <f t="array" ref="CY12">PRODUCT(1 + 預測IC!$C21:CX21) - 1</f>
        <v>0.84842944405472243</v>
      </c>
      <c r="CZ12" s="9">
        <f t="array" ref="CZ12">PRODUCT(1 + 預測IC!$C21:CY21) - 1</f>
        <v>0.87459246175264815</v>
      </c>
      <c r="DA12" s="9">
        <f t="array" ref="DA12">PRODUCT(1 + 預測IC!$C21:CZ21) - 1</f>
        <v>1.0306236916567482</v>
      </c>
      <c r="DB12" s="9">
        <f t="array" ref="DB12">PRODUCT(1 + 預測IC!$C21:DA21) - 1</f>
        <v>1.1459847815484241</v>
      </c>
      <c r="DC12" s="9">
        <f t="array" ref="DC12">PRODUCT(1 + 預測IC!$C21:DB21) - 1</f>
        <v>0.94257378722489027</v>
      </c>
      <c r="DD12" s="9">
        <f t="array" ref="DD12">PRODUCT(1 + 預測IC!$C21:DC21) - 1</f>
        <v>0.78407543085218556</v>
      </c>
      <c r="DE12" s="9">
        <f t="array" ref="DE12">PRODUCT(1 + 預測IC!$C21:DD21) - 1</f>
        <v>0.78136921986644814</v>
      </c>
      <c r="DF12" s="9">
        <f t="array" ref="DF12">PRODUCT(1 + 預測IC!$C21:DE21) - 1</f>
        <v>0.88930324577101794</v>
      </c>
      <c r="DG12" s="9">
        <f t="array" ref="DG12">PRODUCT(1 + 預測IC!$C21:DF21) - 1</f>
        <v>0.7796102984781228</v>
      </c>
      <c r="DH12" s="9">
        <f t="array" ref="DH12">PRODUCT(1 + 預測IC!$C21:DG21) - 1</f>
        <v>0.60534067873764208</v>
      </c>
      <c r="DI12" s="9">
        <f t="array" ref="DI12">PRODUCT(1 + 預測IC!$C21:DH21) - 1</f>
        <v>0.44946052056349495</v>
      </c>
      <c r="DJ12" s="9">
        <f t="array" ref="DJ12">PRODUCT(1 + 預測IC!$C21:DI21) - 1</f>
        <v>0.33641600660148252</v>
      </c>
      <c r="DK12" s="9">
        <f t="array" ref="DK12">PRODUCT(1 + 預測IC!$C21:DJ21) - 1</f>
        <v>0.57650314273243985</v>
      </c>
      <c r="DL12" s="9">
        <f t="array" ref="DL12">PRODUCT(1 + 預測IC!$C21:DK21) - 1</f>
        <v>0.36608709072856116</v>
      </c>
      <c r="DM12" s="9">
        <f t="array" ref="DM12">PRODUCT(1 + 預測IC!$C21:DL21) - 1</f>
        <v>0.30934093121582862</v>
      </c>
      <c r="DN12" s="9">
        <f t="array" ref="DN12">PRODUCT(1 + 預測IC!$C21:DM21) - 1</f>
        <v>0.24062281947192021</v>
      </c>
      <c r="DO12" s="9">
        <f t="array" ref="DO12">PRODUCT(1 + 預測IC!$C21:DN21) - 1</f>
        <v>0.27174304073679023</v>
      </c>
      <c r="DP12" s="9">
        <f t="array" ref="DP12">PRODUCT(1 + 預測IC!$C21:DO21) - 1</f>
        <v>0.18882141652677076</v>
      </c>
      <c r="DQ12" s="9">
        <f t="array" ref="DQ12">PRODUCT(1 + 預測IC!$C21:DP21) - 1</f>
        <v>0.1581502286073615</v>
      </c>
      <c r="DR12" s="9">
        <f t="array" ref="DR12">PRODUCT(1 + 預測IC!$C21:DQ21) - 1</f>
        <v>0.16683796835473896</v>
      </c>
      <c r="DS12" s="9">
        <f t="array" ref="DS12">PRODUCT(1 + 預測IC!$C21:DR21) - 1</f>
        <v>0.2445177668876104</v>
      </c>
      <c r="DT12" s="9">
        <f t="array" ref="DT12">PRODUCT(1 + 預測IC!$C21:DS21) - 1</f>
        <v>0.24166884241156938</v>
      </c>
      <c r="DU12" s="9">
        <f t="array" ref="DU12">PRODUCT(1 + 預測IC!$C21:DT21) - 1</f>
        <v>0.31041695819290327</v>
      </c>
      <c r="DV12" s="9">
        <f t="array" ref="DV12">PRODUCT(1 + 預測IC!$C21:DU21) - 1</f>
        <v>0.27656050663954312</v>
      </c>
      <c r="DW12" s="9">
        <f t="array" ref="DW12">PRODUCT(1 + 預測IC!$C21:DV21) - 1</f>
        <v>0.30389533207397124</v>
      </c>
      <c r="DX12" s="9">
        <f t="array" ref="DX12">PRODUCT(1 + 預測IC!$C21:DW21) - 1</f>
        <v>0.23530645054922439</v>
      </c>
      <c r="DY12" s="9">
        <f t="array" ref="DY12">PRODUCT(1 + 預測IC!$C21:DX21) - 1</f>
        <v>0.23572598785928478</v>
      </c>
      <c r="DZ12" s="9">
        <f t="array" ref="DZ12">PRODUCT(1 + 預測IC!$C21:DY21) - 1</f>
        <v>0.33096227704658276</v>
      </c>
      <c r="EA12" s="9">
        <f t="array" ref="EA12">PRODUCT(1 + 預測IC!$C21:DZ21) - 1</f>
        <v>0.37031524405047911</v>
      </c>
      <c r="EB12" s="9">
        <f t="array" ref="EB12">PRODUCT(1 + 預測IC!$C21:EA21) - 1</f>
        <v>0.24181176936776128</v>
      </c>
      <c r="EC12" s="9">
        <f t="array" ref="EC12">PRODUCT(1 + 預測IC!$C21:EB21) - 1</f>
        <v>0.22074030459855432</v>
      </c>
      <c r="ED12" s="9">
        <f t="array" ref="ED12">PRODUCT(1 + 預測IC!$C21:EC21) - 1</f>
        <v>0.24263068015573119</v>
      </c>
      <c r="EE12" s="9">
        <f t="array" ref="EE12">PRODUCT(1 + 預測IC!$C21:ED21) - 1</f>
        <v>0.26487514043813731</v>
      </c>
      <c r="EF12" s="9">
        <f t="array" ref="EF12">PRODUCT(1 + 預測IC!$C21:EE21) - 1</f>
        <v>0.31892963394846818</v>
      </c>
      <c r="EG12" s="9">
        <f t="array" ref="EG12">PRODUCT(1 + 預測IC!$C21:EF21) - 1</f>
        <v>0.45468562869093998</v>
      </c>
    </row>
    <row r="13" spans="3:137" ht="16" customHeight="1">
      <c r="C13" s="6">
        <v>192</v>
      </c>
      <c r="D13" s="9">
        <f t="array" ref="D13">PRODUCT(1 + 預測IC!$C22:C22) - 1</f>
        <v>1.2696408260164382E-2</v>
      </c>
      <c r="E13" s="9">
        <f t="array" ref="E13">PRODUCT(1 + 預測IC!$C22:D22) - 1</f>
        <v>1.8505196213147279E-2</v>
      </c>
      <c r="F13" s="9">
        <f t="array" ref="F13">PRODUCT(1 + 預測IC!$C22:E22) - 1</f>
        <v>6.4915922754843036E-2</v>
      </c>
      <c r="G13" s="9">
        <f t="array" ref="G13">PRODUCT(1 + 預測IC!$C22:F22) - 1</f>
        <v>0.22527290057078808</v>
      </c>
      <c r="H13" s="9">
        <f t="array" ref="H13">PRODUCT(1 + 預測IC!$C22:G22) - 1</f>
        <v>0.39766684727475576</v>
      </c>
      <c r="I13" s="9">
        <f t="array" ref="I13">PRODUCT(1 + 預測IC!$C22:H22) - 1</f>
        <v>0.43303976632414409</v>
      </c>
      <c r="J13" s="9">
        <f t="array" ref="J13">PRODUCT(1 + 預測IC!$C22:I22) - 1</f>
        <v>0.77760815286262064</v>
      </c>
      <c r="K13" s="9">
        <f t="array" ref="K13">PRODUCT(1 + 預測IC!$C22:J22) - 1</f>
        <v>0.79978158864245641</v>
      </c>
      <c r="L13" s="9">
        <f t="array" ref="L13">PRODUCT(1 + 預測IC!$C22:K22) - 1</f>
        <v>1.0380011856198079</v>
      </c>
      <c r="M13" s="9">
        <f t="array" ref="M13">PRODUCT(1 + 預測IC!$C22:L22) - 1</f>
        <v>1.0515462842673959</v>
      </c>
      <c r="N13" s="9">
        <f t="array" ref="N13">PRODUCT(1 + 預測IC!$C22:M22) - 1</f>
        <v>0.90875306660660438</v>
      </c>
      <c r="O13" s="9">
        <f t="array" ref="O13">PRODUCT(1 + 預測IC!$C22:N22) - 1</f>
        <v>0.28729692544188357</v>
      </c>
      <c r="P13" s="9">
        <f t="array" ref="P13">PRODUCT(1 + 預測IC!$C22:O22) - 1</f>
        <v>0.41871677207242031</v>
      </c>
      <c r="Q13" s="9">
        <f t="array" ref="Q13">PRODUCT(1 + 預測IC!$C22:P22) - 1</f>
        <v>0.48396364038745654</v>
      </c>
      <c r="R13" s="9">
        <f t="array" ref="R13">PRODUCT(1 + 預測IC!$C22:Q22) - 1</f>
        <v>0.38553318537323</v>
      </c>
      <c r="S13" s="9">
        <f t="array" ref="S13">PRODUCT(1 + 預測IC!$C22:R22) - 1</f>
        <v>0.36548233073232739</v>
      </c>
      <c r="T13" s="9">
        <f t="array" ref="T13">PRODUCT(1 + 預測IC!$C22:S22) - 1</f>
        <v>0.5098936524876998</v>
      </c>
      <c r="U13" s="9">
        <f t="array" ref="U13">PRODUCT(1 + 預測IC!$C22:T22) - 1</f>
        <v>0.50806187812546311</v>
      </c>
      <c r="V13" s="9">
        <f t="array" ref="V13">PRODUCT(1 + 預測IC!$C22:U22) - 1</f>
        <v>0.64854152764891349</v>
      </c>
      <c r="W13" s="9">
        <f t="array" ref="W13">PRODUCT(1 + 預測IC!$C22:V22) - 1</f>
        <v>0.61156520867483932</v>
      </c>
      <c r="X13" s="9">
        <f t="array" ref="X13">PRODUCT(1 + 預測IC!$C22:W22) - 1</f>
        <v>0.7859896067975507</v>
      </c>
      <c r="Y13" s="9">
        <f t="array" ref="Y13">PRODUCT(1 + 預測IC!$C22:X22) - 1</f>
        <v>0.85329791770749885</v>
      </c>
      <c r="Z13" s="9">
        <f t="array" ref="Z13">PRODUCT(1 + 預測IC!$C22:Y22) - 1</f>
        <v>0.73761442805301347</v>
      </c>
      <c r="AA13" s="9">
        <f t="array" ref="AA13">PRODUCT(1 + 預測IC!$C22:Z22) - 1</f>
        <v>0.81427622600791705</v>
      </c>
      <c r="AB13" s="9">
        <f t="array" ref="AB13">PRODUCT(1 + 預測IC!$C22:AA22) - 1</f>
        <v>0.81245422680542512</v>
      </c>
      <c r="AC13" s="9">
        <f t="array" ref="AC13">PRODUCT(1 + 預測IC!$C22:AB22) - 1</f>
        <v>0.76661464799912449</v>
      </c>
      <c r="AD13" s="9">
        <f t="array" ref="AD13">PRODUCT(1 + 預測IC!$C22:AC22) - 1</f>
        <v>0.94406445445630749</v>
      </c>
      <c r="AE13" s="9">
        <f t="array" ref="AE13">PRODUCT(1 + 預測IC!$C22:AD22) - 1</f>
        <v>1.1625440748717417</v>
      </c>
      <c r="AF13" s="9">
        <f t="array" ref="AF13">PRODUCT(1 + 預測IC!$C22:AE22) - 1</f>
        <v>1.141004091210267</v>
      </c>
      <c r="AG13" s="9">
        <f t="array" ref="AG13">PRODUCT(1 + 預測IC!$C22:AF22) - 1</f>
        <v>1.4063370885884203</v>
      </c>
      <c r="AH13" s="9">
        <f t="array" ref="AH13">PRODUCT(1 + 預測IC!$C22:AG22) - 1</f>
        <v>1.3934837129139779</v>
      </c>
      <c r="AI13" s="9">
        <f t="array" ref="AI13">PRODUCT(1 + 預測IC!$C22:AH22) - 1</f>
        <v>1.3736013338433595</v>
      </c>
      <c r="AJ13" s="9">
        <f t="array" ref="AJ13">PRODUCT(1 + 預測IC!$C22:AI22) - 1</f>
        <v>1.636335255163575</v>
      </c>
      <c r="AK13" s="9">
        <f t="array" ref="AK13">PRODUCT(1 + 預測IC!$C22:AJ22) - 1</f>
        <v>1.7169308973778721</v>
      </c>
      <c r="AL13" s="9">
        <f t="array" ref="AL13">PRODUCT(1 + 預測IC!$C22:AK22) - 1</f>
        <v>1.6772606257687377</v>
      </c>
      <c r="AM13" s="9">
        <f t="array" ref="AM13">PRODUCT(1 + 預測IC!$C22:AL22) - 1</f>
        <v>1.5666194850237214</v>
      </c>
      <c r="AN13" s="9">
        <f t="array" ref="AN13">PRODUCT(1 + 預測IC!$C22:AM22) - 1</f>
        <v>1.3440126490281927</v>
      </c>
      <c r="AO13" s="9">
        <f t="array" ref="AO13">PRODUCT(1 + 預測IC!$C22:AN22) - 1</f>
        <v>1.505564005451383</v>
      </c>
      <c r="AP13" s="9">
        <f t="array" ref="AP13">PRODUCT(1 + 預測IC!$C22:AO22) - 1</f>
        <v>1.4129226285605982</v>
      </c>
      <c r="AQ13" s="9">
        <f t="array" ref="AQ13">PRODUCT(1 + 預測IC!$C22:AP22) - 1</f>
        <v>1.091629810653131</v>
      </c>
      <c r="AR13" s="9">
        <f t="array" ref="AR13">PRODUCT(1 + 預測IC!$C22:AQ22) - 1</f>
        <v>0.7028354495172433</v>
      </c>
      <c r="AS13" s="9">
        <f t="array" ref="AS13">PRODUCT(1 + 預測IC!$C22:AR22) - 1</f>
        <v>0.78938852747452692</v>
      </c>
      <c r="AT13" s="9">
        <f t="array" ref="AT13">PRODUCT(1 + 預測IC!$C22:AS22) - 1</f>
        <v>0.77542638395307129</v>
      </c>
      <c r="AU13" s="9">
        <f t="array" ref="AU13">PRODUCT(1 + 預測IC!$C22:AT22) - 1</f>
        <v>0.7822043564822998</v>
      </c>
      <c r="AV13" s="9">
        <f t="array" ref="AV13">PRODUCT(1 + 預測IC!$C22:AU22) - 1</f>
        <v>0.88991670789995747</v>
      </c>
      <c r="AW13" s="9">
        <f t="array" ref="AW13">PRODUCT(1 + 預測IC!$C22:AV22) - 1</f>
        <v>0.91161459848000104</v>
      </c>
      <c r="AX13" s="9">
        <f t="array" ref="AX13">PRODUCT(1 + 預測IC!$C22:AW22) - 1</f>
        <v>0.79035628510640521</v>
      </c>
      <c r="AY13" s="9">
        <f t="array" ref="AY13">PRODUCT(1 + 預測IC!$C22:AX22) - 1</f>
        <v>0.79029475477083877</v>
      </c>
      <c r="AZ13" s="9">
        <f t="array" ref="AZ13">PRODUCT(1 + 預測IC!$C22:AY22) - 1</f>
        <v>0.8389874811309399</v>
      </c>
      <c r="BA13" s="9">
        <f t="array" ref="BA13">PRODUCT(1 + 預測IC!$C22:AZ22) - 1</f>
        <v>0.84427801627613053</v>
      </c>
      <c r="BB13" s="9">
        <f t="array" ref="BB13">PRODUCT(1 + 預測IC!$C22:BA22) - 1</f>
        <v>0.87433575742272018</v>
      </c>
      <c r="BC13" s="9">
        <f t="array" ref="BC13">PRODUCT(1 + 預測IC!$C22:BB22) - 1</f>
        <v>0.68035943018573097</v>
      </c>
      <c r="BD13" s="9">
        <f t="array" ref="BD13">PRODUCT(1 + 預測IC!$C22:BC22) - 1</f>
        <v>0.46118092578657688</v>
      </c>
      <c r="BE13" s="9">
        <f t="array" ref="BE13">PRODUCT(1 + 預測IC!$C22:BD22) - 1</f>
        <v>0.62072741039950441</v>
      </c>
      <c r="BF13" s="9">
        <f t="array" ref="BF13">PRODUCT(1 + 預測IC!$C22:BE22) - 1</f>
        <v>0.62842701488354358</v>
      </c>
      <c r="BG13" s="9">
        <f t="array" ref="BG13">PRODUCT(1 + 預測IC!$C22:BF22) - 1</f>
        <v>0.43203310352328539</v>
      </c>
      <c r="BH13" s="9">
        <f t="array" ref="BH13">PRODUCT(1 + 預測IC!$C22:BG22) - 1</f>
        <v>0.70127488749161015</v>
      </c>
      <c r="BI13" s="9">
        <f t="array" ref="BI13">PRODUCT(1 + 預測IC!$C22:BH22) - 1</f>
        <v>0.56347057661254785</v>
      </c>
      <c r="BJ13" s="9">
        <f t="array" ref="BJ13">PRODUCT(1 + 預測IC!$C22:BI22) - 1</f>
        <v>0.32933027337633658</v>
      </c>
      <c r="BK13" s="9">
        <f t="array" ref="BK13">PRODUCT(1 + 預測IC!$C22:BJ22) - 1</f>
        <v>0.24782881915579247</v>
      </c>
      <c r="BL13" s="9">
        <f t="array" ref="BL13">PRODUCT(1 + 預測IC!$C22:BK22) - 1</f>
        <v>0.19405402366592517</v>
      </c>
      <c r="BM13" s="9">
        <f t="array" ref="BM13">PRODUCT(1 + 預測IC!$C22:BL22) - 1</f>
        <v>0.23107159504113373</v>
      </c>
      <c r="BN13" s="9">
        <f t="array" ref="BN13">PRODUCT(1 + 預測IC!$C22:BM22) - 1</f>
        <v>0.22201906366877666</v>
      </c>
      <c r="BO13" s="9">
        <f t="array" ref="BO13">PRODUCT(1 + 預測IC!$C22:BN22) - 1</f>
        <v>2.3022310241289645E-2</v>
      </c>
      <c r="BP13" s="9">
        <f t="array" ref="BP13">PRODUCT(1 + 預測IC!$C22:BO22) - 1</f>
        <v>3.1957570209898423E-2</v>
      </c>
      <c r="BQ13" s="9">
        <f t="array" ref="BQ13">PRODUCT(1 + 預測IC!$C22:BP22) - 1</f>
        <v>7.1615376490501426E-2</v>
      </c>
      <c r="BR13" s="9">
        <f t="array" ref="BR13">PRODUCT(1 + 預測IC!$C22:BQ22) - 1</f>
        <v>0.11354954042009746</v>
      </c>
      <c r="BS13" s="9">
        <f t="array" ref="BS13">PRODUCT(1 + 預測IC!$C22:BR22) - 1</f>
        <v>0.25441692139692629</v>
      </c>
      <c r="BT13" s="9">
        <f t="array" ref="BT13">PRODUCT(1 + 預測IC!$C22:BS22) - 1</f>
        <v>0.2720871329905763</v>
      </c>
      <c r="BU13" s="9">
        <f t="array" ref="BU13">PRODUCT(1 + 預測IC!$C22:BT22) - 1</f>
        <v>0.25812949512210492</v>
      </c>
      <c r="BV13" s="9">
        <f t="array" ref="BV13">PRODUCT(1 + 預測IC!$C22:BU22) - 1</f>
        <v>0.34356054071975528</v>
      </c>
      <c r="BW13" s="9">
        <f t="array" ref="BW13">PRODUCT(1 + 預測IC!$C22:BV22) - 1</f>
        <v>0.17571656427178173</v>
      </c>
      <c r="BX13" s="9">
        <f t="array" ref="BX13">PRODUCT(1 + 預測IC!$C22:BW22) - 1</f>
        <v>0.19331527185982034</v>
      </c>
      <c r="BY13" s="9">
        <f t="array" ref="BY13">PRODUCT(1 + 預測IC!$C22:BX22) - 1</f>
        <v>0.36029254252307896</v>
      </c>
      <c r="BZ13" s="9">
        <f t="array" ref="BZ13">PRODUCT(1 + 預測IC!$C22:BY22) - 1</f>
        <v>0.60210205625979762</v>
      </c>
      <c r="CA13" s="9">
        <f t="array" ref="CA13">PRODUCT(1 + 預測IC!$C22:BZ22) - 1</f>
        <v>0.50838641424789333</v>
      </c>
      <c r="CB13" s="9">
        <f t="array" ref="CB13">PRODUCT(1 + 預測IC!$C22:CA22) - 1</f>
        <v>0.53851410281407253</v>
      </c>
      <c r="CC13" s="9">
        <f t="array" ref="CC13">PRODUCT(1 + 預測IC!$C22:CB22) - 1</f>
        <v>0.70133413960687885</v>
      </c>
      <c r="CD13" s="9">
        <f t="array" ref="CD13">PRODUCT(1 + 預測IC!$C22:CC22) - 1</f>
        <v>0.65218754186361094</v>
      </c>
      <c r="CE13" s="9">
        <f t="array" ref="CE13">PRODUCT(1 + 預測IC!$C22:CD22) - 1</f>
        <v>0.52866729646300703</v>
      </c>
      <c r="CF13" s="9">
        <f t="array" ref="CF13">PRODUCT(1 + 預測IC!$C22:CE22) - 1</f>
        <v>0.70160484917314614</v>
      </c>
      <c r="CG13" s="9">
        <f t="array" ref="CG13">PRODUCT(1 + 預測IC!$C22:CF22) - 1</f>
        <v>0.61379632476408652</v>
      </c>
      <c r="CH13" s="9">
        <f t="array" ref="CH13">PRODUCT(1 + 預測IC!$C22:CG22) - 1</f>
        <v>0.43164366874155036</v>
      </c>
      <c r="CI13" s="9">
        <f t="array" ref="CI13">PRODUCT(1 + 預測IC!$C22:CH22) - 1</f>
        <v>0.22823603725612962</v>
      </c>
      <c r="CJ13" s="9">
        <f t="array" ref="CJ13">PRODUCT(1 + 預測IC!$C22:CI22) - 1</f>
        <v>0.67098232183843032</v>
      </c>
      <c r="CK13" s="9">
        <f t="array" ref="CK13">PRODUCT(1 + 預測IC!$C22:CJ22) - 1</f>
        <v>0.67479191870541899</v>
      </c>
      <c r="CL13" s="9">
        <f t="array" ref="CL13">PRODUCT(1 + 預測IC!$C22:CK22) - 1</f>
        <v>0.91659585427927892</v>
      </c>
      <c r="CM13" s="9">
        <f t="array" ref="CM13">PRODUCT(1 + 預測IC!$C22:CL22) - 1</f>
        <v>9.9898057431344389E-2</v>
      </c>
      <c r="CN13" s="9">
        <f t="array" ref="CN13">PRODUCT(1 + 預測IC!$C22:CM22) - 1</f>
        <v>5.6384369015122671E-2</v>
      </c>
      <c r="CO13" s="9">
        <f t="array" ref="CO13">PRODUCT(1 + 預測IC!$C22:CN22) - 1</f>
        <v>0.26925163760177506</v>
      </c>
      <c r="CP13" s="9">
        <f t="array" ref="CP13">PRODUCT(1 + 預測IC!$C22:CO22) - 1</f>
        <v>0.36897158522465578</v>
      </c>
      <c r="CQ13" s="9">
        <f t="array" ref="CQ13">PRODUCT(1 + 預測IC!$C22:CP22) - 1</f>
        <v>0.34596143732721441</v>
      </c>
      <c r="CR13" s="9">
        <f t="array" ref="CR13">PRODUCT(1 + 預測IC!$C22:CQ22) - 1</f>
        <v>0.3105786679200917</v>
      </c>
      <c r="CS13" s="9">
        <f t="array" ref="CS13">PRODUCT(1 + 預測IC!$C22:CR22) - 1</f>
        <v>0.33923481689071266</v>
      </c>
      <c r="CT13" s="9">
        <f t="array" ref="CT13">PRODUCT(1 + 預測IC!$C22:CS22) - 1</f>
        <v>0.60066792409090564</v>
      </c>
      <c r="CU13" s="9">
        <f t="array" ref="CU13">PRODUCT(1 + 預測IC!$C22:CT22) - 1</f>
        <v>0.50706142874238558</v>
      </c>
      <c r="CV13" s="9">
        <f t="array" ref="CV13">PRODUCT(1 + 預測IC!$C22:CU22) - 1</f>
        <v>0.73125644204669782</v>
      </c>
      <c r="CW13" s="9">
        <f t="array" ref="CW13">PRODUCT(1 + 預測IC!$C22:CV22) - 1</f>
        <v>0.94610642131068623</v>
      </c>
      <c r="CX13" s="9">
        <f t="array" ref="CX13">PRODUCT(1 + 預測IC!$C22:CW22) - 1</f>
        <v>0.87361280863820445</v>
      </c>
      <c r="CY13" s="9">
        <f t="array" ref="CY13">PRODUCT(1 + 預測IC!$C22:CX22) - 1</f>
        <v>0.84594692506989499</v>
      </c>
      <c r="CZ13" s="9">
        <f t="array" ref="CZ13">PRODUCT(1 + 預測IC!$C22:CY22) - 1</f>
        <v>0.90098028669061558</v>
      </c>
      <c r="DA13" s="9">
        <f t="array" ref="DA13">PRODUCT(1 + 預測IC!$C22:CZ22) - 1</f>
        <v>1.0128137020952042</v>
      </c>
      <c r="DB13" s="9">
        <f t="array" ref="DB13">PRODUCT(1 + 預測IC!$C22:DA22) - 1</f>
        <v>1.1224640838980657</v>
      </c>
      <c r="DC13" s="9">
        <f t="array" ref="DC13">PRODUCT(1 + 預測IC!$C22:DB22) - 1</f>
        <v>0.97401695490825602</v>
      </c>
      <c r="DD13" s="9">
        <f t="array" ref="DD13">PRODUCT(1 + 預測IC!$C22:DC22) - 1</f>
        <v>0.82567010952753961</v>
      </c>
      <c r="DE13" s="9">
        <f t="array" ref="DE13">PRODUCT(1 + 預測IC!$C22:DD22) - 1</f>
        <v>0.70201771499812171</v>
      </c>
      <c r="DF13" s="9">
        <f t="array" ref="DF13">PRODUCT(1 + 預測IC!$C22:DE22) - 1</f>
        <v>0.79374188837426729</v>
      </c>
      <c r="DG13" s="9">
        <f t="array" ref="DG13">PRODUCT(1 + 預測IC!$C22:DF22) - 1</f>
        <v>0.65248832008564217</v>
      </c>
      <c r="DH13" s="9">
        <f t="array" ref="DH13">PRODUCT(1 + 預測IC!$C22:DG22) - 1</f>
        <v>0.38601196581111363</v>
      </c>
      <c r="DI13" s="9">
        <f t="array" ref="DI13">PRODUCT(1 + 預測IC!$C22:DH22) - 1</f>
        <v>0.23720094911112111</v>
      </c>
      <c r="DJ13" s="9">
        <f t="array" ref="DJ13">PRODUCT(1 + 預測IC!$C22:DI22) - 1</f>
        <v>0.10447691068097686</v>
      </c>
      <c r="DK13" s="9">
        <f t="array" ref="DK13">PRODUCT(1 + 預測IC!$C22:DJ22) - 1</f>
        <v>0.25261951025185003</v>
      </c>
      <c r="DL13" s="9">
        <f t="array" ref="DL13">PRODUCT(1 + 預測IC!$C22:DK22) - 1</f>
        <v>0.13160792989500858</v>
      </c>
      <c r="DM13" s="9">
        <f t="array" ref="DM13">PRODUCT(1 + 預測IC!$C22:DL22) - 1</f>
        <v>0.13145134856399054</v>
      </c>
      <c r="DN13" s="9">
        <f t="array" ref="DN13">PRODUCT(1 + 預測IC!$C22:DM22) - 1</f>
        <v>0.11096110142332227</v>
      </c>
      <c r="DO13" s="9">
        <f t="array" ref="DO13">PRODUCT(1 + 預測IC!$C22:DN22) - 1</f>
        <v>0.14885981169791695</v>
      </c>
      <c r="DP13" s="9">
        <f t="array" ref="DP13">PRODUCT(1 + 預測IC!$C22:DO22) - 1</f>
        <v>8.3616569076581326E-2</v>
      </c>
      <c r="DQ13" s="9">
        <f t="array" ref="DQ13">PRODUCT(1 + 預測IC!$C22:DP22) - 1</f>
        <v>5.639930548140204E-2</v>
      </c>
      <c r="DR13" s="9">
        <f t="array" ref="DR13">PRODUCT(1 + 預測IC!$C22:DQ22) - 1</f>
        <v>4.1881228034422957E-2</v>
      </c>
      <c r="DS13" s="9">
        <f t="array" ref="DS13">PRODUCT(1 + 預測IC!$C22:DR22) - 1</f>
        <v>9.8963351666434329E-2</v>
      </c>
      <c r="DT13" s="9">
        <f t="array" ref="DT13">PRODUCT(1 + 預測IC!$C22:DS22) - 1</f>
        <v>9.8140855852507647E-2</v>
      </c>
      <c r="DU13" s="9">
        <f t="array" ref="DU13">PRODUCT(1 + 預測IC!$C22:DT22) - 1</f>
        <v>0.1541737633126552</v>
      </c>
      <c r="DV13" s="9">
        <f t="array" ref="DV13">PRODUCT(1 + 預測IC!$C22:DU22) - 1</f>
        <v>0.10303812384135536</v>
      </c>
      <c r="DW13" s="9">
        <f t="array" ref="DW13">PRODUCT(1 + 預測IC!$C22:DV22) - 1</f>
        <v>0.12178730077076838</v>
      </c>
      <c r="DX13" s="9">
        <f t="array" ref="DX13">PRODUCT(1 + 預測IC!$C22:DW22) - 1</f>
        <v>7.3852152724791065E-2</v>
      </c>
      <c r="DY13" s="9">
        <f t="array" ref="DY13">PRODUCT(1 + 預測IC!$C22:DX22) - 1</f>
        <v>8.1499364928323992E-2</v>
      </c>
      <c r="DZ13" s="9">
        <f t="array" ref="DZ13">PRODUCT(1 + 預測IC!$C22:DY22) - 1</f>
        <v>0.17934022135869299</v>
      </c>
      <c r="EA13" s="9">
        <f t="array" ref="EA13">PRODUCT(1 + 預測IC!$C22:DZ22) - 1</f>
        <v>0.21927486665659046</v>
      </c>
      <c r="EB13" s="9">
        <f t="array" ref="EB13">PRODUCT(1 + 預測IC!$C22:EA22) - 1</f>
        <v>0.10356721227501464</v>
      </c>
      <c r="EC13" s="9">
        <f t="array" ref="EC13">PRODUCT(1 + 預測IC!$C22:EB22) - 1</f>
        <v>0.16440397113620309</v>
      </c>
      <c r="ED13" s="9">
        <f t="array" ref="ED13">PRODUCT(1 + 預測IC!$C22:EC22) - 1</f>
        <v>0.14365129614333516</v>
      </c>
      <c r="EE13" s="9">
        <f t="array" ref="EE13">PRODUCT(1 + 預測IC!$C22:ED22) - 1</f>
        <v>0.1310933743787468</v>
      </c>
      <c r="EF13" s="9">
        <f t="array" ref="EF13">PRODUCT(1 + 預測IC!$C22:EE22) - 1</f>
        <v>0.17812186693334753</v>
      </c>
      <c r="EG13" s="9">
        <f t="array" ref="EG13">PRODUCT(1 + 預測IC!$C22:EF22) - 1</f>
        <v>0.27320304492316971</v>
      </c>
    </row>
    <row r="14" spans="3:137" ht="16" customHeight="1">
      <c r="C14" s="6">
        <v>241</v>
      </c>
      <c r="D14" s="9">
        <f t="array" ref="D14">PRODUCT(1 + 預測IC!$C23:C23) - 1</f>
        <v>1.7768557544988628E-2</v>
      </c>
      <c r="E14" s="9">
        <f t="array" ref="E14">PRODUCT(1 + 預測IC!$C23:D23) - 1</f>
        <v>2.1462420129533255E-2</v>
      </c>
      <c r="F14" s="9">
        <f t="array" ref="F14">PRODUCT(1 + 預測IC!$C23:E23) - 1</f>
        <v>5.554397749186335E-2</v>
      </c>
      <c r="G14" s="9">
        <f t="array" ref="G14">PRODUCT(1 + 預測IC!$C23:F23) - 1</f>
        <v>0.24980479393235866</v>
      </c>
      <c r="H14" s="9">
        <f t="array" ref="H14">PRODUCT(1 + 預測IC!$C23:G23) - 1</f>
        <v>0.41456202084555227</v>
      </c>
      <c r="I14" s="9">
        <f t="array" ref="I14">PRODUCT(1 + 預測IC!$C23:H23) - 1</f>
        <v>0.3666059528406127</v>
      </c>
      <c r="J14" s="9">
        <f t="array" ref="J14">PRODUCT(1 + 預測IC!$C23:I23) - 1</f>
        <v>0.66688183060730144</v>
      </c>
      <c r="K14" s="9">
        <f t="array" ref="K14">PRODUCT(1 + 預測IC!$C23:J23) - 1</f>
        <v>0.70672235022938201</v>
      </c>
      <c r="L14" s="9">
        <f t="array" ref="L14">PRODUCT(1 + 預測IC!$C23:K23) - 1</f>
        <v>0.84519920839382645</v>
      </c>
      <c r="M14" s="9">
        <f t="array" ref="M14">PRODUCT(1 + 預測IC!$C23:L23) - 1</f>
        <v>0.95101397779825803</v>
      </c>
      <c r="N14" s="9">
        <f t="array" ref="N14">PRODUCT(1 + 預測IC!$C23:M23) - 1</f>
        <v>0.91623419479222745</v>
      </c>
      <c r="O14" s="9">
        <f t="array" ref="O14">PRODUCT(1 + 預測IC!$C23:N23) - 1</f>
        <v>0.22909948859889173</v>
      </c>
      <c r="P14" s="9">
        <f t="array" ref="P14">PRODUCT(1 + 預測IC!$C23:O23) - 1</f>
        <v>0.37508924465392468</v>
      </c>
      <c r="Q14" s="9">
        <f t="array" ref="Q14">PRODUCT(1 + 預測IC!$C23:P23) - 1</f>
        <v>0.44614031555281475</v>
      </c>
      <c r="R14" s="9">
        <f t="array" ref="R14">PRODUCT(1 + 預測IC!$C23:Q23) - 1</f>
        <v>0.3671685656921202</v>
      </c>
      <c r="S14" s="9">
        <f t="array" ref="S14">PRODUCT(1 + 預測IC!$C23:R23) - 1</f>
        <v>0.33761228981733726</v>
      </c>
      <c r="T14" s="9">
        <f t="array" ref="T14">PRODUCT(1 + 預測IC!$C23:S23) - 1</f>
        <v>0.47961689907735194</v>
      </c>
      <c r="U14" s="9">
        <f t="array" ref="U14">PRODUCT(1 + 預測IC!$C23:T23) - 1</f>
        <v>0.50196722782828607</v>
      </c>
      <c r="V14" s="9">
        <f t="array" ref="V14">PRODUCT(1 + 預測IC!$C23:U23) - 1</f>
        <v>0.63030895388277575</v>
      </c>
      <c r="W14" s="9">
        <f t="array" ref="W14">PRODUCT(1 + 預測IC!$C23:V23) - 1</f>
        <v>0.67243566933471932</v>
      </c>
      <c r="X14" s="9">
        <f t="array" ref="X14">PRODUCT(1 + 預測IC!$C23:W23) - 1</f>
        <v>0.74759722246694915</v>
      </c>
      <c r="Y14" s="9">
        <f t="array" ref="Y14">PRODUCT(1 + 預測IC!$C23:X23) - 1</f>
        <v>0.83650785477146061</v>
      </c>
      <c r="Z14" s="9">
        <f t="array" ref="Z14">PRODUCT(1 + 預測IC!$C23:Y23) - 1</f>
        <v>0.72538345181703567</v>
      </c>
      <c r="AA14" s="9">
        <f t="array" ref="AA14">PRODUCT(1 + 預測IC!$C23:Z23) - 1</f>
        <v>0.78459756035266137</v>
      </c>
      <c r="AB14" s="9">
        <f t="array" ref="AB14">PRODUCT(1 + 預測IC!$C23:AA23) - 1</f>
        <v>0.66905426109615562</v>
      </c>
      <c r="AC14" s="9">
        <f t="array" ref="AC14">PRODUCT(1 + 預測IC!$C23:AB23) - 1</f>
        <v>0.69862583201098261</v>
      </c>
      <c r="AD14" s="9">
        <f t="array" ref="AD14">PRODUCT(1 + 預測IC!$C23:AC23) - 1</f>
        <v>0.93485424936596084</v>
      </c>
      <c r="AE14" s="9">
        <f t="array" ref="AE14">PRODUCT(1 + 預測IC!$C23:AD23) - 1</f>
        <v>1.1217435139463054</v>
      </c>
      <c r="AF14" s="9">
        <f t="array" ref="AF14">PRODUCT(1 + 預測IC!$C23:AE23) - 1</f>
        <v>1.0183377080910136</v>
      </c>
      <c r="AG14" s="9">
        <f t="array" ref="AG14">PRODUCT(1 + 預測IC!$C23:AF23) - 1</f>
        <v>1.2780133396110585</v>
      </c>
      <c r="AH14" s="9">
        <f t="array" ref="AH14">PRODUCT(1 + 預測IC!$C23:AG23) - 1</f>
        <v>1.2025380407904054</v>
      </c>
      <c r="AI14" s="9">
        <f t="array" ref="AI14">PRODUCT(1 + 預測IC!$C23:AH23) - 1</f>
        <v>1.1501641426941358</v>
      </c>
      <c r="AJ14" s="9">
        <f t="array" ref="AJ14">PRODUCT(1 + 預測IC!$C23:AI23) - 1</f>
        <v>1.3506888038334468</v>
      </c>
      <c r="AK14" s="9">
        <f t="array" ref="AK14">PRODUCT(1 + 預測IC!$C23:AJ23) - 1</f>
        <v>1.3889105548271767</v>
      </c>
      <c r="AL14" s="9">
        <f t="array" ref="AL14">PRODUCT(1 + 預測IC!$C23:AK23) - 1</f>
        <v>1.2683919069399265</v>
      </c>
      <c r="AM14" s="9">
        <f t="array" ref="AM14">PRODUCT(1 + 預測IC!$C23:AL23) - 1</f>
        <v>1.2025156253412299</v>
      </c>
      <c r="AN14" s="9">
        <f t="array" ref="AN14">PRODUCT(1 + 預測IC!$C23:AM23) - 1</f>
        <v>0.96128582701820298</v>
      </c>
      <c r="AO14" s="9">
        <f t="array" ref="AO14">PRODUCT(1 + 預測IC!$C23:AN23) - 1</f>
        <v>1.186331212275979</v>
      </c>
      <c r="AP14" s="9">
        <f t="array" ref="AP14">PRODUCT(1 + 預測IC!$C23:AO23) - 1</f>
        <v>1.2548090869333617</v>
      </c>
      <c r="AQ14" s="9">
        <f t="array" ref="AQ14">PRODUCT(1 + 預測IC!$C23:AP23) - 1</f>
        <v>0.83159070572214966</v>
      </c>
      <c r="AR14" s="9">
        <f t="array" ref="AR14">PRODUCT(1 + 預測IC!$C23:AQ23) - 1</f>
        <v>0.57071265859448217</v>
      </c>
      <c r="AS14" s="9">
        <f t="array" ref="AS14">PRODUCT(1 + 預測IC!$C23:AR23) - 1</f>
        <v>0.61633232602211319</v>
      </c>
      <c r="AT14" s="9">
        <f t="array" ref="AT14">PRODUCT(1 + 預測IC!$C23:AS23) - 1</f>
        <v>0.58974021106185437</v>
      </c>
      <c r="AU14" s="9">
        <f t="array" ref="AU14">PRODUCT(1 + 預測IC!$C23:AT23) - 1</f>
        <v>0.61555913722844258</v>
      </c>
      <c r="AV14" s="9">
        <f t="array" ref="AV14">PRODUCT(1 + 預測IC!$C23:AU23) - 1</f>
        <v>0.67483911826788434</v>
      </c>
      <c r="AW14" s="9">
        <f t="array" ref="AW14">PRODUCT(1 + 預測IC!$C23:AV23) - 1</f>
        <v>0.68567707504119624</v>
      </c>
      <c r="AX14" s="9">
        <f t="array" ref="AX14">PRODUCT(1 + 預測IC!$C23:AW23) - 1</f>
        <v>0.55312846590287545</v>
      </c>
      <c r="AY14" s="9">
        <f t="array" ref="AY14">PRODUCT(1 + 預測IC!$C23:AX23) - 1</f>
        <v>0.5475057448758589</v>
      </c>
      <c r="AZ14" s="9">
        <f t="array" ref="AZ14">PRODUCT(1 + 預測IC!$C23:AY23) - 1</f>
        <v>0.53720182458821686</v>
      </c>
      <c r="BA14" s="9">
        <f t="array" ref="BA14">PRODUCT(1 + 預測IC!$C23:AZ23) - 1</f>
        <v>0.60428040279748574</v>
      </c>
      <c r="BB14" s="9">
        <f t="array" ref="BB14">PRODUCT(1 + 預測IC!$C23:BA23) - 1</f>
        <v>0.6288427718247096</v>
      </c>
      <c r="BC14" s="9">
        <f t="array" ref="BC14">PRODUCT(1 + 預測IC!$C23:BB23) - 1</f>
        <v>0.43246163935512882</v>
      </c>
      <c r="BD14" s="9">
        <f t="array" ref="BD14">PRODUCT(1 + 預測IC!$C23:BC23) - 1</f>
        <v>0.30255241552700385</v>
      </c>
      <c r="BE14" s="9">
        <f t="array" ref="BE14">PRODUCT(1 + 預測IC!$C23:BD23) - 1</f>
        <v>0.39908003449343887</v>
      </c>
      <c r="BF14" s="9">
        <f t="array" ref="BF14">PRODUCT(1 + 預測IC!$C23:BE23) - 1</f>
        <v>0.48530785891579886</v>
      </c>
      <c r="BG14" s="9">
        <f t="array" ref="BG14">PRODUCT(1 + 預測IC!$C23:BF23) - 1</f>
        <v>0.27549300103735241</v>
      </c>
      <c r="BH14" s="9">
        <f t="array" ref="BH14">PRODUCT(1 + 預測IC!$C23:BG23) - 1</f>
        <v>0.60682075014409675</v>
      </c>
      <c r="BI14" s="9">
        <f t="array" ref="BI14">PRODUCT(1 + 預測IC!$C23:BH23) - 1</f>
        <v>0.46698920742027172</v>
      </c>
      <c r="BJ14" s="9">
        <f t="array" ref="BJ14">PRODUCT(1 + 預測IC!$C23:BI23) - 1</f>
        <v>0.22743023818059882</v>
      </c>
      <c r="BK14" s="9">
        <f t="array" ref="BK14">PRODUCT(1 + 預測IC!$C23:BJ23) - 1</f>
        <v>0.2217230773261698</v>
      </c>
      <c r="BL14" s="9">
        <f t="array" ref="BL14">PRODUCT(1 + 預測IC!$C23:BK23) - 1</f>
        <v>0.18176124733806009</v>
      </c>
      <c r="BM14" s="9">
        <f t="array" ref="BM14">PRODUCT(1 + 預測IC!$C23:BL23) - 1</f>
        <v>0.20725967820794411</v>
      </c>
      <c r="BN14" s="9">
        <f t="array" ref="BN14">PRODUCT(1 + 預測IC!$C23:BM23) - 1</f>
        <v>0.13964273451438647</v>
      </c>
      <c r="BO14" s="9">
        <f t="array" ref="BO14">PRODUCT(1 + 預測IC!$C23:BN23) - 1</f>
        <v>8.5084283900190183E-2</v>
      </c>
      <c r="BP14" s="9">
        <f t="array" ref="BP14">PRODUCT(1 + 預測IC!$C23:BO23) - 1</f>
        <v>6.4461311874967953E-2</v>
      </c>
      <c r="BQ14" s="9">
        <f t="array" ref="BQ14">PRODUCT(1 + 預測IC!$C23:BP23) - 1</f>
        <v>0.1338438475428696</v>
      </c>
      <c r="BR14" s="9">
        <f t="array" ref="BR14">PRODUCT(1 + 預測IC!$C23:BQ23) - 1</f>
        <v>0.20741942181894224</v>
      </c>
      <c r="BS14" s="9">
        <f t="array" ref="BS14">PRODUCT(1 + 預測IC!$C23:BR23) - 1</f>
        <v>0.30458333706584351</v>
      </c>
      <c r="BT14" s="9">
        <f t="array" ref="BT14">PRODUCT(1 + 預測IC!$C23:BS23) - 1</f>
        <v>0.34346714025571634</v>
      </c>
      <c r="BU14" s="9">
        <f t="array" ref="BU14">PRODUCT(1 + 預測IC!$C23:BT23) - 1</f>
        <v>0.3950204576541172</v>
      </c>
      <c r="BV14" s="9">
        <f t="array" ref="BV14">PRODUCT(1 + 預測IC!$C23:BU23) - 1</f>
        <v>0.44523312829888395</v>
      </c>
      <c r="BW14" s="9">
        <f t="array" ref="BW14">PRODUCT(1 + 預測IC!$C23:BV23) - 1</f>
        <v>0.441480524253969</v>
      </c>
      <c r="BX14" s="9">
        <f t="array" ref="BX14">PRODUCT(1 + 預測IC!$C23:BW23) - 1</f>
        <v>0.42087611834175465</v>
      </c>
      <c r="BY14" s="9">
        <f t="array" ref="BY14">PRODUCT(1 + 預測IC!$C23:BX23) - 1</f>
        <v>0.51468510179786398</v>
      </c>
      <c r="BZ14" s="9">
        <f t="array" ref="BZ14">PRODUCT(1 + 預測IC!$C23:BY23) - 1</f>
        <v>0.8020277393602262</v>
      </c>
      <c r="CA14" s="9">
        <f t="array" ref="CA14">PRODUCT(1 + 預測IC!$C23:BZ23) - 1</f>
        <v>0.60875114957470755</v>
      </c>
      <c r="CB14" s="9">
        <f t="array" ref="CB14">PRODUCT(1 + 預測IC!$C23:CA23) - 1</f>
        <v>0.70143060027536719</v>
      </c>
      <c r="CC14" s="9">
        <f t="array" ref="CC14">PRODUCT(1 + 預測IC!$C23:CB23) - 1</f>
        <v>0.9192425302750078</v>
      </c>
      <c r="CD14" s="9">
        <f t="array" ref="CD14">PRODUCT(1 + 預測IC!$C23:CC23) - 1</f>
        <v>0.87206298824784434</v>
      </c>
      <c r="CE14" s="9">
        <f t="array" ref="CE14">PRODUCT(1 + 預測IC!$C23:CD23) - 1</f>
        <v>0.68367164173136752</v>
      </c>
      <c r="CF14" s="9">
        <f t="array" ref="CF14">PRODUCT(1 + 預測IC!$C23:CE23) - 1</f>
        <v>0.8831829542211258</v>
      </c>
      <c r="CG14" s="9">
        <f t="array" ref="CG14">PRODUCT(1 + 預測IC!$C23:CF23) - 1</f>
        <v>0.75420137439685631</v>
      </c>
      <c r="CH14" s="9">
        <f t="array" ref="CH14">PRODUCT(1 + 預測IC!$C23:CG23) - 1</f>
        <v>0.6136460707306941</v>
      </c>
      <c r="CI14" s="9">
        <f t="array" ref="CI14">PRODUCT(1 + 預測IC!$C23:CH23) - 1</f>
        <v>0.38376053343651195</v>
      </c>
      <c r="CJ14" s="9">
        <f t="array" ref="CJ14">PRODUCT(1 + 預測IC!$C23:CI23) - 1</f>
        <v>0.96959029348521875</v>
      </c>
      <c r="CK14" s="9">
        <f t="array" ref="CK14">PRODUCT(1 + 預測IC!$C23:CJ23) - 1</f>
        <v>0.95525031929489623</v>
      </c>
      <c r="CL14" s="9">
        <f t="array" ref="CL14">PRODUCT(1 + 預測IC!$C23:CK23) - 1</f>
        <v>1.2678316488192034</v>
      </c>
      <c r="CM14" s="9">
        <f t="array" ref="CM14">PRODUCT(1 + 預測IC!$C23:CL23) - 1</f>
        <v>0.4539088216289362</v>
      </c>
      <c r="CN14" s="9">
        <f t="array" ref="CN14">PRODUCT(1 + 預測IC!$C23:CM23) - 1</f>
        <v>0.4237516394711367</v>
      </c>
      <c r="CO14" s="9">
        <f t="array" ref="CO14">PRODUCT(1 + 預測IC!$C23:CN23) - 1</f>
        <v>0.81136581534340002</v>
      </c>
      <c r="CP14" s="9">
        <f t="array" ref="CP14">PRODUCT(1 + 預測IC!$C23:CO23) - 1</f>
        <v>0.97670099178580738</v>
      </c>
      <c r="CQ14" s="9">
        <f t="array" ref="CQ14">PRODUCT(1 + 預測IC!$C23:CP23) - 1</f>
        <v>0.84026044185599336</v>
      </c>
      <c r="CR14" s="9">
        <f t="array" ref="CR14">PRODUCT(1 + 預測IC!$C23:CQ23) - 1</f>
        <v>0.80034625380673141</v>
      </c>
      <c r="CS14" s="9">
        <f t="array" ref="CS14">PRODUCT(1 + 預測IC!$C23:CR23) - 1</f>
        <v>0.86037535313330249</v>
      </c>
      <c r="CT14" s="9">
        <f t="array" ref="CT14">PRODUCT(1 + 預測IC!$C23:CS23) - 1</f>
        <v>1.2210431781075695</v>
      </c>
      <c r="CU14" s="9">
        <f t="array" ref="CU14">PRODUCT(1 + 預測IC!$C23:CT23) - 1</f>
        <v>1.1437841653989467</v>
      </c>
      <c r="CV14" s="9">
        <f t="array" ref="CV14">PRODUCT(1 + 預測IC!$C23:CU23) - 1</f>
        <v>1.3675556773165876</v>
      </c>
      <c r="CW14" s="9">
        <f t="array" ref="CW14">PRODUCT(1 + 預測IC!$C23:CV23) - 1</f>
        <v>1.6055707575525862</v>
      </c>
      <c r="CX14" s="9">
        <f t="array" ref="CX14">PRODUCT(1 + 預測IC!$C23:CW23) - 1</f>
        <v>1.5303093475689384</v>
      </c>
      <c r="CY14" s="9">
        <f t="array" ref="CY14">PRODUCT(1 + 預測IC!$C23:CX23) - 1</f>
        <v>1.3059722032384866</v>
      </c>
      <c r="CZ14" s="9">
        <f t="array" ref="CZ14">PRODUCT(1 + 預測IC!$C23:CY23) - 1</f>
        <v>1.4893181957992745</v>
      </c>
      <c r="DA14" s="9">
        <f t="array" ref="DA14">PRODUCT(1 + 預測IC!$C23:CZ23) - 1</f>
        <v>1.5589608048643133</v>
      </c>
      <c r="DB14" s="9">
        <f t="array" ref="DB14">PRODUCT(1 + 預測IC!$C23:DA23) - 1</f>
        <v>1.6376370859000744</v>
      </c>
      <c r="DC14" s="9">
        <f t="array" ref="DC14">PRODUCT(1 + 預測IC!$C23:DB23) - 1</f>
        <v>1.4744575637565096</v>
      </c>
      <c r="DD14" s="9">
        <f t="array" ref="DD14">PRODUCT(1 + 預測IC!$C23:DC23) - 1</f>
        <v>1.2059429679211142</v>
      </c>
      <c r="DE14" s="9">
        <f t="array" ref="DE14">PRODUCT(1 + 預測IC!$C23:DD23) - 1</f>
        <v>1.0282575218216374</v>
      </c>
      <c r="DF14" s="9">
        <f t="array" ref="DF14">PRODUCT(1 + 預測IC!$C23:DE23) - 1</f>
        <v>1.2031107100395757</v>
      </c>
      <c r="DG14" s="9">
        <f t="array" ref="DG14">PRODUCT(1 + 預測IC!$C23:DF23) - 1</f>
        <v>0.99999043807864019</v>
      </c>
      <c r="DH14" s="9">
        <f t="array" ref="DH14">PRODUCT(1 + 預測IC!$C23:DG23) - 1</f>
        <v>0.74992627964605174</v>
      </c>
      <c r="DI14" s="9">
        <f t="array" ref="DI14">PRODUCT(1 + 預測IC!$C23:DH23) - 1</f>
        <v>0.57254235226144035</v>
      </c>
      <c r="DJ14" s="9">
        <f t="array" ref="DJ14">PRODUCT(1 + 預測IC!$C23:DI23) - 1</f>
        <v>0.39122296118552335</v>
      </c>
      <c r="DK14" s="9">
        <f t="array" ref="DK14">PRODUCT(1 + 預測IC!$C23:DJ23) - 1</f>
        <v>0.57570211264061921</v>
      </c>
      <c r="DL14" s="9">
        <f t="array" ref="DL14">PRODUCT(1 + 預測IC!$C23:DK23) - 1</f>
        <v>0.44825873741356226</v>
      </c>
      <c r="DM14" s="9">
        <f t="array" ref="DM14">PRODUCT(1 + 預測IC!$C23:DL23) - 1</f>
        <v>0.47073145996798815</v>
      </c>
      <c r="DN14" s="9">
        <f t="array" ref="DN14">PRODUCT(1 + 預測IC!$C23:DM23) - 1</f>
        <v>0.48559899410189833</v>
      </c>
      <c r="DO14" s="9">
        <f t="array" ref="DO14">PRODUCT(1 + 預測IC!$C23:DN23) - 1</f>
        <v>0.59937777867036357</v>
      </c>
      <c r="DP14" s="9">
        <f t="array" ref="DP14">PRODUCT(1 + 預測IC!$C23:DO23) - 1</f>
        <v>0.54119634114823945</v>
      </c>
      <c r="DQ14" s="9">
        <f t="array" ref="DQ14">PRODUCT(1 + 預測IC!$C23:DP23) - 1</f>
        <v>0.50994813284208562</v>
      </c>
      <c r="DR14" s="9">
        <f t="array" ref="DR14">PRODUCT(1 + 預測IC!$C23:DQ23) - 1</f>
        <v>0.50827698810845789</v>
      </c>
      <c r="DS14" s="9">
        <f t="array" ref="DS14">PRODUCT(1 + 預測IC!$C23:DR23) - 1</f>
        <v>0.58662465576627998</v>
      </c>
      <c r="DT14" s="9">
        <f t="array" ref="DT14">PRODUCT(1 + 預測IC!$C23:DS23) - 1</f>
        <v>0.59258750165159535</v>
      </c>
      <c r="DU14" s="9">
        <f t="array" ref="DU14">PRODUCT(1 + 預測IC!$C23:DT23) - 1</f>
        <v>0.68831531715152039</v>
      </c>
      <c r="DV14" s="9">
        <f t="array" ref="DV14">PRODUCT(1 + 預測IC!$C23:DU23) - 1</f>
        <v>0.57274607911872888</v>
      </c>
      <c r="DW14" s="9">
        <f t="array" ref="DW14">PRODUCT(1 + 預測IC!$C23:DV23) - 1</f>
        <v>0.61623363150996058</v>
      </c>
      <c r="DX14" s="9">
        <f t="array" ref="DX14">PRODUCT(1 + 預測IC!$C23:DW23) - 1</f>
        <v>0.5316146297457871</v>
      </c>
      <c r="DY14" s="9">
        <f t="array" ref="DY14">PRODUCT(1 + 預測IC!$C23:DX23) - 1</f>
        <v>0.51602158686364752</v>
      </c>
      <c r="DZ14" s="9">
        <f t="array" ref="DZ14">PRODUCT(1 + 預測IC!$C23:DY23) - 1</f>
        <v>0.75609580510196994</v>
      </c>
      <c r="EA14" s="9">
        <f t="array" ref="EA14">PRODUCT(1 + 預測IC!$C23:DZ23) - 1</f>
        <v>0.84612629947433016</v>
      </c>
      <c r="EB14" s="9">
        <f t="array" ref="EB14">PRODUCT(1 + 預測IC!$C23:EA23) - 1</f>
        <v>0.70754233070833727</v>
      </c>
      <c r="EC14" s="9">
        <f t="array" ref="EC14">PRODUCT(1 + 預測IC!$C23:EB23) - 1</f>
        <v>0.79158363191858516</v>
      </c>
      <c r="ED14" s="9">
        <f t="array" ref="ED14">PRODUCT(1 + 預測IC!$C23:EC23) - 1</f>
        <v>0.74923238925045532</v>
      </c>
      <c r="EE14" s="9">
        <f t="array" ref="EE14">PRODUCT(1 + 預測IC!$C23:ED23) - 1</f>
        <v>0.7535689773473746</v>
      </c>
      <c r="EF14" s="9">
        <f t="array" ref="EF14">PRODUCT(1 + 預測IC!$C23:EE23) - 1</f>
        <v>0.89733963865012889</v>
      </c>
      <c r="EG14" s="9">
        <f t="array" ref="EG14">PRODUCT(1 + 預測IC!$C23:EF23) - 1</f>
        <v>1.0848559963739675</v>
      </c>
    </row>
    <row r="15" spans="3:137" ht="16" customHeight="1">
      <c r="C15" s="6">
        <v>321</v>
      </c>
      <c r="D15" s="9">
        <f t="array" ref="D15">PRODUCT(1 + 預測IC!$C24:C24) - 1</f>
        <v>-6.3062694489166571E-3</v>
      </c>
      <c r="E15" s="9">
        <f t="array" ref="E15">PRODUCT(1 + 預測IC!$C24:D24) - 1</f>
        <v>-1.1144726223391244E-2</v>
      </c>
      <c r="F15" s="9">
        <f t="array" ref="F15">PRODUCT(1 + 預測IC!$C24:E24) - 1</f>
        <v>-3.0648593374390631E-2</v>
      </c>
      <c r="G15" s="9">
        <f t="array" ref="G15">PRODUCT(1 + 預測IC!$C24:F24) - 1</f>
        <v>3.5103540942557077E-2</v>
      </c>
      <c r="H15" s="9">
        <f t="array" ref="H15">PRODUCT(1 + 預測IC!$C24:G24) - 1</f>
        <v>0.2230743538208424</v>
      </c>
      <c r="I15" s="9">
        <f t="array" ref="I15">PRODUCT(1 + 預測IC!$C24:H24) - 1</f>
        <v>0.27233374784016906</v>
      </c>
      <c r="J15" s="9">
        <f t="array" ref="J15">PRODUCT(1 + 預測IC!$C24:I24) - 1</f>
        <v>0.58601423976197897</v>
      </c>
      <c r="K15" s="9">
        <f t="array" ref="K15">PRODUCT(1 + 預測IC!$C24:J24) - 1</f>
        <v>0.55063870768245793</v>
      </c>
      <c r="L15" s="9">
        <f t="array" ref="L15">PRODUCT(1 + 預測IC!$C24:K24) - 1</f>
        <v>0.81892932381798711</v>
      </c>
      <c r="M15" s="9">
        <f t="array" ref="M15">PRODUCT(1 + 預測IC!$C24:L24) - 1</f>
        <v>1.0214036359709109</v>
      </c>
      <c r="N15" s="9">
        <f t="array" ref="N15">PRODUCT(1 + 預測IC!$C24:M24) - 1</f>
        <v>0.96274854433534762</v>
      </c>
      <c r="O15" s="9">
        <f t="array" ref="O15">PRODUCT(1 + 預測IC!$C24:N24) - 1</f>
        <v>0.51604320175541707</v>
      </c>
      <c r="P15" s="9">
        <f t="array" ref="P15">PRODUCT(1 + 預測IC!$C24:O24) - 1</f>
        <v>0.70597867234447165</v>
      </c>
      <c r="Q15" s="9">
        <f t="array" ref="Q15">PRODUCT(1 + 預測IC!$C24:P24) - 1</f>
        <v>0.74116438927783834</v>
      </c>
      <c r="R15" s="9">
        <f t="array" ref="R15">PRODUCT(1 + 預測IC!$C24:Q24) - 1</f>
        <v>0.80233028519293437</v>
      </c>
      <c r="S15" s="9">
        <f t="array" ref="S15">PRODUCT(1 + 預測IC!$C24:R24) - 1</f>
        <v>0.72370078692389939</v>
      </c>
      <c r="T15" s="9">
        <f t="array" ref="T15">PRODUCT(1 + 預測IC!$C24:S24) - 1</f>
        <v>0.89654849842996276</v>
      </c>
      <c r="U15" s="9">
        <f t="array" ref="U15">PRODUCT(1 + 預測IC!$C24:T24) - 1</f>
        <v>0.96901127604199222</v>
      </c>
      <c r="V15" s="9">
        <f t="array" ref="V15">PRODUCT(1 + 預測IC!$C24:U24) - 1</f>
        <v>1.1832785933181382</v>
      </c>
      <c r="W15" s="9">
        <f t="array" ref="W15">PRODUCT(1 + 預測IC!$C24:V24) - 1</f>
        <v>1.2690906973671456</v>
      </c>
      <c r="X15" s="9">
        <f t="array" ref="X15">PRODUCT(1 + 預測IC!$C24:W24) - 1</f>
        <v>1.4412721447962613</v>
      </c>
      <c r="Y15" s="9">
        <f t="array" ref="Y15">PRODUCT(1 + 預測IC!$C24:X24) - 1</f>
        <v>1.4297603449713105</v>
      </c>
      <c r="Z15" s="9">
        <f t="array" ref="Z15">PRODUCT(1 + 預測IC!$C24:Y24) - 1</f>
        <v>1.2678920805528575</v>
      </c>
      <c r="AA15" s="9">
        <f t="array" ref="AA15">PRODUCT(1 + 預測IC!$C24:Z24) - 1</f>
        <v>1.3349322735324733</v>
      </c>
      <c r="AB15" s="9">
        <f t="array" ref="AB15">PRODUCT(1 + 預測IC!$C24:AA24) - 1</f>
        <v>1.290175322602483</v>
      </c>
      <c r="AC15" s="9">
        <f t="array" ref="AC15">PRODUCT(1 + 預測IC!$C24:AB24) - 1</f>
        <v>1.3380820865552772</v>
      </c>
      <c r="AD15" s="9">
        <f t="array" ref="AD15">PRODUCT(1 + 預測IC!$C24:AC24) - 1</f>
        <v>1.3881782362186756</v>
      </c>
      <c r="AE15" s="9">
        <f t="array" ref="AE15">PRODUCT(1 + 預測IC!$C24:AD24) - 1</f>
        <v>1.6395173667238745</v>
      </c>
      <c r="AF15" s="9">
        <f t="array" ref="AF15">PRODUCT(1 + 預測IC!$C24:AE24) - 1</f>
        <v>1.6109734775767879</v>
      </c>
      <c r="AG15" s="9">
        <f t="array" ref="AG15">PRODUCT(1 + 預測IC!$C24:AF24) - 1</f>
        <v>1.8340049510821745</v>
      </c>
      <c r="AH15" s="9">
        <f t="array" ref="AH15">PRODUCT(1 + 預測IC!$C24:AG24) - 1</f>
        <v>1.5611965389871072</v>
      </c>
      <c r="AI15" s="9">
        <f t="array" ref="AI15">PRODUCT(1 + 預測IC!$C24:AH24) - 1</f>
        <v>1.4863088895242522</v>
      </c>
      <c r="AJ15" s="9">
        <f t="array" ref="AJ15">PRODUCT(1 + 預測IC!$C24:AI24) - 1</f>
        <v>1.7269236872419209</v>
      </c>
      <c r="AK15" s="9">
        <f t="array" ref="AK15">PRODUCT(1 + 預測IC!$C24:AJ24) - 1</f>
        <v>1.7793868666026431</v>
      </c>
      <c r="AL15" s="9">
        <f t="array" ref="AL15">PRODUCT(1 + 預測IC!$C24:AK24) - 1</f>
        <v>1.576748935155857</v>
      </c>
      <c r="AM15" s="9">
        <f t="array" ref="AM15">PRODUCT(1 + 預測IC!$C24:AL24) - 1</f>
        <v>1.5756765905239369</v>
      </c>
      <c r="AN15" s="9">
        <f t="array" ref="AN15">PRODUCT(1 + 預測IC!$C24:AM24) - 1</f>
        <v>1.3271715537201332</v>
      </c>
      <c r="AO15" s="9">
        <f t="array" ref="AO15">PRODUCT(1 + 預測IC!$C24:AN24) - 1</f>
        <v>1.5802929962230423</v>
      </c>
      <c r="AP15" s="9">
        <f t="array" ref="AP15">PRODUCT(1 + 預測IC!$C24:AO24) - 1</f>
        <v>1.6339513953869642</v>
      </c>
      <c r="AQ15" s="9">
        <f t="array" ref="AQ15">PRODUCT(1 + 預測IC!$C24:AP24) - 1</f>
        <v>1.0157545247653501</v>
      </c>
      <c r="AR15" s="9">
        <f t="array" ref="AR15">PRODUCT(1 + 預測IC!$C24:AQ24) - 1</f>
        <v>0.65177909565535308</v>
      </c>
      <c r="AS15" s="9">
        <f t="array" ref="AS15">PRODUCT(1 + 預測IC!$C24:AR24) - 1</f>
        <v>0.66717524938866957</v>
      </c>
      <c r="AT15" s="9">
        <f t="array" ref="AT15">PRODUCT(1 + 預測IC!$C24:AS24) - 1</f>
        <v>0.57221493303736071</v>
      </c>
      <c r="AU15" s="9">
        <f t="array" ref="AU15">PRODUCT(1 + 預測IC!$C24:AT24) - 1</f>
        <v>0.603687600022218</v>
      </c>
      <c r="AV15" s="9">
        <f t="array" ref="AV15">PRODUCT(1 + 預測IC!$C24:AU24) - 1</f>
        <v>0.7640536261136921</v>
      </c>
      <c r="AW15" s="9">
        <f t="array" ref="AW15">PRODUCT(1 + 預測IC!$C24:AV24) - 1</f>
        <v>0.87326787660044269</v>
      </c>
      <c r="AX15" s="9">
        <f t="array" ref="AX15">PRODUCT(1 + 預測IC!$C24:AW24) - 1</f>
        <v>0.7435164489205226</v>
      </c>
      <c r="AY15" s="9">
        <f t="array" ref="AY15">PRODUCT(1 + 預測IC!$C24:AX24) - 1</f>
        <v>0.73139705262599453</v>
      </c>
      <c r="AZ15" s="9">
        <f t="array" ref="AZ15">PRODUCT(1 + 預測IC!$C24:AY24) - 1</f>
        <v>0.75153820461489529</v>
      </c>
      <c r="BA15" s="9">
        <f t="array" ref="BA15">PRODUCT(1 + 預測IC!$C24:AZ24) - 1</f>
        <v>0.94152401708262046</v>
      </c>
      <c r="BB15" s="9">
        <f t="array" ref="BB15">PRODUCT(1 + 預測IC!$C24:BA24) - 1</f>
        <v>0.92386028502680118</v>
      </c>
      <c r="BC15" s="9">
        <f t="array" ref="BC15">PRODUCT(1 + 預測IC!$C24:BB24) - 1</f>
        <v>0.47703142492912787</v>
      </c>
      <c r="BD15" s="9">
        <f t="array" ref="BD15">PRODUCT(1 + 預測IC!$C24:BC24) - 1</f>
        <v>0.34862150668240366</v>
      </c>
      <c r="BE15" s="9">
        <f t="array" ref="BE15">PRODUCT(1 + 預測IC!$C24:BD24) - 1</f>
        <v>0.46106670159117291</v>
      </c>
      <c r="BF15" s="9">
        <f t="array" ref="BF15">PRODUCT(1 + 預測IC!$C24:BE24) - 1</f>
        <v>0.51924062929155634</v>
      </c>
      <c r="BG15" s="9">
        <f t="array" ref="BG15">PRODUCT(1 + 預測IC!$C24:BF24) - 1</f>
        <v>0.22050289798901312</v>
      </c>
      <c r="BH15" s="9">
        <f t="array" ref="BH15">PRODUCT(1 + 預測IC!$C24:BG24) - 1</f>
        <v>0.58582398294600968</v>
      </c>
      <c r="BI15" s="9">
        <f t="array" ref="BI15">PRODUCT(1 + 預測IC!$C24:BH24) - 1</f>
        <v>0.61751427486146793</v>
      </c>
      <c r="BJ15" s="9">
        <f t="array" ref="BJ15">PRODUCT(1 + 預測IC!$C24:BI24) - 1</f>
        <v>0.29623665821625789</v>
      </c>
      <c r="BK15" s="9">
        <f t="array" ref="BK15">PRODUCT(1 + 預測IC!$C24:BJ24) - 1</f>
        <v>0.44044824052779186</v>
      </c>
      <c r="BL15" s="9">
        <f t="array" ref="BL15">PRODUCT(1 + 預測IC!$C24:BK24) - 1</f>
        <v>0.36641875675705471</v>
      </c>
      <c r="BM15" s="9">
        <f t="array" ref="BM15">PRODUCT(1 + 預測IC!$C24:BL24) - 1</f>
        <v>0.43450245222880279</v>
      </c>
      <c r="BN15" s="9">
        <f t="array" ref="BN15">PRODUCT(1 + 預測IC!$C24:BM24) - 1</f>
        <v>0.28486415609131144</v>
      </c>
      <c r="BO15" s="9">
        <f t="array" ref="BO15">PRODUCT(1 + 預測IC!$C24:BN24) - 1</f>
        <v>0.20578340965060704</v>
      </c>
      <c r="BP15" s="9">
        <f t="array" ref="BP15">PRODUCT(1 + 預測IC!$C24:BO24) - 1</f>
        <v>0.19569969821752164</v>
      </c>
      <c r="BQ15" s="9">
        <f t="array" ref="BQ15">PRODUCT(1 + 預測IC!$C24:BP24) - 1</f>
        <v>0.27100702502781182</v>
      </c>
      <c r="BR15" s="9">
        <f t="array" ref="BR15">PRODUCT(1 + 預測IC!$C24:BQ24) - 1</f>
        <v>0.36521605396343304</v>
      </c>
      <c r="BS15" s="9">
        <f t="array" ref="BS15">PRODUCT(1 + 預測IC!$C24:BR24) - 1</f>
        <v>0.49852768712585993</v>
      </c>
      <c r="BT15" s="9">
        <f t="array" ref="BT15">PRODUCT(1 + 預測IC!$C24:BS24) - 1</f>
        <v>0.45934453360404226</v>
      </c>
      <c r="BU15" s="9">
        <f t="array" ref="BU15">PRODUCT(1 + 預測IC!$C24:BT24) - 1</f>
        <v>0.52722853516327062</v>
      </c>
      <c r="BV15" s="9">
        <f t="array" ref="BV15">PRODUCT(1 + 預測IC!$C24:BU24) - 1</f>
        <v>0.60888061882027467</v>
      </c>
      <c r="BW15" s="9">
        <f t="array" ref="BW15">PRODUCT(1 + 預測IC!$C24:BV24) - 1</f>
        <v>0.78444740467717855</v>
      </c>
      <c r="BX15" s="9">
        <f t="array" ref="BX15">PRODUCT(1 + 預測IC!$C24:BW24) - 1</f>
        <v>0.71032837606872157</v>
      </c>
      <c r="BY15" s="9">
        <f t="array" ref="BY15">PRODUCT(1 + 預測IC!$C24:BX24) - 1</f>
        <v>0.89793127523482963</v>
      </c>
      <c r="BZ15" s="9">
        <f t="array" ref="BZ15">PRODUCT(1 + 預測IC!$C24:BY24) - 1</f>
        <v>1.3818278894857405</v>
      </c>
      <c r="CA15" s="9">
        <f t="array" ref="CA15">PRODUCT(1 + 預測IC!$C24:BZ24) - 1</f>
        <v>1.0296875286384131</v>
      </c>
      <c r="CB15" s="9">
        <f t="array" ref="CB15">PRODUCT(1 + 預測IC!$C24:CA24) - 1</f>
        <v>1.1551023806829068</v>
      </c>
      <c r="CC15" s="9">
        <f t="array" ref="CC15">PRODUCT(1 + 預測IC!$C24:CB24) - 1</f>
        <v>1.3419127977336691</v>
      </c>
      <c r="CD15" s="9">
        <f t="array" ref="CD15">PRODUCT(1 + 預測IC!$C24:CC24) - 1</f>
        <v>1.3341964718391344</v>
      </c>
      <c r="CE15" s="9">
        <f t="array" ref="CE15">PRODUCT(1 + 預測IC!$C24:CD24) - 1</f>
        <v>1.1724398191442735</v>
      </c>
      <c r="CF15" s="9">
        <f t="array" ref="CF15">PRODUCT(1 + 預測IC!$C24:CE24) - 1</f>
        <v>1.4976232931587634</v>
      </c>
      <c r="CG15" s="9">
        <f t="array" ref="CG15">PRODUCT(1 + 預測IC!$C24:CF24) - 1</f>
        <v>1.0664529254181105</v>
      </c>
      <c r="CH15" s="9">
        <f t="array" ref="CH15">PRODUCT(1 + 預測IC!$C24:CG24) - 1</f>
        <v>1.0091739409919502</v>
      </c>
      <c r="CI15" s="9">
        <f t="array" ref="CI15">PRODUCT(1 + 預測IC!$C24:CH24) - 1</f>
        <v>0.7302906397620188</v>
      </c>
      <c r="CJ15" s="9">
        <f t="array" ref="CJ15">PRODUCT(1 + 預測IC!$C24:CI24) - 1</f>
        <v>1.593483321401902</v>
      </c>
      <c r="CK15" s="9">
        <f t="array" ref="CK15">PRODUCT(1 + 預測IC!$C24:CJ24) - 1</f>
        <v>1.4943138441748323</v>
      </c>
      <c r="CL15" s="9">
        <f t="array" ref="CL15">PRODUCT(1 + 預測IC!$C24:CK24) - 1</f>
        <v>1.975275403189185</v>
      </c>
      <c r="CM15" s="9">
        <f t="array" ref="CM15">PRODUCT(1 + 預測IC!$C24:CL24) - 1</f>
        <v>1.2743263114439718</v>
      </c>
      <c r="CN15" s="9">
        <f t="array" ref="CN15">PRODUCT(1 + 預測IC!$C24:CM24) - 1</f>
        <v>1.2809227459962158</v>
      </c>
      <c r="CO15" s="9">
        <f t="array" ref="CO15">PRODUCT(1 + 預測IC!$C24:CN24) - 1</f>
        <v>2.0915337894745223</v>
      </c>
      <c r="CP15" s="9">
        <f t="array" ref="CP15">PRODUCT(1 + 預測IC!$C24:CO24) - 1</f>
        <v>2.4186341024554725</v>
      </c>
      <c r="CQ15" s="9">
        <f t="array" ref="CQ15">PRODUCT(1 + 預測IC!$C24:CP24) - 1</f>
        <v>2.188105345089518</v>
      </c>
      <c r="CR15" s="9">
        <f t="array" ref="CR15">PRODUCT(1 + 預測IC!$C24:CQ24) - 1</f>
        <v>2.1157040442257209</v>
      </c>
      <c r="CS15" s="9">
        <f t="array" ref="CS15">PRODUCT(1 + 預測IC!$C24:CR24) - 1</f>
        <v>2.1421964023910349</v>
      </c>
      <c r="CT15" s="9">
        <f t="array" ref="CT15">PRODUCT(1 + 預測IC!$C24:CS24) - 1</f>
        <v>3.0078312190341938</v>
      </c>
      <c r="CU15" s="9">
        <f t="array" ref="CU15">PRODUCT(1 + 預測IC!$C24:CT24) - 1</f>
        <v>2.8173024809324549</v>
      </c>
      <c r="CV15" s="9">
        <f t="array" ref="CV15">PRODUCT(1 + 預測IC!$C24:CU24) - 1</f>
        <v>3.2482156905000537</v>
      </c>
      <c r="CW15" s="9">
        <f t="array" ref="CW15">PRODUCT(1 + 預測IC!$C24:CV24) - 1</f>
        <v>3.5812753825481165</v>
      </c>
      <c r="CX15" s="9">
        <f t="array" ref="CX15">PRODUCT(1 + 預測IC!$C24:CW24) - 1</f>
        <v>3.4677788050991571</v>
      </c>
      <c r="CY15" s="9">
        <f t="array" ref="CY15">PRODUCT(1 + 預測IC!$C24:CX24) - 1</f>
        <v>2.6558218478643085</v>
      </c>
      <c r="CZ15" s="9">
        <f t="array" ref="CZ15">PRODUCT(1 + 預測IC!$C24:CY24) - 1</f>
        <v>3.0876094266217011</v>
      </c>
      <c r="DA15" s="9">
        <f t="array" ref="DA15">PRODUCT(1 + 預測IC!$C24:CZ24) - 1</f>
        <v>3.4538674637889155</v>
      </c>
      <c r="DB15" s="9">
        <f t="array" ref="DB15">PRODUCT(1 + 預測IC!$C24:DA24) - 1</f>
        <v>4.0457980604197212</v>
      </c>
      <c r="DC15" s="9">
        <f t="array" ref="DC15">PRODUCT(1 + 預測IC!$C24:DB24) - 1</f>
        <v>3.30656077948698</v>
      </c>
      <c r="DD15" s="9">
        <f t="array" ref="DD15">PRODUCT(1 + 預測IC!$C24:DC24) - 1</f>
        <v>2.5837253712833825</v>
      </c>
      <c r="DE15" s="9">
        <f t="array" ref="DE15">PRODUCT(1 + 預測IC!$C24:DD24) - 1</f>
        <v>2.3422015369889881</v>
      </c>
      <c r="DF15" s="9">
        <f t="array" ref="DF15">PRODUCT(1 + 預測IC!$C24:DE24) - 1</f>
        <v>2.6310809098358696</v>
      </c>
      <c r="DG15" s="9">
        <f t="array" ref="DG15">PRODUCT(1 + 預測IC!$C24:DF24) - 1</f>
        <v>2.186813890088005</v>
      </c>
      <c r="DH15" s="9">
        <f t="array" ref="DH15">PRODUCT(1 + 預測IC!$C24:DG24) - 1</f>
        <v>1.9225705584882196</v>
      </c>
      <c r="DI15" s="9">
        <f t="array" ref="DI15">PRODUCT(1 + 預測IC!$C24:DH24) - 1</f>
        <v>1.9040486984605374</v>
      </c>
      <c r="DJ15" s="9">
        <f t="array" ref="DJ15">PRODUCT(1 + 預測IC!$C24:DI24) - 1</f>
        <v>1.4433455757325016</v>
      </c>
      <c r="DK15" s="9">
        <f t="array" ref="DK15">PRODUCT(1 + 預測IC!$C24:DJ24) - 1</f>
        <v>1.9242491187169239</v>
      </c>
      <c r="DL15" s="9">
        <f t="array" ref="DL15">PRODUCT(1 + 預測IC!$C24:DK24) - 1</f>
        <v>1.5291862160433869</v>
      </c>
      <c r="DM15" s="9">
        <f t="array" ref="DM15">PRODUCT(1 + 預測IC!$C24:DL24) - 1</f>
        <v>1.5435358928768972</v>
      </c>
      <c r="DN15" s="9">
        <f t="array" ref="DN15">PRODUCT(1 + 預測IC!$C24:DM24) - 1</f>
        <v>1.5639016677862601</v>
      </c>
      <c r="DO15" s="9">
        <f t="array" ref="DO15">PRODUCT(1 + 預測IC!$C24:DN24) - 1</f>
        <v>1.7138977148738266</v>
      </c>
      <c r="DP15" s="9">
        <f t="array" ref="DP15">PRODUCT(1 + 預測IC!$C24:DO24) - 1</f>
        <v>1.634289449791579</v>
      </c>
      <c r="DQ15" s="9">
        <f t="array" ref="DQ15">PRODUCT(1 + 預測IC!$C24:DP24) - 1</f>
        <v>1.543238766935072</v>
      </c>
      <c r="DR15" s="9">
        <f t="array" ref="DR15">PRODUCT(1 + 預測IC!$C24:DQ24) - 1</f>
        <v>1.5561462216847204</v>
      </c>
      <c r="DS15" s="9">
        <f t="array" ref="DS15">PRODUCT(1 + 預測IC!$C24:DR24) - 1</f>
        <v>1.4833238083824156</v>
      </c>
      <c r="DT15" s="9">
        <f t="array" ref="DT15">PRODUCT(1 + 預測IC!$C24:DS24) - 1</f>
        <v>1.5515841613517707</v>
      </c>
      <c r="DU15" s="9">
        <f t="array" ref="DU15">PRODUCT(1 + 預測IC!$C24:DT24) - 1</f>
        <v>1.7027397701871099</v>
      </c>
      <c r="DV15" s="9">
        <f t="array" ref="DV15">PRODUCT(1 + 預測IC!$C24:DU24) - 1</f>
        <v>1.5426361026697246</v>
      </c>
      <c r="DW15" s="9">
        <f t="array" ref="DW15">PRODUCT(1 + 預測IC!$C24:DV24) - 1</f>
        <v>1.6634810927736932</v>
      </c>
      <c r="DX15" s="9">
        <f t="array" ref="DX15">PRODUCT(1 + 預測IC!$C24:DW24) - 1</f>
        <v>1.3814750154017079</v>
      </c>
      <c r="DY15" s="9">
        <f t="array" ref="DY15">PRODUCT(1 + 預測IC!$C24:DX24) - 1</f>
        <v>1.4762252548383592</v>
      </c>
      <c r="DZ15" s="9">
        <f t="array" ref="DZ15">PRODUCT(1 + 預測IC!$C24:DY24) - 1</f>
        <v>2.1983829030955593</v>
      </c>
      <c r="EA15" s="9">
        <f t="array" ref="EA15">PRODUCT(1 + 預測IC!$C24:DZ24) - 1</f>
        <v>2.4204091701248718</v>
      </c>
      <c r="EB15" s="9">
        <f t="array" ref="EB15">PRODUCT(1 + 預測IC!$C24:EA24) - 1</f>
        <v>2.2825629132945147</v>
      </c>
      <c r="EC15" s="9">
        <f t="array" ref="EC15">PRODUCT(1 + 預測IC!$C24:EB24) - 1</f>
        <v>2.5324238626841735</v>
      </c>
      <c r="ED15" s="9">
        <f t="array" ref="ED15">PRODUCT(1 + 預測IC!$C24:EC24) - 1</f>
        <v>2.226134948376894</v>
      </c>
      <c r="EE15" s="9">
        <f t="array" ref="EE15">PRODUCT(1 + 預測IC!$C24:ED24) - 1</f>
        <v>2.2906440395427157</v>
      </c>
      <c r="EF15" s="9">
        <f t="array" ref="EF15">PRODUCT(1 + 預測IC!$C24:EE24) - 1</f>
        <v>2.493561218997471</v>
      </c>
      <c r="EG15" s="9">
        <f t="array" ref="EG15">PRODUCT(1 + 預測IC!$C24:EF24) - 1</f>
        <v>2.8720711587768819</v>
      </c>
    </row>
    <row r="16" spans="3:137" ht="16" customHeight="1">
      <c r="C16" s="6">
        <v>482</v>
      </c>
      <c r="D16" s="9">
        <f t="array" ref="D16">PRODUCT(1 + 預測IC!$C25:C25) - 1</f>
        <v>-1.1176635397692314E-2</v>
      </c>
      <c r="E16" s="9">
        <f t="array" ref="E16">PRODUCT(1 + 預測IC!$C25:D25) - 1</f>
        <v>8.9392489812996523E-2</v>
      </c>
      <c r="F16" s="9">
        <f t="array" ref="F16">PRODUCT(1 + 預測IC!$C25:E25) - 1</f>
        <v>9.1276928048942052E-2</v>
      </c>
      <c r="G16" s="9">
        <f t="array" ref="G16">PRODUCT(1 + 預測IC!$C25:F25) - 1</f>
        <v>0.29032155681329397</v>
      </c>
      <c r="H16" s="9">
        <f t="array" ref="H16">PRODUCT(1 + 預測IC!$C25:G25) - 1</f>
        <v>0.46577084415017844</v>
      </c>
      <c r="I16" s="9">
        <f t="array" ref="I16">PRODUCT(1 + 預測IC!$C25:H25) - 1</f>
        <v>0.63797341234474536</v>
      </c>
      <c r="J16" s="9">
        <f t="array" ref="J16">PRODUCT(1 + 預測IC!$C25:I25) - 1</f>
        <v>1.08343859746586</v>
      </c>
      <c r="K16" s="9">
        <f t="array" ref="K16">PRODUCT(1 + 預測IC!$C25:J25) - 1</f>
        <v>1.1628566485147762</v>
      </c>
      <c r="L16" s="9">
        <f t="array" ref="L16">PRODUCT(1 + 預測IC!$C25:K25) - 1</f>
        <v>1.6005258439318188</v>
      </c>
      <c r="M16" s="9">
        <f t="array" ref="M16">PRODUCT(1 + 預測IC!$C25:L25) - 1</f>
        <v>2.1362182060215993</v>
      </c>
      <c r="N16" s="9">
        <f t="array" ref="N16">PRODUCT(1 + 預測IC!$C25:M25) - 1</f>
        <v>1.9600102363917293</v>
      </c>
      <c r="O16" s="9">
        <f t="array" ref="O16">PRODUCT(1 + 預測IC!$C25:N25) - 1</f>
        <v>1.6374327982858703</v>
      </c>
      <c r="P16" s="9">
        <f t="array" ref="P16">PRODUCT(1 + 預測IC!$C25:O25) - 1</f>
        <v>1.9198313096750828</v>
      </c>
      <c r="Q16" s="9">
        <f t="array" ref="Q16">PRODUCT(1 + 預測IC!$C25:P25) - 1</f>
        <v>1.9911041297912253</v>
      </c>
      <c r="R16" s="9">
        <f t="array" ref="R16">PRODUCT(1 + 預測IC!$C25:Q25) - 1</f>
        <v>2.3811441859248381</v>
      </c>
      <c r="S16" s="9">
        <f t="array" ref="S16">PRODUCT(1 + 預測IC!$C25:R25) - 1</f>
        <v>2.0042964137831176</v>
      </c>
      <c r="T16" s="9">
        <f t="array" ref="T16">PRODUCT(1 + 預測IC!$C25:S25) - 1</f>
        <v>2.4812549016044638</v>
      </c>
      <c r="U16" s="9">
        <f t="array" ref="U16">PRODUCT(1 + 預測IC!$C25:T25) - 1</f>
        <v>1.9432679193393132</v>
      </c>
      <c r="V16" s="9">
        <f t="array" ref="V16">PRODUCT(1 + 預測IC!$C25:U25) - 1</f>
        <v>2.1210905753579095</v>
      </c>
      <c r="W16" s="9">
        <f t="array" ref="W16">PRODUCT(1 + 預測IC!$C25:V25) - 1</f>
        <v>2.1603745688261529</v>
      </c>
      <c r="X16" s="9">
        <f t="array" ref="X16">PRODUCT(1 + 預測IC!$C25:W25) - 1</f>
        <v>2.4220410570993494</v>
      </c>
      <c r="Y16" s="9">
        <f t="array" ref="Y16">PRODUCT(1 + 預測IC!$C25:X25) - 1</f>
        <v>2.5086771353424835</v>
      </c>
      <c r="Z16" s="9">
        <f t="array" ref="Z16">PRODUCT(1 + 預測IC!$C25:Y25) - 1</f>
        <v>2.2216200709929086</v>
      </c>
      <c r="AA16" s="9">
        <f t="array" ref="AA16">PRODUCT(1 + 預測IC!$C25:Z25) - 1</f>
        <v>2.6678205876633574</v>
      </c>
      <c r="AB16" s="9">
        <f t="array" ref="AB16">PRODUCT(1 + 預測IC!$C25:AA25) - 1</f>
        <v>2.3946481840834895</v>
      </c>
      <c r="AC16" s="9">
        <f t="array" ref="AC16">PRODUCT(1 + 預測IC!$C25:AB25) - 1</f>
        <v>2.6239199929431671</v>
      </c>
      <c r="AD16" s="9">
        <f t="array" ref="AD16">PRODUCT(1 + 預測IC!$C25:AC25) - 1</f>
        <v>2.4813460196367672</v>
      </c>
      <c r="AE16" s="9">
        <f t="array" ref="AE16">PRODUCT(1 + 預測IC!$C25:AD25) - 1</f>
        <v>2.9687566523381603</v>
      </c>
      <c r="AF16" s="9">
        <f t="array" ref="AF16">PRODUCT(1 + 預測IC!$C25:AE25) - 1</f>
        <v>2.9035029932911183</v>
      </c>
      <c r="AG16" s="9">
        <f t="array" ref="AG16">PRODUCT(1 + 預測IC!$C25:AF25) - 1</f>
        <v>2.7217343029014516</v>
      </c>
      <c r="AH16" s="9">
        <f t="array" ref="AH16">PRODUCT(1 + 預測IC!$C25:AG25) - 1</f>
        <v>2.3857029422688711</v>
      </c>
      <c r="AI16" s="9">
        <f t="array" ref="AI16">PRODUCT(1 + 預測IC!$C25:AH25) - 1</f>
        <v>2.3353141403505666</v>
      </c>
      <c r="AJ16" s="9">
        <f t="array" ref="AJ16">PRODUCT(1 + 預測IC!$C25:AI25) - 1</f>
        <v>2.5171098388647666</v>
      </c>
      <c r="AK16" s="9">
        <f t="array" ref="AK16">PRODUCT(1 + 預測IC!$C25:AJ25) - 1</f>
        <v>2.2803116109485368</v>
      </c>
      <c r="AL16" s="9">
        <f t="array" ref="AL16">PRODUCT(1 + 預測IC!$C25:AK25) - 1</f>
        <v>2.1039015483325394</v>
      </c>
      <c r="AM16" s="9">
        <f t="array" ref="AM16">PRODUCT(1 + 預測IC!$C25:AL25) - 1</f>
        <v>2.2136548563819383</v>
      </c>
      <c r="AN16" s="9">
        <f t="array" ref="AN16">PRODUCT(1 + 預測IC!$C25:AM25) - 1</f>
        <v>1.7640711099017077</v>
      </c>
      <c r="AO16" s="9">
        <f t="array" ref="AO16">PRODUCT(1 + 預測IC!$C25:AN25) - 1</f>
        <v>1.8140232179314766</v>
      </c>
      <c r="AP16" s="9">
        <f t="array" ref="AP16">PRODUCT(1 + 預測IC!$C25:AO25) - 1</f>
        <v>1.86266591590062</v>
      </c>
      <c r="AQ16" s="9">
        <f t="array" ref="AQ16">PRODUCT(1 + 預測IC!$C25:AP25) - 1</f>
        <v>1.0932295448182181</v>
      </c>
      <c r="AR16" s="9">
        <f t="array" ref="AR16">PRODUCT(1 + 預測IC!$C25:AQ25) - 1</f>
        <v>0.72091568769057246</v>
      </c>
      <c r="AS16" s="9">
        <f t="array" ref="AS16">PRODUCT(1 + 預測IC!$C25:AR25) - 1</f>
        <v>0.71054040653240613</v>
      </c>
      <c r="AT16" s="9">
        <f t="array" ref="AT16">PRODUCT(1 + 預測IC!$C25:AS25) - 1</f>
        <v>0.70756922305713843</v>
      </c>
      <c r="AU16" s="9">
        <f t="array" ref="AU16">PRODUCT(1 + 預測IC!$C25:AT25) - 1</f>
        <v>0.67044930329257846</v>
      </c>
      <c r="AV16" s="9">
        <f t="array" ref="AV16">PRODUCT(1 + 預測IC!$C25:AU25) - 1</f>
        <v>0.8201506079202574</v>
      </c>
      <c r="AW16" s="9">
        <f t="array" ref="AW16">PRODUCT(1 + 預測IC!$C25:AV25) - 1</f>
        <v>0.94084984019272522</v>
      </c>
      <c r="AX16" s="9">
        <f t="array" ref="AX16">PRODUCT(1 + 預測IC!$C25:AW25) - 1</f>
        <v>0.65684799885693268</v>
      </c>
      <c r="AY16" s="9">
        <f t="array" ref="AY16">PRODUCT(1 + 預測IC!$C25:AX25) - 1</f>
        <v>0.59619004759179606</v>
      </c>
      <c r="AZ16" s="9">
        <f t="array" ref="AZ16">PRODUCT(1 + 預測IC!$C25:AY25) - 1</f>
        <v>0.65943182391158817</v>
      </c>
      <c r="BA16" s="9">
        <f t="array" ref="BA16">PRODUCT(1 + 預測IC!$C25:AZ25) - 1</f>
        <v>1.0124260334542834</v>
      </c>
      <c r="BB16" s="9">
        <f t="array" ref="BB16">PRODUCT(1 + 預測IC!$C25:BA25) - 1</f>
        <v>1.0330139798130675</v>
      </c>
      <c r="BC16" s="9">
        <f t="array" ref="BC16">PRODUCT(1 + 預測IC!$C25:BB25) - 1</f>
        <v>0.2078058393557114</v>
      </c>
      <c r="BD16" s="9">
        <f t="array" ref="BD16">PRODUCT(1 + 預測IC!$C25:BC25) - 1</f>
        <v>-0.10468708146656069</v>
      </c>
      <c r="BE16" s="9">
        <f t="array" ref="BE16">PRODUCT(1 + 預測IC!$C25:BD25) - 1</f>
        <v>-4.3133642290692498E-2</v>
      </c>
      <c r="BF16" s="9">
        <f t="array" ref="BF16">PRODUCT(1 + 預測IC!$C25:BE25) - 1</f>
        <v>-3.846049608886426E-2</v>
      </c>
      <c r="BG16" s="9">
        <f t="array" ref="BG16">PRODUCT(1 + 預測IC!$C25:BF25) - 1</f>
        <v>-0.11353749381420131</v>
      </c>
      <c r="BH16" s="9">
        <f t="array" ref="BH16">PRODUCT(1 + 預測IC!$C25:BG25) - 1</f>
        <v>0.13648435050069008</v>
      </c>
      <c r="BI16" s="9">
        <f t="array" ref="BI16">PRODUCT(1 + 預測IC!$C25:BH25) - 1</f>
        <v>0.22591704620891706</v>
      </c>
      <c r="BJ16" s="9">
        <f t="array" ref="BJ16">PRODUCT(1 + 預測IC!$C25:BI25) - 1</f>
        <v>-2.5530047004240441E-2</v>
      </c>
      <c r="BK16" s="9">
        <f t="array" ref="BK16">PRODUCT(1 + 預測IC!$C25:BJ25) - 1</f>
        <v>9.2247701973984908E-2</v>
      </c>
      <c r="BL16" s="9">
        <f t="array" ref="BL16">PRODUCT(1 + 預測IC!$C25:BK25) - 1</f>
        <v>0.16366162551118935</v>
      </c>
      <c r="BM16" s="9">
        <f t="array" ref="BM16">PRODUCT(1 + 預測IC!$C25:BL25) - 1</f>
        <v>0.13297585288133607</v>
      </c>
      <c r="BN16" s="9">
        <f t="array" ref="BN16">PRODUCT(1 + 預測IC!$C25:BM25) - 1</f>
        <v>3.6192022581643224E-2</v>
      </c>
      <c r="BO16" s="9">
        <f t="array" ref="BO16">PRODUCT(1 + 預測IC!$C25:BN25) - 1</f>
        <v>-0.25581136365947899</v>
      </c>
      <c r="BP16" s="9">
        <f t="array" ref="BP16">PRODUCT(1 + 預測IC!$C25:BO25) - 1</f>
        <v>-0.24836450820986944</v>
      </c>
      <c r="BQ16" s="9">
        <f t="array" ref="BQ16">PRODUCT(1 + 預測IC!$C25:BP25) - 1</f>
        <v>-0.19235002178051319</v>
      </c>
      <c r="BR16" s="9">
        <f t="array" ref="BR16">PRODUCT(1 + 預測IC!$C25:BQ25) - 1</f>
        <v>-0.168973845451732</v>
      </c>
      <c r="BS16" s="9">
        <f t="array" ref="BS16">PRODUCT(1 + 預測IC!$C25:BR25) - 1</f>
        <v>-8.2771449080087933E-2</v>
      </c>
      <c r="BT16" s="9">
        <f t="array" ref="BT16">PRODUCT(1 + 預測IC!$C25:BS25) - 1</f>
        <v>-9.90995590580801E-2</v>
      </c>
      <c r="BU16" s="9">
        <f t="array" ref="BU16">PRODUCT(1 + 預測IC!$C25:BT25) - 1</f>
        <v>-9.6444582265702961E-2</v>
      </c>
      <c r="BV16" s="9">
        <f t="array" ref="BV16">PRODUCT(1 + 預測IC!$C25:BU25) - 1</f>
        <v>-4.8090687576986091E-2</v>
      </c>
      <c r="BW16" s="9">
        <f t="array" ref="BW16">PRODUCT(1 + 預測IC!$C25:BV25) - 1</f>
        <v>1.0314344536055842E-2</v>
      </c>
      <c r="BX16" s="9">
        <f t="array" ref="BX16">PRODUCT(1 + 預測IC!$C25:BW25) - 1</f>
        <v>8.7927927012524165E-2</v>
      </c>
      <c r="BY16" s="9">
        <f t="array" ref="BY16">PRODUCT(1 + 預測IC!$C25:BX25) - 1</f>
        <v>0.2146558516639272</v>
      </c>
      <c r="BZ16" s="9">
        <f t="array" ref="BZ16">PRODUCT(1 + 預測IC!$C25:BY25) - 1</f>
        <v>0.52951987815779522</v>
      </c>
      <c r="CA16" s="9">
        <f t="array" ref="CA16">PRODUCT(1 + 預測IC!$C25:BZ25) - 1</f>
        <v>0.44690497131725748</v>
      </c>
      <c r="CB16" s="9">
        <f t="array" ref="CB16">PRODUCT(1 + 預測IC!$C25:CA25) - 1</f>
        <v>0.35532725680686683</v>
      </c>
      <c r="CC16" s="9">
        <f t="array" ref="CC16">PRODUCT(1 + 預測IC!$C25:CB25) - 1</f>
        <v>0.42360391482487381</v>
      </c>
      <c r="CD16" s="9">
        <f t="array" ref="CD16">PRODUCT(1 + 預測IC!$C25:CC25) - 1</f>
        <v>0.34537260620392041</v>
      </c>
      <c r="CE16" s="9">
        <f t="array" ref="CE16">PRODUCT(1 + 預測IC!$C25:CD25) - 1</f>
        <v>0.28160043802142187</v>
      </c>
      <c r="CF16" s="9">
        <f t="array" ref="CF16">PRODUCT(1 + 預測IC!$C25:CE25) - 1</f>
        <v>0.24795664394320771</v>
      </c>
      <c r="CG16" s="9">
        <f t="array" ref="CG16">PRODUCT(1 + 預測IC!$C25:CF25) - 1</f>
        <v>0.12615875979826452</v>
      </c>
      <c r="CH16" s="9">
        <f t="array" ref="CH16">PRODUCT(1 + 預測IC!$C25:CG25) - 1</f>
        <v>-1.5901077362346916E-2</v>
      </c>
      <c r="CI16" s="9">
        <f t="array" ref="CI16">PRODUCT(1 + 預測IC!$C25:CH25) - 1</f>
        <v>-0.20932440949880604</v>
      </c>
      <c r="CJ16" s="9">
        <f t="array" ref="CJ16">PRODUCT(1 + 預測IC!$C25:CI25) - 1</f>
        <v>-1.7901148075466722E-2</v>
      </c>
      <c r="CK16" s="9">
        <f t="array" ref="CK16">PRODUCT(1 + 預測IC!$C25:CJ25) - 1</f>
        <v>-4.7578679396280243E-2</v>
      </c>
      <c r="CL16" s="9">
        <f t="array" ref="CL16">PRODUCT(1 + 預測IC!$C25:CK25) - 1</f>
        <v>0.13806596628343026</v>
      </c>
      <c r="CM16" s="9">
        <f t="array" ref="CM16">PRODUCT(1 + 預測IC!$C25:CL25) - 1</f>
        <v>-0.16584903261844175</v>
      </c>
      <c r="CN16" s="9">
        <f t="array" ref="CN16">PRODUCT(1 + 預測IC!$C25:CM25) - 1</f>
        <v>-0.10717679887947973</v>
      </c>
      <c r="CO16" s="9">
        <f t="array" ref="CO16">PRODUCT(1 + 預測IC!$C25:CN25) - 1</f>
        <v>0.23483899373641681</v>
      </c>
      <c r="CP16" s="9">
        <f t="array" ref="CP16">PRODUCT(1 + 預測IC!$C25:CO25) - 1</f>
        <v>0.53519200290059721</v>
      </c>
      <c r="CQ16" s="9">
        <f t="array" ref="CQ16">PRODUCT(1 + 預測IC!$C25:CP25) - 1</f>
        <v>0.40582571229766984</v>
      </c>
      <c r="CR16" s="9">
        <f t="array" ref="CR16">PRODUCT(1 + 預測IC!$C25:CQ25) - 1</f>
        <v>0.38900431602926444</v>
      </c>
      <c r="CS16" s="9">
        <f t="array" ref="CS16">PRODUCT(1 + 預測IC!$C25:CR25) - 1</f>
        <v>0.47617073359004269</v>
      </c>
      <c r="CT16" s="9">
        <f t="array" ref="CT16">PRODUCT(1 + 預測IC!$C25:CS25) - 1</f>
        <v>0.93193806125358414</v>
      </c>
      <c r="CU16" s="9">
        <f t="array" ref="CU16">PRODUCT(1 + 預測IC!$C25:CT25) - 1</f>
        <v>0.81141044777367499</v>
      </c>
      <c r="CV16" s="9">
        <f t="array" ref="CV16">PRODUCT(1 + 預測IC!$C25:CU25) - 1</f>
        <v>0.69666338595405275</v>
      </c>
      <c r="CW16" s="9">
        <f t="array" ref="CW16">PRODUCT(1 + 預測IC!$C25:CV25) - 1</f>
        <v>0.83411135000795911</v>
      </c>
      <c r="CX16" s="9">
        <f t="array" ref="CX16">PRODUCT(1 + 預測IC!$C25:CW25) - 1</f>
        <v>0.74200052520388549</v>
      </c>
      <c r="CY16" s="9">
        <f t="array" ref="CY16">PRODUCT(1 + 預測IC!$C25:CX25) - 1</f>
        <v>0.57412149549221736</v>
      </c>
      <c r="CZ16" s="9">
        <f t="array" ref="CZ16">PRODUCT(1 + 預測IC!$C25:CY25) - 1</f>
        <v>0.85235134710421434</v>
      </c>
      <c r="DA16" s="9">
        <f t="array" ref="DA16">PRODUCT(1 + 預測IC!$C25:CZ25) - 1</f>
        <v>0.98106906109557479</v>
      </c>
      <c r="DB16" s="9">
        <f t="array" ref="DB16">PRODUCT(1 + 預測IC!$C25:DA25) - 1</f>
        <v>1.4776181687288985</v>
      </c>
      <c r="DC16" s="9">
        <f t="array" ref="DC16">PRODUCT(1 + 預測IC!$C25:DB25) - 1</f>
        <v>0.94571966386020678</v>
      </c>
      <c r="DD16" s="9">
        <f t="array" ref="DD16">PRODUCT(1 + 預測IC!$C25:DC25) - 1</f>
        <v>0.54107864282892204</v>
      </c>
      <c r="DE16" s="9">
        <f t="array" ref="DE16">PRODUCT(1 + 預測IC!$C25:DD25) - 1</f>
        <v>0.35390342039065792</v>
      </c>
      <c r="DF16" s="9">
        <f t="array" ref="DF16">PRODUCT(1 + 預測IC!$C25:DE25) - 1</f>
        <v>0.59670074289841346</v>
      </c>
      <c r="DG16" s="9">
        <f t="array" ref="DG16">PRODUCT(1 + 預測IC!$C25:DF25) - 1</f>
        <v>0.36115019006599303</v>
      </c>
      <c r="DH16" s="9">
        <f t="array" ref="DH16">PRODUCT(1 + 預測IC!$C25:DG25) - 1</f>
        <v>0.24763915656880342</v>
      </c>
      <c r="DI16" s="9">
        <f t="array" ref="DI16">PRODUCT(1 + 預測IC!$C25:DH25) - 1</f>
        <v>0.34504154949806942</v>
      </c>
      <c r="DJ16" s="9">
        <f t="array" ref="DJ16">PRODUCT(1 + 預測IC!$C25:DI25) - 1</f>
        <v>0.17177415196319901</v>
      </c>
      <c r="DK16" s="9">
        <f t="array" ref="DK16">PRODUCT(1 + 預測IC!$C25:DJ25) - 1</f>
        <v>0.31510396375305216</v>
      </c>
      <c r="DL16" s="9">
        <f t="array" ref="DL16">PRODUCT(1 + 預測IC!$C25:DK25) - 1</f>
        <v>0.28697280482505483</v>
      </c>
      <c r="DM16" s="9">
        <f t="array" ref="DM16">PRODUCT(1 + 預測IC!$C25:DL25) - 1</f>
        <v>0.28322100758500679</v>
      </c>
      <c r="DN16" s="9">
        <f t="array" ref="DN16">PRODUCT(1 + 預測IC!$C25:DM25) - 1</f>
        <v>0.35253933486482958</v>
      </c>
      <c r="DO16" s="9">
        <f t="array" ref="DO16">PRODUCT(1 + 預測IC!$C25:DN25) - 1</f>
        <v>0.36709552209356211</v>
      </c>
      <c r="DP16" s="9">
        <f t="array" ref="DP16">PRODUCT(1 + 預測IC!$C25:DO25) - 1</f>
        <v>0.31782993410423432</v>
      </c>
      <c r="DQ16" s="9">
        <f t="array" ref="DQ16">PRODUCT(1 + 預測IC!$C25:DP25) - 1</f>
        <v>0.288336910705141</v>
      </c>
      <c r="DR16" s="9">
        <f t="array" ref="DR16">PRODUCT(1 + 預測IC!$C25:DQ25) - 1</f>
        <v>0.25628696633313375</v>
      </c>
      <c r="DS16" s="9">
        <f t="array" ref="DS16">PRODUCT(1 + 預測IC!$C25:DR25) - 1</f>
        <v>0.25936713853244076</v>
      </c>
      <c r="DT16" s="9">
        <f t="array" ref="DT16">PRODUCT(1 + 預測IC!$C25:DS25) - 1</f>
        <v>0.33120941834236084</v>
      </c>
      <c r="DU16" s="9">
        <f t="array" ref="DU16">PRODUCT(1 + 預測IC!$C25:DT25) - 1</f>
        <v>0.40341710731147251</v>
      </c>
      <c r="DV16" s="9">
        <f t="array" ref="DV16">PRODUCT(1 + 預測IC!$C25:DU25) - 1</f>
        <v>0.46065630006069203</v>
      </c>
      <c r="DW16" s="9">
        <f t="array" ref="DW16">PRODUCT(1 + 預測IC!$C25:DV25) - 1</f>
        <v>0.47162598661473076</v>
      </c>
      <c r="DX16" s="9">
        <f t="array" ref="DX16">PRODUCT(1 + 預測IC!$C25:DW25) - 1</f>
        <v>0.29967254661334874</v>
      </c>
      <c r="DY16" s="9">
        <f t="array" ref="DY16">PRODUCT(1 + 預測IC!$C25:DX25) - 1</f>
        <v>0.35251250755091235</v>
      </c>
      <c r="DZ16" s="9">
        <f t="array" ref="DZ16">PRODUCT(1 + 預測IC!$C25:DY25) - 1</f>
        <v>0.75920251062882538</v>
      </c>
      <c r="EA16" s="9">
        <f t="array" ref="EA16">PRODUCT(1 + 預測IC!$C25:DZ25) - 1</f>
        <v>0.86215218123550907</v>
      </c>
      <c r="EB16" s="9">
        <f t="array" ref="EB16">PRODUCT(1 + 預測IC!$C25:EA25) - 1</f>
        <v>0.78277509870240647</v>
      </c>
      <c r="EC16" s="9">
        <f t="array" ref="EC16">PRODUCT(1 + 預測IC!$C25:EB25) - 1</f>
        <v>0.95916384628056983</v>
      </c>
      <c r="ED16" s="9">
        <f t="array" ref="ED16">PRODUCT(1 + 預測IC!$C25:EC25) - 1</f>
        <v>1.0704719383998555</v>
      </c>
      <c r="EE16" s="9">
        <f t="array" ref="EE16">PRODUCT(1 + 預測IC!$C25:ED25) - 1</f>
        <v>1.0242622311512113</v>
      </c>
      <c r="EF16" s="9">
        <f t="array" ref="EF16">PRODUCT(1 + 預測IC!$C25:EE25) - 1</f>
        <v>1.2430276685172807</v>
      </c>
      <c r="EG16" s="9">
        <f t="array" ref="EG16">PRODUCT(1 + 預測IC!$C25:EF25) - 1</f>
        <v>1.5862708123947282</v>
      </c>
    </row>
    <row r="17" spans="1:138" ht="16" customHeight="1">
      <c r="C17" s="6">
        <v>964</v>
      </c>
      <c r="D17" s="9">
        <f t="array" ref="D17">PRODUCT(1 + 預測IC!$C26:C26) - 1</f>
        <v>-2.3978272624892161E-2</v>
      </c>
      <c r="E17" s="9">
        <f t="array" ref="E17">PRODUCT(1 + 預測IC!$C26:D26) - 1</f>
        <v>8.0911700753017568E-2</v>
      </c>
      <c r="F17" s="9">
        <f t="array" ref="F17">PRODUCT(1 + 預測IC!$C26:E26) - 1</f>
        <v>0.1694171124949686</v>
      </c>
      <c r="G17" s="9">
        <f t="array" ref="G17">PRODUCT(1 + 預測IC!$C26:F26) - 1</f>
        <v>0.40510812509357197</v>
      </c>
      <c r="H17" s="9">
        <f t="array" ref="H17">PRODUCT(1 + 預測IC!$C26:G26) - 1</f>
        <v>0.36278239103295995</v>
      </c>
      <c r="I17" s="9">
        <f t="array" ref="I17">PRODUCT(1 + 預測IC!$C26:H26) - 1</f>
        <v>0.98987133926510973</v>
      </c>
      <c r="J17" s="9">
        <f t="array" ref="J17">PRODUCT(1 + 預測IC!$C26:I26) - 1</f>
        <v>1.2541211918182555</v>
      </c>
      <c r="K17" s="9">
        <f t="array" ref="K17">PRODUCT(1 + 預測IC!$C26:J26) - 1</f>
        <v>0.93898442333151677</v>
      </c>
      <c r="L17" s="9">
        <f t="array" ref="L17">PRODUCT(1 + 預測IC!$C26:K26) - 1</f>
        <v>1.0680698253882022</v>
      </c>
      <c r="M17" s="9">
        <f t="array" ref="M17">PRODUCT(1 + 預測IC!$C26:L26) - 1</f>
        <v>1.2298513701899396</v>
      </c>
      <c r="N17" s="9">
        <f t="array" ref="N17">PRODUCT(1 + 預測IC!$C26:M26) - 1</f>
        <v>1.0024095215776669</v>
      </c>
      <c r="O17" s="9">
        <f t="array" ref="O17">PRODUCT(1 + 預測IC!$C26:N26) - 1</f>
        <v>0.91127378313866592</v>
      </c>
      <c r="P17" s="9">
        <f t="array" ref="P17">PRODUCT(1 + 預測IC!$C26:O26) - 1</f>
        <v>1.0243845595300543</v>
      </c>
      <c r="Q17" s="9">
        <f t="array" ref="Q17">PRODUCT(1 + 預測IC!$C26:P26) - 1</f>
        <v>1.0046914837414893</v>
      </c>
      <c r="R17" s="9">
        <f t="array" ref="R17">PRODUCT(1 + 預測IC!$C26:Q26) - 1</f>
        <v>0.96074110210346575</v>
      </c>
      <c r="S17" s="9">
        <f t="array" ref="S17">PRODUCT(1 + 預測IC!$C26:R26) - 1</f>
        <v>0.61296168046399369</v>
      </c>
      <c r="T17" s="9">
        <f t="array" ref="T17">PRODUCT(1 + 預測IC!$C26:S26) - 1</f>
        <v>1.1840987862575783</v>
      </c>
      <c r="U17" s="9">
        <f t="array" ref="U17">PRODUCT(1 + 預測IC!$C26:T26) - 1</f>
        <v>0.48111146234931312</v>
      </c>
      <c r="V17" s="9">
        <f t="array" ref="V17">PRODUCT(1 + 預測IC!$C26:U26) - 1</f>
        <v>0.66118505748710965</v>
      </c>
      <c r="W17" s="9">
        <f t="array" ref="W17">PRODUCT(1 + 預測IC!$C26:V26) - 1</f>
        <v>0.6912289810955361</v>
      </c>
      <c r="X17" s="9">
        <f t="array" ref="X17">PRODUCT(1 + 預測IC!$C26:W26) - 1</f>
        <v>0.5504421730175324</v>
      </c>
      <c r="Y17" s="9">
        <f t="array" ref="Y17">PRODUCT(1 + 預測IC!$C26:X26) - 1</f>
        <v>0.53325578134576634</v>
      </c>
      <c r="Z17" s="9">
        <f t="array" ref="Z17">PRODUCT(1 + 預測IC!$C26:Y26) - 1</f>
        <v>0.32726348448901521</v>
      </c>
      <c r="AA17" s="9">
        <f t="array" ref="AA17">PRODUCT(1 + 預測IC!$C26:Z26) - 1</f>
        <v>0.72940072720096816</v>
      </c>
      <c r="AB17" s="9">
        <f t="array" ref="AB17">PRODUCT(1 + 預測IC!$C26:AA26) - 1</f>
        <v>0.61759362781711391</v>
      </c>
      <c r="AC17" s="9">
        <f t="array" ref="AC17">PRODUCT(1 + 預測IC!$C26:AB26) - 1</f>
        <v>1.1010306158691856</v>
      </c>
      <c r="AD17" s="9">
        <f t="array" ref="AD17">PRODUCT(1 + 預測IC!$C26:AC26) - 1</f>
        <v>0.84892853173596627</v>
      </c>
      <c r="AE17" s="9">
        <f t="array" ref="AE17">PRODUCT(1 + 預測IC!$C26:AD26) - 1</f>
        <v>0.85379361690792588</v>
      </c>
      <c r="AF17" s="9">
        <f t="array" ref="AF17">PRODUCT(1 + 預測IC!$C26:AE26) - 1</f>
        <v>1.3581487051674883</v>
      </c>
      <c r="AG17" s="9">
        <f t="array" ref="AG17">PRODUCT(1 + 預測IC!$C26:AF26) - 1</f>
        <v>1.4918842347137273</v>
      </c>
      <c r="AH17" s="9">
        <f t="array" ref="AH17">PRODUCT(1 + 預測IC!$C26:AG26) - 1</f>
        <v>1.073544534874221</v>
      </c>
      <c r="AI17" s="9">
        <f t="array" ref="AI17">PRODUCT(1 + 預測IC!$C26:AH26) - 1</f>
        <v>1.0758424670473667</v>
      </c>
      <c r="AJ17" s="9">
        <f t="array" ref="AJ17">PRODUCT(1 + 預測IC!$C26:AI26) - 1</f>
        <v>1.2704519798435343</v>
      </c>
      <c r="AK17" s="9">
        <f t="array" ref="AK17">PRODUCT(1 + 預測IC!$C26:AJ26) - 1</f>
        <v>1.2930096106528866</v>
      </c>
      <c r="AL17" s="9">
        <f t="array" ref="AL17">PRODUCT(1 + 預測IC!$C26:AK26) - 1</f>
        <v>0.81322154412496017</v>
      </c>
      <c r="AM17" s="9">
        <f t="array" ref="AM17">PRODUCT(1 + 預測IC!$C26:AL26) - 1</f>
        <v>0.90614011747313894</v>
      </c>
      <c r="AN17" s="9">
        <f t="array" ref="AN17">PRODUCT(1 + 預測IC!$C26:AM26) - 1</f>
        <v>0.98579335104795041</v>
      </c>
      <c r="AO17" s="9">
        <f t="array" ref="AO17">PRODUCT(1 + 預測IC!$C26:AN26) - 1</f>
        <v>1.0306438868978378</v>
      </c>
      <c r="AP17" s="9">
        <f t="array" ref="AP17">PRODUCT(1 + 預測IC!$C26:AO26) - 1</f>
        <v>1.5534538359558456</v>
      </c>
      <c r="AQ17" s="9">
        <f t="array" ref="AQ17">PRODUCT(1 + 預測IC!$C26:AP26) - 1</f>
        <v>1.2337518706831934</v>
      </c>
      <c r="AR17" s="9">
        <f t="array" ref="AR17">PRODUCT(1 + 預測IC!$C26:AQ26) - 1</f>
        <v>1.0891707771979227</v>
      </c>
      <c r="AS17" s="9">
        <f t="array" ref="AS17">PRODUCT(1 + 預測IC!$C26:AR26) - 1</f>
        <v>1.1253453422678468</v>
      </c>
      <c r="AT17" s="9">
        <f t="array" ref="AT17">PRODUCT(1 + 預測IC!$C26:AS26) - 1</f>
        <v>1.4519278286390294</v>
      </c>
      <c r="AU17" s="9">
        <f t="array" ref="AU17">PRODUCT(1 + 預測IC!$C26:AT26) - 1</f>
        <v>1.2710271836401432</v>
      </c>
      <c r="AV17" s="9">
        <f t="array" ref="AV17">PRODUCT(1 + 預測IC!$C26:AU26) - 1</f>
        <v>1.450154071351788</v>
      </c>
      <c r="AW17" s="9">
        <f t="array" ref="AW17">PRODUCT(1 + 預測IC!$C26:AV26) - 1</f>
        <v>1.6366635966528897</v>
      </c>
      <c r="AX17" s="9">
        <f t="array" ref="AX17">PRODUCT(1 + 預測IC!$C26:AW26) - 1</f>
        <v>1.0341763859513047</v>
      </c>
      <c r="AY17" s="9">
        <f t="array" ref="AY17">PRODUCT(1 + 預測IC!$C26:AX26) - 1</f>
        <v>0.92410833769690148</v>
      </c>
      <c r="AZ17" s="9">
        <f t="array" ref="AZ17">PRODUCT(1 + 預測IC!$C26:AY26) - 1</f>
        <v>0.28417975792134875</v>
      </c>
      <c r="BA17" s="9">
        <f t="array" ref="BA17">PRODUCT(1 + 預測IC!$C26:AZ26) - 1</f>
        <v>0.8546499539840009</v>
      </c>
      <c r="BB17" s="9">
        <f t="array" ref="BB17">PRODUCT(1 + 預測IC!$C26:BA26) - 1</f>
        <v>0.70382634895962859</v>
      </c>
      <c r="BC17" s="9">
        <f t="array" ref="BC17">PRODUCT(1 + 預測IC!$C26:BB26) - 1</f>
        <v>-0.28060320262589533</v>
      </c>
      <c r="BD17" s="9">
        <f t="array" ref="BD17">PRODUCT(1 + 預測IC!$C26:BC26) - 1</f>
        <v>-0.5429149521657014</v>
      </c>
      <c r="BE17" s="9">
        <f t="array" ref="BE17">PRODUCT(1 + 預測IC!$C26:BD26) - 1</f>
        <v>-0.55620802076393416</v>
      </c>
      <c r="BF17" s="9">
        <f t="array" ref="BF17">PRODUCT(1 + 預測IC!$C26:BE26) - 1</f>
        <v>-0.62519777210717931</v>
      </c>
      <c r="BG17" s="9">
        <f t="array" ref="BG17">PRODUCT(1 + 預測IC!$C26:BF26) - 1</f>
        <v>-0.54115562724986255</v>
      </c>
      <c r="BH17" s="9">
        <f t="array" ref="BH17">PRODUCT(1 + 預測IC!$C26:BG26) - 1</f>
        <v>-0.50770151179737155</v>
      </c>
      <c r="BI17" s="9">
        <f t="array" ref="BI17">PRODUCT(1 + 預測IC!$C26:BH26) - 1</f>
        <v>-0.57035753082691698</v>
      </c>
      <c r="BJ17" s="9">
        <f t="array" ref="BJ17">PRODUCT(1 + 預測IC!$C26:BI26) - 1</f>
        <v>-0.60830232678002205</v>
      </c>
      <c r="BK17" s="9">
        <f t="array" ref="BK17">PRODUCT(1 + 預測IC!$C26:BJ26) - 1</f>
        <v>-0.63122509021661755</v>
      </c>
      <c r="BL17" s="9">
        <f t="array" ref="BL17">PRODUCT(1 + 預測IC!$C26:BK26) - 1</f>
        <v>-0.63159404963687305</v>
      </c>
      <c r="BM17" s="9">
        <f t="array" ref="BM17">PRODUCT(1 + 預測IC!$C26:BL26) - 1</f>
        <v>-0.63497741211339154</v>
      </c>
      <c r="BN17" s="9">
        <f t="array" ref="BN17">PRODUCT(1 + 預測IC!$C26:BM26) - 1</f>
        <v>-0.70259332824237641</v>
      </c>
      <c r="BO17" s="9">
        <f t="array" ref="BO17">PRODUCT(1 + 預測IC!$C26:BN26) - 1</f>
        <v>-0.77356371394582402</v>
      </c>
      <c r="BP17" s="9">
        <f t="array" ref="BP17">PRODUCT(1 + 預測IC!$C26:BO26) - 1</f>
        <v>-0.78371468464253835</v>
      </c>
      <c r="BQ17" s="9">
        <f t="array" ref="BQ17">PRODUCT(1 + 預測IC!$C26:BP26) - 1</f>
        <v>-0.76860473132921048</v>
      </c>
      <c r="BR17" s="9">
        <f t="array" ref="BR17">PRODUCT(1 + 預測IC!$C26:BQ26) - 1</f>
        <v>-0.74133248971907972</v>
      </c>
      <c r="BS17" s="9">
        <f t="array" ref="BS17">PRODUCT(1 + 預測IC!$C26:BR26) - 1</f>
        <v>-0.67590064397694305</v>
      </c>
      <c r="BT17" s="9">
        <f t="array" ref="BT17">PRODUCT(1 + 預測IC!$C26:BS26) - 1</f>
        <v>-0.6513639317172728</v>
      </c>
      <c r="BU17" s="9">
        <f t="array" ref="BU17">PRODUCT(1 + 預測IC!$C26:BT26) - 1</f>
        <v>-0.648530210239608</v>
      </c>
      <c r="BV17" s="9">
        <f t="array" ref="BV17">PRODUCT(1 + 預測IC!$C26:BU26) - 1</f>
        <v>-0.61289358500233404</v>
      </c>
      <c r="BW17" s="9">
        <f t="array" ref="BW17">PRODUCT(1 + 預測IC!$C26:BV26) - 1</f>
        <v>-0.55460489288559267</v>
      </c>
      <c r="BX17" s="9">
        <f t="array" ref="BX17">PRODUCT(1 + 預測IC!$C26:BW26) - 1</f>
        <v>-0.54845223990001046</v>
      </c>
      <c r="BY17" s="9">
        <f t="array" ref="BY17">PRODUCT(1 + 預測IC!$C26:BX26) - 1</f>
        <v>-0.34830629559250248</v>
      </c>
      <c r="BZ17" s="9">
        <f t="array" ref="BZ17">PRODUCT(1 + 預測IC!$C26:BY26) - 1</f>
        <v>-0.21561920664882528</v>
      </c>
      <c r="CA17" s="9">
        <f t="array" ref="CA17">PRODUCT(1 + 預測IC!$C26:BZ26) - 1</f>
        <v>-0.29785181073191735</v>
      </c>
      <c r="CB17" s="9">
        <f t="array" ref="CB17">PRODUCT(1 + 預測IC!$C26:CA26) - 1</f>
        <v>-0.31548842676735167</v>
      </c>
      <c r="CC17" s="9">
        <f t="array" ref="CC17">PRODUCT(1 + 預測IC!$C26:CB26) - 1</f>
        <v>-0.30842731158058123</v>
      </c>
      <c r="CD17" s="9">
        <f t="array" ref="CD17">PRODUCT(1 + 預測IC!$C26:CC26) - 1</f>
        <v>-0.22034855721603608</v>
      </c>
      <c r="CE17" s="9">
        <f t="array" ref="CE17">PRODUCT(1 + 預測IC!$C26:CD26) - 1</f>
        <v>-0.34929681807639457</v>
      </c>
      <c r="CF17" s="9">
        <f t="array" ref="CF17">PRODUCT(1 + 預測IC!$C26:CE26) - 1</f>
        <v>-0.36708791865919932</v>
      </c>
      <c r="CG17" s="9">
        <f t="array" ref="CG17">PRODUCT(1 + 預測IC!$C26:CF26) - 1</f>
        <v>-0.4995188116482927</v>
      </c>
      <c r="CH17" s="9">
        <f t="array" ref="CH17">PRODUCT(1 + 預測IC!$C26:CG26) - 1</f>
        <v>-0.49950731615543698</v>
      </c>
      <c r="CI17" s="9">
        <f t="array" ref="CI17">PRODUCT(1 + 預測IC!$C26:CH26) - 1</f>
        <v>-0.52667190712401946</v>
      </c>
      <c r="CJ17" s="9">
        <f t="array" ref="CJ17">PRODUCT(1 + 預測IC!$C26:CI26) - 1</f>
        <v>-0.54329718030714513</v>
      </c>
      <c r="CK17" s="9">
        <f t="array" ref="CK17">PRODUCT(1 + 預測IC!$C26:CJ26) - 1</f>
        <v>-0.55676632820925709</v>
      </c>
      <c r="CL17" s="9">
        <f t="array" ref="CL17">PRODUCT(1 + 預測IC!$C26:CK26) - 1</f>
        <v>-0.56745393125029242</v>
      </c>
      <c r="CM17" s="9">
        <f t="array" ref="CM17">PRODUCT(1 + 預測IC!$C26:CL26) - 1</f>
        <v>-0.70487600476946599</v>
      </c>
      <c r="CN17" s="9">
        <f t="array" ref="CN17">PRODUCT(1 + 預測IC!$C26:CM26) - 1</f>
        <v>-0.6603478421560407</v>
      </c>
      <c r="CO17" s="9">
        <f t="array" ref="CO17">PRODUCT(1 + 預測IC!$C26:CN26) - 1</f>
        <v>-0.45121476739700295</v>
      </c>
      <c r="CP17" s="9">
        <f t="array" ref="CP17">PRODUCT(1 + 預測IC!$C26:CO26) - 1</f>
        <v>-0.26962451738314186</v>
      </c>
      <c r="CQ17" s="9">
        <f t="array" ref="CQ17">PRODUCT(1 + 預測IC!$C26:CP26) - 1</f>
        <v>-0.36685157577006944</v>
      </c>
      <c r="CR17" s="9">
        <f t="array" ref="CR17">PRODUCT(1 + 預測IC!$C26:CQ26) - 1</f>
        <v>-0.39466352427540341</v>
      </c>
      <c r="CS17" s="9">
        <f t="array" ref="CS17">PRODUCT(1 + 預測IC!$C26:CR26) - 1</f>
        <v>-0.40605426965041636</v>
      </c>
      <c r="CT17" s="9">
        <f t="array" ref="CT17">PRODUCT(1 + 預測IC!$C26:CS26) - 1</f>
        <v>-0.33713511083168668</v>
      </c>
      <c r="CU17" s="9">
        <f t="array" ref="CU17">PRODUCT(1 + 預測IC!$C26:CT26) - 1</f>
        <v>-0.26693616733388814</v>
      </c>
      <c r="CV17" s="9">
        <f t="array" ref="CV17">PRODUCT(1 + 預測IC!$C26:CU26) - 1</f>
        <v>-0.30350555458297446</v>
      </c>
      <c r="CW17" s="9">
        <f t="array" ref="CW17">PRODUCT(1 + 預測IC!$C26:CV26) - 1</f>
        <v>-0.1774600926958646</v>
      </c>
      <c r="CX17" s="9">
        <f t="array" ref="CX17">PRODUCT(1 + 預測IC!$C26:CW26) - 1</f>
        <v>-0.22309562178795772</v>
      </c>
      <c r="CY17" s="9">
        <f t="array" ref="CY17">PRODUCT(1 + 預測IC!$C26:CX26) - 1</f>
        <v>-0.22287594007344103</v>
      </c>
      <c r="CZ17" s="9">
        <f t="array" ref="CZ17">PRODUCT(1 + 預測IC!$C26:CY26) - 1</f>
        <v>8.9700987290830536E-2</v>
      </c>
      <c r="DA17" s="9">
        <f t="array" ref="DA17">PRODUCT(1 + 預測IC!$C26:CZ26) - 1</f>
        <v>0.25203529927323132</v>
      </c>
      <c r="DB17" s="9">
        <f t="array" ref="DB17">PRODUCT(1 + 預測IC!$C26:DA26) - 1</f>
        <v>0.30999612492400885</v>
      </c>
      <c r="DC17" s="9">
        <f t="array" ref="DC17">PRODUCT(1 + 預測IC!$C26:DB26) - 1</f>
        <v>-7.2971508529075191E-2</v>
      </c>
      <c r="DD17" s="9">
        <f t="array" ref="DD17">PRODUCT(1 + 預測IC!$C26:DC26) - 1</f>
        <v>-0.39553724116172162</v>
      </c>
      <c r="DE17" s="9">
        <f t="array" ref="DE17">PRODUCT(1 + 預測IC!$C26:DD26) - 1</f>
        <v>-0.26531956587375927</v>
      </c>
      <c r="DF17" s="9">
        <f t="array" ref="DF17">PRODUCT(1 + 預測IC!$C26:DE26) - 1</f>
        <v>-0.11902380556982728</v>
      </c>
      <c r="DG17" s="9">
        <f t="array" ref="DG17">PRODUCT(1 + 預測IC!$C26:DF26) - 1</f>
        <v>-0.19892578334631339</v>
      </c>
      <c r="DH17" s="9">
        <f t="array" ref="DH17">PRODUCT(1 + 預測IC!$C26:DG26) - 1</f>
        <v>-0.303327726526053</v>
      </c>
      <c r="DI17" s="9">
        <f t="array" ref="DI17">PRODUCT(1 + 預測IC!$C26:DH26) - 1</f>
        <v>-0.22925834614412033</v>
      </c>
      <c r="DJ17" s="9">
        <f t="array" ref="DJ17">PRODUCT(1 + 預測IC!$C26:DI26) - 1</f>
        <v>-0.15826367120134344</v>
      </c>
      <c r="DK17" s="9">
        <f t="array" ref="DK17">PRODUCT(1 + 預測IC!$C26:DJ26) - 1</f>
        <v>8.1037396728905975E-2</v>
      </c>
      <c r="DL17" s="9">
        <f t="array" ref="DL17">PRODUCT(1 + 預測IC!$C26:DK26) - 1</f>
        <v>0.27987772264067745</v>
      </c>
      <c r="DM17" s="9">
        <f t="array" ref="DM17">PRODUCT(1 + 預測IC!$C26:DL26) - 1</f>
        <v>0.39548038133005559</v>
      </c>
      <c r="DN17" s="9">
        <f t="array" ref="DN17">PRODUCT(1 + 預測IC!$C26:DM26) - 1</f>
        <v>1.0351138179204376</v>
      </c>
      <c r="DO17" s="9">
        <f t="array" ref="DO17">PRODUCT(1 + 預測IC!$C26:DN26) - 1</f>
        <v>1.3160277970280054</v>
      </c>
      <c r="DP17" s="9">
        <f t="array" ref="DP17">PRODUCT(1 + 預測IC!$C26:DO26) - 1</f>
        <v>1.1804488942322209</v>
      </c>
      <c r="DQ17" s="9">
        <f t="array" ref="DQ17">PRODUCT(1 + 預測IC!$C26:DP26) - 1</f>
        <v>1.3259369950627908</v>
      </c>
      <c r="DR17" s="9">
        <f t="array" ref="DR17">PRODUCT(1 + 預測IC!$C26:DQ26) - 1</f>
        <v>1.093541125357266</v>
      </c>
      <c r="DS17" s="9">
        <f t="array" ref="DS17">PRODUCT(1 + 預測IC!$C26:DR26) - 1</f>
        <v>1.0406375156044723</v>
      </c>
      <c r="DT17" s="9">
        <f t="array" ref="DT17">PRODUCT(1 + 預測IC!$C26:DS26) - 1</f>
        <v>1.293935629063343</v>
      </c>
      <c r="DU17" s="9">
        <f t="array" ref="DU17">PRODUCT(1 + 預測IC!$C26:DT26) - 1</f>
        <v>1.4367170392134581</v>
      </c>
      <c r="DV17" s="9">
        <f t="array" ref="DV17">PRODUCT(1 + 預測IC!$C26:DU26) - 1</f>
        <v>1.3079480427475003</v>
      </c>
      <c r="DW17" s="9">
        <f t="array" ref="DW17">PRODUCT(1 + 預測IC!$C26:DV26) - 1</f>
        <v>1.2652482797731128</v>
      </c>
      <c r="DX17" s="9">
        <f t="array" ref="DX17">PRODUCT(1 + 預測IC!$C26:DW26) - 1</f>
        <v>1.3347552614717699</v>
      </c>
      <c r="DY17" s="9">
        <f t="array" ref="DY17">PRODUCT(1 + 預測IC!$C26:DX26) - 1</f>
        <v>1.3495556613448718</v>
      </c>
      <c r="DZ17" s="9">
        <f t="array" ref="DZ17">PRODUCT(1 + 預測IC!$C26:DY26) - 1</f>
        <v>1.6799705126615785</v>
      </c>
      <c r="EA17" s="9">
        <f t="array" ref="EA17">PRODUCT(1 + 預測IC!$C26:DZ26) - 1</f>
        <v>1.8272979927622788</v>
      </c>
      <c r="EB17" s="9">
        <f t="array" ref="EB17">PRODUCT(1 + 預測IC!$C26:EA26) - 1</f>
        <v>1.6206148099075608</v>
      </c>
      <c r="EC17" s="9">
        <f t="array" ref="EC17">PRODUCT(1 + 預測IC!$C26:EB26) - 1</f>
        <v>1.7266266679568294</v>
      </c>
      <c r="ED17" s="9">
        <f t="array" ref="ED17">PRODUCT(1 + 預測IC!$C26:EC26) - 1</f>
        <v>2.0562832639281736</v>
      </c>
      <c r="EE17" s="9">
        <f t="array" ref="EE17">PRODUCT(1 + 預測IC!$C26:ED26) - 1</f>
        <v>2.0675522333970155</v>
      </c>
      <c r="EF17" s="9">
        <f t="array" ref="EF17">PRODUCT(1 + 預測IC!$C26:EE26) - 1</f>
        <v>2.1945129380642103</v>
      </c>
      <c r="EG17" s="9">
        <f t="array" ref="EG17">PRODUCT(1 + 預測IC!$C26:EF26) - 1</f>
        <v>2.4776835963210839</v>
      </c>
    </row>
    <row r="18" spans="1:138" ht="16" customHeight="1">
      <c r="C18" s="34" t="s">
        <v>147</v>
      </c>
      <c r="D18" s="28">
        <f t="array" ref="D18">PRODUCT(1 + 預測IC!$C27:C27) - 1</f>
        <v>-1.7446770539390366E-2</v>
      </c>
      <c r="E18" s="28">
        <f t="array" ref="E18">PRODUCT(1 + 預測IC!$C27:D27) - 1</f>
        <v>2.893123339404724E-3</v>
      </c>
      <c r="F18" s="28">
        <f t="array" ref="F18">PRODUCT(1 + 預測IC!$C27:E27) - 1</f>
        <v>2.6944635852046872E-2</v>
      </c>
      <c r="G18" s="28">
        <f t="array" ref="G18">PRODUCT(1 + 預測IC!$C27:F27) - 1</f>
        <v>2.0210365301730038E-2</v>
      </c>
      <c r="H18" s="28">
        <f t="array" ref="H18">PRODUCT(1 + 預測IC!$C27:G27) - 1</f>
        <v>5.269909680859941E-2</v>
      </c>
      <c r="I18" s="28">
        <f t="array" ref="I18">PRODUCT(1 + 預測IC!$C27:H27) - 1</f>
        <v>8.8857766197530053E-2</v>
      </c>
      <c r="J18" s="28">
        <f t="array" ref="J18">PRODUCT(1 + 預測IC!$C27:I27) - 1</f>
        <v>7.9869318529145472E-2</v>
      </c>
      <c r="K18" s="28">
        <f t="array" ref="K18">PRODUCT(1 + 預測IC!$C27:J27) - 1</f>
        <v>9.3738646464063713E-2</v>
      </c>
      <c r="L18" s="28">
        <f t="array" ref="L18">PRODUCT(1 + 預測IC!$C27:K27) - 1</f>
        <v>3.7937714394164157E-2</v>
      </c>
      <c r="M18" s="28">
        <f t="array" ref="M18">PRODUCT(1 + 預測IC!$C27:L27) - 1</f>
        <v>3.8844812525307137E-2</v>
      </c>
      <c r="N18" s="28">
        <f t="array" ref="N18">PRODUCT(1 + 預測IC!$C27:M27) - 1</f>
        <v>6.3142951706360639E-2</v>
      </c>
      <c r="O18" s="28">
        <f t="array" ref="O18">PRODUCT(1 + 預測IC!$C27:N27) - 1</f>
        <v>7.6952085951054405E-2</v>
      </c>
      <c r="P18" s="28">
        <f t="array" ref="P18">PRODUCT(1 + 預測IC!$C27:O27) - 1</f>
        <v>8.3257197491512391E-2</v>
      </c>
      <c r="Q18" s="28">
        <f t="array" ref="Q18">PRODUCT(1 + 預測IC!$C27:P27) - 1</f>
        <v>0.11295275081672607</v>
      </c>
      <c r="R18" s="28">
        <f t="array" ref="R18">PRODUCT(1 + 預測IC!$C27:Q27) - 1</f>
        <v>0.10882042835093308</v>
      </c>
      <c r="S18" s="28">
        <f t="array" ref="S18">PRODUCT(1 + 預測IC!$C27:R27) - 1</f>
        <v>0.13551706985268064</v>
      </c>
      <c r="T18" s="28">
        <f t="array" ref="T18">PRODUCT(1 + 預測IC!$C27:S27) - 1</f>
        <v>0.12167508804368476</v>
      </c>
      <c r="U18" s="28">
        <f t="array" ref="U18">PRODUCT(1 + 預測IC!$C27:T27) - 1</f>
        <v>7.7088976461827885E-2</v>
      </c>
      <c r="V18" s="28">
        <f t="array" ref="V18">PRODUCT(1 + 預測IC!$C27:U27) - 1</f>
        <v>-1.7059521199481731E-3</v>
      </c>
      <c r="W18" s="28">
        <f t="array" ref="W18">PRODUCT(1 + 預測IC!$C27:V27) - 1</f>
        <v>-5.9866792867339091E-2</v>
      </c>
      <c r="X18" s="28">
        <f t="array" ref="X18">PRODUCT(1 + 預測IC!$C27:W27) - 1</f>
        <v>-5.9140260213613516E-2</v>
      </c>
      <c r="Y18" s="28">
        <f t="array" ref="Y18">PRODUCT(1 + 預測IC!$C27:X27) - 1</f>
        <v>-1.7185893241652206E-2</v>
      </c>
      <c r="Z18" s="28">
        <f t="array" ref="Z18">PRODUCT(1 + 預測IC!$C27:Y27) - 1</f>
        <v>-4.4409529547694393E-2</v>
      </c>
      <c r="AA18" s="28">
        <f t="array" ref="AA18">PRODUCT(1 + 預測IC!$C27:Z27) - 1</f>
        <v>-4.2407561826578566E-2</v>
      </c>
      <c r="AB18" s="28">
        <f t="array" ref="AB18">PRODUCT(1 + 預測IC!$C27:AA27) - 1</f>
        <v>-6.481575250614946E-2</v>
      </c>
      <c r="AC18" s="28">
        <f t="array" ref="AC18">PRODUCT(1 + 預測IC!$C27:AB27) - 1</f>
        <v>-3.4768870774049443E-2</v>
      </c>
      <c r="AD18" s="28">
        <f t="array" ref="AD18">PRODUCT(1 + 預測IC!$C27:AC27) - 1</f>
        <v>2.7817794451217015E-3</v>
      </c>
      <c r="AE18" s="28">
        <f t="array" ref="AE18">PRODUCT(1 + 預測IC!$C27:AD27) - 1</f>
        <v>-4.0202844765013457E-2</v>
      </c>
      <c r="AF18" s="28">
        <f t="array" ref="AF18">PRODUCT(1 + 預測IC!$C27:AE27) - 1</f>
        <v>-2.2305320482664204E-2</v>
      </c>
      <c r="AG18" s="28">
        <f t="array" ref="AG18">PRODUCT(1 + 預測IC!$C27:AF27) - 1</f>
        <v>-7.4152570234460313E-3</v>
      </c>
      <c r="AH18" s="28">
        <f t="array" ref="AH18">PRODUCT(1 + 預測IC!$C27:AG27) - 1</f>
        <v>2.8334274381314417E-2</v>
      </c>
      <c r="AI18" s="28">
        <f t="array" ref="AI18">PRODUCT(1 + 預測IC!$C27:AH27) - 1</f>
        <v>3.7953941892352683E-2</v>
      </c>
      <c r="AJ18" s="28">
        <f t="array" ref="AJ18">PRODUCT(1 + 預測IC!$C27:AI27) - 1</f>
        <v>4.9110131735873752E-2</v>
      </c>
      <c r="AK18" s="28">
        <f t="array" ref="AK18">PRODUCT(1 + 預測IC!$C27:AJ27) - 1</f>
        <v>6.3123886850196875E-2</v>
      </c>
      <c r="AL18" s="28">
        <f t="array" ref="AL18">PRODUCT(1 + 預測IC!$C27:AK27) - 1</f>
        <v>5.7454515782098925E-2</v>
      </c>
      <c r="AM18" s="28">
        <f t="array" ref="AM18">PRODUCT(1 + 預測IC!$C27:AL27) - 1</f>
        <v>5.8917118987427575E-2</v>
      </c>
      <c r="AN18" s="28">
        <f t="array" ref="AN18">PRODUCT(1 + 預測IC!$C27:AM27) - 1</f>
        <v>8.0938283596681648E-2</v>
      </c>
      <c r="AO18" s="28">
        <f t="array" ref="AO18">PRODUCT(1 + 預測IC!$C27:AN27) - 1</f>
        <v>0.11500697453770203</v>
      </c>
      <c r="AP18" s="28">
        <f t="array" ref="AP18">PRODUCT(1 + 預測IC!$C27:AO27) - 1</f>
        <v>0.12196653200545171</v>
      </c>
      <c r="AQ18" s="28">
        <f t="array" ref="AQ18">PRODUCT(1 + 預測IC!$C27:AP27) - 1</f>
        <v>0.12886130991117528</v>
      </c>
      <c r="AR18" s="28">
        <f t="array" ref="AR18">PRODUCT(1 + 預測IC!$C27:AQ27) - 1</f>
        <v>0.14799139743631429</v>
      </c>
      <c r="AS18" s="28">
        <f t="array" ref="AS18">PRODUCT(1 + 預測IC!$C27:AR27) - 1</f>
        <v>0.18780698843660248</v>
      </c>
      <c r="AT18" s="28">
        <f t="array" ref="AT18">PRODUCT(1 + 預測IC!$C27:AS27) - 1</f>
        <v>0.19148751365039929</v>
      </c>
      <c r="AU18" s="28">
        <f t="array" ref="AU18">PRODUCT(1 + 預測IC!$C27:AT27) - 1</f>
        <v>0.20945675046088996</v>
      </c>
      <c r="AV18" s="28">
        <f t="array" ref="AV18">PRODUCT(1 + 預測IC!$C27:AU27) - 1</f>
        <v>0.18617324550329584</v>
      </c>
      <c r="AW18" s="28">
        <f t="array" ref="AW18">PRODUCT(1 + 預測IC!$C27:AV27) - 1</f>
        <v>0.23209180697664689</v>
      </c>
      <c r="AX18" s="28">
        <f t="array" ref="AX18">PRODUCT(1 + 預測IC!$C27:AW27) - 1</f>
        <v>0.20516203655681697</v>
      </c>
      <c r="AY18" s="28">
        <f t="array" ref="AY18">PRODUCT(1 + 預測IC!$C27:AX27) - 1</f>
        <v>0.21453132863303215</v>
      </c>
      <c r="AZ18" s="28">
        <f t="array" ref="AZ18">PRODUCT(1 + 預測IC!$C27:AY27) - 1</f>
        <v>0.2660241129922889</v>
      </c>
      <c r="BA18" s="28">
        <f t="array" ref="BA18">PRODUCT(1 + 預測IC!$C27:AZ27) - 1</f>
        <v>0.23271631642995261</v>
      </c>
      <c r="BB18" s="28">
        <f t="array" ref="BB18">PRODUCT(1 + 預測IC!$C27:BA27) - 1</f>
        <v>0.24451556797958407</v>
      </c>
      <c r="BC18" s="28">
        <f t="array" ref="BC18">PRODUCT(1 + 預測IC!$C27:BB27) - 1</f>
        <v>0.21433638745422812</v>
      </c>
      <c r="BD18" s="28">
        <f t="array" ref="BD18">PRODUCT(1 + 預測IC!$C27:BC27) - 1</f>
        <v>0.23882150637103883</v>
      </c>
      <c r="BE18" s="28">
        <f t="array" ref="BE18">PRODUCT(1 + 預測IC!$C27:BD27) - 1</f>
        <v>0.23447943849994912</v>
      </c>
      <c r="BF18" s="28">
        <f t="array" ref="BF18">PRODUCT(1 + 預測IC!$C27:BE27) - 1</f>
        <v>0.25935658802508499</v>
      </c>
      <c r="BG18" s="28">
        <f t="array" ref="BG18">PRODUCT(1 + 預測IC!$C27:BF27) - 1</f>
        <v>0.26008869763716325</v>
      </c>
      <c r="BH18" s="28">
        <f t="array" ref="BH18">PRODUCT(1 + 預測IC!$C27:BG27) - 1</f>
        <v>0.2535114114609236</v>
      </c>
      <c r="BI18" s="28">
        <f t="array" ref="BI18">PRODUCT(1 + 預測IC!$C27:BH27) - 1</f>
        <v>0.10826483627727623</v>
      </c>
      <c r="BJ18" s="28">
        <f t="array" ref="BJ18">PRODUCT(1 + 預測IC!$C27:BI27) - 1</f>
        <v>0.11793469710078752</v>
      </c>
      <c r="BK18" s="28">
        <f t="array" ref="BK18">PRODUCT(1 + 預測IC!$C27:BJ27) - 1</f>
        <v>9.9625988810205346E-2</v>
      </c>
      <c r="BL18" s="28">
        <f t="array" ref="BL18">PRODUCT(1 + 預測IC!$C27:BK27) - 1</f>
        <v>0.12254260303831388</v>
      </c>
      <c r="BM18" s="28">
        <f t="array" ref="BM18">PRODUCT(1 + 預測IC!$C27:BL27) - 1</f>
        <v>0.17302993558173996</v>
      </c>
      <c r="BN18" s="28">
        <f t="array" ref="BN18">PRODUCT(1 + 預測IC!$C27:BM27) - 1</f>
        <v>0.20112905370185397</v>
      </c>
      <c r="BO18" s="28">
        <f t="array" ref="BO18">PRODUCT(1 + 預測IC!$C27:BN27) - 1</f>
        <v>0.23745011694095197</v>
      </c>
      <c r="BP18" s="28">
        <f t="array" ref="BP18">PRODUCT(1 + 預測IC!$C27:BO27) - 1</f>
        <v>0.18334151222801376</v>
      </c>
      <c r="BQ18" s="28">
        <f t="array" ref="BQ18">PRODUCT(1 + 預測IC!$C27:BP27) - 1</f>
        <v>0.20924423024871497</v>
      </c>
      <c r="BR18" s="28">
        <f t="array" ref="BR18">PRODUCT(1 + 預測IC!$C27:BQ27) - 1</f>
        <v>0.21967690051673561</v>
      </c>
      <c r="BS18" s="28">
        <f t="array" ref="BS18">PRODUCT(1 + 預測IC!$C27:BR27) - 1</f>
        <v>0.1962676978767699</v>
      </c>
      <c r="BT18" s="28">
        <f t="array" ref="BT18">PRODUCT(1 + 預測IC!$C27:BS27) - 1</f>
        <v>0.21987619627534571</v>
      </c>
      <c r="BU18" s="28">
        <f t="array" ref="BU18">PRODUCT(1 + 預測IC!$C27:BT27) - 1</f>
        <v>0.27805738326883356</v>
      </c>
      <c r="BV18" s="28">
        <f t="array" ref="BV18">PRODUCT(1 + 預測IC!$C27:BU27) - 1</f>
        <v>0.29269729646247922</v>
      </c>
      <c r="BW18" s="28">
        <f t="array" ref="BW18">PRODUCT(1 + 預測IC!$C27:BV27) - 1</f>
        <v>0.34857881761669129</v>
      </c>
      <c r="BX18" s="28">
        <f t="array" ref="BX18">PRODUCT(1 + 預測IC!$C27:BW27) - 1</f>
        <v>0.2909305384219143</v>
      </c>
      <c r="BY18" s="28">
        <f t="array" ref="BY18">PRODUCT(1 + 預測IC!$C27:BX27) - 1</f>
        <v>0.26793739709811137</v>
      </c>
      <c r="BZ18" s="28">
        <f t="array" ref="BZ18">PRODUCT(1 + 預測IC!$C27:BY27) - 1</f>
        <v>7.628473289061688E-2</v>
      </c>
      <c r="CA18" s="28">
        <f t="array" ref="CA18">PRODUCT(1 + 預測IC!$C27:BZ27) - 1</f>
        <v>0.20998513144491437</v>
      </c>
      <c r="CB18" s="28">
        <f t="array" ref="CB18">PRODUCT(1 + 預測IC!$C27:CA27) - 1</f>
        <v>0.20447092205281336</v>
      </c>
      <c r="CC18" s="28">
        <f t="array" ref="CC18">PRODUCT(1 + 預測IC!$C27:CB27) - 1</f>
        <v>0.27699361006036605</v>
      </c>
      <c r="CD18" s="28">
        <f t="array" ref="CD18">PRODUCT(1 + 預測IC!$C27:CC27) - 1</f>
        <v>0.38680488733361829</v>
      </c>
      <c r="CE18" s="28">
        <f t="array" ref="CE18">PRODUCT(1 + 預測IC!$C27:CD27) - 1</f>
        <v>0.37874965946081551</v>
      </c>
      <c r="CF18" s="28">
        <f t="array" ref="CF18">PRODUCT(1 + 預測IC!$C27:CE27) - 1</f>
        <v>0.37042015435709108</v>
      </c>
      <c r="CG18" s="28">
        <f t="array" ref="CG18">PRODUCT(1 + 預測IC!$C27:CF27) - 1</f>
        <v>0.37378086910184649</v>
      </c>
      <c r="CH18" s="28">
        <f t="array" ref="CH18">PRODUCT(1 + 預測IC!$C27:CG27) - 1</f>
        <v>0.49692143719092186</v>
      </c>
      <c r="CI18" s="28">
        <f t="array" ref="CI18">PRODUCT(1 + 預測IC!$C27:CH27) - 1</f>
        <v>0.603191980394987</v>
      </c>
      <c r="CJ18" s="28">
        <f t="array" ref="CJ18">PRODUCT(1 + 預測IC!$C27:CI27) - 1</f>
        <v>0.64675173719730239</v>
      </c>
      <c r="CK18" s="28">
        <f t="array" ref="CK18">PRODUCT(1 + 預測IC!$C27:CJ27) - 1</f>
        <v>0.73315421285472704</v>
      </c>
      <c r="CL18" s="28">
        <f t="array" ref="CL18">PRODUCT(1 + 預測IC!$C27:CK27) - 1</f>
        <v>0.7842487445659152</v>
      </c>
      <c r="CM18" s="28">
        <f t="array" ref="CM18">PRODUCT(1 + 預測IC!$C27:CL27) - 1</f>
        <v>0.90348131155309508</v>
      </c>
      <c r="CN18" s="28">
        <f t="array" ref="CN18">PRODUCT(1 + 預測IC!$C27:CM27) - 1</f>
        <v>0.8487139113221478</v>
      </c>
      <c r="CO18" s="28">
        <f t="array" ref="CO18">PRODUCT(1 + 預測IC!$C27:CN27) - 1</f>
        <v>0.92166881344527685</v>
      </c>
      <c r="CP18" s="28">
        <f t="array" ref="CP18">PRODUCT(1 + 預測IC!$C27:CO27) - 1</f>
        <v>0.86588067898046694</v>
      </c>
      <c r="CQ18" s="28">
        <f t="array" ref="CQ18">PRODUCT(1 + 預測IC!$C27:CP27) - 1</f>
        <v>0.89197293519067467</v>
      </c>
      <c r="CR18" s="28">
        <f t="array" ref="CR18">PRODUCT(1 + 預測IC!$C27:CQ27) - 1</f>
        <v>0.83090579105751727</v>
      </c>
      <c r="CS18" s="28">
        <f t="array" ref="CS18">PRODUCT(1 + 預測IC!$C27:CR27) - 1</f>
        <v>0.83658814745105547</v>
      </c>
      <c r="CT18" s="28">
        <f t="array" ref="CT18">PRODUCT(1 + 預測IC!$C27:CS27) - 1</f>
        <v>0.88358984642415717</v>
      </c>
      <c r="CU18" s="28">
        <f t="array" ref="CU18">PRODUCT(1 + 預測IC!$C27:CT27) - 1</f>
        <v>0.9672059526983301</v>
      </c>
      <c r="CV18" s="28">
        <f t="array" ref="CV18">PRODUCT(1 + 預測IC!$C27:CU27) - 1</f>
        <v>0.90752297284093331</v>
      </c>
      <c r="CW18" s="28">
        <f t="array" ref="CW18">PRODUCT(1 + 預測IC!$C27:CV27) - 1</f>
        <v>0.90512335385454468</v>
      </c>
      <c r="CX18" s="28">
        <f t="array" ref="CX18">PRODUCT(1 + 預測IC!$C27:CW27) - 1</f>
        <v>0.90957440110152876</v>
      </c>
      <c r="CY18" s="28">
        <f t="array" ref="CY18">PRODUCT(1 + 預測IC!$C27:CX27) - 1</f>
        <v>0.78685723504233995</v>
      </c>
      <c r="CZ18" s="28">
        <f t="array" ref="CZ18">PRODUCT(1 + 預測IC!$C27:CY27) - 1</f>
        <v>0.80992516787144164</v>
      </c>
      <c r="DA18" s="28">
        <f t="array" ref="DA18">PRODUCT(1 + 預測IC!$C27:CZ27) - 1</f>
        <v>0.58282101623526672</v>
      </c>
      <c r="DB18" s="28">
        <f t="array" ref="DB18">PRODUCT(1 + 預測IC!$C27:DA27) - 1</f>
        <v>0.60132527488651344</v>
      </c>
      <c r="DC18" s="28">
        <f t="array" ref="DC18">PRODUCT(1 + 預測IC!$C27:DB27) - 1</f>
        <v>0.61147422419279152</v>
      </c>
      <c r="DD18" s="28">
        <f t="array" ref="DD18">PRODUCT(1 + 預測IC!$C27:DC27) - 1</f>
        <v>0.42243966588262949</v>
      </c>
      <c r="DE18" s="28">
        <f t="array" ref="DE18">PRODUCT(1 + 預測IC!$C27:DD27) - 1</f>
        <v>0.37121637307647259</v>
      </c>
      <c r="DF18" s="28">
        <f t="array" ref="DF18">PRODUCT(1 + 預測IC!$C27:DE27) - 1</f>
        <v>0.5616938276257708</v>
      </c>
      <c r="DG18" s="28">
        <f t="array" ref="DG18">PRODUCT(1 + 預測IC!$C27:DF27) - 1</f>
        <v>0.48182332962932128</v>
      </c>
      <c r="DH18" s="28">
        <f t="array" ref="DH18">PRODUCT(1 + 預測IC!$C27:DG27) - 1</f>
        <v>0.59552577817978314</v>
      </c>
      <c r="DI18" s="28">
        <f t="array" ref="DI18">PRODUCT(1 + 預測IC!$C27:DH27) - 1</f>
        <v>0.62027043996328524</v>
      </c>
      <c r="DJ18" s="28">
        <f t="array" ref="DJ18">PRODUCT(1 + 預測IC!$C27:DI27) - 1</f>
        <v>0.65789923395288952</v>
      </c>
      <c r="DK18" s="28">
        <f t="array" ref="DK18">PRODUCT(1 + 預測IC!$C27:DJ27) - 1</f>
        <v>0.62743885630809859</v>
      </c>
      <c r="DL18" s="28">
        <f t="array" ref="DL18">PRODUCT(1 + 預測IC!$C27:DK27) - 1</f>
        <v>0.72866394865424411</v>
      </c>
      <c r="DM18" s="28">
        <f t="array" ref="DM18">PRODUCT(1 + 預測IC!$C27:DL27) - 1</f>
        <v>0.76340716304992284</v>
      </c>
      <c r="DN18" s="28">
        <f t="array" ref="DN18">PRODUCT(1 + 預測IC!$C27:DM27) - 1</f>
        <v>0.78721129009524526</v>
      </c>
      <c r="DO18" s="28">
        <f t="array" ref="DO18">PRODUCT(1 + 預測IC!$C27:DN27) - 1</f>
        <v>0.73314419395664854</v>
      </c>
      <c r="DP18" s="28">
        <f t="array" ref="DP18">PRODUCT(1 + 預測IC!$C27:DO27) - 1</f>
        <v>0.7036411650845571</v>
      </c>
      <c r="DQ18" s="28">
        <f t="array" ref="DQ18">PRODUCT(1 + 預測IC!$C27:DP27) - 1</f>
        <v>0.666521339911188</v>
      </c>
      <c r="DR18" s="28">
        <f t="array" ref="DR18">PRODUCT(1 + 預測IC!$C27:DQ27) - 1</f>
        <v>0.80941825308633253</v>
      </c>
      <c r="DS18" s="28">
        <f t="array" ref="DS18">PRODUCT(1 + 預測IC!$C27:DR27) - 1</f>
        <v>0.86027510799998974</v>
      </c>
      <c r="DT18" s="28">
        <f t="array" ref="DT18">PRODUCT(1 + 預測IC!$C27:DS27) - 1</f>
        <v>0.85599059714061299</v>
      </c>
      <c r="DU18" s="28">
        <f t="array" ref="DU18">PRODUCT(1 + 預測IC!$C27:DT27) - 1</f>
        <v>0.9645125910761998</v>
      </c>
      <c r="DV18" s="28">
        <f t="array" ref="DV18">PRODUCT(1 + 預測IC!$C27:DU27) - 1</f>
        <v>1.0974294483812512</v>
      </c>
      <c r="DW18" s="28">
        <f t="array" ref="DW18">PRODUCT(1 + 預測IC!$C27:DV27) - 1</f>
        <v>1.1079601605760616</v>
      </c>
      <c r="DX18" s="28">
        <f t="array" ref="DX18">PRODUCT(1 + 預測IC!$C27:DW27) - 1</f>
        <v>1.1868319851241949</v>
      </c>
      <c r="DY18" s="28">
        <f t="array" ref="DY18">PRODUCT(1 + 預測IC!$C27:DX27) - 1</f>
        <v>1.3707686184169408</v>
      </c>
      <c r="DZ18" s="28">
        <f t="array" ref="DZ18">PRODUCT(1 + 預測IC!$C27:DY27) - 1</f>
        <v>1.2834475238077694</v>
      </c>
      <c r="EA18" s="28">
        <f t="array" ref="EA18">PRODUCT(1 + 預測IC!$C27:DZ27) - 1</f>
        <v>1.2905072649494538</v>
      </c>
      <c r="EB18" s="28">
        <f t="array" ref="EB18">PRODUCT(1 + 預測IC!$C27:EA27) - 1</f>
        <v>1.2860233033025419</v>
      </c>
      <c r="EC18" s="28">
        <f t="array" ref="EC18">PRODUCT(1 + 預測IC!$C27:EB27) - 1</f>
        <v>1.3465094307246845</v>
      </c>
      <c r="ED18" s="28">
        <f t="array" ref="ED18">PRODUCT(1 + 預測IC!$C27:EC27) - 1</f>
        <v>1.2884273650883467</v>
      </c>
      <c r="EE18" s="28">
        <f t="array" ref="EE18">PRODUCT(1 + 預測IC!$C27:ED27) - 1</f>
        <v>1.3664981882262612</v>
      </c>
      <c r="EF18" s="28">
        <f t="array" ref="EF18">PRODUCT(1 + 預測IC!$C27:EE27) - 1</f>
        <v>1.4163413115117764</v>
      </c>
      <c r="EG18" s="28">
        <f t="array" ref="EG18">PRODUCT(1 + 預測IC!$C27:EF27) - 1</f>
        <v>1.367344209826507</v>
      </c>
    </row>
    <row r="22" spans="1:138" s="1" customFormat="1" ht="16" customHeight="1">
      <c r="C22" s="6" t="s">
        <v>144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  <c r="N22" s="1" t="s">
        <v>13</v>
      </c>
      <c r="O22" s="1" t="s">
        <v>14</v>
      </c>
      <c r="P22" s="1" t="s">
        <v>15</v>
      </c>
      <c r="Q22" s="1" t="s">
        <v>16</v>
      </c>
      <c r="R22" s="1" t="s">
        <v>17</v>
      </c>
      <c r="S22" s="1" t="s">
        <v>18</v>
      </c>
      <c r="T22" s="1" t="s">
        <v>19</v>
      </c>
      <c r="U22" s="1" t="s">
        <v>20</v>
      </c>
      <c r="V22" s="1" t="s">
        <v>21</v>
      </c>
      <c r="W22" s="1" t="s">
        <v>22</v>
      </c>
      <c r="X22" s="1" t="s">
        <v>23</v>
      </c>
      <c r="Y22" s="1" t="s">
        <v>24</v>
      </c>
      <c r="Z22" s="1" t="s">
        <v>25</v>
      </c>
      <c r="AA22" s="1" t="s">
        <v>26</v>
      </c>
      <c r="AB22" s="1" t="s">
        <v>27</v>
      </c>
      <c r="AC22" s="1" t="s">
        <v>28</v>
      </c>
      <c r="AD22" s="1" t="s">
        <v>29</v>
      </c>
      <c r="AE22" s="1" t="s">
        <v>30</v>
      </c>
      <c r="AF22" s="1" t="s">
        <v>31</v>
      </c>
      <c r="AG22" s="1" t="s">
        <v>32</v>
      </c>
      <c r="AH22" s="1" t="s">
        <v>33</v>
      </c>
      <c r="AI22" s="1" t="s">
        <v>34</v>
      </c>
      <c r="AJ22" s="1" t="s">
        <v>35</v>
      </c>
      <c r="AK22" s="1" t="s">
        <v>36</v>
      </c>
      <c r="AL22" s="1" t="s">
        <v>37</v>
      </c>
      <c r="AM22" s="1" t="s">
        <v>38</v>
      </c>
      <c r="AN22" s="1" t="s">
        <v>39</v>
      </c>
      <c r="AO22" s="1" t="s">
        <v>40</v>
      </c>
      <c r="AP22" s="1" t="s">
        <v>41</v>
      </c>
      <c r="AQ22" s="1" t="s">
        <v>42</v>
      </c>
      <c r="AR22" s="1" t="s">
        <v>43</v>
      </c>
      <c r="AS22" s="1" t="s">
        <v>44</v>
      </c>
      <c r="AT22" s="1" t="s">
        <v>45</v>
      </c>
      <c r="AU22" s="1" t="s">
        <v>46</v>
      </c>
      <c r="AV22" s="1" t="s">
        <v>47</v>
      </c>
      <c r="AW22" s="1" t="s">
        <v>48</v>
      </c>
      <c r="AX22" s="1" t="s">
        <v>49</v>
      </c>
      <c r="AY22" s="1" t="s">
        <v>50</v>
      </c>
      <c r="AZ22" s="1" t="s">
        <v>51</v>
      </c>
      <c r="BA22" s="1" t="s">
        <v>52</v>
      </c>
      <c r="BB22" s="1" t="s">
        <v>53</v>
      </c>
      <c r="BC22" s="1" t="s">
        <v>54</v>
      </c>
      <c r="BD22" s="1" t="s">
        <v>55</v>
      </c>
      <c r="BE22" s="1" t="s">
        <v>56</v>
      </c>
      <c r="BF22" s="1" t="s">
        <v>57</v>
      </c>
      <c r="BG22" s="1" t="s">
        <v>58</v>
      </c>
      <c r="BH22" s="1" t="s">
        <v>59</v>
      </c>
      <c r="BI22" s="1" t="s">
        <v>60</v>
      </c>
      <c r="BJ22" s="1" t="s">
        <v>61</v>
      </c>
      <c r="BK22" s="1" t="s">
        <v>62</v>
      </c>
      <c r="BL22" s="1" t="s">
        <v>63</v>
      </c>
      <c r="BM22" s="1" t="s">
        <v>64</v>
      </c>
      <c r="BN22" s="1" t="s">
        <v>65</v>
      </c>
      <c r="BO22" s="1" t="s">
        <v>66</v>
      </c>
      <c r="BP22" s="1" t="s">
        <v>67</v>
      </c>
      <c r="BQ22" s="1" t="s">
        <v>68</v>
      </c>
      <c r="BR22" s="1" t="s">
        <v>69</v>
      </c>
      <c r="BS22" s="1" t="s">
        <v>70</v>
      </c>
      <c r="BT22" s="1" t="s">
        <v>71</v>
      </c>
      <c r="BU22" s="1" t="s">
        <v>72</v>
      </c>
      <c r="BV22" s="1" t="s">
        <v>73</v>
      </c>
      <c r="BW22" s="1" t="s">
        <v>74</v>
      </c>
      <c r="BX22" s="1" t="s">
        <v>75</v>
      </c>
      <c r="BY22" s="1" t="s">
        <v>76</v>
      </c>
      <c r="BZ22" s="1" t="s">
        <v>77</v>
      </c>
      <c r="CA22" s="1" t="s">
        <v>78</v>
      </c>
      <c r="CB22" s="1" t="s">
        <v>79</v>
      </c>
      <c r="CC22" s="1" t="s">
        <v>80</v>
      </c>
      <c r="CD22" s="1" t="s">
        <v>81</v>
      </c>
      <c r="CE22" s="1" t="s">
        <v>82</v>
      </c>
      <c r="CF22" s="1" t="s">
        <v>83</v>
      </c>
      <c r="CG22" s="1" t="s">
        <v>84</v>
      </c>
      <c r="CH22" s="1" t="s">
        <v>85</v>
      </c>
      <c r="CI22" s="1" t="s">
        <v>86</v>
      </c>
      <c r="CJ22" s="1" t="s">
        <v>87</v>
      </c>
      <c r="CK22" s="1" t="s">
        <v>88</v>
      </c>
      <c r="CL22" s="1" t="s">
        <v>89</v>
      </c>
      <c r="CM22" s="1" t="s">
        <v>90</v>
      </c>
      <c r="CN22" s="1" t="s">
        <v>91</v>
      </c>
      <c r="CO22" s="1" t="s">
        <v>92</v>
      </c>
      <c r="CP22" s="1" t="s">
        <v>93</v>
      </c>
      <c r="CQ22" s="1" t="s">
        <v>94</v>
      </c>
      <c r="CR22" s="1" t="s">
        <v>95</v>
      </c>
      <c r="CS22" s="1" t="s">
        <v>96</v>
      </c>
      <c r="CT22" s="1" t="s">
        <v>97</v>
      </c>
      <c r="CU22" s="1" t="s">
        <v>98</v>
      </c>
      <c r="CV22" s="1" t="s">
        <v>99</v>
      </c>
      <c r="CW22" s="1" t="s">
        <v>100</v>
      </c>
      <c r="CX22" s="1" t="s">
        <v>101</v>
      </c>
      <c r="CY22" s="1" t="s">
        <v>102</v>
      </c>
      <c r="CZ22" s="1" t="s">
        <v>103</v>
      </c>
      <c r="DA22" s="1" t="s">
        <v>104</v>
      </c>
      <c r="DB22" s="1" t="s">
        <v>105</v>
      </c>
      <c r="DC22" s="1" t="s">
        <v>106</v>
      </c>
      <c r="DD22" s="1" t="s">
        <v>107</v>
      </c>
      <c r="DE22" s="1" t="s">
        <v>108</v>
      </c>
      <c r="DF22" s="1" t="s">
        <v>109</v>
      </c>
      <c r="DG22" s="1" t="s">
        <v>110</v>
      </c>
      <c r="DH22" s="1" t="s">
        <v>111</v>
      </c>
      <c r="DI22" s="1" t="s">
        <v>112</v>
      </c>
      <c r="DJ22" s="1" t="s">
        <v>113</v>
      </c>
      <c r="DK22" s="1" t="s">
        <v>114</v>
      </c>
      <c r="DL22" s="1" t="s">
        <v>115</v>
      </c>
      <c r="DM22" s="1" t="s">
        <v>116</v>
      </c>
      <c r="DN22" s="1" t="s">
        <v>117</v>
      </c>
      <c r="DO22" s="1" t="s">
        <v>118</v>
      </c>
      <c r="DP22" s="1" t="s">
        <v>119</v>
      </c>
      <c r="DQ22" s="1" t="s">
        <v>120</v>
      </c>
      <c r="DR22" s="1" t="s">
        <v>121</v>
      </c>
      <c r="DS22" s="1" t="s">
        <v>122</v>
      </c>
      <c r="DT22" s="1" t="s">
        <v>123</v>
      </c>
      <c r="DU22" s="1" t="s">
        <v>124</v>
      </c>
      <c r="DV22" s="1" t="s">
        <v>125</v>
      </c>
      <c r="DW22" s="1" t="s">
        <v>126</v>
      </c>
      <c r="DX22" s="1" t="s">
        <v>127</v>
      </c>
      <c r="DY22" s="1" t="s">
        <v>128</v>
      </c>
      <c r="DZ22" s="1" t="s">
        <v>129</v>
      </c>
      <c r="EA22" s="1" t="s">
        <v>130</v>
      </c>
      <c r="EB22" s="1" t="s">
        <v>131</v>
      </c>
      <c r="EC22" s="1" t="s">
        <v>132</v>
      </c>
      <c r="ED22" s="1" t="s">
        <v>133</v>
      </c>
      <c r="EE22" s="1" t="s">
        <v>134</v>
      </c>
      <c r="EF22" s="1" t="s">
        <v>135</v>
      </c>
      <c r="EG22" s="1" t="s">
        <v>146</v>
      </c>
      <c r="EH22" s="35"/>
    </row>
    <row r="23" spans="1:138" s="1" customFormat="1" ht="16" customHeight="1">
      <c r="C23" s="6">
        <v>10</v>
      </c>
      <c r="D23" s="1">
        <v>1.44992469840961E-2</v>
      </c>
      <c r="E23" s="1">
        <v>-3.9213245731639651E-4</v>
      </c>
      <c r="F23" s="1">
        <v>1.001045558920888E-3</v>
      </c>
      <c r="G23" s="1">
        <v>-5.5014357119156247E-2</v>
      </c>
      <c r="H23" s="1">
        <v>-1.536138516245622E-2</v>
      </c>
      <c r="I23" s="1">
        <v>-2.4813185614166119E-2</v>
      </c>
      <c r="J23" s="1">
        <v>9.0323693452580844E-3</v>
      </c>
      <c r="K23" s="1">
        <v>3.2546476297351079E-2</v>
      </c>
      <c r="L23" s="1">
        <v>4.2835704774678351E-2</v>
      </c>
      <c r="M23" s="1">
        <v>7.5489742594432307E-2</v>
      </c>
      <c r="N23" s="1">
        <v>5.6109786849479981E-2</v>
      </c>
      <c r="O23" s="1">
        <v>9.2760338902505568E-2</v>
      </c>
      <c r="P23" s="1">
        <v>0.12202967709692759</v>
      </c>
      <c r="Q23" s="1">
        <v>0.1217443134118554</v>
      </c>
      <c r="R23" s="1">
        <v>0.1478582699885751</v>
      </c>
      <c r="S23" s="1">
        <v>0.17813861189379729</v>
      </c>
      <c r="T23" s="1">
        <v>0.26134171506414328</v>
      </c>
      <c r="U23" s="1">
        <v>0.36397823295921811</v>
      </c>
      <c r="V23" s="1">
        <v>0.37666431631300812</v>
      </c>
      <c r="W23" s="1">
        <v>0.39334010433867878</v>
      </c>
      <c r="X23" s="1">
        <v>0.43293557367053342</v>
      </c>
      <c r="Y23" s="1">
        <v>0.58535612511784896</v>
      </c>
      <c r="Z23" s="1">
        <v>0.66308010963605168</v>
      </c>
      <c r="AA23" s="1">
        <v>0.77178361299203746</v>
      </c>
      <c r="AB23" s="1">
        <v>0.78401206415056124</v>
      </c>
      <c r="AC23" s="1">
        <v>0.80872643092733809</v>
      </c>
      <c r="AD23" s="1">
        <v>0.85659289637632297</v>
      </c>
      <c r="AE23" s="1">
        <v>0.91065120334982819</v>
      </c>
      <c r="AF23" s="1">
        <v>0.99937748258041958</v>
      </c>
      <c r="AG23" s="1">
        <v>1.043832561171159</v>
      </c>
      <c r="AH23" s="1">
        <v>1.051629640183813</v>
      </c>
      <c r="AI23" s="1">
        <v>1.090205878022614</v>
      </c>
      <c r="AJ23" s="1">
        <v>1.071825041265178</v>
      </c>
      <c r="AK23" s="1">
        <v>1.113369464788861</v>
      </c>
      <c r="AL23" s="1">
        <v>1.1433070669142911</v>
      </c>
      <c r="AM23" s="1">
        <v>1.244070733143577</v>
      </c>
      <c r="AN23" s="1">
        <v>1.308118593283359</v>
      </c>
      <c r="AO23" s="1">
        <v>1.2466173220147101</v>
      </c>
      <c r="AP23" s="1">
        <v>1.212928237466774</v>
      </c>
      <c r="AQ23" s="1">
        <v>1.3008348875706091</v>
      </c>
      <c r="AR23" s="1">
        <v>1.323138071872318</v>
      </c>
      <c r="AS23" s="1">
        <v>1.3747652296163011</v>
      </c>
      <c r="AT23" s="1">
        <v>1.430007875810466</v>
      </c>
      <c r="AU23" s="1">
        <v>1.616836019592844</v>
      </c>
      <c r="AV23" s="1">
        <v>1.6071183036764649</v>
      </c>
      <c r="AW23" s="1">
        <v>1.729419023548219</v>
      </c>
      <c r="AX23" s="1">
        <v>1.777356965923153</v>
      </c>
      <c r="AY23" s="1">
        <v>1.8897890644963991</v>
      </c>
      <c r="AZ23" s="1">
        <v>2.0289512413082291</v>
      </c>
      <c r="BA23" s="1">
        <v>2.1004785714312062</v>
      </c>
      <c r="BB23" s="1">
        <v>2.1824376447651792</v>
      </c>
      <c r="BC23" s="1">
        <v>2.186364684351858</v>
      </c>
      <c r="BD23" s="1">
        <v>2.3051399630145442</v>
      </c>
      <c r="BE23" s="1">
        <v>2.332313436099215</v>
      </c>
      <c r="BF23" s="1">
        <v>2.214454357905518</v>
      </c>
      <c r="BG23" s="1">
        <v>2.4423750331895482</v>
      </c>
      <c r="BH23" s="1">
        <v>2.5413087600612281</v>
      </c>
      <c r="BI23" s="1">
        <v>2.8385090912484361</v>
      </c>
      <c r="BJ23" s="1">
        <v>3.1401166854202871</v>
      </c>
      <c r="BK23" s="1">
        <v>3.2422249056125239</v>
      </c>
      <c r="BL23" s="1">
        <v>3.239436136977349</v>
      </c>
      <c r="BM23" s="1">
        <v>3.454020987741163</v>
      </c>
      <c r="BN23" s="1">
        <v>3.5459253392314412</v>
      </c>
      <c r="BO23" s="1">
        <v>3.6109559807832849</v>
      </c>
      <c r="BP23" s="1">
        <v>3.8947201110329281</v>
      </c>
      <c r="BQ23" s="1">
        <v>4.0562212853016639</v>
      </c>
      <c r="BR23" s="1">
        <v>4.2193663464204674</v>
      </c>
      <c r="BS23" s="1">
        <v>4.5168006799058817</v>
      </c>
      <c r="BT23" s="1">
        <v>4.6968848039482358</v>
      </c>
      <c r="BU23" s="1">
        <v>4.7901130893320918</v>
      </c>
      <c r="BV23" s="1">
        <v>4.8880529519686444</v>
      </c>
      <c r="BW23" s="1">
        <v>5.1116172702687441</v>
      </c>
      <c r="BX23" s="1">
        <v>5.3834436953827636</v>
      </c>
      <c r="BY23" s="1">
        <v>5.4789934259146182</v>
      </c>
      <c r="BZ23" s="1">
        <v>6.0492181557677176</v>
      </c>
      <c r="CA23" s="1">
        <v>6.2588336491036296</v>
      </c>
      <c r="CB23" s="1">
        <v>6.2544515751817116</v>
      </c>
      <c r="CC23" s="1">
        <v>6.4515830469243918</v>
      </c>
      <c r="CD23" s="1">
        <v>6.3314547300711306</v>
      </c>
      <c r="CE23" s="1">
        <v>6.6909585315712974</v>
      </c>
      <c r="CF23" s="1">
        <v>7.0817864259614467</v>
      </c>
      <c r="CG23" s="1">
        <v>7.1760044195668584</v>
      </c>
      <c r="CH23" s="1">
        <v>7.3448875329194374</v>
      </c>
      <c r="CI23" s="1">
        <v>7.6165817436609551</v>
      </c>
      <c r="CJ23" s="1">
        <v>8.1257683177126889</v>
      </c>
      <c r="CK23" s="1">
        <v>8.7103594894635386</v>
      </c>
      <c r="CL23" s="1">
        <v>9.3803020870502287</v>
      </c>
      <c r="CM23" s="1">
        <v>10.49633858718077</v>
      </c>
      <c r="CN23" s="1">
        <v>10.19336464523526</v>
      </c>
      <c r="CO23" s="1">
        <v>11.94145935338617</v>
      </c>
      <c r="CP23" s="1">
        <v>12.66853411779103</v>
      </c>
      <c r="CQ23" s="1">
        <v>12.65479693980704</v>
      </c>
      <c r="CR23" s="1">
        <v>13.57481051740257</v>
      </c>
      <c r="CS23" s="1">
        <v>14.38820633968222</v>
      </c>
      <c r="CT23" s="1">
        <v>14.730688774042139</v>
      </c>
      <c r="CU23" s="1">
        <v>15.76394477526803</v>
      </c>
      <c r="CV23" s="1">
        <v>16.624230589120771</v>
      </c>
      <c r="CW23" s="1">
        <v>17.249594591419189</v>
      </c>
      <c r="CX23" s="1">
        <v>17.558842711100461</v>
      </c>
      <c r="CY23" s="1">
        <v>18.129576087657679</v>
      </c>
      <c r="CZ23" s="1">
        <v>17.815457042330571</v>
      </c>
      <c r="DA23" s="1">
        <v>18.047343665697358</v>
      </c>
      <c r="DB23" s="1">
        <v>19.256768585630031</v>
      </c>
      <c r="DC23" s="1">
        <v>18.535925750058251</v>
      </c>
      <c r="DD23" s="1">
        <v>19.010972059338329</v>
      </c>
      <c r="DE23" s="1">
        <v>20.287549360431239</v>
      </c>
      <c r="DF23" s="1">
        <v>21.929502729352539</v>
      </c>
      <c r="DG23" s="1">
        <v>21.662962859342681</v>
      </c>
      <c r="DH23" s="1">
        <v>20.58886484220594</v>
      </c>
      <c r="DI23" s="1">
        <v>19.9238596881634</v>
      </c>
      <c r="DJ23" s="1">
        <v>19.296577972246538</v>
      </c>
      <c r="DK23" s="1">
        <v>20.24441892696699</v>
      </c>
      <c r="DL23" s="1">
        <v>20.26717591938656</v>
      </c>
      <c r="DM23" s="1">
        <v>20.528985137514709</v>
      </c>
      <c r="DN23" s="1">
        <v>21.73061762958746</v>
      </c>
      <c r="DO23" s="1">
        <v>22.1297259669029</v>
      </c>
      <c r="DP23" s="1">
        <v>22.569901496689969</v>
      </c>
      <c r="DQ23" s="1">
        <v>24.067084418443251</v>
      </c>
      <c r="DR23" s="1">
        <v>24.73605867065762</v>
      </c>
      <c r="DS23" s="1">
        <v>25.23475573648324</v>
      </c>
      <c r="DT23" s="1">
        <v>24.02732001883604</v>
      </c>
      <c r="DU23" s="1">
        <v>24.27949357157285</v>
      </c>
      <c r="DV23" s="1">
        <v>25.436969332777089</v>
      </c>
      <c r="DW23" s="1">
        <v>25.408493470471541</v>
      </c>
      <c r="DX23" s="1">
        <v>26.926491396586151</v>
      </c>
      <c r="DY23" s="1">
        <v>27.980199367898361</v>
      </c>
      <c r="DZ23" s="1">
        <v>26.162322985598131</v>
      </c>
      <c r="EA23" s="1">
        <v>26.935180323001521</v>
      </c>
      <c r="EB23" s="1">
        <v>29.637494464462939</v>
      </c>
      <c r="EC23" s="1">
        <v>30.61444496601823</v>
      </c>
      <c r="ED23" s="1">
        <v>31.299927436983481</v>
      </c>
      <c r="EE23" s="1">
        <v>32.216632992124012</v>
      </c>
      <c r="EF23" s="1">
        <v>31.279383166065472</v>
      </c>
      <c r="EG23" s="1">
        <v>30.25254828299018</v>
      </c>
      <c r="EH23" s="35"/>
    </row>
    <row r="24" spans="1:138" s="1" customFormat="1" ht="16" customHeight="1">
      <c r="C24" s="6">
        <v>20</v>
      </c>
      <c r="D24" s="1">
        <v>-7.4773642018864939E-3</v>
      </c>
      <c r="E24" s="1">
        <v>-2.061307142629532E-3</v>
      </c>
      <c r="F24" s="1">
        <v>3.4509336694801269E-3</v>
      </c>
      <c r="G24" s="1">
        <v>-5.6742602548122578E-2</v>
      </c>
      <c r="H24" s="1">
        <v>-2.781188186054873E-2</v>
      </c>
      <c r="I24" s="1">
        <v>-4.4716665122293442E-2</v>
      </c>
      <c r="J24" s="1">
        <v>1.0770031231770449E-2</v>
      </c>
      <c r="K24" s="1">
        <v>5.1055973038990787E-2</v>
      </c>
      <c r="L24" s="1">
        <v>6.7727495995814513E-2</v>
      </c>
      <c r="M24" s="1">
        <v>0.13030417350407489</v>
      </c>
      <c r="N24" s="1">
        <v>0.12818909094345349</v>
      </c>
      <c r="O24" s="1">
        <v>0.17714394295791691</v>
      </c>
      <c r="P24" s="1">
        <v>0.20683181625194599</v>
      </c>
      <c r="Q24" s="1">
        <v>0.19925575132375381</v>
      </c>
      <c r="R24" s="1">
        <v>0.2077219192231714</v>
      </c>
      <c r="S24" s="1">
        <v>0.21699003486270141</v>
      </c>
      <c r="T24" s="1">
        <v>0.32941677392414342</v>
      </c>
      <c r="U24" s="1">
        <v>0.460682274826691</v>
      </c>
      <c r="V24" s="1">
        <v>0.50075501209876228</v>
      </c>
      <c r="W24" s="1">
        <v>0.53501837874449687</v>
      </c>
      <c r="X24" s="1">
        <v>0.58255621566379845</v>
      </c>
      <c r="Y24" s="1">
        <v>0.82055016294012328</v>
      </c>
      <c r="Z24" s="1">
        <v>0.92904450628665547</v>
      </c>
      <c r="AA24" s="1">
        <v>1.101880309641269</v>
      </c>
      <c r="AB24" s="1">
        <v>1.189732493535635</v>
      </c>
      <c r="AC24" s="1">
        <v>1.21067436895983</v>
      </c>
      <c r="AD24" s="1">
        <v>1.349697626153372</v>
      </c>
      <c r="AE24" s="1">
        <v>1.4498187898693999</v>
      </c>
      <c r="AF24" s="1">
        <v>1.6386297947285711</v>
      </c>
      <c r="AG24" s="1">
        <v>1.8123322354275091</v>
      </c>
      <c r="AH24" s="1">
        <v>1.784475500438053</v>
      </c>
      <c r="AI24" s="1">
        <v>1.934604740786614</v>
      </c>
      <c r="AJ24" s="1">
        <v>1.879885964683039</v>
      </c>
      <c r="AK24" s="1">
        <v>1.9174275515929291</v>
      </c>
      <c r="AL24" s="1">
        <v>1.9533690896965581</v>
      </c>
      <c r="AM24" s="1">
        <v>2.191408942020959</v>
      </c>
      <c r="AN24" s="1">
        <v>2.324929283819325</v>
      </c>
      <c r="AO24" s="1">
        <v>2.2252556824962402</v>
      </c>
      <c r="AP24" s="1">
        <v>2.2307671499892772</v>
      </c>
      <c r="AQ24" s="1">
        <v>2.382319821547922</v>
      </c>
      <c r="AR24" s="1">
        <v>2.4915462505469592</v>
      </c>
      <c r="AS24" s="1">
        <v>2.5643381596896662</v>
      </c>
      <c r="AT24" s="1">
        <v>2.6193791356543019</v>
      </c>
      <c r="AU24" s="1">
        <v>2.939200309420555</v>
      </c>
      <c r="AV24" s="1">
        <v>3.0010277065426001</v>
      </c>
      <c r="AW24" s="1">
        <v>3.333760201613877</v>
      </c>
      <c r="AX24" s="1">
        <v>3.5587370014139559</v>
      </c>
      <c r="AY24" s="1">
        <v>3.779535890797288</v>
      </c>
      <c r="AZ24" s="1">
        <v>4.1059167399851351</v>
      </c>
      <c r="BA24" s="1">
        <v>4.2653261978576253</v>
      </c>
      <c r="BB24" s="1">
        <v>4.4032160032931493</v>
      </c>
      <c r="BC24" s="1">
        <v>4.6974882890449194</v>
      </c>
      <c r="BD24" s="1">
        <v>4.9669285265340246</v>
      </c>
      <c r="BE24" s="1">
        <v>5.0323398657427258</v>
      </c>
      <c r="BF24" s="1">
        <v>4.7682814909562401</v>
      </c>
      <c r="BG24" s="1">
        <v>5.1834913645488996</v>
      </c>
      <c r="BH24" s="1">
        <v>5.5410569714755784</v>
      </c>
      <c r="BI24" s="1">
        <v>5.9488029642231197</v>
      </c>
      <c r="BJ24" s="1">
        <v>6.4375783555607882</v>
      </c>
      <c r="BK24" s="1">
        <v>6.6180592835661889</v>
      </c>
      <c r="BL24" s="1">
        <v>6.550423137134433</v>
      </c>
      <c r="BM24" s="1">
        <v>6.847234131887145</v>
      </c>
      <c r="BN24" s="1">
        <v>7.0419401268041177</v>
      </c>
      <c r="BO24" s="1">
        <v>7.1080952638835999</v>
      </c>
      <c r="BP24" s="1">
        <v>7.7776442272618613</v>
      </c>
      <c r="BQ24" s="1">
        <v>8.2832192014383192</v>
      </c>
      <c r="BR24" s="1">
        <v>8.5076549999217939</v>
      </c>
      <c r="BS24" s="1">
        <v>9.2818462484857953</v>
      </c>
      <c r="BT24" s="1">
        <v>9.6949761193349584</v>
      </c>
      <c r="BU24" s="1">
        <v>9.7005489684641333</v>
      </c>
      <c r="BV24" s="1">
        <v>9.8666981730947558</v>
      </c>
      <c r="BW24" s="1">
        <v>10.625351047625321</v>
      </c>
      <c r="BX24" s="1">
        <v>11.505552942373599</v>
      </c>
      <c r="BY24" s="1">
        <v>11.98364557873928</v>
      </c>
      <c r="BZ24" s="1">
        <v>13.13780658526658</v>
      </c>
      <c r="CA24" s="1">
        <v>13.839320914808029</v>
      </c>
      <c r="CB24" s="1">
        <v>13.675776975795779</v>
      </c>
      <c r="CC24" s="1">
        <v>14.057602235165479</v>
      </c>
      <c r="CD24" s="1">
        <v>14.181448143148071</v>
      </c>
      <c r="CE24" s="1">
        <v>15.745692830951389</v>
      </c>
      <c r="CF24" s="1">
        <v>17.075934997552999</v>
      </c>
      <c r="CG24" s="1">
        <v>17.274140772551839</v>
      </c>
      <c r="CH24" s="1">
        <v>17.402220989937192</v>
      </c>
      <c r="CI24" s="1">
        <v>18.690026653005042</v>
      </c>
      <c r="CJ24" s="1">
        <v>19.721125553818691</v>
      </c>
      <c r="CK24" s="1">
        <v>21.398752627218219</v>
      </c>
      <c r="CL24" s="1">
        <v>22.176267717530241</v>
      </c>
      <c r="CM24" s="1">
        <v>24.398980765900362</v>
      </c>
      <c r="CN24" s="1">
        <v>24.043122382887891</v>
      </c>
      <c r="CO24" s="1">
        <v>28.844731706967639</v>
      </c>
      <c r="CP24" s="1">
        <v>30.65476202426483</v>
      </c>
      <c r="CQ24" s="1">
        <v>31.30612192759294</v>
      </c>
      <c r="CR24" s="1">
        <v>33.674783391540011</v>
      </c>
      <c r="CS24" s="1">
        <v>35.883362873124192</v>
      </c>
      <c r="CT24" s="1">
        <v>36.637175744360853</v>
      </c>
      <c r="CU24" s="1">
        <v>40.207754587052669</v>
      </c>
      <c r="CV24" s="1">
        <v>44.017988696623682</v>
      </c>
      <c r="CW24" s="1">
        <v>46.474930497180878</v>
      </c>
      <c r="CX24" s="1">
        <v>47.517866486171798</v>
      </c>
      <c r="CY24" s="1">
        <v>49.001680705851143</v>
      </c>
      <c r="CZ24" s="1">
        <v>46.941523863620837</v>
      </c>
      <c r="DA24" s="1">
        <v>47.176351810547779</v>
      </c>
      <c r="DB24" s="1">
        <v>51.597184174541773</v>
      </c>
      <c r="DC24" s="1">
        <v>48.3700215993697</v>
      </c>
      <c r="DD24" s="1">
        <v>49.727663089310177</v>
      </c>
      <c r="DE24" s="1">
        <v>53.978948097282711</v>
      </c>
      <c r="DF24" s="1">
        <v>57.205466458029463</v>
      </c>
      <c r="DG24" s="1">
        <v>56.200163059337669</v>
      </c>
      <c r="DH24" s="1">
        <v>52.119745943082457</v>
      </c>
      <c r="DI24" s="1">
        <v>50.058353622278418</v>
      </c>
      <c r="DJ24" s="1">
        <v>48.548536679824608</v>
      </c>
      <c r="DK24" s="1">
        <v>51.623293137964282</v>
      </c>
      <c r="DL24" s="1">
        <v>50.391861144052818</v>
      </c>
      <c r="DM24" s="1">
        <v>51.174667612519293</v>
      </c>
      <c r="DN24" s="1">
        <v>53.811784552114098</v>
      </c>
      <c r="DO24" s="1">
        <v>55.700641789466012</v>
      </c>
      <c r="DP24" s="1">
        <v>58.213905642112472</v>
      </c>
      <c r="DQ24" s="1">
        <v>62.440920915454612</v>
      </c>
      <c r="DR24" s="1">
        <v>63.669085581483778</v>
      </c>
      <c r="DS24" s="1">
        <v>65.249216797953864</v>
      </c>
      <c r="DT24" s="1">
        <v>63.267358632294503</v>
      </c>
      <c r="DU24" s="1">
        <v>62.009399557944519</v>
      </c>
      <c r="DV24" s="1">
        <v>63.502650104909549</v>
      </c>
      <c r="DW24" s="1">
        <v>63.382115447367369</v>
      </c>
      <c r="DX24" s="1">
        <v>67.773746673784785</v>
      </c>
      <c r="DY24" s="1">
        <v>71.115789578060472</v>
      </c>
      <c r="DZ24" s="1">
        <v>70.430356055685635</v>
      </c>
      <c r="EA24" s="1">
        <v>73.47463331228667</v>
      </c>
      <c r="EB24" s="1">
        <v>83.629737246444037</v>
      </c>
      <c r="EC24" s="1">
        <v>88.543305627075853</v>
      </c>
      <c r="ED24" s="1">
        <v>88.675466540592808</v>
      </c>
      <c r="EE24" s="1">
        <v>89.777135454942211</v>
      </c>
      <c r="EF24" s="1">
        <v>86.521188373558047</v>
      </c>
      <c r="EG24" s="1">
        <v>82.330738159218143</v>
      </c>
      <c r="EH24" s="35"/>
    </row>
    <row r="25" spans="1:138" s="1" customFormat="1" ht="16" customHeight="1">
      <c r="C25" s="6">
        <v>50</v>
      </c>
      <c r="D25" s="1">
        <v>-3.3228977675766158E-2</v>
      </c>
      <c r="E25" s="1">
        <v>0.1037079974345443</v>
      </c>
      <c r="F25" s="1">
        <v>0.15659850805241929</v>
      </c>
      <c r="G25" s="1">
        <v>8.6807150865061189E-2</v>
      </c>
      <c r="H25" s="1">
        <v>8.9154553677129655E-2</v>
      </c>
      <c r="I25" s="1">
        <v>0.1016888284000157</v>
      </c>
      <c r="J25" s="1">
        <v>0.13379852760311281</v>
      </c>
      <c r="K25" s="1">
        <v>0.2155164075169993</v>
      </c>
      <c r="L25" s="1">
        <v>0.25566700143670401</v>
      </c>
      <c r="M25" s="1">
        <v>0.3942391855583729</v>
      </c>
      <c r="N25" s="1">
        <v>0.34889209500359097</v>
      </c>
      <c r="O25" s="1">
        <v>0.42627726111613651</v>
      </c>
      <c r="P25" s="1">
        <v>0.44085478637698849</v>
      </c>
      <c r="Q25" s="1">
        <v>0.45028002407424639</v>
      </c>
      <c r="R25" s="1">
        <v>0.51864444592729675</v>
      </c>
      <c r="S25" s="1">
        <v>0.55488146531145977</v>
      </c>
      <c r="T25" s="1">
        <v>0.71316020022671101</v>
      </c>
      <c r="U25" s="1">
        <v>0.95949010073308472</v>
      </c>
      <c r="V25" s="1">
        <v>1.0284308846043191</v>
      </c>
      <c r="W25" s="1">
        <v>1.148468877296049</v>
      </c>
      <c r="X25" s="1">
        <v>1.251154953159296</v>
      </c>
      <c r="Y25" s="1">
        <v>1.742155564623882</v>
      </c>
      <c r="Z25" s="1">
        <v>1.824300762076444</v>
      </c>
      <c r="AA25" s="1">
        <v>2.2359252511865408</v>
      </c>
      <c r="AB25" s="1">
        <v>2.5824393215559058</v>
      </c>
      <c r="AC25" s="1">
        <v>2.7051896937413771</v>
      </c>
      <c r="AD25" s="1">
        <v>2.958333197047732</v>
      </c>
      <c r="AE25" s="1">
        <v>3.1096201228981428</v>
      </c>
      <c r="AF25" s="1">
        <v>3.5897754797682602</v>
      </c>
      <c r="AG25" s="1">
        <v>4.3082289775508844</v>
      </c>
      <c r="AH25" s="1">
        <v>4.1737752797928076</v>
      </c>
      <c r="AI25" s="1">
        <v>4.5838062280628611</v>
      </c>
      <c r="AJ25" s="1">
        <v>4.7818227599275058</v>
      </c>
      <c r="AK25" s="1">
        <v>4.932494455460156</v>
      </c>
      <c r="AL25" s="1">
        <v>4.910210957926175</v>
      </c>
      <c r="AM25" s="1">
        <v>5.5127235165299044</v>
      </c>
      <c r="AN25" s="1">
        <v>5.6951724422315388</v>
      </c>
      <c r="AO25" s="1">
        <v>5.5670768999832454</v>
      </c>
      <c r="AP25" s="1">
        <v>5.8169170887370338</v>
      </c>
      <c r="AQ25" s="1">
        <v>6.3432689273220966</v>
      </c>
      <c r="AR25" s="1">
        <v>6.7069042157176906</v>
      </c>
      <c r="AS25" s="1">
        <v>6.7653432940959624</v>
      </c>
      <c r="AT25" s="1">
        <v>6.9764305721745838</v>
      </c>
      <c r="AU25" s="1">
        <v>7.9905273327275452</v>
      </c>
      <c r="AV25" s="1">
        <v>8.5067779149194713</v>
      </c>
      <c r="AW25" s="1">
        <v>8.7223488055102241</v>
      </c>
      <c r="AX25" s="1">
        <v>9.9348280530705235</v>
      </c>
      <c r="AY25" s="1">
        <v>10.52205803313956</v>
      </c>
      <c r="AZ25" s="1">
        <v>12.17257573550879</v>
      </c>
      <c r="BA25" s="1">
        <v>12.977032582109389</v>
      </c>
      <c r="BB25" s="1">
        <v>13.91195393727514</v>
      </c>
      <c r="BC25" s="1">
        <v>15.99935745331056</v>
      </c>
      <c r="BD25" s="1">
        <v>16.580774611239828</v>
      </c>
      <c r="BE25" s="1">
        <v>17.531712603917441</v>
      </c>
      <c r="BF25" s="1">
        <v>16.23297738073628</v>
      </c>
      <c r="BG25" s="1">
        <v>18.131578116746521</v>
      </c>
      <c r="BH25" s="1">
        <v>20.05381913384559</v>
      </c>
      <c r="BI25" s="1">
        <v>21.571529251341989</v>
      </c>
      <c r="BJ25" s="1">
        <v>22.538269356335711</v>
      </c>
      <c r="BK25" s="1">
        <v>24.153093391397459</v>
      </c>
      <c r="BL25" s="1">
        <v>23.305649960899231</v>
      </c>
      <c r="BM25" s="1">
        <v>24.338557886678789</v>
      </c>
      <c r="BN25" s="1">
        <v>24.772614489240208</v>
      </c>
      <c r="BO25" s="1">
        <v>26.906398396420059</v>
      </c>
      <c r="BP25" s="1">
        <v>27.46845924216505</v>
      </c>
      <c r="BQ25" s="1">
        <v>29.470342631351581</v>
      </c>
      <c r="BR25" s="1">
        <v>29.898606204558391</v>
      </c>
      <c r="BS25" s="1">
        <v>32.58147608784347</v>
      </c>
      <c r="BT25" s="1">
        <v>33.600093733084357</v>
      </c>
      <c r="BU25" s="1">
        <v>32.536954779045537</v>
      </c>
      <c r="BV25" s="1">
        <v>33.140704267997577</v>
      </c>
      <c r="BW25" s="1">
        <v>36.615178497675473</v>
      </c>
      <c r="BX25" s="1">
        <v>41.538911646954993</v>
      </c>
      <c r="BY25" s="1">
        <v>44.456716650910138</v>
      </c>
      <c r="BZ25" s="1">
        <v>47.484587295348497</v>
      </c>
      <c r="CA25" s="1">
        <v>48.772260607338183</v>
      </c>
      <c r="CB25" s="1">
        <v>43.96842494741113</v>
      </c>
      <c r="CC25" s="1">
        <v>46.643014669313828</v>
      </c>
      <c r="CD25" s="1">
        <v>48.023503487422253</v>
      </c>
      <c r="CE25" s="1">
        <v>52.75857283205</v>
      </c>
      <c r="CF25" s="1">
        <v>58.906032750751002</v>
      </c>
      <c r="CG25" s="1">
        <v>60.148202210998313</v>
      </c>
      <c r="CH25" s="1">
        <v>59.912485310352089</v>
      </c>
      <c r="CI25" s="1">
        <v>61.446164303693038</v>
      </c>
      <c r="CJ25" s="1">
        <v>65.481994995305385</v>
      </c>
      <c r="CK25" s="1">
        <v>73.813325982792662</v>
      </c>
      <c r="CL25" s="1">
        <v>77.573650133906895</v>
      </c>
      <c r="CM25" s="1">
        <v>79.15038296392035</v>
      </c>
      <c r="CN25" s="1">
        <v>79.558918032179818</v>
      </c>
      <c r="CO25" s="1">
        <v>97.110645254181719</v>
      </c>
      <c r="CP25" s="1">
        <v>108.7524529895247</v>
      </c>
      <c r="CQ25" s="1">
        <v>119.0317972470275</v>
      </c>
      <c r="CR25" s="1">
        <v>130.12907049010079</v>
      </c>
      <c r="CS25" s="1">
        <v>146.59752277491069</v>
      </c>
      <c r="CT25" s="1">
        <v>143.37819698584519</v>
      </c>
      <c r="CU25" s="1">
        <v>157.7693946332837</v>
      </c>
      <c r="CV25" s="1">
        <v>177.13035173299511</v>
      </c>
      <c r="CW25" s="1">
        <v>187.58216384681469</v>
      </c>
      <c r="CX25" s="1">
        <v>185.94652487594769</v>
      </c>
      <c r="CY25" s="1">
        <v>202.8912134464569</v>
      </c>
      <c r="CZ25" s="1">
        <v>183.24402569573309</v>
      </c>
      <c r="DA25" s="1">
        <v>185.1419970391016</v>
      </c>
      <c r="DB25" s="1">
        <v>201.9422776382454</v>
      </c>
      <c r="DC25" s="1">
        <v>183.62896669519969</v>
      </c>
      <c r="DD25" s="1">
        <v>187.24530880574179</v>
      </c>
      <c r="DE25" s="1">
        <v>205.1335783800609</v>
      </c>
      <c r="DF25" s="1">
        <v>211.19417851762819</v>
      </c>
      <c r="DG25" s="1">
        <v>197.5754695925034</v>
      </c>
      <c r="DH25" s="1">
        <v>180.2349052819286</v>
      </c>
      <c r="DI25" s="1">
        <v>178.7101324607797</v>
      </c>
      <c r="DJ25" s="1">
        <v>171.40327398968051</v>
      </c>
      <c r="DK25" s="1">
        <v>184.49209173637061</v>
      </c>
      <c r="DL25" s="1">
        <v>170.13253970521089</v>
      </c>
      <c r="DM25" s="1">
        <v>178.498992716842</v>
      </c>
      <c r="DN25" s="1">
        <v>176.69657468995109</v>
      </c>
      <c r="DO25" s="1">
        <v>180.12680092820679</v>
      </c>
      <c r="DP25" s="1">
        <v>192.85794094041549</v>
      </c>
      <c r="DQ25" s="1">
        <v>205.67759152324959</v>
      </c>
      <c r="DR25" s="1">
        <v>215.2312790220976</v>
      </c>
      <c r="DS25" s="1">
        <v>212.16807472424429</v>
      </c>
      <c r="DT25" s="1">
        <v>193.1028008134883</v>
      </c>
      <c r="DU25" s="1">
        <v>199.34286475089999</v>
      </c>
      <c r="DV25" s="1">
        <v>223.16715471311079</v>
      </c>
      <c r="DW25" s="1">
        <v>222.9305906015999</v>
      </c>
      <c r="DX25" s="1">
        <v>240.5464727661905</v>
      </c>
      <c r="DY25" s="1">
        <v>256.31730185991921</v>
      </c>
      <c r="DZ25" s="1">
        <v>244.05330538342301</v>
      </c>
      <c r="EA25" s="1">
        <v>248.3980911172124</v>
      </c>
      <c r="EB25" s="1">
        <v>296.36985366708598</v>
      </c>
      <c r="EC25" s="1">
        <v>322.58561767523929</v>
      </c>
      <c r="ED25" s="1">
        <v>320.38080438064043</v>
      </c>
      <c r="EE25" s="1">
        <v>330.86485699907149</v>
      </c>
      <c r="EF25" s="1">
        <v>316.75869590418648</v>
      </c>
      <c r="EG25" s="1">
        <v>289.7646547576893</v>
      </c>
      <c r="EH25" s="35"/>
    </row>
    <row r="26" spans="1:138" s="1" customFormat="1" ht="16" customHeight="1">
      <c r="C26" s="6">
        <v>100</v>
      </c>
      <c r="D26" s="1">
        <v>-3.6350225217569587E-2</v>
      </c>
      <c r="E26" s="1">
        <v>0.22675976836332001</v>
      </c>
      <c r="F26" s="1">
        <v>0.34372469448557957</v>
      </c>
      <c r="G26" s="1">
        <v>0.39064949115372549</v>
      </c>
      <c r="H26" s="1">
        <v>0.52427699783670656</v>
      </c>
      <c r="I26" s="1">
        <v>0.52617278085868624</v>
      </c>
      <c r="J26" s="1">
        <v>0.56122860450817025</v>
      </c>
      <c r="K26" s="1">
        <v>0.59121604682361628</v>
      </c>
      <c r="L26" s="1">
        <v>0.59825673659641843</v>
      </c>
      <c r="M26" s="1">
        <v>0.6377078454256413</v>
      </c>
      <c r="N26" s="1">
        <v>0.74854042463016812</v>
      </c>
      <c r="O26" s="1">
        <v>0.94052350905306814</v>
      </c>
      <c r="P26" s="1">
        <v>0.83708535887676017</v>
      </c>
      <c r="Q26" s="1">
        <v>0.87731122674904372</v>
      </c>
      <c r="R26" s="1">
        <v>0.9927130574775116</v>
      </c>
      <c r="S26" s="1">
        <v>1.0172699988325351</v>
      </c>
      <c r="T26" s="1">
        <v>1.3063867881782329</v>
      </c>
      <c r="U26" s="1">
        <v>1.764186774993191</v>
      </c>
      <c r="V26" s="1">
        <v>1.8615224638459409</v>
      </c>
      <c r="W26" s="1">
        <v>2.3985334892296062</v>
      </c>
      <c r="X26" s="1">
        <v>2.5707420214731669</v>
      </c>
      <c r="Y26" s="1">
        <v>3.4700807165140781</v>
      </c>
      <c r="Z26" s="1">
        <v>3.5116819647100179</v>
      </c>
      <c r="AA26" s="1">
        <v>3.896177448587713</v>
      </c>
      <c r="AB26" s="1">
        <v>4.4511357083854879</v>
      </c>
      <c r="AC26" s="1">
        <v>4.6322279740989831</v>
      </c>
      <c r="AD26" s="1">
        <v>5.5284526120987687</v>
      </c>
      <c r="AE26" s="1">
        <v>5.4779993454142817</v>
      </c>
      <c r="AF26" s="1">
        <v>6.8499919484380696</v>
      </c>
      <c r="AG26" s="1">
        <v>8.4468850516462304</v>
      </c>
      <c r="AH26" s="1">
        <v>8.0281561774797989</v>
      </c>
      <c r="AI26" s="1">
        <v>9.5181612826390527</v>
      </c>
      <c r="AJ26" s="1">
        <v>9.7795297769127814</v>
      </c>
      <c r="AK26" s="1">
        <v>10.318151713598009</v>
      </c>
      <c r="AL26" s="1">
        <v>10.340342617332849</v>
      </c>
      <c r="AM26" s="1">
        <v>11.35852224193426</v>
      </c>
      <c r="AN26" s="1">
        <v>11.098391847251589</v>
      </c>
      <c r="AO26" s="1">
        <v>10.66889336820539</v>
      </c>
      <c r="AP26" s="1">
        <v>11.268493855661969</v>
      </c>
      <c r="AQ26" s="1">
        <v>12.189540720012911</v>
      </c>
      <c r="AR26" s="1">
        <v>13.85382712646698</v>
      </c>
      <c r="AS26" s="1">
        <v>14.11724230858561</v>
      </c>
      <c r="AT26" s="1">
        <v>14.12933050614844</v>
      </c>
      <c r="AU26" s="1">
        <v>15.924610247320819</v>
      </c>
      <c r="AV26" s="1">
        <v>17.23075142597305</v>
      </c>
      <c r="AW26" s="1">
        <v>17.149382996092729</v>
      </c>
      <c r="AX26" s="1">
        <v>20.586164147398271</v>
      </c>
      <c r="AY26" s="1">
        <v>23.029207823787679</v>
      </c>
      <c r="AZ26" s="1">
        <v>27.835200046995151</v>
      </c>
      <c r="BA26" s="1">
        <v>29.7915625195857</v>
      </c>
      <c r="BB26" s="1">
        <v>29.325016816473529</v>
      </c>
      <c r="BC26" s="1">
        <v>31.892478047581019</v>
      </c>
      <c r="BD26" s="1">
        <v>33.835529120041507</v>
      </c>
      <c r="BE26" s="1">
        <v>34.171604230236753</v>
      </c>
      <c r="BF26" s="1">
        <v>32.715571188950157</v>
      </c>
      <c r="BG26" s="1">
        <v>37.005955577163299</v>
      </c>
      <c r="BH26" s="1">
        <v>41.915180704218173</v>
      </c>
      <c r="BI26" s="1">
        <v>44.85213549518464</v>
      </c>
      <c r="BJ26" s="1">
        <v>51.058404625969047</v>
      </c>
      <c r="BK26" s="1">
        <v>57.831736928629986</v>
      </c>
      <c r="BL26" s="1">
        <v>60.514754308375899</v>
      </c>
      <c r="BM26" s="1">
        <v>61.813494813225248</v>
      </c>
      <c r="BN26" s="1">
        <v>62.512391260998463</v>
      </c>
      <c r="BO26" s="1">
        <v>68.946512020517474</v>
      </c>
      <c r="BP26" s="1">
        <v>70.970630536114143</v>
      </c>
      <c r="BQ26" s="1">
        <v>80.922414979275089</v>
      </c>
      <c r="BR26" s="1">
        <v>80.446634772196148</v>
      </c>
      <c r="BS26" s="1">
        <v>91.181327930304008</v>
      </c>
      <c r="BT26" s="1">
        <v>92.275143354962509</v>
      </c>
      <c r="BU26" s="1">
        <v>86.692538711066433</v>
      </c>
      <c r="BV26" s="1">
        <v>85.36486644921537</v>
      </c>
      <c r="BW26" s="1">
        <v>99.579992086567302</v>
      </c>
      <c r="BX26" s="1">
        <v>129.64123849295541</v>
      </c>
      <c r="BY26" s="1">
        <v>138.24594926307611</v>
      </c>
      <c r="BZ26" s="1">
        <v>140.66311446308279</v>
      </c>
      <c r="CA26" s="1">
        <v>142.47254149960409</v>
      </c>
      <c r="CB26" s="1">
        <v>129.14099635655651</v>
      </c>
      <c r="CC26" s="1">
        <v>141.2029981957669</v>
      </c>
      <c r="CD26" s="1">
        <v>136.17490734480049</v>
      </c>
      <c r="CE26" s="1">
        <v>134.81800546395081</v>
      </c>
      <c r="CF26" s="1">
        <v>148.05900402079811</v>
      </c>
      <c r="CG26" s="1">
        <v>154.79806156051629</v>
      </c>
      <c r="CH26" s="1">
        <v>158.61697555678879</v>
      </c>
      <c r="CI26" s="1">
        <v>164.2502155713496</v>
      </c>
      <c r="CJ26" s="1">
        <v>180.04611977909201</v>
      </c>
      <c r="CK26" s="1">
        <v>190.35987527792301</v>
      </c>
      <c r="CL26" s="1">
        <v>194.46592639554629</v>
      </c>
      <c r="CM26" s="1">
        <v>207.17639858095279</v>
      </c>
      <c r="CN26" s="1">
        <v>216.88294288056181</v>
      </c>
      <c r="CO26" s="1">
        <v>283.93827642645601</v>
      </c>
      <c r="CP26" s="1">
        <v>340.77098906376199</v>
      </c>
      <c r="CQ26" s="1">
        <v>385.23496673217278</v>
      </c>
      <c r="CR26" s="1">
        <v>411.1470904961364</v>
      </c>
      <c r="CS26" s="1">
        <v>467.39614828058239</v>
      </c>
      <c r="CT26" s="1">
        <v>439.33334990104902</v>
      </c>
      <c r="CU26" s="1">
        <v>513.63346721215669</v>
      </c>
      <c r="CV26" s="1">
        <v>608.46503748170562</v>
      </c>
      <c r="CW26" s="1">
        <v>660.05128155376747</v>
      </c>
      <c r="CX26" s="1">
        <v>687.80403927042278</v>
      </c>
      <c r="CY26" s="1">
        <v>792.76935690638288</v>
      </c>
      <c r="CZ26" s="1">
        <v>718.99015865630986</v>
      </c>
      <c r="DA26" s="1">
        <v>736.09952609430854</v>
      </c>
      <c r="DB26" s="1">
        <v>856.00427829477837</v>
      </c>
      <c r="DC26" s="1">
        <v>676.32184571105222</v>
      </c>
      <c r="DD26" s="1">
        <v>733.72279570613819</v>
      </c>
      <c r="DE26" s="1">
        <v>807.34110176193008</v>
      </c>
      <c r="DF26" s="1">
        <v>789.30415104689644</v>
      </c>
      <c r="DG26" s="1">
        <v>794.08906829275804</v>
      </c>
      <c r="DH26" s="1">
        <v>704.17120296224459</v>
      </c>
      <c r="DI26" s="1">
        <v>704.83294603242859</v>
      </c>
      <c r="DJ26" s="1">
        <v>666.64151206980489</v>
      </c>
      <c r="DK26" s="1">
        <v>700.10237511741684</v>
      </c>
      <c r="DL26" s="1">
        <v>649.4907777393762</v>
      </c>
      <c r="DM26" s="1">
        <v>698.49069423075605</v>
      </c>
      <c r="DN26" s="1">
        <v>661.89487072633415</v>
      </c>
      <c r="DO26" s="1">
        <v>630.7622185121545</v>
      </c>
      <c r="DP26" s="1">
        <v>652.30809986686495</v>
      </c>
      <c r="DQ26" s="1">
        <v>747.32649154846922</v>
      </c>
      <c r="DR26" s="1">
        <v>778.69373339028721</v>
      </c>
      <c r="DS26" s="1">
        <v>750.48837685973592</v>
      </c>
      <c r="DT26" s="1">
        <v>743.29547395335487</v>
      </c>
      <c r="DU26" s="1">
        <v>779.88471555936633</v>
      </c>
      <c r="DV26" s="1">
        <v>927.1913118969029</v>
      </c>
      <c r="DW26" s="1">
        <v>942.21886421532474</v>
      </c>
      <c r="DX26" s="1">
        <v>997.87223622487318</v>
      </c>
      <c r="DY26" s="1">
        <v>1110.1492241756771</v>
      </c>
      <c r="DZ26" s="1">
        <v>1203.1231184482499</v>
      </c>
      <c r="EA26" s="1">
        <v>1184.261076832207</v>
      </c>
      <c r="EB26" s="1">
        <v>1356.4235563125631</v>
      </c>
      <c r="EC26" s="1">
        <v>1458.629935050212</v>
      </c>
      <c r="ED26" s="1">
        <v>1479.2811713814961</v>
      </c>
      <c r="EE26" s="1">
        <v>1566.9994919954299</v>
      </c>
      <c r="EF26" s="1">
        <v>1489.6278429163281</v>
      </c>
      <c r="EG26" s="1">
        <v>1251.599262507</v>
      </c>
      <c r="EH26" s="35"/>
    </row>
    <row r="27" spans="1:138" ht="16" customHeight="1">
      <c r="A27" s="1"/>
      <c r="B27" s="1"/>
      <c r="C27" s="6">
        <v>192</v>
      </c>
      <c r="D27" s="1">
        <v>1.124133172820296E-2</v>
      </c>
      <c r="E27" s="1">
        <v>0.23632989290661871</v>
      </c>
      <c r="F27" s="1">
        <v>0.41698848138295358</v>
      </c>
      <c r="G27" s="1">
        <v>0.70822391550713659</v>
      </c>
      <c r="H27" s="1">
        <v>1.2323568185130069</v>
      </c>
      <c r="I27" s="1">
        <v>1.2064993712674801</v>
      </c>
      <c r="J27" s="1">
        <v>1.2638799262918869</v>
      </c>
      <c r="K27" s="1">
        <v>1.1668710082147919</v>
      </c>
      <c r="L27" s="1">
        <v>1.190297979606028</v>
      </c>
      <c r="M27" s="1">
        <v>1.2641183189256071</v>
      </c>
      <c r="N27" s="1">
        <v>1.347428419430271</v>
      </c>
      <c r="O27" s="1">
        <v>1.742133456891386</v>
      </c>
      <c r="P27" s="1">
        <v>1.4195177613521359</v>
      </c>
      <c r="Q27" s="1">
        <v>1.5238925611241949</v>
      </c>
      <c r="R27" s="1">
        <v>1.739464158442813</v>
      </c>
      <c r="S27" s="1">
        <v>1.6586757980107529</v>
      </c>
      <c r="T27" s="1">
        <v>1.9823800926231829</v>
      </c>
      <c r="U27" s="1">
        <v>2.7411614564649032</v>
      </c>
      <c r="V27" s="1">
        <v>2.857032382302811</v>
      </c>
      <c r="W27" s="1">
        <v>3.8040731456202108</v>
      </c>
      <c r="X27" s="1">
        <v>4.8919250616295358</v>
      </c>
      <c r="Y27" s="1">
        <v>6.208081590630063</v>
      </c>
      <c r="Z27" s="1">
        <v>6.7927371946839061</v>
      </c>
      <c r="AA27" s="1">
        <v>7.7197866994885107</v>
      </c>
      <c r="AB27" s="1">
        <v>8.7965964132561076</v>
      </c>
      <c r="AC27" s="1">
        <v>9.5258497397373816</v>
      </c>
      <c r="AD27" s="1">
        <v>11.135142702989761</v>
      </c>
      <c r="AE27" s="1">
        <v>12.57739038906109</v>
      </c>
      <c r="AF27" s="1">
        <v>14.766353657601719</v>
      </c>
      <c r="AG27" s="1">
        <v>19.59256106033423</v>
      </c>
      <c r="AH27" s="1">
        <v>18.93023739383958</v>
      </c>
      <c r="AI27" s="1">
        <v>27.076873391931919</v>
      </c>
      <c r="AJ27" s="1">
        <v>29.415097263352902</v>
      </c>
      <c r="AK27" s="1">
        <v>31.34734546321781</v>
      </c>
      <c r="AL27" s="1">
        <v>32.37349750086743</v>
      </c>
      <c r="AM27" s="1">
        <v>37.537527889820282</v>
      </c>
      <c r="AN27" s="1">
        <v>39.211658798029632</v>
      </c>
      <c r="AO27" s="1">
        <v>37.826587552987917</v>
      </c>
      <c r="AP27" s="1">
        <v>35.919880051593353</v>
      </c>
      <c r="AQ27" s="1">
        <v>39.546554009642747</v>
      </c>
      <c r="AR27" s="1">
        <v>45.405791700505873</v>
      </c>
      <c r="AS27" s="1">
        <v>44.02572986807143</v>
      </c>
      <c r="AT27" s="1">
        <v>44.791744308340412</v>
      </c>
      <c r="AU27" s="1">
        <v>53.641609963877201</v>
      </c>
      <c r="AV27" s="1">
        <v>61.459329405921231</v>
      </c>
      <c r="AW27" s="1">
        <v>57.660697781480927</v>
      </c>
      <c r="AX27" s="1">
        <v>72.549654537267728</v>
      </c>
      <c r="AY27" s="1">
        <v>75.421437117346528</v>
      </c>
      <c r="AZ27" s="1">
        <v>102.5461162122628</v>
      </c>
      <c r="BA27" s="1">
        <v>118.7276827752131</v>
      </c>
      <c r="BB27" s="1">
        <v>130.94919373304381</v>
      </c>
      <c r="BC27" s="1">
        <v>159.16451051745599</v>
      </c>
      <c r="BD27" s="1">
        <v>173.0694730045972</v>
      </c>
      <c r="BE27" s="1">
        <v>171.10104398613441</v>
      </c>
      <c r="BF27" s="1">
        <v>154.18723309309129</v>
      </c>
      <c r="BG27" s="1">
        <v>163.4750886665162</v>
      </c>
      <c r="BH27" s="1">
        <v>172.69216225587391</v>
      </c>
      <c r="BI27" s="1">
        <v>185.1111495572423</v>
      </c>
      <c r="BJ27" s="1">
        <v>211.2539826661318</v>
      </c>
      <c r="BK27" s="1">
        <v>221.68409748742741</v>
      </c>
      <c r="BL27" s="1">
        <v>198.8370911767361</v>
      </c>
      <c r="BM27" s="1">
        <v>202.4037800006389</v>
      </c>
      <c r="BN27" s="1">
        <v>204.3202917369409</v>
      </c>
      <c r="BO27" s="1">
        <v>252.9131484498028</v>
      </c>
      <c r="BP27" s="1">
        <v>269.58405845236058</v>
      </c>
      <c r="BQ27" s="1">
        <v>323.49220207144958</v>
      </c>
      <c r="BR27" s="1">
        <v>310.23102543000141</v>
      </c>
      <c r="BS27" s="1">
        <v>376.89361684213452</v>
      </c>
      <c r="BT27" s="1">
        <v>364.59839540559773</v>
      </c>
      <c r="BU27" s="1">
        <v>329.30699905389451</v>
      </c>
      <c r="BV27" s="1">
        <v>315.86892218344582</v>
      </c>
      <c r="BW27" s="1">
        <v>356.88369972698979</v>
      </c>
      <c r="BX27" s="1">
        <v>482.79776077159499</v>
      </c>
      <c r="BY27" s="1">
        <v>473.03304780181497</v>
      </c>
      <c r="BZ27" s="1">
        <v>468.62701095581542</v>
      </c>
      <c r="CA27" s="1">
        <v>480.95462548536369</v>
      </c>
      <c r="CB27" s="1">
        <v>492.64131896427261</v>
      </c>
      <c r="CC27" s="1">
        <v>492.58812659407579</v>
      </c>
      <c r="CD27" s="1">
        <v>442.52378846196768</v>
      </c>
      <c r="CE27" s="1">
        <v>432.23047533936409</v>
      </c>
      <c r="CF27" s="1">
        <v>481.5184452442283</v>
      </c>
      <c r="CG27" s="1">
        <v>488.31952307427213</v>
      </c>
      <c r="CH27" s="1">
        <v>541.65076247175955</v>
      </c>
      <c r="CI27" s="1">
        <v>595.42522667856463</v>
      </c>
      <c r="CJ27" s="1">
        <v>704.48200577494094</v>
      </c>
      <c r="CK27" s="1">
        <v>814.51572587774388</v>
      </c>
      <c r="CL27" s="1">
        <v>822.27451755704567</v>
      </c>
      <c r="CM27" s="1">
        <v>870.93182863151208</v>
      </c>
      <c r="CN27" s="1">
        <v>801.65272306687189</v>
      </c>
      <c r="CO27" s="1">
        <v>1094.686238022749</v>
      </c>
      <c r="CP27" s="1">
        <v>1329.4578911705639</v>
      </c>
      <c r="CQ27" s="1">
        <v>1537.8884291567349</v>
      </c>
      <c r="CR27" s="1">
        <v>1652.231886081285</v>
      </c>
      <c r="CS27" s="1">
        <v>1896.6336914352789</v>
      </c>
      <c r="CT27" s="1">
        <v>1719.345422524327</v>
      </c>
      <c r="CU27" s="1">
        <v>1909.519217980037</v>
      </c>
      <c r="CV27" s="1">
        <v>2271.6236516601589</v>
      </c>
      <c r="CW27" s="1">
        <v>2333.29592784328</v>
      </c>
      <c r="CX27" s="1">
        <v>2519.3269548929238</v>
      </c>
      <c r="CY27" s="1">
        <v>2885.162967524584</v>
      </c>
      <c r="CZ27" s="1">
        <v>2593.7567408136861</v>
      </c>
      <c r="DA27" s="1">
        <v>2627.6510980807489</v>
      </c>
      <c r="DB27" s="1">
        <v>2973.7492198425462</v>
      </c>
      <c r="DC27" s="1">
        <v>1835.9376279324599</v>
      </c>
      <c r="DD27" s="1">
        <v>2094.6431013650331</v>
      </c>
      <c r="DE27" s="1">
        <v>2219.3334669776541</v>
      </c>
      <c r="DF27" s="1">
        <v>2140.235310150159</v>
      </c>
      <c r="DG27" s="1">
        <v>2237.661427881023</v>
      </c>
      <c r="DH27" s="1">
        <v>1959.9032990673691</v>
      </c>
      <c r="DI27" s="1">
        <v>1865.6654000648759</v>
      </c>
      <c r="DJ27" s="1">
        <v>1727.06860100271</v>
      </c>
      <c r="DK27" s="1">
        <v>2021.4216883377601</v>
      </c>
      <c r="DL27" s="1">
        <v>1979.4247702390239</v>
      </c>
      <c r="DM27" s="1">
        <v>1999.6916830618429</v>
      </c>
      <c r="DN27" s="1">
        <v>1751.9574470538389</v>
      </c>
      <c r="DO27" s="1">
        <v>1662.815483013879</v>
      </c>
      <c r="DP27" s="1">
        <v>1745.7081924022821</v>
      </c>
      <c r="DQ27" s="1">
        <v>1870.5265258322311</v>
      </c>
      <c r="DR27" s="1">
        <v>2122.4915623094639</v>
      </c>
      <c r="DS27" s="1">
        <v>2061.328391749099</v>
      </c>
      <c r="DT27" s="1">
        <v>1917.392805597</v>
      </c>
      <c r="DU27" s="1">
        <v>1900.3944508031379</v>
      </c>
      <c r="DV27" s="1">
        <v>2418.798862804766</v>
      </c>
      <c r="DW27" s="1">
        <v>2518.194127338159</v>
      </c>
      <c r="DX27" s="1">
        <v>2560.2830952249528</v>
      </c>
      <c r="DY27" s="1">
        <v>3099.8344531074358</v>
      </c>
      <c r="DZ27" s="1">
        <v>3680.9365042683498</v>
      </c>
      <c r="EA27" s="1">
        <v>3780.407968796992</v>
      </c>
      <c r="EB27" s="1">
        <v>3847.6124456706189</v>
      </c>
      <c r="EC27" s="1">
        <v>4656.7812445252521</v>
      </c>
      <c r="ED27" s="1">
        <v>4934.4975004183443</v>
      </c>
      <c r="EE27" s="1">
        <v>5551.7623333643814</v>
      </c>
      <c r="EF27" s="1">
        <v>5440.6094286166617</v>
      </c>
      <c r="EG27" s="1">
        <v>4300.3651071199047</v>
      </c>
    </row>
    <row r="28" spans="1:138" ht="16" customHeight="1">
      <c r="A28" s="37"/>
      <c r="B28" s="37"/>
      <c r="C28" s="18">
        <v>964</v>
      </c>
      <c r="D28" s="37">
        <v>2.7766967310441041E-2</v>
      </c>
      <c r="E28" s="37">
        <v>-5.6497980503421807E-2</v>
      </c>
      <c r="F28" s="37">
        <v>-0.13375224156538729</v>
      </c>
      <c r="G28" s="37">
        <v>4.0836285629268783E-2</v>
      </c>
      <c r="H28" s="37">
        <v>1.7290082745691659E-2</v>
      </c>
      <c r="I28" s="37">
        <v>0.37417801879386903</v>
      </c>
      <c r="J28" s="37">
        <v>0.44088291099873528</v>
      </c>
      <c r="K28" s="37">
        <v>0.43343279861020312</v>
      </c>
      <c r="L28" s="37">
        <v>0.40513030483362988</v>
      </c>
      <c r="M28" s="37">
        <v>0.13453926550544471</v>
      </c>
      <c r="N28" s="37">
        <v>0.28934851520357202</v>
      </c>
      <c r="O28" s="37">
        <v>0.42497729132991879</v>
      </c>
      <c r="P28" s="37">
        <v>3.9524855993480663E-2</v>
      </c>
      <c r="Q28" s="37">
        <v>0.12033386525635879</v>
      </c>
      <c r="R28" s="37">
        <v>0.21757160761858579</v>
      </c>
      <c r="S28" s="37">
        <v>0.24491128386955061</v>
      </c>
      <c r="T28" s="37">
        <v>0.61705753042158662</v>
      </c>
      <c r="U28" s="37">
        <v>1.3514859209403829</v>
      </c>
      <c r="V28" s="37">
        <v>1.627366874844574</v>
      </c>
      <c r="W28" s="37">
        <v>3.105306940886289</v>
      </c>
      <c r="X28" s="37">
        <v>5.7447464183996173</v>
      </c>
      <c r="Y28" s="37">
        <v>8.4047413703045137</v>
      </c>
      <c r="Z28" s="37">
        <v>9.8181816436079323</v>
      </c>
      <c r="AA28" s="37">
        <v>10.788255165836571</v>
      </c>
      <c r="AB28" s="37">
        <v>11.709048108598671</v>
      </c>
      <c r="AC28" s="37">
        <v>12.547435717779781</v>
      </c>
      <c r="AD28" s="37">
        <v>17.990081897860811</v>
      </c>
      <c r="AE28" s="37">
        <v>11.07967762926558</v>
      </c>
      <c r="AF28" s="37">
        <v>13.412768185723021</v>
      </c>
      <c r="AG28" s="37">
        <v>20.461200377761632</v>
      </c>
      <c r="AH28" s="37">
        <v>28.617645312629879</v>
      </c>
      <c r="AI28" s="37">
        <v>71.946708715902446</v>
      </c>
      <c r="AJ28" s="37">
        <v>83.028165406871835</v>
      </c>
      <c r="AK28" s="37">
        <v>87.024562120617901</v>
      </c>
      <c r="AL28" s="37">
        <v>103.8730187009872</v>
      </c>
      <c r="AM28" s="37">
        <v>122.28002750947439</v>
      </c>
      <c r="AN28" s="37">
        <v>121.20313101178741</v>
      </c>
      <c r="AO28" s="37">
        <v>107.6800382010818</v>
      </c>
      <c r="AP28" s="37">
        <v>96.496242513818501</v>
      </c>
      <c r="AQ28" s="37">
        <v>116.0099510900322</v>
      </c>
      <c r="AR28" s="37">
        <v>77.034124010661415</v>
      </c>
      <c r="AS28" s="37">
        <v>75.446063687787444</v>
      </c>
      <c r="AT28" s="37">
        <v>52.200713925078873</v>
      </c>
      <c r="AU28" s="37">
        <v>40.88723896396337</v>
      </c>
      <c r="AV28" s="37">
        <v>50.514644511447287</v>
      </c>
      <c r="AW28" s="37">
        <v>38.263269196627647</v>
      </c>
      <c r="AX28" s="37">
        <v>47.05088636523751</v>
      </c>
      <c r="AY28" s="37">
        <v>43.523591145623499</v>
      </c>
      <c r="AZ28" s="37">
        <v>36.790131441618463</v>
      </c>
      <c r="BA28" s="37">
        <v>59.838315987186448</v>
      </c>
      <c r="BB28" s="37">
        <v>53.64602826873098</v>
      </c>
      <c r="BC28" s="37">
        <v>96.223608032705684</v>
      </c>
      <c r="BD28" s="37">
        <v>87.493677607286898</v>
      </c>
      <c r="BE28" s="37">
        <v>102.76504382723</v>
      </c>
      <c r="BF28" s="37">
        <v>108.71913786608189</v>
      </c>
      <c r="BG28" s="37">
        <v>109.3014412505289</v>
      </c>
      <c r="BH28" s="37">
        <v>135.5688484299468</v>
      </c>
      <c r="BI28" s="37">
        <v>167.03789288516589</v>
      </c>
      <c r="BJ28" s="37">
        <v>146.85244542207391</v>
      </c>
      <c r="BK28" s="37">
        <v>137.8974287579976</v>
      </c>
      <c r="BL28" s="37">
        <v>136.5057144479145</v>
      </c>
      <c r="BM28" s="37">
        <v>151.0960223111685</v>
      </c>
      <c r="BN28" s="37">
        <v>163.99117022052579</v>
      </c>
      <c r="BO28" s="37">
        <v>200.66206954587079</v>
      </c>
      <c r="BP28" s="37">
        <v>188.73321508954521</v>
      </c>
      <c r="BQ28" s="37">
        <v>296.34773444420551</v>
      </c>
      <c r="BR28" s="37">
        <v>254.57488550937711</v>
      </c>
      <c r="BS28" s="37">
        <v>373.57541602976522</v>
      </c>
      <c r="BT28" s="37">
        <v>328.01916567371649</v>
      </c>
      <c r="BU28" s="37">
        <v>346.37819042947291</v>
      </c>
      <c r="BV28" s="37">
        <v>503.24359896974619</v>
      </c>
      <c r="BW28" s="37">
        <v>794.37710802912409</v>
      </c>
      <c r="BX28" s="37">
        <v>914.50088080223441</v>
      </c>
      <c r="BY28" s="37">
        <v>1004.640344084483</v>
      </c>
      <c r="BZ28" s="37">
        <v>605.11763149893227</v>
      </c>
      <c r="CA28" s="37">
        <v>519.26433672051212</v>
      </c>
      <c r="CB28" s="37">
        <v>474.85866284669521</v>
      </c>
      <c r="CC28" s="37">
        <v>505.37409088958822</v>
      </c>
      <c r="CD28" s="37">
        <v>616.69091149603298</v>
      </c>
      <c r="CE28" s="37">
        <v>588.80122458073458</v>
      </c>
      <c r="CF28" s="37">
        <v>694.5548158771652</v>
      </c>
      <c r="CG28" s="37">
        <v>541.11558368999272</v>
      </c>
      <c r="CH28" s="37">
        <v>584.65960239873141</v>
      </c>
      <c r="CI28" s="37">
        <v>679.16862304337974</v>
      </c>
      <c r="CJ28" s="37">
        <v>606.93434298739032</v>
      </c>
      <c r="CK28" s="37">
        <v>433.18475987522947</v>
      </c>
      <c r="CL28" s="37">
        <v>298.68887661861731</v>
      </c>
      <c r="CM28" s="37">
        <v>286.05080422898118</v>
      </c>
      <c r="CN28" s="37">
        <v>273.22292336327888</v>
      </c>
      <c r="CO28" s="37">
        <v>313.57074518191939</v>
      </c>
      <c r="CP28" s="37">
        <v>462.14659541081062</v>
      </c>
      <c r="CQ28" s="37">
        <v>553.88081216300327</v>
      </c>
      <c r="CR28" s="37">
        <v>525.3377276525855</v>
      </c>
      <c r="CS28" s="37">
        <v>391.08861117402722</v>
      </c>
      <c r="CT28" s="37">
        <v>452.86812604193148</v>
      </c>
      <c r="CU28" s="37">
        <v>499.20470466012898</v>
      </c>
      <c r="CV28" s="37">
        <v>613.60621463368636</v>
      </c>
      <c r="CW28" s="37">
        <v>668.75227053538936</v>
      </c>
      <c r="CX28" s="37">
        <v>831.93725553944728</v>
      </c>
      <c r="CY28" s="37">
        <v>954.12467444764309</v>
      </c>
      <c r="CZ28" s="37">
        <v>610.06197855074208</v>
      </c>
      <c r="DA28" s="37">
        <v>511.00460946384669</v>
      </c>
      <c r="DB28" s="37">
        <v>644.39922531611751</v>
      </c>
      <c r="DC28" s="37">
        <v>32.490030815503147</v>
      </c>
      <c r="DD28" s="37">
        <v>44.215478132768688</v>
      </c>
      <c r="DE28" s="37">
        <v>47.629504377045372</v>
      </c>
      <c r="DF28" s="37">
        <v>37.307649292924587</v>
      </c>
      <c r="DG28" s="37">
        <v>44.763775978340682</v>
      </c>
      <c r="DH28" s="37">
        <v>33.38740546185354</v>
      </c>
      <c r="DI28" s="37">
        <v>29.851250761065671</v>
      </c>
      <c r="DJ28" s="37">
        <v>16.79812359394078</v>
      </c>
      <c r="DK28" s="37">
        <v>20.20552024147376</v>
      </c>
      <c r="DL28" s="37">
        <v>16.684943120333251</v>
      </c>
      <c r="DM28" s="37">
        <v>18.068383801555509</v>
      </c>
      <c r="DN28" s="37">
        <v>11.05067763032446</v>
      </c>
      <c r="DO28" s="37">
        <v>11.443260661576151</v>
      </c>
      <c r="DP28" s="37">
        <v>10.40904789150599</v>
      </c>
      <c r="DQ28" s="37">
        <v>9.7805216088630988</v>
      </c>
      <c r="DR28" s="37">
        <v>10.60103076586832</v>
      </c>
      <c r="DS28" s="37">
        <v>9.643284159876174</v>
      </c>
      <c r="DT28" s="37">
        <v>8.1105770056625346</v>
      </c>
      <c r="DU28" s="37">
        <v>7.5478068903756039</v>
      </c>
      <c r="DV28" s="37">
        <v>14.1342622857448</v>
      </c>
      <c r="DW28" s="37">
        <v>12.59624753488262</v>
      </c>
      <c r="DX28" s="37">
        <v>15.75237535524168</v>
      </c>
      <c r="DY28" s="37">
        <v>25.25391977971146</v>
      </c>
      <c r="DZ28" s="37">
        <v>26.09579203637885</v>
      </c>
      <c r="EA28" s="37">
        <v>29.634546071108002</v>
      </c>
      <c r="EB28" s="37">
        <v>37.995235578211457</v>
      </c>
      <c r="EC28" s="37">
        <v>63.958559594118753</v>
      </c>
      <c r="ED28" s="37">
        <v>73.27598918667303</v>
      </c>
      <c r="EE28" s="37">
        <v>95.026287040714593</v>
      </c>
      <c r="EF28" s="37">
        <v>91.601607184532199</v>
      </c>
      <c r="EG28" s="37">
        <v>79.659910138530606</v>
      </c>
    </row>
    <row r="29" spans="1:138" s="1" customFormat="1" ht="16" customHeight="1">
      <c r="C29" s="6" t="s">
        <v>147</v>
      </c>
      <c r="D29" s="36">
        <v>-1.744677053939037E-2</v>
      </c>
      <c r="E29" s="36">
        <v>2.893123339404724E-3</v>
      </c>
      <c r="F29" s="36">
        <v>2.6944635852046869E-2</v>
      </c>
      <c r="G29" s="36">
        <v>2.0210365301730041E-2</v>
      </c>
      <c r="H29" s="36">
        <v>5.269909680859941E-2</v>
      </c>
      <c r="I29" s="36">
        <v>8.8857766197530053E-2</v>
      </c>
      <c r="J29" s="36">
        <v>7.9869318529145472E-2</v>
      </c>
      <c r="K29" s="36">
        <v>9.3738646464063713E-2</v>
      </c>
      <c r="L29" s="36">
        <v>3.7937714394164157E-2</v>
      </c>
      <c r="M29" s="36">
        <v>3.8844812525307137E-2</v>
      </c>
      <c r="N29" s="36">
        <v>6.3142951706360639E-2</v>
      </c>
      <c r="O29" s="36">
        <v>7.6952085951054405E-2</v>
      </c>
      <c r="P29" s="36">
        <v>8.3257197491512391E-2</v>
      </c>
      <c r="Q29" s="36">
        <v>0.11295275081672609</v>
      </c>
      <c r="R29" s="36">
        <v>0.1088204283509331</v>
      </c>
      <c r="S29" s="36">
        <v>0.13551706985268061</v>
      </c>
      <c r="T29" s="36">
        <v>0.12167508804368481</v>
      </c>
      <c r="U29" s="36">
        <v>7.7088976461827885E-2</v>
      </c>
      <c r="V29" s="36">
        <v>-1.7059521199481731E-3</v>
      </c>
      <c r="W29" s="36">
        <v>-5.9866792867339091E-2</v>
      </c>
      <c r="X29" s="36">
        <v>-5.9140260213613523E-2</v>
      </c>
      <c r="Y29" s="36">
        <v>-1.7185893241652209E-2</v>
      </c>
      <c r="Z29" s="36">
        <v>-4.4409529547694393E-2</v>
      </c>
      <c r="AA29" s="36">
        <v>-4.2407561826578573E-2</v>
      </c>
      <c r="AB29" s="36">
        <v>-6.481575250614946E-2</v>
      </c>
      <c r="AC29" s="36">
        <v>-3.4768870774049443E-2</v>
      </c>
      <c r="AD29" s="36">
        <v>2.7817794451217011E-3</v>
      </c>
      <c r="AE29" s="36">
        <v>-4.0202844765013457E-2</v>
      </c>
      <c r="AF29" s="36">
        <v>-2.23053204826642E-2</v>
      </c>
      <c r="AG29" s="36">
        <v>-7.4152570234460313E-3</v>
      </c>
      <c r="AH29" s="36">
        <v>2.8334274381314421E-2</v>
      </c>
      <c r="AI29" s="36">
        <v>3.7953941892352683E-2</v>
      </c>
      <c r="AJ29" s="36">
        <v>4.9110131735873752E-2</v>
      </c>
      <c r="AK29" s="36">
        <v>6.3123886850196875E-2</v>
      </c>
      <c r="AL29" s="36">
        <v>5.7454515782098918E-2</v>
      </c>
      <c r="AM29" s="36">
        <v>5.8917118987427568E-2</v>
      </c>
      <c r="AN29" s="36">
        <v>8.0938283596681648E-2</v>
      </c>
      <c r="AO29" s="36">
        <v>0.11500697453770201</v>
      </c>
      <c r="AP29" s="36">
        <v>0.1219665320054517</v>
      </c>
      <c r="AQ29" s="36">
        <v>0.12886130991117531</v>
      </c>
      <c r="AR29" s="36">
        <v>0.14799139743631429</v>
      </c>
      <c r="AS29" s="36">
        <v>0.18780698843660251</v>
      </c>
      <c r="AT29" s="36">
        <v>0.19148751365039929</v>
      </c>
      <c r="AU29" s="36">
        <v>0.20945675046088999</v>
      </c>
      <c r="AV29" s="36">
        <v>0.18617324550329581</v>
      </c>
      <c r="AW29" s="36">
        <v>0.23209180697664691</v>
      </c>
      <c r="AX29" s="36">
        <v>0.205162036556817</v>
      </c>
      <c r="AY29" s="36">
        <v>0.21453132863303209</v>
      </c>
      <c r="AZ29" s="36">
        <v>0.2660241129922889</v>
      </c>
      <c r="BA29" s="36">
        <v>0.23271631642995261</v>
      </c>
      <c r="BB29" s="36">
        <v>0.2445155679795841</v>
      </c>
      <c r="BC29" s="36">
        <v>0.21433638745422809</v>
      </c>
      <c r="BD29" s="36">
        <v>0.2388215063710388</v>
      </c>
      <c r="BE29" s="36">
        <v>0.23447943849994909</v>
      </c>
      <c r="BF29" s="36">
        <v>0.25935658802508499</v>
      </c>
      <c r="BG29" s="36">
        <v>0.26008869763716319</v>
      </c>
      <c r="BH29" s="36">
        <v>0.2535114114609236</v>
      </c>
      <c r="BI29" s="36">
        <v>0.10826483627727621</v>
      </c>
      <c r="BJ29" s="36">
        <v>0.11793469710078749</v>
      </c>
      <c r="BK29" s="36">
        <v>9.9625988810205346E-2</v>
      </c>
      <c r="BL29" s="36">
        <v>0.12254260303831389</v>
      </c>
      <c r="BM29" s="36">
        <v>0.17302993558174001</v>
      </c>
      <c r="BN29" s="36">
        <v>0.20112905370185399</v>
      </c>
      <c r="BO29" s="36">
        <v>0.237450116940952</v>
      </c>
      <c r="BP29" s="36">
        <v>0.18334151222801379</v>
      </c>
      <c r="BQ29" s="36">
        <v>0.209244230248715</v>
      </c>
      <c r="BR29" s="36">
        <v>0.21967690051673561</v>
      </c>
      <c r="BS29" s="36">
        <v>0.1962676978767699</v>
      </c>
      <c r="BT29" s="36">
        <v>0.21987619627534569</v>
      </c>
      <c r="BU29" s="36">
        <v>0.27805738326883361</v>
      </c>
      <c r="BV29" s="36">
        <v>0.29269729646247922</v>
      </c>
      <c r="BW29" s="36">
        <v>0.34857881761669129</v>
      </c>
      <c r="BX29" s="36">
        <v>0.2909305384219143</v>
      </c>
      <c r="BY29" s="36">
        <v>0.26793739709811137</v>
      </c>
      <c r="BZ29" s="36">
        <v>7.628473289061688E-2</v>
      </c>
      <c r="CA29" s="36">
        <v>0.2099851314449144</v>
      </c>
      <c r="CB29" s="36">
        <v>0.20447092205281339</v>
      </c>
      <c r="CC29" s="36">
        <v>0.27699361006036599</v>
      </c>
      <c r="CD29" s="36">
        <v>0.38680488733361829</v>
      </c>
      <c r="CE29" s="36">
        <v>0.37874965946081551</v>
      </c>
      <c r="CF29" s="36">
        <v>0.37042015435709108</v>
      </c>
      <c r="CG29" s="36">
        <v>0.37378086910184649</v>
      </c>
      <c r="CH29" s="36">
        <v>0.49692143719092191</v>
      </c>
      <c r="CI29" s="36">
        <v>0.603191980394987</v>
      </c>
      <c r="CJ29" s="36">
        <v>0.64675173719730239</v>
      </c>
      <c r="CK29" s="36">
        <v>0.73315421285472704</v>
      </c>
      <c r="CL29" s="36">
        <v>0.7842487445659152</v>
      </c>
      <c r="CM29" s="36">
        <v>0.90348131155309508</v>
      </c>
      <c r="CN29" s="36">
        <v>0.8487139113221478</v>
      </c>
      <c r="CO29" s="36">
        <v>0.92166881344527685</v>
      </c>
      <c r="CP29" s="36">
        <v>0.86588067898046694</v>
      </c>
      <c r="CQ29" s="36">
        <v>0.89197293519067467</v>
      </c>
      <c r="CR29" s="36">
        <v>0.83090579105751727</v>
      </c>
      <c r="CS29" s="36">
        <v>0.83658814745105547</v>
      </c>
      <c r="CT29" s="36">
        <v>0.88358984642415717</v>
      </c>
      <c r="CU29" s="36">
        <v>0.9672059526983301</v>
      </c>
      <c r="CV29" s="36">
        <v>0.90752297284093331</v>
      </c>
      <c r="CW29" s="36">
        <v>0.90512335385454468</v>
      </c>
      <c r="CX29" s="36">
        <v>0.90957440110152876</v>
      </c>
      <c r="CY29" s="36">
        <v>0.78685723504233995</v>
      </c>
      <c r="CZ29" s="36">
        <v>0.80992516787144164</v>
      </c>
      <c r="DA29" s="36">
        <v>0.58282101623526672</v>
      </c>
      <c r="DB29" s="36">
        <v>0.60132527488651344</v>
      </c>
      <c r="DC29" s="36">
        <v>0.61147422419279152</v>
      </c>
      <c r="DD29" s="36">
        <v>0.42243966588262949</v>
      </c>
      <c r="DE29" s="36">
        <v>0.37121637307647259</v>
      </c>
      <c r="DF29" s="36">
        <v>0.5616938276257708</v>
      </c>
      <c r="DG29" s="36">
        <v>0.48182332962932128</v>
      </c>
      <c r="DH29" s="36">
        <v>0.59552577817978314</v>
      </c>
      <c r="DI29" s="36">
        <v>0.62027043996328524</v>
      </c>
      <c r="DJ29" s="36">
        <v>0.65789923395288952</v>
      </c>
      <c r="DK29" s="36">
        <v>0.62743885630809859</v>
      </c>
      <c r="DL29" s="36">
        <v>0.72866394865424411</v>
      </c>
      <c r="DM29" s="36">
        <v>0.76340716304992284</v>
      </c>
      <c r="DN29" s="36">
        <v>0.78721129009524526</v>
      </c>
      <c r="DO29" s="36">
        <v>0.73314419395664854</v>
      </c>
      <c r="DP29" s="36">
        <v>0.7036411650845571</v>
      </c>
      <c r="DQ29" s="36">
        <v>0.666521339911188</v>
      </c>
      <c r="DR29" s="36">
        <v>0.80941825308633253</v>
      </c>
      <c r="DS29" s="36">
        <v>0.86027510799998974</v>
      </c>
      <c r="DT29" s="36">
        <v>0.85599059714061299</v>
      </c>
      <c r="DU29" s="36">
        <v>0.9645125910761998</v>
      </c>
      <c r="DV29" s="36">
        <v>1.097429448381251</v>
      </c>
      <c r="DW29" s="36">
        <v>1.1079601605760621</v>
      </c>
      <c r="DX29" s="36">
        <v>1.1868319851241951</v>
      </c>
      <c r="DY29" s="36">
        <v>1.370768618416941</v>
      </c>
      <c r="DZ29" s="36">
        <v>1.2834475238077689</v>
      </c>
      <c r="EA29" s="36">
        <v>1.290507264949454</v>
      </c>
      <c r="EB29" s="36">
        <v>1.2860233033025421</v>
      </c>
      <c r="EC29" s="36">
        <v>1.346509430724685</v>
      </c>
      <c r="ED29" s="36">
        <v>1.2884273650883471</v>
      </c>
      <c r="EE29" s="36">
        <v>1.366498188226261</v>
      </c>
      <c r="EF29" s="36">
        <v>1.416341311511776</v>
      </c>
      <c r="EG29" s="36">
        <v>1.367344209826507</v>
      </c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2:EI30"/>
  <sheetViews>
    <sheetView topLeftCell="BF14" zoomScaleNormal="83" workbookViewId="0">
      <selection activeCell="EL8" sqref="EL8"/>
    </sheetView>
  </sheetViews>
  <sheetFormatPr baseColWidth="10" defaultColWidth="8.83203125" defaultRowHeight="15"/>
  <cols>
    <col min="1" max="1" width="8.33203125" style="21" customWidth="1"/>
    <col min="2" max="3" width="9.33203125" style="21" customWidth="1"/>
    <col min="11" max="11" width="8.1640625" style="21" customWidth="1"/>
    <col min="64" max="64" width="8.33203125" style="21" customWidth="1"/>
    <col min="137" max="137" width="8.83203125" customWidth="1"/>
    <col min="139" max="139" width="9.5" style="21" customWidth="1"/>
  </cols>
  <sheetData>
    <row r="12" spans="1:139" ht="16" customHeight="1">
      <c r="A12" s="54" t="s">
        <v>142</v>
      </c>
      <c r="B12" s="55"/>
      <c r="C12" s="10" t="s">
        <v>143</v>
      </c>
      <c r="D12" s="10">
        <v>964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</row>
    <row r="13" spans="1:139" ht="18" customHeight="1">
      <c r="A13" s="6" t="s">
        <v>144</v>
      </c>
      <c r="B13" s="6" t="s">
        <v>145</v>
      </c>
      <c r="C13" s="12" t="s">
        <v>3</v>
      </c>
      <c r="D13" s="12" t="s">
        <v>4</v>
      </c>
      <c r="E13" s="12" t="s">
        <v>5</v>
      </c>
      <c r="F13" s="12" t="s">
        <v>6</v>
      </c>
      <c r="G13" s="12" t="s">
        <v>7</v>
      </c>
      <c r="H13" s="12" t="s">
        <v>8</v>
      </c>
      <c r="I13" s="12" t="s">
        <v>9</v>
      </c>
      <c r="J13" s="12" t="s">
        <v>10</v>
      </c>
      <c r="K13" s="12" t="s">
        <v>11</v>
      </c>
      <c r="L13" s="12" t="s">
        <v>12</v>
      </c>
      <c r="M13" s="12" t="s">
        <v>13</v>
      </c>
      <c r="N13" s="12" t="s">
        <v>14</v>
      </c>
      <c r="O13" s="12" t="s">
        <v>15</v>
      </c>
      <c r="P13" s="12" t="s">
        <v>16</v>
      </c>
      <c r="Q13" s="12" t="s">
        <v>17</v>
      </c>
      <c r="R13" s="12" t="s">
        <v>18</v>
      </c>
      <c r="S13" s="12" t="s">
        <v>19</v>
      </c>
      <c r="T13" s="12" t="s">
        <v>20</v>
      </c>
      <c r="U13" s="12" t="s">
        <v>21</v>
      </c>
      <c r="V13" s="12" t="s">
        <v>22</v>
      </c>
      <c r="W13" s="12" t="s">
        <v>23</v>
      </c>
      <c r="X13" s="12" t="s">
        <v>24</v>
      </c>
      <c r="Y13" s="12" t="s">
        <v>25</v>
      </c>
      <c r="Z13" s="12" t="s">
        <v>26</v>
      </c>
      <c r="AA13" s="12" t="s">
        <v>27</v>
      </c>
      <c r="AB13" s="12" t="s">
        <v>28</v>
      </c>
      <c r="AC13" s="12" t="s">
        <v>29</v>
      </c>
      <c r="AD13" s="12" t="s">
        <v>30</v>
      </c>
      <c r="AE13" s="12" t="s">
        <v>31</v>
      </c>
      <c r="AF13" s="12" t="s">
        <v>32</v>
      </c>
      <c r="AG13" s="12" t="s">
        <v>33</v>
      </c>
      <c r="AH13" s="12" t="s">
        <v>34</v>
      </c>
      <c r="AI13" s="12" t="s">
        <v>35</v>
      </c>
      <c r="AJ13" s="12" t="s">
        <v>36</v>
      </c>
      <c r="AK13" s="12" t="s">
        <v>37</v>
      </c>
      <c r="AL13" s="12" t="s">
        <v>38</v>
      </c>
      <c r="AM13" s="12" t="s">
        <v>39</v>
      </c>
      <c r="AN13" s="12" t="s">
        <v>40</v>
      </c>
      <c r="AO13" s="12" t="s">
        <v>41</v>
      </c>
      <c r="AP13" s="12" t="s">
        <v>42</v>
      </c>
      <c r="AQ13" s="12" t="s">
        <v>43</v>
      </c>
      <c r="AR13" s="12" t="s">
        <v>44</v>
      </c>
      <c r="AS13" s="12" t="s">
        <v>45</v>
      </c>
      <c r="AT13" s="12" t="s">
        <v>46</v>
      </c>
      <c r="AU13" s="12" t="s">
        <v>47</v>
      </c>
      <c r="AV13" s="12" t="s">
        <v>48</v>
      </c>
      <c r="AW13" s="12" t="s">
        <v>49</v>
      </c>
      <c r="AX13" s="12" t="s">
        <v>50</v>
      </c>
      <c r="AY13" s="12" t="s">
        <v>51</v>
      </c>
      <c r="AZ13" s="12" t="s">
        <v>52</v>
      </c>
      <c r="BA13" s="12" t="s">
        <v>53</v>
      </c>
      <c r="BB13" s="12" t="s">
        <v>54</v>
      </c>
      <c r="BC13" s="12" t="s">
        <v>55</v>
      </c>
      <c r="BD13" s="12" t="s">
        <v>56</v>
      </c>
      <c r="BE13" s="12" t="s">
        <v>57</v>
      </c>
      <c r="BF13" s="12" t="s">
        <v>58</v>
      </c>
      <c r="BG13" s="12" t="s">
        <v>59</v>
      </c>
      <c r="BH13" s="12" t="s">
        <v>60</v>
      </c>
      <c r="BI13" s="12" t="s">
        <v>61</v>
      </c>
      <c r="BJ13" s="12" t="s">
        <v>62</v>
      </c>
      <c r="BK13" s="12" t="s">
        <v>63</v>
      </c>
      <c r="BL13" s="12" t="s">
        <v>64</v>
      </c>
      <c r="BM13" s="12" t="s">
        <v>65</v>
      </c>
      <c r="BN13" s="12" t="s">
        <v>66</v>
      </c>
      <c r="BO13" s="12" t="s">
        <v>67</v>
      </c>
      <c r="BP13" s="12" t="s">
        <v>68</v>
      </c>
      <c r="BQ13" s="12" t="s">
        <v>69</v>
      </c>
      <c r="BR13" s="12" t="s">
        <v>70</v>
      </c>
      <c r="BS13" s="12" t="s">
        <v>71</v>
      </c>
      <c r="BT13" s="12" t="s">
        <v>72</v>
      </c>
      <c r="BU13" s="12" t="s">
        <v>73</v>
      </c>
      <c r="BV13" s="12" t="s">
        <v>74</v>
      </c>
      <c r="BW13" s="12" t="s">
        <v>75</v>
      </c>
      <c r="BX13" s="12" t="s">
        <v>76</v>
      </c>
      <c r="BY13" s="12" t="s">
        <v>77</v>
      </c>
      <c r="BZ13" s="12" t="s">
        <v>78</v>
      </c>
      <c r="CA13" s="12" t="s">
        <v>79</v>
      </c>
      <c r="CB13" s="12" t="s">
        <v>80</v>
      </c>
      <c r="CC13" s="12" t="s">
        <v>81</v>
      </c>
      <c r="CD13" s="12" t="s">
        <v>82</v>
      </c>
      <c r="CE13" s="12" t="s">
        <v>83</v>
      </c>
      <c r="CF13" s="12" t="s">
        <v>84</v>
      </c>
      <c r="CG13" s="12" t="s">
        <v>85</v>
      </c>
      <c r="CH13" s="12" t="s">
        <v>86</v>
      </c>
      <c r="CI13" s="12" t="s">
        <v>87</v>
      </c>
      <c r="CJ13" s="12" t="s">
        <v>88</v>
      </c>
      <c r="CK13" s="12" t="s">
        <v>89</v>
      </c>
      <c r="CL13" s="12" t="s">
        <v>90</v>
      </c>
      <c r="CM13" s="12" t="s">
        <v>91</v>
      </c>
      <c r="CN13" s="12" t="s">
        <v>92</v>
      </c>
      <c r="CO13" s="12" t="s">
        <v>93</v>
      </c>
      <c r="CP13" s="12" t="s">
        <v>94</v>
      </c>
      <c r="CQ13" s="12" t="s">
        <v>95</v>
      </c>
      <c r="CR13" s="12" t="s">
        <v>96</v>
      </c>
      <c r="CS13" s="12" t="s">
        <v>97</v>
      </c>
      <c r="CT13" s="12" t="s">
        <v>98</v>
      </c>
      <c r="CU13" s="12" t="s">
        <v>99</v>
      </c>
      <c r="CV13" s="12" t="s">
        <v>100</v>
      </c>
      <c r="CW13" s="12" t="s">
        <v>101</v>
      </c>
      <c r="CX13" s="12" t="s">
        <v>102</v>
      </c>
      <c r="CY13" s="12" t="s">
        <v>103</v>
      </c>
      <c r="CZ13" s="12" t="s">
        <v>104</v>
      </c>
      <c r="DA13" s="12" t="s">
        <v>105</v>
      </c>
      <c r="DB13" s="12" t="s">
        <v>106</v>
      </c>
      <c r="DC13" s="12" t="s">
        <v>107</v>
      </c>
      <c r="DD13" s="12" t="s">
        <v>108</v>
      </c>
      <c r="DE13" s="12" t="s">
        <v>109</v>
      </c>
      <c r="DF13" s="12" t="s">
        <v>110</v>
      </c>
      <c r="DG13" s="12" t="s">
        <v>111</v>
      </c>
      <c r="DH13" s="12" t="s">
        <v>112</v>
      </c>
      <c r="DI13" s="12" t="s">
        <v>113</v>
      </c>
      <c r="DJ13" s="12" t="s">
        <v>114</v>
      </c>
      <c r="DK13" s="12" t="s">
        <v>115</v>
      </c>
      <c r="DL13" s="12" t="s">
        <v>116</v>
      </c>
      <c r="DM13" s="12" t="s">
        <v>117</v>
      </c>
      <c r="DN13" s="12" t="s">
        <v>118</v>
      </c>
      <c r="DO13" s="12" t="s">
        <v>119</v>
      </c>
      <c r="DP13" s="12" t="s">
        <v>120</v>
      </c>
      <c r="DQ13" s="12" t="s">
        <v>121</v>
      </c>
      <c r="DR13" s="12" t="s">
        <v>122</v>
      </c>
      <c r="DS13" s="12" t="s">
        <v>123</v>
      </c>
      <c r="DT13" s="12" t="s">
        <v>124</v>
      </c>
      <c r="DU13" s="12" t="s">
        <v>125</v>
      </c>
      <c r="DV13" s="12" t="s">
        <v>126</v>
      </c>
      <c r="DW13" s="12" t="s">
        <v>127</v>
      </c>
      <c r="DX13" s="12" t="s">
        <v>128</v>
      </c>
      <c r="DY13" s="12" t="s">
        <v>129</v>
      </c>
      <c r="DZ13" s="12" t="s">
        <v>130</v>
      </c>
      <c r="EA13" s="12" t="s">
        <v>131</v>
      </c>
      <c r="EB13" s="12" t="s">
        <v>132</v>
      </c>
      <c r="EC13" s="12" t="s">
        <v>133</v>
      </c>
      <c r="ED13" s="12" t="s">
        <v>134</v>
      </c>
      <c r="EE13" s="12" t="s">
        <v>135</v>
      </c>
      <c r="EF13" s="12" t="s">
        <v>146</v>
      </c>
      <c r="EG13" s="25" t="s">
        <v>253</v>
      </c>
      <c r="EH13" s="25" t="s">
        <v>254</v>
      </c>
      <c r="EI13" s="25" t="s">
        <v>255</v>
      </c>
    </row>
    <row r="14" spans="1:139" ht="16" customHeight="1">
      <c r="A14" s="6">
        <v>10</v>
      </c>
      <c r="B14" s="6">
        <v>96</v>
      </c>
      <c r="C14" s="9">
        <v>-1.7914421842699049E-2</v>
      </c>
      <c r="D14" s="9">
        <v>1.474378970380893E-2</v>
      </c>
      <c r="E14" s="9">
        <v>-1.220422881196128E-2</v>
      </c>
      <c r="F14" s="9">
        <v>-5.3147374060507513E-2</v>
      </c>
      <c r="G14" s="9">
        <v>4.0128401040815408E-2</v>
      </c>
      <c r="H14" s="9">
        <v>-2.9291092607415119E-2</v>
      </c>
      <c r="I14" s="9">
        <v>8.9899690018041996E-3</v>
      </c>
      <c r="J14" s="9">
        <v>2.3382661497843338E-2</v>
      </c>
      <c r="K14" s="9">
        <v>2.1930042666051659E-2</v>
      </c>
      <c r="L14" s="2">
        <v>-2.6964100422260159E-2</v>
      </c>
      <c r="M14" s="2">
        <v>4.2054112120953821E-2</v>
      </c>
      <c r="N14" s="2">
        <v>-6.2779238108227678E-2</v>
      </c>
      <c r="O14" s="1">
        <v>1.6232899199816509E-2</v>
      </c>
      <c r="P14" s="1">
        <v>1.219346936440982E-2</v>
      </c>
      <c r="Q14" s="1">
        <v>7.6230884598885509E-3</v>
      </c>
      <c r="R14" s="1">
        <v>1.8116052841339759E-2</v>
      </c>
      <c r="S14" s="1">
        <v>7.7262327680240397E-3</v>
      </c>
      <c r="T14" s="1">
        <v>1.6864847318456819E-2</v>
      </c>
      <c r="U14" s="1">
        <v>2.3544394150456099E-2</v>
      </c>
      <c r="V14" s="1">
        <v>7.1100018738297216E-3</v>
      </c>
      <c r="W14" s="1">
        <v>3.43255125592884E-3</v>
      </c>
      <c r="X14" s="1">
        <v>-1.4388567878124051E-2</v>
      </c>
      <c r="Y14" s="1">
        <v>-1.7673309383524221E-2</v>
      </c>
      <c r="Z14" s="1">
        <v>1.5356014871550829E-2</v>
      </c>
      <c r="AA14" s="1">
        <v>-2.0238780333728709E-2</v>
      </c>
      <c r="AB14" s="1">
        <v>-1.5252852755029359E-2</v>
      </c>
      <c r="AC14" s="1">
        <v>5.231622382683708E-2</v>
      </c>
      <c r="AD14" s="1">
        <v>1.384140597774253E-2</v>
      </c>
      <c r="AE14" s="1">
        <v>-4.3800236468731338E-2</v>
      </c>
      <c r="AF14" s="1">
        <v>3.4362666848402418E-2</v>
      </c>
      <c r="AG14" s="1">
        <v>-1.1394645755971179E-3</v>
      </c>
      <c r="AH14" s="1">
        <v>-1.134381411134695E-2</v>
      </c>
      <c r="AI14" s="1">
        <v>-2.757807834002388E-2</v>
      </c>
      <c r="AJ14" s="1">
        <v>8.4470293146592622E-3</v>
      </c>
      <c r="AK14" s="1">
        <v>1.2210251760889339E-2</v>
      </c>
      <c r="AL14" s="1">
        <v>7.8536442822714318E-4</v>
      </c>
      <c r="AM14" s="1">
        <v>-1.518979734973013E-2</v>
      </c>
      <c r="AN14" s="1">
        <v>-3.112030284255482E-3</v>
      </c>
      <c r="AO14" s="1">
        <v>-1.2258226624805611E-2</v>
      </c>
      <c r="AP14" s="1">
        <v>1.114920659659451E-2</v>
      </c>
      <c r="AQ14" s="1">
        <v>-1.786014967578791E-3</v>
      </c>
      <c r="AR14" s="1">
        <v>-5.8911143132273878E-3</v>
      </c>
      <c r="AS14" s="1">
        <v>-4.1443953507243137E-3</v>
      </c>
      <c r="AT14" s="1">
        <v>2.6630815078405829E-2</v>
      </c>
      <c r="AU14" s="1">
        <v>2.6437148093430139E-2</v>
      </c>
      <c r="AV14" s="1">
        <v>2.0173675130762229E-3</v>
      </c>
      <c r="AW14" s="1">
        <v>-9.1094250629805713E-3</v>
      </c>
      <c r="AX14" s="1">
        <v>-3.1902493966315948E-3</v>
      </c>
      <c r="AY14" s="1">
        <v>1.7877521262458621E-2</v>
      </c>
      <c r="AZ14" s="1">
        <v>-2.4840243218085751E-3</v>
      </c>
      <c r="BA14" s="1">
        <v>-3.2672665755019252E-2</v>
      </c>
      <c r="BB14" s="1">
        <v>-2.8447327343395591E-2</v>
      </c>
      <c r="BC14" s="1">
        <v>5.6434854076242644E-3</v>
      </c>
      <c r="BD14" s="1">
        <v>1.4524690046123351E-3</v>
      </c>
      <c r="BE14" s="1">
        <v>-1.0464923375325079E-2</v>
      </c>
      <c r="BF14" s="1">
        <v>5.3348006769328186E-3</v>
      </c>
      <c r="BG14" s="1">
        <v>-2.809115066557703E-2</v>
      </c>
      <c r="BH14" s="1">
        <v>-0.10111457241970639</v>
      </c>
      <c r="BI14" s="1">
        <v>-7.9817935703529852E-2</v>
      </c>
      <c r="BJ14" s="1">
        <v>-1.8070249348722211E-2</v>
      </c>
      <c r="BK14" s="1">
        <v>1.168387447602767E-3</v>
      </c>
      <c r="BL14" s="1">
        <v>2.739623564726935E-3</v>
      </c>
      <c r="BM14" s="1">
        <v>1.2795198381079041E-2</v>
      </c>
      <c r="BN14" s="1">
        <v>1.179990269990471E-2</v>
      </c>
      <c r="BO14" s="1">
        <v>-9.4684797512695207E-4</v>
      </c>
      <c r="BP14" s="1">
        <v>3.0534430696555408E-2</v>
      </c>
      <c r="BQ14" s="1">
        <v>3.7879716818741099E-3</v>
      </c>
      <c r="BR14" s="1">
        <v>4.4921120795654822E-2</v>
      </c>
      <c r="BS14" s="1">
        <v>-2.915721921904355E-3</v>
      </c>
      <c r="BT14" s="1">
        <v>1.835007434454014E-2</v>
      </c>
      <c r="BU14" s="1">
        <v>1.554190531921905E-2</v>
      </c>
      <c r="BV14" s="1">
        <v>-2.7131051001634241E-2</v>
      </c>
      <c r="BW14" s="1">
        <v>3.723338565588194E-4</v>
      </c>
      <c r="BX14" s="1">
        <v>2.532173784195367E-2</v>
      </c>
      <c r="BY14" s="1">
        <v>-3.6592154191665033E-2</v>
      </c>
      <c r="BZ14" s="1">
        <v>-8.0121838496088893E-4</v>
      </c>
      <c r="CA14" s="1">
        <v>-1.9830259655484769E-3</v>
      </c>
      <c r="CB14" s="1">
        <v>2.127472127871043E-2</v>
      </c>
      <c r="CC14" s="1">
        <v>-1.9468784655097181E-2</v>
      </c>
      <c r="CD14" s="1">
        <v>-1.4153331560770459E-2</v>
      </c>
      <c r="CE14" s="1">
        <v>4.6425814144740563E-2</v>
      </c>
      <c r="CF14" s="1">
        <v>-3.5742395641818317E-2</v>
      </c>
      <c r="CG14" s="1">
        <v>2.174929450228702E-2</v>
      </c>
      <c r="CH14" s="1">
        <v>-1.9303361940192609E-2</v>
      </c>
      <c r="CI14" s="1">
        <v>1.888479911939814E-3</v>
      </c>
      <c r="CJ14" s="1">
        <v>3.3818883906059881E-2</v>
      </c>
      <c r="CK14" s="1">
        <v>1.7029971592780191E-6</v>
      </c>
      <c r="CL14" s="1">
        <v>-9.1623579195184837E-2</v>
      </c>
      <c r="CM14" s="1">
        <v>-4.6818754911895077E-3</v>
      </c>
      <c r="CN14" s="1">
        <v>5.5908726340877998E-2</v>
      </c>
      <c r="CO14" s="1">
        <v>3.344168978436176E-2</v>
      </c>
      <c r="CP14" s="1">
        <v>-1.6988097207479149E-2</v>
      </c>
      <c r="CQ14" s="1">
        <v>-1.325930555435539E-2</v>
      </c>
      <c r="CR14" s="1">
        <v>-1.7079857948838349E-2</v>
      </c>
      <c r="CS14" s="1">
        <v>-2.6031772424052121E-3</v>
      </c>
      <c r="CT14" s="1">
        <v>3.6180570272809673E-2</v>
      </c>
      <c r="CU14" s="1">
        <v>2.5473000557669091E-2</v>
      </c>
      <c r="CV14" s="1">
        <v>-2.74201835473174E-2</v>
      </c>
      <c r="CW14" s="1">
        <v>-1.7227962320302569E-2</v>
      </c>
      <c r="CX14" s="1">
        <v>-1.0624493015806351E-3</v>
      </c>
      <c r="CY14" s="1">
        <v>6.0544406813263056E-3</v>
      </c>
      <c r="CZ14" s="1">
        <v>3.4360348939773577E-2</v>
      </c>
      <c r="DA14" s="1">
        <v>1.5074513720204699E-2</v>
      </c>
      <c r="DB14" s="1">
        <v>3.1380159075681739E-3</v>
      </c>
      <c r="DC14" s="1">
        <v>3.7955986058094568E-2</v>
      </c>
      <c r="DD14" s="1">
        <v>-3.234851182316148E-2</v>
      </c>
      <c r="DE14" s="1">
        <v>-2.0822889825702059E-2</v>
      </c>
      <c r="DF14" s="1">
        <v>-8.0424789636259972E-4</v>
      </c>
      <c r="DG14" s="1">
        <v>-2.995097285561869E-2</v>
      </c>
      <c r="DH14" s="1">
        <v>-2.2791280370557322E-2</v>
      </c>
      <c r="DI14" s="1">
        <v>-1.6653315269241121E-2</v>
      </c>
      <c r="DJ14" s="1">
        <v>3.5436351526692902E-2</v>
      </c>
      <c r="DK14" s="1">
        <v>3.1399638572025129E-3</v>
      </c>
      <c r="DL14" s="1">
        <v>-1.042276547464217E-2</v>
      </c>
      <c r="DM14" s="1">
        <v>-2.913602208904346E-3</v>
      </c>
      <c r="DN14" s="1">
        <v>3.5085274565524578E-2</v>
      </c>
      <c r="DO14" s="1">
        <v>-1.682492579458824E-2</v>
      </c>
      <c r="DP14" s="1">
        <v>8.91404107622327E-3</v>
      </c>
      <c r="DQ14" s="1">
        <v>-9.4653304698479046E-4</v>
      </c>
      <c r="DR14" s="1">
        <v>1.263137852535665E-3</v>
      </c>
      <c r="DS14" s="1">
        <v>2.1131864406688891E-2</v>
      </c>
      <c r="DT14" s="1">
        <v>1.006055306949484E-2</v>
      </c>
      <c r="DU14" s="1">
        <v>-1.846138161309685E-2</v>
      </c>
      <c r="DV14" s="1">
        <v>7.8079075955071048E-3</v>
      </c>
      <c r="DW14" s="1">
        <v>1.6063479850346039E-2</v>
      </c>
      <c r="DX14" s="1">
        <v>-7.6204184093789269E-3</v>
      </c>
      <c r="DY14" s="1">
        <v>-4.6646486716549326E-3</v>
      </c>
      <c r="DZ14" s="1">
        <v>-1.9807221197795159E-2</v>
      </c>
      <c r="EA14" s="1">
        <v>1.3475792343897799E-2</v>
      </c>
      <c r="EB14" s="1">
        <v>1.3961429045686209E-2</v>
      </c>
      <c r="EC14" s="1">
        <v>2.655438080858353E-3</v>
      </c>
      <c r="ED14" s="1">
        <v>1.540423258108153E-2</v>
      </c>
      <c r="EE14" s="1">
        <v>-1.604334985213025E-2</v>
      </c>
      <c r="EF14" s="1">
        <v>3.662233751047364E-3</v>
      </c>
      <c r="EG14" s="48">
        <f t="shared" ref="EG14:EG27" si="0">AVERAGE(C14:EF14)</f>
        <v>-4.1451677745130302E-4</v>
      </c>
      <c r="EH14" s="46">
        <f t="shared" ref="EH14:EH27" si="1">STDEV(C14:EF14)</f>
        <v>2.5583895920349275E-2</v>
      </c>
      <c r="EI14" s="48">
        <f t="shared" ref="EI14:EI27" si="2">EG14/EH14</f>
        <v>-1.6202253899946447E-2</v>
      </c>
    </row>
    <row r="15" spans="1:139" ht="16" customHeight="1">
      <c r="A15" s="6">
        <v>20</v>
      </c>
      <c r="B15" s="6">
        <v>48</v>
      </c>
      <c r="C15" s="9">
        <v>-3.9502830356475064E-3</v>
      </c>
      <c r="D15" s="9">
        <v>-2.50849340435487E-3</v>
      </c>
      <c r="E15" s="9">
        <v>-6.0947418053839322E-3</v>
      </c>
      <c r="F15" s="9">
        <v>-5.5185485190787607E-2</v>
      </c>
      <c r="G15" s="9">
        <v>4.8132934010708818E-2</v>
      </c>
      <c r="H15" s="9">
        <v>-4.1932638660583263E-2</v>
      </c>
      <c r="I15" s="9">
        <v>3.1606175439380269E-2</v>
      </c>
      <c r="J15" s="9">
        <v>2.1767520525823258E-2</v>
      </c>
      <c r="K15" s="9">
        <v>4.2399896244409131E-2</v>
      </c>
      <c r="L15" s="2">
        <v>-3.5107971270962858E-2</v>
      </c>
      <c r="M15" s="2">
        <v>6.6044613662358281E-2</v>
      </c>
      <c r="N15" s="2">
        <v>-7.2815627871102212E-2</v>
      </c>
      <c r="O15" s="1">
        <v>3.0584032757180451E-2</v>
      </c>
      <c r="P15" s="1">
        <v>5.5538611045586666E-3</v>
      </c>
      <c r="Q15" s="1">
        <v>2.4820848177511019E-2</v>
      </c>
      <c r="R15" s="1">
        <v>1.9114632557013591E-2</v>
      </c>
      <c r="S15" s="1">
        <v>1.043453069492707E-2</v>
      </c>
      <c r="T15" s="1">
        <v>1.94591612470091E-2</v>
      </c>
      <c r="U15" s="1">
        <v>3.18202076198109E-2</v>
      </c>
      <c r="V15" s="1">
        <v>-1.08245607836891E-2</v>
      </c>
      <c r="W15" s="1">
        <v>6.9474787952295003E-4</v>
      </c>
      <c r="X15" s="1">
        <v>-3.3582969450053887E-2</v>
      </c>
      <c r="Y15" s="1">
        <v>-3.7065107111094717E-2</v>
      </c>
      <c r="Z15" s="1">
        <v>1.9560792609810831E-2</v>
      </c>
      <c r="AA15" s="1">
        <v>-4.2959050872121547E-2</v>
      </c>
      <c r="AB15" s="1">
        <v>-1.8608172077492921E-2</v>
      </c>
      <c r="AC15" s="1">
        <v>4.9468074728763543E-2</v>
      </c>
      <c r="AD15" s="1">
        <v>1.628721173826761E-2</v>
      </c>
      <c r="AE15" s="1">
        <v>-5.6550969186526592E-2</v>
      </c>
      <c r="AF15" s="1">
        <v>5.8299592710403893E-2</v>
      </c>
      <c r="AG15" s="1">
        <v>4.6532492666161024E-3</v>
      </c>
      <c r="AH15" s="1">
        <v>-2.9585737808503921E-3</v>
      </c>
      <c r="AI15" s="1">
        <v>2.9685834931656579E-3</v>
      </c>
      <c r="AJ15" s="1">
        <v>1.9346109707632269E-2</v>
      </c>
      <c r="AK15" s="1">
        <v>4.151579062506512E-3</v>
      </c>
      <c r="AL15" s="1">
        <v>-1.91435761916183E-2</v>
      </c>
      <c r="AM15" s="1">
        <v>7.3082269714530579E-4</v>
      </c>
      <c r="AN15" s="1">
        <v>-1.363347138968574E-2</v>
      </c>
      <c r="AO15" s="1">
        <v>-8.0974079810390356E-3</v>
      </c>
      <c r="AP15" s="1">
        <v>1.2356175972321149E-2</v>
      </c>
      <c r="AQ15" s="1">
        <v>8.4706180676946928E-3</v>
      </c>
      <c r="AR15" s="1">
        <v>1.541459083187526E-2</v>
      </c>
      <c r="AS15" s="1">
        <v>1.7405365065281331E-2</v>
      </c>
      <c r="AT15" s="1">
        <v>-8.7288883959554409E-3</v>
      </c>
      <c r="AU15" s="1">
        <v>4.55688207047798E-2</v>
      </c>
      <c r="AV15" s="1">
        <v>2.1763861054222501E-3</v>
      </c>
      <c r="AW15" s="1">
        <v>9.943620826164231E-3</v>
      </c>
      <c r="AX15" s="1">
        <v>2.1568868754416569E-3</v>
      </c>
      <c r="AY15" s="1">
        <v>2.4207463747493191E-2</v>
      </c>
      <c r="AZ15" s="1">
        <v>7.6985173169988892E-3</v>
      </c>
      <c r="BA15" s="1">
        <v>-2.8348353214114979E-2</v>
      </c>
      <c r="BB15" s="1">
        <v>-3.5372515519861439E-2</v>
      </c>
      <c r="BC15" s="1">
        <v>-1.169286858288004E-2</v>
      </c>
      <c r="BD15" s="1">
        <v>2.1076726852589111E-2</v>
      </c>
      <c r="BE15" s="1">
        <v>4.1405111031895953E-3</v>
      </c>
      <c r="BF15" s="1">
        <v>-2.310757646749078E-2</v>
      </c>
      <c r="BG15" s="1">
        <v>-1.1187910884177119E-2</v>
      </c>
      <c r="BH15" s="1">
        <v>-0.117289926616888</v>
      </c>
      <c r="BI15" s="1">
        <v>-8.5489923281716784E-2</v>
      </c>
      <c r="BJ15" s="1">
        <v>-2.8021215420803041E-3</v>
      </c>
      <c r="BK15" s="1">
        <v>1.5026011560285371E-2</v>
      </c>
      <c r="BL15" s="1">
        <v>1.081186312291655E-2</v>
      </c>
      <c r="BM15" s="1">
        <v>-1.0779226398856671E-3</v>
      </c>
      <c r="BN15" s="1">
        <v>2.7556243146382871E-3</v>
      </c>
      <c r="BO15" s="1">
        <v>4.9250298664318681E-3</v>
      </c>
      <c r="BP15" s="1">
        <v>5.4043901852385071E-2</v>
      </c>
      <c r="BQ15" s="1">
        <v>1.1818775918042141E-2</v>
      </c>
      <c r="BR15" s="1">
        <v>6.9886901649431371E-2</v>
      </c>
      <c r="BS15" s="1">
        <v>1.333768448079455E-3</v>
      </c>
      <c r="BT15" s="1">
        <v>1.0025934916475269E-2</v>
      </c>
      <c r="BU15" s="1">
        <v>3.5692110003136171E-2</v>
      </c>
      <c r="BV15" s="1">
        <v>-4.2122786567110188E-2</v>
      </c>
      <c r="BW15" s="1">
        <v>6.8643351937636016E-3</v>
      </c>
      <c r="BX15" s="1">
        <v>4.5067547003904862E-2</v>
      </c>
      <c r="BY15" s="1">
        <v>-3.9873584234913939E-2</v>
      </c>
      <c r="BZ15" s="1">
        <v>2.0573891823710559E-3</v>
      </c>
      <c r="CA15" s="1">
        <v>6.8027678604008403E-3</v>
      </c>
      <c r="CB15" s="1">
        <v>5.9118242457537329E-2</v>
      </c>
      <c r="CC15" s="1">
        <v>3.9295205989161308E-3</v>
      </c>
      <c r="CD15" s="1">
        <v>-2.4752281688174518E-2</v>
      </c>
      <c r="CE15" s="1">
        <v>5.0895924136985772E-2</v>
      </c>
      <c r="CF15" s="1">
        <v>-1.6859165330128299E-2</v>
      </c>
      <c r="CG15" s="1">
        <v>2.8115600911513682E-2</v>
      </c>
      <c r="CH15" s="1">
        <v>-5.6158762908239943E-2</v>
      </c>
      <c r="CI15" s="1">
        <v>-1.0421872224478891E-2</v>
      </c>
      <c r="CJ15" s="1">
        <v>1.7601346635307911E-2</v>
      </c>
      <c r="CK15" s="1">
        <v>5.0814085650828927E-3</v>
      </c>
      <c r="CL15" s="1">
        <v>-8.8658969569905557E-2</v>
      </c>
      <c r="CM15" s="1">
        <v>-2.531400130513153E-2</v>
      </c>
      <c r="CN15" s="1">
        <v>6.5478156764048223E-2</v>
      </c>
      <c r="CO15" s="1">
        <v>4.7109007611624232E-2</v>
      </c>
      <c r="CP15" s="1">
        <v>-1.792687087805746E-3</v>
      </c>
      <c r="CQ15" s="1">
        <v>-1.6009899291080491E-2</v>
      </c>
      <c r="CR15" s="1">
        <v>-1.0522433706147669E-2</v>
      </c>
      <c r="CS15" s="1">
        <v>1.4141764110060301E-2</v>
      </c>
      <c r="CT15" s="1">
        <v>1.5788784293196381E-2</v>
      </c>
      <c r="CU15" s="1">
        <v>3.7858174242835371E-2</v>
      </c>
      <c r="CV15" s="1">
        <v>-2.093145982946281E-2</v>
      </c>
      <c r="CW15" s="1">
        <v>-3.1107906340564598E-2</v>
      </c>
      <c r="CX15" s="1">
        <v>-1.450445422612159E-2</v>
      </c>
      <c r="CY15" s="1">
        <v>2.2843923745434699E-2</v>
      </c>
      <c r="CZ15" s="1">
        <v>2.2392373481616379E-2</v>
      </c>
      <c r="DA15" s="1">
        <v>3.8088297431717551E-2</v>
      </c>
      <c r="DB15" s="1">
        <v>-4.449956037147855E-2</v>
      </c>
      <c r="DC15" s="1">
        <v>1.1632379540509889E-3</v>
      </c>
      <c r="DD15" s="1">
        <v>-2.5719971111076122E-2</v>
      </c>
      <c r="DE15" s="1">
        <v>9.0249523987623731E-3</v>
      </c>
      <c r="DF15" s="1">
        <v>-3.7510554725946779E-3</v>
      </c>
      <c r="DG15" s="1">
        <v>-4.5978920319513061E-2</v>
      </c>
      <c r="DH15" s="1">
        <v>-1.1428907534828239E-2</v>
      </c>
      <c r="DI15" s="1">
        <v>-2.248657833556884E-2</v>
      </c>
      <c r="DJ15" s="1">
        <v>2.507037391302424E-2</v>
      </c>
      <c r="DK15" s="1">
        <v>2.5608913579155339E-2</v>
      </c>
      <c r="DL15" s="1">
        <v>-3.2432534579048447E-2</v>
      </c>
      <c r="DM15" s="1">
        <v>9.5464669616867649E-4</v>
      </c>
      <c r="DN15" s="1">
        <v>4.3622926852256043E-2</v>
      </c>
      <c r="DO15" s="1">
        <v>-3.1128307108875559E-2</v>
      </c>
      <c r="DP15" s="1">
        <v>-8.4223614563663351E-3</v>
      </c>
      <c r="DQ15" s="1">
        <v>1.0897442511567171E-2</v>
      </c>
      <c r="DR15" s="1">
        <v>6.7693858998403274E-3</v>
      </c>
      <c r="DS15" s="1">
        <v>8.1973444715962903E-3</v>
      </c>
      <c r="DT15" s="1">
        <v>-6.7101916380512688E-3</v>
      </c>
      <c r="DU15" s="1">
        <v>1.0343276646851611E-2</v>
      </c>
      <c r="DV15" s="1">
        <v>2.994935575297843E-2</v>
      </c>
      <c r="DW15" s="1">
        <v>3.8626989524779311E-2</v>
      </c>
      <c r="DX15" s="1">
        <v>-3.4424866297868957E-2</v>
      </c>
      <c r="DY15" s="1">
        <v>2.105817652041363E-2</v>
      </c>
      <c r="DZ15" s="1">
        <v>-2.8400032907874101E-2</v>
      </c>
      <c r="EA15" s="1">
        <v>1.2309623745502259E-2</v>
      </c>
      <c r="EB15" s="1">
        <v>3.6744406519350008E-2</v>
      </c>
      <c r="EC15" s="1">
        <v>-2.888077896179138E-3</v>
      </c>
      <c r="ED15" s="1">
        <v>-1.1140574304479201E-2</v>
      </c>
      <c r="EE15" s="1">
        <v>3.7713156322426791E-3</v>
      </c>
      <c r="EF15" s="1">
        <v>2.201548844627458E-2</v>
      </c>
      <c r="EG15" s="48">
        <f t="shared" si="0"/>
        <v>1.6092380111613119E-3</v>
      </c>
      <c r="EH15" s="49">
        <f t="shared" si="1"/>
        <v>3.1752383546466381E-2</v>
      </c>
      <c r="EI15" s="48">
        <f t="shared" si="2"/>
        <v>5.0680857038853666E-2</v>
      </c>
    </row>
    <row r="16" spans="1:139" ht="16" customHeight="1">
      <c r="A16" s="6">
        <v>50</v>
      </c>
      <c r="B16" s="6">
        <v>19</v>
      </c>
      <c r="C16" s="9">
        <v>-3.3019748374950491E-3</v>
      </c>
      <c r="D16" s="9">
        <v>-6.4571216359655154E-2</v>
      </c>
      <c r="E16" s="9">
        <v>-4.835496992287195E-3</v>
      </c>
      <c r="F16" s="9">
        <v>3.2352589455362901E-2</v>
      </c>
      <c r="G16" s="9">
        <v>8.6666882614377966E-2</v>
      </c>
      <c r="H16" s="9">
        <v>-5.9818486883071731E-3</v>
      </c>
      <c r="I16" s="9">
        <v>8.6349550859664378E-2</v>
      </c>
      <c r="J16" s="9">
        <v>1.6257159192828721E-3</v>
      </c>
      <c r="K16" s="9">
        <v>3.0400410522700819E-2</v>
      </c>
      <c r="L16" s="2">
        <v>-7.1342897446627127E-2</v>
      </c>
      <c r="M16" s="2">
        <v>7.0043856871079904E-3</v>
      </c>
      <c r="N16" s="2">
        <v>-0.1376100625677382</v>
      </c>
      <c r="O16" s="1">
        <v>3.6485842226226882E-2</v>
      </c>
      <c r="P16" s="1">
        <v>-1.6283972142136759E-4</v>
      </c>
      <c r="Q16" s="1">
        <v>-1.030765517633824E-2</v>
      </c>
      <c r="R16" s="1">
        <v>3.5589056382983493E-2</v>
      </c>
      <c r="S16" s="1">
        <v>1.391138519927655E-2</v>
      </c>
      <c r="T16" s="1">
        <v>-1.002475931759998E-2</v>
      </c>
      <c r="U16" s="1">
        <v>4.8520727734536903E-2</v>
      </c>
      <c r="V16" s="1">
        <v>2.1086276040897439E-2</v>
      </c>
      <c r="W16" s="1">
        <v>5.315918594865672E-2</v>
      </c>
      <c r="X16" s="1">
        <v>-1.198519571509968E-2</v>
      </c>
      <c r="Y16" s="1">
        <v>8.3469225630070573E-3</v>
      </c>
      <c r="Z16" s="1">
        <v>0.10277158749026299</v>
      </c>
      <c r="AA16" s="1">
        <v>-3.4522748323940713E-2</v>
      </c>
      <c r="AB16" s="1">
        <v>-1.460762701518062E-2</v>
      </c>
      <c r="AC16" s="1">
        <v>7.4341695380483089E-2</v>
      </c>
      <c r="AD16" s="1">
        <v>3.4693644005051517E-2</v>
      </c>
      <c r="AE16" s="1">
        <v>-6.1821971202671647E-2</v>
      </c>
      <c r="AF16" s="1">
        <v>0.13590868517846511</v>
      </c>
      <c r="AG16" s="1">
        <v>-7.9502293075202901E-3</v>
      </c>
      <c r="AH16" s="1">
        <v>-1.093017497699003E-2</v>
      </c>
      <c r="AI16" s="1">
        <v>1.6370663389627341E-2</v>
      </c>
      <c r="AJ16" s="1">
        <v>4.6961947830451413E-2</v>
      </c>
      <c r="AK16" s="1">
        <v>-3.2260638622532492E-2</v>
      </c>
      <c r="AL16" s="1">
        <v>-2.9968038218009471E-2</v>
      </c>
      <c r="AM16" s="1">
        <v>-5.0937932994962021E-2</v>
      </c>
      <c r="AN16" s="1">
        <v>3.5739293937755059E-2</v>
      </c>
      <c r="AO16" s="1">
        <v>-2.5596765897330471E-2</v>
      </c>
      <c r="AP16" s="1">
        <v>1.2189463311379561E-3</v>
      </c>
      <c r="AQ16" s="1">
        <v>-4.1504465095972339E-2</v>
      </c>
      <c r="AR16" s="1">
        <v>2.5335573192172601E-2</v>
      </c>
      <c r="AS16" s="1">
        <v>1.0097589168314229E-2</v>
      </c>
      <c r="AT16" s="1">
        <v>-1.08110707434225E-2</v>
      </c>
      <c r="AU16" s="1">
        <v>4.3261428705649772E-2</v>
      </c>
      <c r="AV16" s="1">
        <v>-1.0847927545667369E-2</v>
      </c>
      <c r="AW16" s="1">
        <v>4.1307411234281924E-3</v>
      </c>
      <c r="AX16" s="1">
        <v>-5.308412868221004E-3</v>
      </c>
      <c r="AY16" s="1">
        <v>2.8490601434090369E-2</v>
      </c>
      <c r="AZ16" s="1">
        <v>1.2086328841120909E-2</v>
      </c>
      <c r="BA16" s="1">
        <v>-2.8568877346458649E-2</v>
      </c>
      <c r="BB16" s="1">
        <v>-4.7089721589936837E-2</v>
      </c>
      <c r="BC16" s="1">
        <v>3.0207846405070411E-2</v>
      </c>
      <c r="BD16" s="1">
        <v>7.8092959026040257E-2</v>
      </c>
      <c r="BE16" s="1">
        <v>-2.4172807732251101E-2</v>
      </c>
      <c r="BF16" s="1">
        <v>-2.4511704431119791E-2</v>
      </c>
      <c r="BG16" s="1">
        <v>-5.8406285227182442E-3</v>
      </c>
      <c r="BH16" s="1">
        <v>-0.13175056788750469</v>
      </c>
      <c r="BI16" s="1">
        <v>-7.2657390617014789E-2</v>
      </c>
      <c r="BJ16" s="1">
        <v>-2.2907705083258852E-2</v>
      </c>
      <c r="BK16" s="1">
        <v>-5.2793619590294188E-2</v>
      </c>
      <c r="BL16" s="1">
        <v>3.2758446748501001E-2</v>
      </c>
      <c r="BM16" s="1">
        <v>-1.3292609378384531E-2</v>
      </c>
      <c r="BN16" s="1">
        <v>-2.5230123572686669E-2</v>
      </c>
      <c r="BO16" s="1">
        <v>-5.2015306168098373E-2</v>
      </c>
      <c r="BP16" s="1">
        <v>8.0501308811100819E-2</v>
      </c>
      <c r="BQ16" s="1">
        <v>3.450322067948122E-3</v>
      </c>
      <c r="BR16" s="1">
        <v>5.8227597767122448E-2</v>
      </c>
      <c r="BS16" s="1">
        <v>-1.044226726324143E-2</v>
      </c>
      <c r="BT16" s="1">
        <v>-9.0245965628959098E-3</v>
      </c>
      <c r="BU16" s="1">
        <v>3.5357455364966588E-2</v>
      </c>
      <c r="BV16" s="1">
        <v>-0.11695795484951341</v>
      </c>
      <c r="BW16" s="1">
        <v>7.0233929553182931E-2</v>
      </c>
      <c r="BX16" s="1">
        <v>6.932021116236492E-2</v>
      </c>
      <c r="BY16" s="1">
        <v>1.257896675532094E-2</v>
      </c>
      <c r="BZ16" s="1">
        <v>7.6876374434440842E-3</v>
      </c>
      <c r="CA16" s="1">
        <v>-8.3220958854486327E-3</v>
      </c>
      <c r="CB16" s="1">
        <v>5.7043682089688158E-2</v>
      </c>
      <c r="CC16" s="1">
        <v>-1.763397825662506E-2</v>
      </c>
      <c r="CD16" s="1">
        <v>-5.3812125069753872E-2</v>
      </c>
      <c r="CE16" s="1">
        <v>7.9259114397832231E-2</v>
      </c>
      <c r="CF16" s="1">
        <v>2.231875187674677E-2</v>
      </c>
      <c r="CG16" s="1">
        <v>-2.0837134633929489E-2</v>
      </c>
      <c r="CH16" s="1">
        <v>-5.5070141986857002E-2</v>
      </c>
      <c r="CI16" s="1">
        <v>4.7076614107195137E-2</v>
      </c>
      <c r="CJ16" s="1">
        <v>2.158376680030916E-2</v>
      </c>
      <c r="CK16" s="1">
        <v>6.5144966532907434E-3</v>
      </c>
      <c r="CL16" s="1">
        <v>-0.12647090181363341</v>
      </c>
      <c r="CM16" s="1">
        <v>-3.4181103808414742E-2</v>
      </c>
      <c r="CN16" s="1">
        <v>8.6151891348197521E-2</v>
      </c>
      <c r="CO16" s="1">
        <v>6.4133155755865145E-2</v>
      </c>
      <c r="CP16" s="1">
        <v>-1.951309425521606E-3</v>
      </c>
      <c r="CQ16" s="1">
        <v>-4.0113810409926592E-2</v>
      </c>
      <c r="CR16" s="1">
        <v>-7.3959473157178574E-2</v>
      </c>
      <c r="CS16" s="1">
        <v>2.965383143853868E-2</v>
      </c>
      <c r="CT16" s="1">
        <v>3.2080199525180042E-2</v>
      </c>
      <c r="CU16" s="1">
        <v>9.479207019738102E-2</v>
      </c>
      <c r="CV16" s="1">
        <v>2.7207997525226849E-2</v>
      </c>
      <c r="CW16" s="1">
        <v>-3.0757687710672148E-2</v>
      </c>
      <c r="CX16" s="1">
        <v>-5.3997377289634468E-3</v>
      </c>
      <c r="CY16" s="1">
        <v>5.3652026666105378E-2</v>
      </c>
      <c r="CZ16" s="1">
        <v>5.2085286282828033E-2</v>
      </c>
      <c r="DA16" s="1">
        <v>7.0693033322797125E-2</v>
      </c>
      <c r="DB16" s="1">
        <v>-2.7102043956039702E-2</v>
      </c>
      <c r="DC16" s="1">
        <v>3.2284748408587531E-3</v>
      </c>
      <c r="DD16" s="1">
        <v>-3.8924516037698538E-2</v>
      </c>
      <c r="DE16" s="1">
        <v>6.0802243146356211E-2</v>
      </c>
      <c r="DF16" s="1">
        <v>-7.3598301489739962E-2</v>
      </c>
      <c r="DG16" s="1">
        <v>-5.176335219477958E-2</v>
      </c>
      <c r="DH16" s="1">
        <v>-2.3530661300338311E-2</v>
      </c>
      <c r="DI16" s="1">
        <v>-6.0491997630465991E-2</v>
      </c>
      <c r="DJ16" s="1">
        <v>6.6055156753981992E-2</v>
      </c>
      <c r="DK16" s="1">
        <v>-7.1598137411976806E-3</v>
      </c>
      <c r="DL16" s="1">
        <v>-7.0838604202261263E-2</v>
      </c>
      <c r="DM16" s="1">
        <v>-1.980471688493567E-2</v>
      </c>
      <c r="DN16" s="1">
        <v>3.916398172171285E-2</v>
      </c>
      <c r="DO16" s="1">
        <v>-5.2839321748063148E-2</v>
      </c>
      <c r="DP16" s="1">
        <v>-5.7975536489147349E-3</v>
      </c>
      <c r="DQ16" s="1">
        <v>3.056670244085723E-2</v>
      </c>
      <c r="DR16" s="1">
        <v>1.901125840400635E-3</v>
      </c>
      <c r="DS16" s="1">
        <v>2.1013096121656478E-2</v>
      </c>
      <c r="DT16" s="1">
        <v>-1.4455568514554691E-2</v>
      </c>
      <c r="DU16" s="1">
        <v>4.0471274697901093E-2</v>
      </c>
      <c r="DV16" s="1">
        <v>8.2461398009308656E-2</v>
      </c>
      <c r="DW16" s="1">
        <v>4.3423894376059917E-2</v>
      </c>
      <c r="DX16" s="1">
        <v>-4.2781675919029143E-2</v>
      </c>
      <c r="DY16" s="1">
        <v>7.1405323742898194E-3</v>
      </c>
      <c r="DZ16" s="1">
        <v>-8.0220212135256458E-2</v>
      </c>
      <c r="EA16" s="1">
        <v>-3.1474481989657507E-2</v>
      </c>
      <c r="EB16" s="1">
        <v>1.121367509600533E-2</v>
      </c>
      <c r="EC16" s="1">
        <v>-1.05763769696803E-2</v>
      </c>
      <c r="ED16" s="1">
        <v>1.3813553628239361E-2</v>
      </c>
      <c r="EE16" s="1">
        <v>-1.3121094928709821E-2</v>
      </c>
      <c r="EF16" s="1">
        <v>5.4841655678130347E-2</v>
      </c>
      <c r="EG16" s="48">
        <f t="shared" si="0"/>
        <v>2.5688761012797089E-3</v>
      </c>
      <c r="EH16" s="48">
        <f t="shared" si="1"/>
        <v>4.9159836305586908E-2</v>
      </c>
      <c r="EI16" s="48">
        <f t="shared" si="2"/>
        <v>5.2255586965568514E-2</v>
      </c>
    </row>
    <row r="17" spans="1:139" ht="16" customHeight="1">
      <c r="A17" s="6">
        <v>100</v>
      </c>
      <c r="B17" s="6">
        <v>10</v>
      </c>
      <c r="C17" s="9">
        <v>6.50249954433373E-2</v>
      </c>
      <c r="D17" s="9">
        <v>-7.703699653303879E-2</v>
      </c>
      <c r="E17" s="9">
        <v>-3.0786204323724241E-3</v>
      </c>
      <c r="F17" s="9">
        <v>3.8184382343993947E-2</v>
      </c>
      <c r="G17" s="9">
        <v>9.3175457174951182E-2</v>
      </c>
      <c r="H17" s="9">
        <v>7.2814307601010014E-3</v>
      </c>
      <c r="I17" s="9">
        <v>8.9156758443414724E-2</v>
      </c>
      <c r="J17" s="9">
        <v>1.657412023691765E-2</v>
      </c>
      <c r="K17" s="9">
        <v>4.7793938261830218E-2</v>
      </c>
      <c r="L17" s="2">
        <v>1.2082396539034999E-2</v>
      </c>
      <c r="M17" s="2">
        <v>-3.2627992821770271E-2</v>
      </c>
      <c r="N17" s="2">
        <v>-0.1460634869417736</v>
      </c>
      <c r="O17" s="1">
        <v>4.2228512255836667E-2</v>
      </c>
      <c r="P17" s="1">
        <v>3.4199147290024309E-5</v>
      </c>
      <c r="Q17" s="1">
        <v>4.0930211325861152E-2</v>
      </c>
      <c r="R17" s="1">
        <v>7.8809605165304872E-2</v>
      </c>
      <c r="S17" s="1">
        <v>3.8629632369577671E-2</v>
      </c>
      <c r="T17" s="1">
        <v>-8.6051017472147523E-4</v>
      </c>
      <c r="U17" s="1">
        <v>0.1132691225099806</v>
      </c>
      <c r="V17" s="1">
        <v>4.5889133239756658E-2</v>
      </c>
      <c r="W17" s="1">
        <v>7.8215745650141416E-2</v>
      </c>
      <c r="X17" s="1">
        <v>6.0228400387077538E-3</v>
      </c>
      <c r="Y17" s="1">
        <v>-3.9359624745840337E-2</v>
      </c>
      <c r="Z17" s="1">
        <v>4.8588148447053191E-2</v>
      </c>
      <c r="AA17" s="1">
        <v>-4.1170903405267613E-2</v>
      </c>
      <c r="AB17" s="1">
        <v>2.402031420654338E-3</v>
      </c>
      <c r="AC17" s="1">
        <v>6.6863788151314635E-2</v>
      </c>
      <c r="AD17" s="1">
        <v>3.4624052083755297E-2</v>
      </c>
      <c r="AE17" s="1">
        <v>-8.3110883426504467E-2</v>
      </c>
      <c r="AF17" s="1">
        <v>0.1189622742165217</v>
      </c>
      <c r="AG17" s="1">
        <v>-2.2942839409251889E-2</v>
      </c>
      <c r="AH17" s="1">
        <v>-4.4426445911475557E-2</v>
      </c>
      <c r="AI17" s="1">
        <v>6.8890798891112839E-2</v>
      </c>
      <c r="AJ17" s="1">
        <v>5.1665748882060547E-2</v>
      </c>
      <c r="AK17" s="1">
        <v>-8.849373295572488E-2</v>
      </c>
      <c r="AL17" s="1">
        <v>-1.2042584695246661E-2</v>
      </c>
      <c r="AM17" s="1">
        <v>-2.371227465789115E-2</v>
      </c>
      <c r="AN17" s="1">
        <v>7.8691126476077511E-2</v>
      </c>
      <c r="AO17" s="1">
        <v>-3.8788003448913089E-2</v>
      </c>
      <c r="AP17" s="1">
        <v>-2.2826350360227649E-2</v>
      </c>
      <c r="AQ17" s="1">
        <v>-6.9999892127376492E-2</v>
      </c>
      <c r="AR17" s="1">
        <v>3.4428829482407497E-2</v>
      </c>
      <c r="AS17" s="1">
        <v>5.3876963361986991E-3</v>
      </c>
      <c r="AT17" s="1">
        <v>-4.9657416530282973E-2</v>
      </c>
      <c r="AU17" s="1">
        <v>3.334805480714436E-2</v>
      </c>
      <c r="AV17" s="1">
        <v>1.282674846745888E-2</v>
      </c>
      <c r="AW17" s="1">
        <v>-9.3101334321308675E-3</v>
      </c>
      <c r="AX17" s="1">
        <v>-3.8227576281291198E-2</v>
      </c>
      <c r="AY17" s="1">
        <v>5.6601081369623378E-2</v>
      </c>
      <c r="AZ17" s="1">
        <v>4.8493021098514298E-3</v>
      </c>
      <c r="BA17" s="1">
        <v>4.5373530821934396E-3</v>
      </c>
      <c r="BB17" s="1">
        <v>-4.7840444326566478E-2</v>
      </c>
      <c r="BC17" s="1">
        <v>-5.0583705759983666E-4</v>
      </c>
      <c r="BD17" s="1">
        <v>5.2737819374050948E-2</v>
      </c>
      <c r="BE17" s="1">
        <v>-1.9801786629512139E-2</v>
      </c>
      <c r="BF17" s="1">
        <v>-5.0648466054314049E-2</v>
      </c>
      <c r="BG17" s="1">
        <v>4.752406324557952E-2</v>
      </c>
      <c r="BH17" s="1">
        <v>-9.7079008481573803E-2</v>
      </c>
      <c r="BI17" s="1">
        <v>-7.7627795725099286E-2</v>
      </c>
      <c r="BJ17" s="1">
        <v>-3.5742294430387567E-2</v>
      </c>
      <c r="BK17" s="1">
        <v>-2.2313901159072481E-2</v>
      </c>
      <c r="BL17" s="1">
        <v>2.392466472610924E-2</v>
      </c>
      <c r="BM17" s="1">
        <v>7.4932597570417396E-3</v>
      </c>
      <c r="BN17" s="1">
        <v>-7.0567260644144938E-2</v>
      </c>
      <c r="BO17" s="1">
        <v>-7.3820280114559919E-2</v>
      </c>
      <c r="BP17" s="1">
        <v>0.1051470522994855</v>
      </c>
      <c r="BQ17" s="1">
        <v>4.1747415892197513E-2</v>
      </c>
      <c r="BR17" s="1">
        <v>0.16043770007088959</v>
      </c>
      <c r="BS17" s="1">
        <v>-2.3733970808237251E-2</v>
      </c>
      <c r="BT17" s="1">
        <v>3.2657327911130171E-2</v>
      </c>
      <c r="BU17" s="1">
        <v>5.4206578830696343E-2</v>
      </c>
      <c r="BV17" s="1">
        <v>-7.9065835864225331E-2</v>
      </c>
      <c r="BW17" s="1">
        <v>6.8269621836506936E-2</v>
      </c>
      <c r="BX17" s="1">
        <v>6.469693840065352E-2</v>
      </c>
      <c r="BY17" s="1">
        <v>7.3249581195127755E-2</v>
      </c>
      <c r="BZ17" s="1">
        <v>6.867305494114434E-3</v>
      </c>
      <c r="CA17" s="1">
        <v>-9.3570307481396914E-3</v>
      </c>
      <c r="CB17" s="1">
        <v>3.2233263764230267E-2</v>
      </c>
      <c r="CC17" s="1">
        <v>-6.8775568434688988E-4</v>
      </c>
      <c r="CD17" s="1">
        <v>-4.1271664424885161E-2</v>
      </c>
      <c r="CE17" s="1">
        <v>4.5042189825714729E-2</v>
      </c>
      <c r="CF17" s="1">
        <v>-6.7171528780891276E-2</v>
      </c>
      <c r="CG17" s="1">
        <v>-2.7427638887119989E-2</v>
      </c>
      <c r="CH17" s="1">
        <v>-8.0336016617785513E-2</v>
      </c>
      <c r="CI17" s="1">
        <v>0.19284501268760271</v>
      </c>
      <c r="CJ17" s="1">
        <v>-7.9055461964399887E-3</v>
      </c>
      <c r="CK17" s="1">
        <v>8.978459593765678E-2</v>
      </c>
      <c r="CL17" s="1">
        <v>-0.16580276967192889</v>
      </c>
      <c r="CM17" s="1">
        <v>-5.5442971137553691E-2</v>
      </c>
      <c r="CN17" s="1">
        <v>0.10225893161321289</v>
      </c>
      <c r="CO17" s="1">
        <v>3.1612142061911867E-2</v>
      </c>
      <c r="CP17" s="1">
        <v>3.8180731775548329E-2</v>
      </c>
      <c r="CQ17" s="1">
        <v>-2.6617494565023959E-3</v>
      </c>
      <c r="CR17" s="1">
        <v>-6.6644806429492706E-2</v>
      </c>
      <c r="CS17" s="1">
        <v>5.0923181887802961E-2</v>
      </c>
      <c r="CT17" s="1">
        <v>2.0256879049295799E-2</v>
      </c>
      <c r="CU17" s="1">
        <v>8.1219749011149756E-2</v>
      </c>
      <c r="CV17" s="1">
        <v>8.5248867534769346E-2</v>
      </c>
      <c r="CW17" s="1">
        <v>-3.5724889626127673E-2</v>
      </c>
      <c r="CX17" s="1">
        <v>-4.7706024614872347E-2</v>
      </c>
      <c r="CY17" s="1">
        <v>-1.1989745197112619E-2</v>
      </c>
      <c r="CZ17" s="1">
        <v>0.1105606813653012</v>
      </c>
      <c r="DA17" s="1">
        <v>4.9430427289727012E-2</v>
      </c>
      <c r="DB17" s="1">
        <v>-7.0449385600946948E-2</v>
      </c>
      <c r="DC17" s="1">
        <v>-9.1739531055504975E-3</v>
      </c>
      <c r="DD17" s="1">
        <v>-2.8451422353577421E-2</v>
      </c>
      <c r="DE17" s="1">
        <v>7.890561857040973E-2</v>
      </c>
      <c r="DF17" s="1">
        <v>-6.3266400365170256E-2</v>
      </c>
      <c r="DG17" s="1">
        <v>-7.3699837158143183E-2</v>
      </c>
      <c r="DH17" s="1">
        <v>-7.9285532863510255E-2</v>
      </c>
      <c r="DI17" s="1">
        <v>-8.1947619023741064E-2</v>
      </c>
      <c r="DJ17" s="1">
        <v>0.1361786649636412</v>
      </c>
      <c r="DK17" s="1">
        <v>-0.1203308973644969</v>
      </c>
      <c r="DL17" s="1">
        <v>-5.023304108787062E-2</v>
      </c>
      <c r="DM17" s="1">
        <v>-2.9395194541119218E-2</v>
      </c>
      <c r="DN17" s="1">
        <v>5.301348821178771E-2</v>
      </c>
      <c r="DO17" s="1">
        <v>-0.1297237121112827</v>
      </c>
      <c r="DP17" s="1">
        <v>-9.8689453724267878E-3</v>
      </c>
      <c r="DQ17" s="1">
        <v>4.7617061826976892E-2</v>
      </c>
      <c r="DR17" s="1">
        <v>2.421209256738116E-2</v>
      </c>
      <c r="DS17" s="1">
        <v>8.2711255869603595E-3</v>
      </c>
      <c r="DT17" s="1">
        <v>-2.484681017915381E-2</v>
      </c>
      <c r="DU17" s="1">
        <v>-8.3973020200944423E-4</v>
      </c>
      <c r="DV17" s="1">
        <v>0.1279625370035363</v>
      </c>
      <c r="DW17" s="1">
        <v>-1.540539226224961E-2</v>
      </c>
      <c r="DX17" s="1">
        <v>-4.1381167671105633E-2</v>
      </c>
      <c r="DY17" s="1">
        <v>3.1451600242020018E-2</v>
      </c>
      <c r="DZ17" s="1">
        <v>-7.806921058958477E-2</v>
      </c>
      <c r="EA17" s="1">
        <v>-6.6039030020211872E-2</v>
      </c>
      <c r="EB17" s="1">
        <v>-2.9080516878887189E-2</v>
      </c>
      <c r="EC17" s="1">
        <v>-2.6393045252638969E-2</v>
      </c>
      <c r="ED17" s="1">
        <v>-4.4477234780817478E-2</v>
      </c>
      <c r="EE17" s="1">
        <v>1.7437441634007081E-2</v>
      </c>
      <c r="EF17" s="1">
        <v>5.3625957743149953E-2</v>
      </c>
      <c r="EG17" s="48">
        <f t="shared" si="0"/>
        <v>4.0912665706922006E-3</v>
      </c>
      <c r="EH17" s="48">
        <f t="shared" si="1"/>
        <v>6.3423792274792529E-2</v>
      </c>
      <c r="EI17" s="48">
        <f t="shared" si="2"/>
        <v>6.4506810834744965E-2</v>
      </c>
    </row>
    <row r="18" spans="1:139" ht="16" customHeight="1">
      <c r="A18" s="6">
        <v>107</v>
      </c>
      <c r="B18" s="6">
        <v>9</v>
      </c>
      <c r="C18" s="9">
        <v>1.2727346334157331E-2</v>
      </c>
      <c r="D18" s="9">
        <v>-8.1178361371415347E-2</v>
      </c>
      <c r="E18" s="9">
        <v>2.3442655940863592E-2</v>
      </c>
      <c r="F18" s="9">
        <v>3.1865825738505292E-2</v>
      </c>
      <c r="G18" s="9">
        <v>0.1369482872688142</v>
      </c>
      <c r="H18" s="9">
        <v>-5.438514380510788E-3</v>
      </c>
      <c r="I18" s="9">
        <v>7.7893729578915979E-2</v>
      </c>
      <c r="J18" s="9">
        <v>2.594339806607001E-2</v>
      </c>
      <c r="K18" s="9">
        <v>5.9629680003936598E-2</v>
      </c>
      <c r="L18" s="2">
        <v>-1.4826749617097601E-2</v>
      </c>
      <c r="M18" s="2">
        <v>-0.13201408562391079</v>
      </c>
      <c r="N18" s="2">
        <v>-0.14366252944961749</v>
      </c>
      <c r="O18" s="1">
        <v>4.2807526844649772E-2</v>
      </c>
      <c r="P18" s="1">
        <v>2.46037835346035E-3</v>
      </c>
      <c r="Q18" s="1">
        <v>3.7730238480865583E-2</v>
      </c>
      <c r="R18" s="1">
        <v>8.3950398113872879E-2</v>
      </c>
      <c r="S18" s="1">
        <v>3.124321547183392E-2</v>
      </c>
      <c r="T18" s="1">
        <v>1.3066300977178369E-4</v>
      </c>
      <c r="U18" s="1">
        <v>0.1188934631368815</v>
      </c>
      <c r="V18" s="1">
        <v>4.5323599409075738E-2</v>
      </c>
      <c r="W18" s="1">
        <v>7.6963671247168533E-2</v>
      </c>
      <c r="X18" s="1">
        <v>1.4484534779504789E-2</v>
      </c>
      <c r="Y18" s="1">
        <v>-3.4463445738876899E-2</v>
      </c>
      <c r="Z18" s="1">
        <v>5.0091717475553431E-2</v>
      </c>
      <c r="AA18" s="1">
        <v>-4.3064620478704199E-2</v>
      </c>
      <c r="AB18" s="1">
        <v>-4.9527631488232218E-3</v>
      </c>
      <c r="AC18" s="1">
        <v>8.0335562816492234E-2</v>
      </c>
      <c r="AD18" s="1">
        <v>4.9880522040330451E-2</v>
      </c>
      <c r="AE18" s="1">
        <v>-7.4208739050392408E-2</v>
      </c>
      <c r="AF18" s="1">
        <v>0.1211938372478067</v>
      </c>
      <c r="AG18" s="1">
        <v>8.2207018312194999E-3</v>
      </c>
      <c r="AH18" s="1">
        <v>-5.6626904765828247E-2</v>
      </c>
      <c r="AI18" s="1">
        <v>9.0039638246077899E-2</v>
      </c>
      <c r="AJ18" s="1">
        <v>5.4373028113403478E-2</v>
      </c>
      <c r="AK18" s="1">
        <v>-0.10006972725559291</v>
      </c>
      <c r="AL18" s="1">
        <v>-5.0455211092167267E-2</v>
      </c>
      <c r="AM18" s="1">
        <v>-4.829039838918775E-4</v>
      </c>
      <c r="AN18" s="1">
        <v>9.2246965846445483E-2</v>
      </c>
      <c r="AO18" s="1">
        <v>-7.7982406844543939E-2</v>
      </c>
      <c r="AP18" s="1">
        <v>-3.4824531468872558E-2</v>
      </c>
      <c r="AQ18" s="1">
        <v>-8.1982254183986927E-2</v>
      </c>
      <c r="AR18" s="1">
        <v>5.3434668181279898E-2</v>
      </c>
      <c r="AS18" s="1">
        <v>-2.3885240941049119E-2</v>
      </c>
      <c r="AT18" s="1">
        <v>1.0714471654195781E-2</v>
      </c>
      <c r="AU18" s="1">
        <v>3.7533086304277097E-2</v>
      </c>
      <c r="AV18" s="1">
        <v>1.9593644845331801E-2</v>
      </c>
      <c r="AW18" s="1">
        <v>-2.0035219231967188E-2</v>
      </c>
      <c r="AX18" s="1">
        <v>-4.2937574148260417E-2</v>
      </c>
      <c r="AY18" s="1">
        <v>7.5887326870443014E-2</v>
      </c>
      <c r="AZ18" s="1">
        <v>4.1182583638768484E-3</v>
      </c>
      <c r="BA18" s="1">
        <v>2.1082282188683129E-2</v>
      </c>
      <c r="BB18" s="1">
        <v>-5.221492251463121E-2</v>
      </c>
      <c r="BC18" s="1">
        <v>-1.9536550513639811E-3</v>
      </c>
      <c r="BD18" s="1">
        <v>6.8012371798242266E-2</v>
      </c>
      <c r="BE18" s="1">
        <v>1.7384474948009671E-2</v>
      </c>
      <c r="BF18" s="1">
        <v>-5.2819587304300739E-2</v>
      </c>
      <c r="BG18" s="1">
        <v>5.6580512316010183E-2</v>
      </c>
      <c r="BH18" s="1">
        <v>-8.1853736364483343E-2</v>
      </c>
      <c r="BI18" s="1">
        <v>-7.9212078110367512E-2</v>
      </c>
      <c r="BJ18" s="1">
        <v>-6.3145987190952171E-2</v>
      </c>
      <c r="BK18" s="1">
        <v>-1.6675767791737978E-2</v>
      </c>
      <c r="BL18" s="1">
        <v>3.6493375482421077E-2</v>
      </c>
      <c r="BM18" s="1">
        <v>-4.7397804852120778E-4</v>
      </c>
      <c r="BN18" s="1">
        <v>-0.1042941210774357</v>
      </c>
      <c r="BO18" s="1">
        <v>-6.9432375036616811E-2</v>
      </c>
      <c r="BP18" s="1">
        <v>0.1156315792096803</v>
      </c>
      <c r="BQ18" s="1">
        <v>4.3169933276580398E-2</v>
      </c>
      <c r="BR18" s="1">
        <v>0.1618537612997544</v>
      </c>
      <c r="BS18" s="1">
        <v>-3.9722352242764887E-2</v>
      </c>
      <c r="BT18" s="1">
        <v>4.3696697009945627E-2</v>
      </c>
      <c r="BU18" s="1">
        <v>5.5504622895669667E-2</v>
      </c>
      <c r="BV18" s="1">
        <v>-0.10039696801729341</v>
      </c>
      <c r="BW18" s="1">
        <v>6.8018451951025682E-2</v>
      </c>
      <c r="BX18" s="1">
        <v>7.2551485253444389E-2</v>
      </c>
      <c r="BY18" s="1">
        <v>7.1764632364093917E-2</v>
      </c>
      <c r="BZ18" s="1">
        <v>2.098590418954482E-2</v>
      </c>
      <c r="CA18" s="1">
        <v>-1.0393544938029979E-2</v>
      </c>
      <c r="CB18" s="1">
        <v>4.7089121978573581E-2</v>
      </c>
      <c r="CC18" s="1">
        <v>1.9810438723189081E-2</v>
      </c>
      <c r="CD18" s="1">
        <v>-3.7983874830716982E-2</v>
      </c>
      <c r="CE18" s="1">
        <v>5.5828567206639507E-2</v>
      </c>
      <c r="CF18" s="1">
        <v>-8.0704041365459778E-2</v>
      </c>
      <c r="CG18" s="1">
        <v>-2.9303664898848111E-2</v>
      </c>
      <c r="CH18" s="1">
        <v>-9.8431929116989336E-2</v>
      </c>
      <c r="CI18" s="1">
        <v>0.18956144613241471</v>
      </c>
      <c r="CJ18" s="1">
        <v>-2.2028240556287999E-2</v>
      </c>
      <c r="CK18" s="1">
        <v>0.1369115426962475</v>
      </c>
      <c r="CL18" s="1">
        <v>-0.16744910114945241</v>
      </c>
      <c r="CM18" s="1">
        <v>-4.5612276583068302E-2</v>
      </c>
      <c r="CN18" s="1">
        <v>9.3722238714878142E-2</v>
      </c>
      <c r="CO18" s="1">
        <v>3.7338084855707422E-2</v>
      </c>
      <c r="CP18" s="1">
        <v>5.2863945585534533E-3</v>
      </c>
      <c r="CQ18" s="1">
        <v>1.845484444023061E-2</v>
      </c>
      <c r="CR18" s="1">
        <v>-4.1941292875537078E-2</v>
      </c>
      <c r="CS18" s="1">
        <v>5.8571332193400077E-2</v>
      </c>
      <c r="CT18" s="1">
        <v>2.4741169923618141E-2</v>
      </c>
      <c r="CU18" s="1">
        <v>8.4904466128635364E-2</v>
      </c>
      <c r="CV18" s="1">
        <v>7.5509124165371186E-2</v>
      </c>
      <c r="CW18" s="1">
        <v>-4.6448024905785701E-2</v>
      </c>
      <c r="CX18" s="1">
        <v>-4.4795599681362083E-2</v>
      </c>
      <c r="CY18" s="1">
        <v>7.6395826088936809E-3</v>
      </c>
      <c r="CZ18" s="1">
        <v>8.0269508785132421E-2</v>
      </c>
      <c r="DA18" s="1">
        <v>6.0609862832963927E-2</v>
      </c>
      <c r="DB18" s="1">
        <v>-6.4855598536665698E-2</v>
      </c>
      <c r="DC18" s="1">
        <v>-4.5653848799343283E-2</v>
      </c>
      <c r="DD18" s="1">
        <v>-1.9305858885494021E-2</v>
      </c>
      <c r="DE18" s="1">
        <v>6.8800740508181052E-2</v>
      </c>
      <c r="DF18" s="1">
        <v>-4.3022385847838393E-2</v>
      </c>
      <c r="DG18" s="1">
        <v>-7.6482322494264385E-2</v>
      </c>
      <c r="DH18" s="1">
        <v>-8.6660966186198188E-2</v>
      </c>
      <c r="DI18" s="1">
        <v>-7.7294866950776003E-2</v>
      </c>
      <c r="DJ18" s="1">
        <v>0.1558369239269505</v>
      </c>
      <c r="DK18" s="1">
        <v>-0.11555866834282701</v>
      </c>
      <c r="DL18" s="1">
        <v>-7.3965348984809901E-2</v>
      </c>
      <c r="DM18" s="1">
        <v>-3.5445016243594918E-2</v>
      </c>
      <c r="DN18" s="1">
        <v>5.4443676188277279E-2</v>
      </c>
      <c r="DO18" s="1">
        <v>-5.1423223303966488E-2</v>
      </c>
      <c r="DP18" s="1">
        <v>-1.0825690343010711E-2</v>
      </c>
      <c r="DQ18" s="1">
        <v>4.7499555189982598E-2</v>
      </c>
      <c r="DR18" s="1">
        <v>3.122626021372055E-2</v>
      </c>
      <c r="DS18" s="1">
        <v>1.132328780334056E-2</v>
      </c>
      <c r="DT18" s="1">
        <v>-2.623771973611266E-2</v>
      </c>
      <c r="DU18" s="1">
        <v>1.180325695683488E-2</v>
      </c>
      <c r="DV18" s="1">
        <v>0.14184335609073789</v>
      </c>
      <c r="DW18" s="1">
        <v>-5.8804942044774662E-2</v>
      </c>
      <c r="DX18" s="1">
        <v>-4.336682600779071E-2</v>
      </c>
      <c r="DY18" s="1">
        <v>6.5202632762829615E-2</v>
      </c>
      <c r="DZ18" s="1">
        <v>-5.7107412615168857E-2</v>
      </c>
      <c r="EA18" s="1">
        <v>-7.531326235783195E-2</v>
      </c>
      <c r="EB18" s="1">
        <v>-2.9394572178659931E-2</v>
      </c>
      <c r="EC18" s="1">
        <v>-4.4447660999968001E-3</v>
      </c>
      <c r="ED18" s="1">
        <v>-5.1872164479342522E-2</v>
      </c>
      <c r="EE18" s="1">
        <v>1.1620678370096151E-2</v>
      </c>
      <c r="EF18" s="1">
        <v>6.5544713018521467E-2</v>
      </c>
      <c r="EG18" s="48">
        <f t="shared" si="0"/>
        <v>5.4239594769113827E-3</v>
      </c>
      <c r="EH18" s="48">
        <f t="shared" si="1"/>
        <v>6.780623394079105E-2</v>
      </c>
      <c r="EI18" s="48">
        <f t="shared" si="2"/>
        <v>7.9992047363191238E-2</v>
      </c>
    </row>
    <row r="19" spans="1:139" ht="16" customHeight="1">
      <c r="A19" s="6">
        <v>120</v>
      </c>
      <c r="B19" s="6">
        <v>8</v>
      </c>
      <c r="C19" s="9">
        <v>3.443052165985146E-3</v>
      </c>
      <c r="D19" s="9">
        <v>-3.4114759477065493E-2</v>
      </c>
      <c r="E19" s="9">
        <v>2.1229930355090309E-2</v>
      </c>
      <c r="F19" s="9">
        <v>8.0752164152319103E-2</v>
      </c>
      <c r="G19" s="9">
        <v>0.14170195333464089</v>
      </c>
      <c r="H19" s="9">
        <v>-2.533448680829942E-2</v>
      </c>
      <c r="I19" s="9">
        <v>0.13403569479334951</v>
      </c>
      <c r="J19" s="9">
        <v>3.3237528399950637E-2</v>
      </c>
      <c r="K19" s="9">
        <v>8.0449042046546626E-2</v>
      </c>
      <c r="L19" s="2">
        <v>1.286852030610734E-3</v>
      </c>
      <c r="M19" s="2">
        <v>-8.5573118112855201E-2</v>
      </c>
      <c r="N19" s="2">
        <v>-0.2077083382689732</v>
      </c>
      <c r="O19" s="1">
        <v>6.0431164310222392E-2</v>
      </c>
      <c r="P19" s="1">
        <v>-3.9117031929030727E-3</v>
      </c>
      <c r="Q19" s="1">
        <v>3.9351449580892282E-2</v>
      </c>
      <c r="R19" s="1">
        <v>1.6659024504467459E-2</v>
      </c>
      <c r="S19" s="1">
        <v>3.0947620374772711E-2</v>
      </c>
      <c r="T19" s="1">
        <v>1.7684873277377909E-2</v>
      </c>
      <c r="U19" s="1">
        <v>0.12956222073383031</v>
      </c>
      <c r="V19" s="1">
        <v>2.7569841050647571E-2</v>
      </c>
      <c r="W19" s="1">
        <v>0.107253567444009</v>
      </c>
      <c r="X19" s="1">
        <v>2.6242628496368631E-3</v>
      </c>
      <c r="Y19" s="1">
        <v>-9.9203728606397784E-3</v>
      </c>
      <c r="Z19" s="1">
        <v>6.0105553630568041E-2</v>
      </c>
      <c r="AA19" s="1">
        <v>-3.1296668535777873E-2</v>
      </c>
      <c r="AB19" s="1">
        <v>-3.2246492702427729E-2</v>
      </c>
      <c r="AC19" s="1">
        <v>6.772225619862024E-2</v>
      </c>
      <c r="AD19" s="1">
        <v>4.0802296981476041E-2</v>
      </c>
      <c r="AE19" s="1">
        <v>-7.9743368130775164E-2</v>
      </c>
      <c r="AF19" s="1">
        <v>0.13710219191513451</v>
      </c>
      <c r="AG19" s="1">
        <v>-4.5273803678921379E-3</v>
      </c>
      <c r="AH19" s="1">
        <v>-5.3106563624169427E-2</v>
      </c>
      <c r="AI19" s="1">
        <v>0.109361908169034</v>
      </c>
      <c r="AJ19" s="1">
        <v>6.7225917371099453E-2</v>
      </c>
      <c r="AK19" s="1">
        <v>-0.1064952966648819</v>
      </c>
      <c r="AL19" s="1">
        <v>-2.720069107724821E-2</v>
      </c>
      <c r="AM19" s="1">
        <v>1.177973386593256E-4</v>
      </c>
      <c r="AN19" s="1">
        <v>0.11960125757266531</v>
      </c>
      <c r="AO19" s="1">
        <v>-0.1211823932649128</v>
      </c>
      <c r="AP19" s="1">
        <v>-2.678496047142526E-2</v>
      </c>
      <c r="AQ19" s="1">
        <v>-0.1241366613098132</v>
      </c>
      <c r="AR19" s="1">
        <v>3.7953856556245863E-2</v>
      </c>
      <c r="AS19" s="1">
        <v>-7.6907374501020663E-3</v>
      </c>
      <c r="AT19" s="1">
        <v>2.1772348873311819E-2</v>
      </c>
      <c r="AU19" s="1">
        <v>4.1176678864625012E-2</v>
      </c>
      <c r="AV19" s="1">
        <v>1.3933229848211199E-2</v>
      </c>
      <c r="AW19" s="1">
        <v>-4.5093542880509777E-2</v>
      </c>
      <c r="AX19" s="1">
        <v>-2.7095513181899011E-2</v>
      </c>
      <c r="AY19" s="1">
        <v>3.4718199941447092E-2</v>
      </c>
      <c r="AZ19" s="1">
        <v>2.0305983734255829E-2</v>
      </c>
      <c r="BA19" s="1">
        <v>7.8602069416975982E-3</v>
      </c>
      <c r="BB19" s="1">
        <v>-8.0636653959692203E-2</v>
      </c>
      <c r="BC19" s="1">
        <v>-3.5577806489836307E-2</v>
      </c>
      <c r="BD19" s="1">
        <v>5.0031577569579738E-2</v>
      </c>
      <c r="BE19" s="1">
        <v>1.1238807062846679E-2</v>
      </c>
      <c r="BF19" s="1">
        <v>-7.5746702523224185E-2</v>
      </c>
      <c r="BG19" s="1">
        <v>0.1027779389569823</v>
      </c>
      <c r="BH19" s="1">
        <v>-0.1060003976269016</v>
      </c>
      <c r="BI19" s="1">
        <v>-8.8462214688004498E-2</v>
      </c>
      <c r="BJ19" s="1">
        <v>-7.4190564581785468E-2</v>
      </c>
      <c r="BK19" s="1">
        <v>-7.4480784721223728E-3</v>
      </c>
      <c r="BL19" s="1">
        <v>5.1117339101453482E-2</v>
      </c>
      <c r="BM19" s="1">
        <v>-1.425208329947625E-2</v>
      </c>
      <c r="BN19" s="1">
        <v>-0.1055243638504041</v>
      </c>
      <c r="BO19" s="1">
        <v>4.892689701538902E-3</v>
      </c>
      <c r="BP19" s="1">
        <v>0.1108198297340572</v>
      </c>
      <c r="BQ19" s="1">
        <v>5.4395196568104903E-2</v>
      </c>
      <c r="BR19" s="1">
        <v>0.18345257111104499</v>
      </c>
      <c r="BS19" s="1">
        <v>-3.2903309965414088E-2</v>
      </c>
      <c r="BT19" s="1">
        <v>4.5901122721393753E-2</v>
      </c>
      <c r="BU19" s="1">
        <v>5.0221349386738751E-2</v>
      </c>
      <c r="BV19" s="1">
        <v>-9.6397570916667813E-2</v>
      </c>
      <c r="BW19" s="1">
        <v>6.3098423468145981E-2</v>
      </c>
      <c r="BX19" s="1">
        <v>7.8919709069768071E-2</v>
      </c>
      <c r="BY19" s="1">
        <v>8.74469286299068E-2</v>
      </c>
      <c r="BZ19" s="1">
        <v>2.1993623210089991E-2</v>
      </c>
      <c r="CA19" s="1">
        <v>-1.611307818188025E-2</v>
      </c>
      <c r="CB19" s="1">
        <v>5.8471606340049297E-2</v>
      </c>
      <c r="CC19" s="1">
        <v>4.4744317559964192E-3</v>
      </c>
      <c r="CD19" s="1">
        <v>-6.1376690248334323E-2</v>
      </c>
      <c r="CE19" s="1">
        <v>7.9841683111972678E-2</v>
      </c>
      <c r="CF19" s="1">
        <v>-8.6335718445396295E-2</v>
      </c>
      <c r="CG19" s="1">
        <v>-9.5754132744059042E-2</v>
      </c>
      <c r="CH19" s="1">
        <v>-0.1387024662400006</v>
      </c>
      <c r="CI19" s="1">
        <v>0.21388534686517591</v>
      </c>
      <c r="CJ19" s="1">
        <v>-3.2625239533657299E-3</v>
      </c>
      <c r="CK19" s="1">
        <v>0.14369066852396209</v>
      </c>
      <c r="CL19" s="1">
        <v>-0.24847889250851229</v>
      </c>
      <c r="CM19" s="1">
        <v>-4.3715366830074397E-2</v>
      </c>
      <c r="CN19" s="1">
        <v>0.13476320693594029</v>
      </c>
      <c r="CO19" s="1">
        <v>2.1559553114810202E-2</v>
      </c>
      <c r="CP19" s="1">
        <v>-6.4980884391919042E-3</v>
      </c>
      <c r="CQ19" s="1">
        <v>1.113508197098401E-2</v>
      </c>
      <c r="CR19" s="1">
        <v>-3.3683178980567108E-2</v>
      </c>
      <c r="CS19" s="1">
        <v>6.3773272949255527E-2</v>
      </c>
      <c r="CT19" s="1">
        <v>2.0322815198319449E-2</v>
      </c>
      <c r="CU19" s="1">
        <v>9.4327424593509457E-2</v>
      </c>
      <c r="CV19" s="1">
        <v>7.9651411763067476E-2</v>
      </c>
      <c r="CW19" s="1">
        <v>-2.6165505721630389E-2</v>
      </c>
      <c r="CX19" s="1">
        <v>-2.9866927657574659E-2</v>
      </c>
      <c r="CY19" s="1">
        <v>1.086727751879764E-2</v>
      </c>
      <c r="CZ19" s="1">
        <v>9.0082651319275592E-2</v>
      </c>
      <c r="DA19" s="1">
        <v>6.7902275575140017E-2</v>
      </c>
      <c r="DB19" s="1">
        <v>-5.9817300332527648E-2</v>
      </c>
      <c r="DC19" s="1">
        <v>-4.4965286850071173E-2</v>
      </c>
      <c r="DD19" s="1">
        <v>-1.705163833493932E-2</v>
      </c>
      <c r="DE19" s="1">
        <v>9.704523832710088E-3</v>
      </c>
      <c r="DF19" s="1">
        <v>-4.6826104659249808E-2</v>
      </c>
      <c r="DG19" s="1">
        <v>-0.10240227946389741</v>
      </c>
      <c r="DH19" s="1">
        <v>-9.2184712298342103E-2</v>
      </c>
      <c r="DI19" s="1">
        <v>-7.1179830582593889E-2</v>
      </c>
      <c r="DJ19" s="1">
        <v>0.16726497627614781</v>
      </c>
      <c r="DK19" s="1">
        <v>-0.10156020183390251</v>
      </c>
      <c r="DL19" s="1">
        <v>-7.4861807757463594E-2</v>
      </c>
      <c r="DM19" s="1">
        <v>-2.483124976871439E-2</v>
      </c>
      <c r="DN19" s="1">
        <v>4.3606220310141858E-2</v>
      </c>
      <c r="DO19" s="1">
        <v>-5.9281068017541801E-2</v>
      </c>
      <c r="DP19" s="1">
        <v>-1.417958518061865E-2</v>
      </c>
      <c r="DQ19" s="1">
        <v>3.5883976774519821E-2</v>
      </c>
      <c r="DR19" s="1">
        <v>3.6688961331499272E-2</v>
      </c>
      <c r="DS19" s="1">
        <v>1.990323839921113E-2</v>
      </c>
      <c r="DT19" s="1">
        <v>-7.5344898290225781E-3</v>
      </c>
      <c r="DU19" s="1">
        <v>1.599755608009364E-2</v>
      </c>
      <c r="DV19" s="1">
        <v>0.144340554513502</v>
      </c>
      <c r="DW19" s="1">
        <v>-3.8731474396507107E-2</v>
      </c>
      <c r="DX19" s="1">
        <v>-4.2663210800563477E-2</v>
      </c>
      <c r="DY19" s="1">
        <v>7.8164814601063407E-2</v>
      </c>
      <c r="DZ19" s="1">
        <v>-1.83556775109764E-3</v>
      </c>
      <c r="EA19" s="1">
        <v>-5.6364518553972592E-2</v>
      </c>
      <c r="EB19" s="1">
        <v>-3.2955059489295113E-2</v>
      </c>
      <c r="EC19" s="1">
        <v>4.2087431423108454E-3</v>
      </c>
      <c r="ED19" s="1">
        <v>-1.9877495232507019E-2</v>
      </c>
      <c r="EE19" s="1">
        <v>1.7924510205338289E-2</v>
      </c>
      <c r="EF19" s="1">
        <v>6.9255381110723879E-2</v>
      </c>
      <c r="EG19" s="46">
        <f t="shared" si="0"/>
        <v>6.6613503724407153E-3</v>
      </c>
      <c r="EH19" s="48">
        <f t="shared" si="1"/>
        <v>7.5783772815123954E-2</v>
      </c>
      <c r="EI19" s="48">
        <f t="shared" si="2"/>
        <v>8.7899429191671596E-2</v>
      </c>
    </row>
    <row r="20" spans="1:139" ht="16" customHeight="1">
      <c r="A20" s="6">
        <v>137</v>
      </c>
      <c r="B20" s="6">
        <v>7</v>
      </c>
      <c r="C20" s="9">
        <v>2.0288327461452829E-2</v>
      </c>
      <c r="D20" s="9">
        <v>-1.381809617291975E-2</v>
      </c>
      <c r="E20" s="9">
        <v>2.6501157485152631E-2</v>
      </c>
      <c r="F20" s="9">
        <v>0.11938296010218979</v>
      </c>
      <c r="G20" s="9">
        <v>0.15796013924768751</v>
      </c>
      <c r="H20" s="9">
        <v>-4.313556281768155E-2</v>
      </c>
      <c r="I20" s="9">
        <v>0.15623011933530459</v>
      </c>
      <c r="J20" s="9">
        <v>5.4282230355079397E-2</v>
      </c>
      <c r="K20" s="9">
        <v>0.1150541670370385</v>
      </c>
      <c r="L20" s="2">
        <v>2.2842861682269909E-3</v>
      </c>
      <c r="M20" s="2">
        <v>-8.8122790405250201E-2</v>
      </c>
      <c r="N20" s="2">
        <v>-0.2994010877480881</v>
      </c>
      <c r="O20" s="1">
        <v>6.9386189513415325E-2</v>
      </c>
      <c r="P20" s="1">
        <v>9.4140371955634874E-3</v>
      </c>
      <c r="Q20" s="1">
        <v>-3.5206997205469041E-2</v>
      </c>
      <c r="R20" s="1">
        <v>2.937833538504599E-2</v>
      </c>
      <c r="S20" s="1">
        <v>3.4228435931449773E-2</v>
      </c>
      <c r="T20" s="1">
        <v>1.561175977211751E-2</v>
      </c>
      <c r="U20" s="1">
        <v>0.13272604755332609</v>
      </c>
      <c r="V20" s="1">
        <v>2.4136735458464311E-2</v>
      </c>
      <c r="W20" s="1">
        <v>0.1011943013606538</v>
      </c>
      <c r="X20" s="1">
        <v>6.6850736899666738E-3</v>
      </c>
      <c r="Y20" s="1">
        <v>-2.0388838884732401E-2</v>
      </c>
      <c r="Z20" s="1">
        <v>8.0471110522480224E-2</v>
      </c>
      <c r="AA20" s="1">
        <v>-1.9210040808898789E-2</v>
      </c>
      <c r="AB20" s="1">
        <v>-3.3295599859126737E-2</v>
      </c>
      <c r="AC20" s="1">
        <v>8.2927243480150431E-2</v>
      </c>
      <c r="AD20" s="1">
        <v>2.9847712504455341E-2</v>
      </c>
      <c r="AE20" s="1">
        <v>-8.4368786931791159E-2</v>
      </c>
      <c r="AF20" s="1">
        <v>0.13145645134750139</v>
      </c>
      <c r="AG20" s="1">
        <v>-3.3355881456541212E-2</v>
      </c>
      <c r="AH20" s="1">
        <v>-5.2692404719030722E-2</v>
      </c>
      <c r="AI20" s="1">
        <v>0.1492000281163573</v>
      </c>
      <c r="AJ20" s="1">
        <v>6.6902633427558145E-2</v>
      </c>
      <c r="AK20" s="1">
        <v>-7.550061204617739E-2</v>
      </c>
      <c r="AL20" s="1">
        <v>-2.3756311233894749E-2</v>
      </c>
      <c r="AM20" s="1">
        <v>-8.3278952856205971E-2</v>
      </c>
      <c r="AN20" s="1">
        <v>0.1079464722256796</v>
      </c>
      <c r="AO20" s="1">
        <v>-0.1179445138119545</v>
      </c>
      <c r="AP20" s="1">
        <v>-3.5985909651518717E-2</v>
      </c>
      <c r="AQ20" s="1">
        <v>-0.14940016678503859</v>
      </c>
      <c r="AR20" s="1">
        <v>5.3599691208490348E-2</v>
      </c>
      <c r="AS20" s="1">
        <v>1.16821276576312E-2</v>
      </c>
      <c r="AT20" s="1">
        <v>1.4017357210960431E-2</v>
      </c>
      <c r="AU20" s="1">
        <v>3.1818795061018361E-2</v>
      </c>
      <c r="AV20" s="1">
        <v>-6.1904767728544934E-3</v>
      </c>
      <c r="AW20" s="1">
        <v>-2.7428949452237492E-2</v>
      </c>
      <c r="AX20" s="1">
        <v>-2.7068058812423908E-2</v>
      </c>
      <c r="AY20" s="1">
        <v>-1.244299907949642E-2</v>
      </c>
      <c r="AZ20" s="1">
        <v>2.3144841828750609E-2</v>
      </c>
      <c r="BA20" s="1">
        <v>1.153337228462349E-2</v>
      </c>
      <c r="BB20" s="1">
        <v>-9.4841437173290952E-2</v>
      </c>
      <c r="BC20" s="1">
        <v>-4.4226476798638392E-2</v>
      </c>
      <c r="BD20" s="1">
        <v>6.4860699394588939E-2</v>
      </c>
      <c r="BE20" s="1">
        <v>1.027340211433495E-2</v>
      </c>
      <c r="BF20" s="1">
        <v>-0.1010595283226879</v>
      </c>
      <c r="BG20" s="1">
        <v>0.13354478295205249</v>
      </c>
      <c r="BH20" s="1">
        <v>-8.4087318247830001E-2</v>
      </c>
      <c r="BI20" s="1">
        <v>-0.1191894742075409</v>
      </c>
      <c r="BJ20" s="1">
        <v>-6.0352260801196309E-2</v>
      </c>
      <c r="BK20" s="1">
        <v>-4.2345115988512844E-3</v>
      </c>
      <c r="BL20" s="1">
        <v>3.4624583669256102E-2</v>
      </c>
      <c r="BM20" s="1">
        <v>-2.186348543245616E-2</v>
      </c>
      <c r="BN20" s="1">
        <v>-9.4393283814396281E-2</v>
      </c>
      <c r="BO20" s="1">
        <v>8.269134952580727E-3</v>
      </c>
      <c r="BP20" s="1">
        <v>3.9488146777132527E-2</v>
      </c>
      <c r="BQ20" s="1">
        <v>3.7730243638668233E-2</v>
      </c>
      <c r="BR20" s="1">
        <v>0.1690921940525579</v>
      </c>
      <c r="BS20" s="1">
        <v>-1.9097795375240461E-2</v>
      </c>
      <c r="BT20" s="1">
        <v>3.5004755851051568E-2</v>
      </c>
      <c r="BU20" s="1">
        <v>5.3120184893243022E-2</v>
      </c>
      <c r="BV20" s="1">
        <v>-0.100718763866418</v>
      </c>
      <c r="BW20" s="1">
        <v>3.2666591099208983E-2</v>
      </c>
      <c r="BX20" s="1">
        <v>9.3900045679794111E-2</v>
      </c>
      <c r="BY20" s="1">
        <v>9.5998433367774028E-2</v>
      </c>
      <c r="BZ20" s="1">
        <v>-6.7785243482561028E-2</v>
      </c>
      <c r="CA20" s="1">
        <v>-1.2267472791204879E-2</v>
      </c>
      <c r="CB20" s="1">
        <v>7.2911257098072113E-2</v>
      </c>
      <c r="CC20" s="1">
        <v>6.2139534871519554E-3</v>
      </c>
      <c r="CD20" s="1">
        <v>-4.8949304062818152E-2</v>
      </c>
      <c r="CE20" s="1">
        <v>9.0608748116032076E-2</v>
      </c>
      <c r="CF20" s="1">
        <v>-7.691461405571004E-2</v>
      </c>
      <c r="CG20" s="1">
        <v>-9.8265490172105896E-2</v>
      </c>
      <c r="CH20" s="1">
        <v>-0.19591305439972431</v>
      </c>
      <c r="CI20" s="1">
        <v>0.21915735764603889</v>
      </c>
      <c r="CJ20" s="1">
        <v>-6.9570763296422714E-3</v>
      </c>
      <c r="CK20" s="1">
        <v>0.10336265776610511</v>
      </c>
      <c r="CL20" s="1">
        <v>-0.2863774463615375</v>
      </c>
      <c r="CM20" s="1">
        <v>-6.7531468768333741E-2</v>
      </c>
      <c r="CN20" s="1">
        <v>0.14096812871176889</v>
      </c>
      <c r="CO20" s="1">
        <v>7.7970069111449991E-2</v>
      </c>
      <c r="CP20" s="1">
        <v>-1.7809151208515939E-2</v>
      </c>
      <c r="CQ20" s="1">
        <v>-1.9469468995862401E-3</v>
      </c>
      <c r="CR20" s="1">
        <v>-5.6637101406453352E-2</v>
      </c>
      <c r="CS20" s="1">
        <v>9.3034541030060453E-2</v>
      </c>
      <c r="CT20" s="1">
        <v>3.4971913027281661E-3</v>
      </c>
      <c r="CU20" s="1">
        <v>9.9623079532007663E-2</v>
      </c>
      <c r="CV20" s="1">
        <v>8.8968179387851828E-2</v>
      </c>
      <c r="CW20" s="1">
        <v>-5.5074298363009283E-2</v>
      </c>
      <c r="CX20" s="1">
        <v>-4.2436429107341543E-2</v>
      </c>
      <c r="CY20" s="1">
        <v>4.8722399510826436E-3</v>
      </c>
      <c r="CZ20" s="1">
        <v>6.8762931036658759E-2</v>
      </c>
      <c r="DA20" s="1">
        <v>7.241707495588158E-2</v>
      </c>
      <c r="DB20" s="1">
        <v>-8.646060410001738E-2</v>
      </c>
      <c r="DC20" s="1">
        <v>-6.008320403123607E-2</v>
      </c>
      <c r="DD20" s="1">
        <v>-4.8806127584805958E-2</v>
      </c>
      <c r="DE20" s="1">
        <v>2.462831500347297E-2</v>
      </c>
      <c r="DF20" s="1">
        <v>-4.8374214960734338E-2</v>
      </c>
      <c r="DG20" s="1">
        <v>-0.1255710716683778</v>
      </c>
      <c r="DH20" s="1">
        <v>-0.1024305836751717</v>
      </c>
      <c r="DI20" s="1">
        <v>-8.1066381842120255E-2</v>
      </c>
      <c r="DJ20" s="1">
        <v>0.18304163249965419</v>
      </c>
      <c r="DK20" s="1">
        <v>-9.9041062347003217E-2</v>
      </c>
      <c r="DL20" s="1">
        <v>-4.6438539631352943E-2</v>
      </c>
      <c r="DM20" s="1">
        <v>-5.2897131209722198E-2</v>
      </c>
      <c r="DN20" s="1">
        <v>8.8925924152682967E-3</v>
      </c>
      <c r="DO20" s="1">
        <v>-6.725939513472029E-2</v>
      </c>
      <c r="DP20" s="1">
        <v>-1.4209129262767531E-2</v>
      </c>
      <c r="DQ20" s="1">
        <v>3.4218915785406867E-2</v>
      </c>
      <c r="DR20" s="1">
        <v>5.1452051693385847E-2</v>
      </c>
      <c r="DS20" s="1">
        <v>1.395379991897093E-2</v>
      </c>
      <c r="DT20" s="1">
        <v>-5.2117230466174752E-3</v>
      </c>
      <c r="DU20" s="1">
        <v>5.6573756485610305E-4</v>
      </c>
      <c r="DV20" s="1">
        <v>5.9036258987718089E-2</v>
      </c>
      <c r="DW20" s="1">
        <v>-5.3528114904581918E-2</v>
      </c>
      <c r="DX20" s="1">
        <v>-5.3717702471494891E-2</v>
      </c>
      <c r="DY20" s="1">
        <v>5.3488378695806901E-2</v>
      </c>
      <c r="DZ20" s="1">
        <v>-1.240547219871589E-2</v>
      </c>
      <c r="EA20" s="1">
        <v>-6.0673147483992863E-2</v>
      </c>
      <c r="EB20" s="1">
        <v>-3.3054230528019903E-2</v>
      </c>
      <c r="EC20" s="1">
        <v>1.4852473367186E-2</v>
      </c>
      <c r="ED20" s="1">
        <v>-2.631580563823778E-2</v>
      </c>
      <c r="EE20" s="1">
        <v>2.5600682698436409E-2</v>
      </c>
      <c r="EF20" s="1">
        <v>7.9182483709144366E-2</v>
      </c>
      <c r="EG20" s="48">
        <f t="shared" si="0"/>
        <v>1.7214922206277576E-3</v>
      </c>
      <c r="EH20" s="48">
        <f t="shared" si="1"/>
        <v>8.3312772277602212E-2</v>
      </c>
      <c r="EI20" s="48">
        <f t="shared" si="2"/>
        <v>2.0663004885873464E-2</v>
      </c>
    </row>
    <row r="21" spans="1:139" ht="16" customHeight="1">
      <c r="A21" s="6">
        <v>160</v>
      </c>
      <c r="B21" s="6">
        <v>6</v>
      </c>
      <c r="C21" s="9">
        <v>1.417061362584035E-2</v>
      </c>
      <c r="D21" s="9">
        <v>3.738942649264027E-3</v>
      </c>
      <c r="E21" s="9">
        <v>2.9561051994036261E-2</v>
      </c>
      <c r="F21" s="9">
        <v>0.1776886618055605</v>
      </c>
      <c r="G21" s="9">
        <v>0.12538655935667489</v>
      </c>
      <c r="H21" s="9">
        <v>5.2119611263637539E-3</v>
      </c>
      <c r="I21" s="9">
        <v>0.18530146379764539</v>
      </c>
      <c r="J21" s="9">
        <v>8.4289728356281152E-2</v>
      </c>
      <c r="K21" s="9">
        <v>0.13535885985527671</v>
      </c>
      <c r="L21" s="2">
        <v>1.6273317780561219E-2</v>
      </c>
      <c r="M21" s="2">
        <v>-6.6788099197594639E-2</v>
      </c>
      <c r="N21" s="2">
        <v>-0.29842616270883998</v>
      </c>
      <c r="O21" s="1">
        <v>8.2510445811965497E-2</v>
      </c>
      <c r="P21" s="1">
        <v>2.847115841292993E-2</v>
      </c>
      <c r="Q21" s="1">
        <v>-6.6220950754096619E-2</v>
      </c>
      <c r="R21" s="1">
        <v>1.1653818192036459E-2</v>
      </c>
      <c r="S21" s="1">
        <v>3.9573074285040408E-2</v>
      </c>
      <c r="T21" s="1">
        <v>3.2498889807820397E-2</v>
      </c>
      <c r="U21" s="1">
        <v>9.5375372349739085E-2</v>
      </c>
      <c r="V21" s="1">
        <v>-4.2103525563890742E-3</v>
      </c>
      <c r="W21" s="1">
        <v>9.3906669543040652E-2</v>
      </c>
      <c r="X21" s="1">
        <v>3.1896124106812369E-2</v>
      </c>
      <c r="Y21" s="1">
        <v>-4.3088843283800332E-2</v>
      </c>
      <c r="Z21" s="1">
        <v>0.1049984911106354</v>
      </c>
      <c r="AA21" s="1">
        <v>-1.197237302549841E-2</v>
      </c>
      <c r="AB21" s="1">
        <v>-2.8261486646657528E-2</v>
      </c>
      <c r="AC21" s="1">
        <v>8.2957630715251959E-2</v>
      </c>
      <c r="AD21" s="1">
        <v>7.5010147203702096E-2</v>
      </c>
      <c r="AE21" s="1">
        <v>-5.8804323861905441E-2</v>
      </c>
      <c r="AF21" s="1">
        <v>7.3773497411348657E-2</v>
      </c>
      <c r="AG21" s="1">
        <v>4.5374131544293761E-3</v>
      </c>
      <c r="AH21" s="1">
        <v>-6.4313304249439027E-2</v>
      </c>
      <c r="AI21" s="1">
        <v>0.17788052051411779</v>
      </c>
      <c r="AJ21" s="1">
        <v>4.3796787648090307E-2</v>
      </c>
      <c r="AK21" s="1">
        <v>-9.5792501257339679E-2</v>
      </c>
      <c r="AL21" s="1">
        <v>-6.1708845939544753E-2</v>
      </c>
      <c r="AM21" s="1">
        <v>-9.0506590665753159E-2</v>
      </c>
      <c r="AN21" s="1">
        <v>0.1155595412104507</v>
      </c>
      <c r="AO21" s="1">
        <v>-7.8897676831437724E-2</v>
      </c>
      <c r="AP21" s="1">
        <v>-0.10438704605833959</v>
      </c>
      <c r="AQ21" s="1">
        <v>-0.13674694226173109</v>
      </c>
      <c r="AR21" s="1">
        <v>6.0928759296855248E-2</v>
      </c>
      <c r="AS21" s="1">
        <v>4.8554025694427273E-2</v>
      </c>
      <c r="AT21" s="1">
        <v>6.4221133879635538E-3</v>
      </c>
      <c r="AU21" s="1">
        <v>4.5615300670792697E-2</v>
      </c>
      <c r="AV21" s="1">
        <v>-1.7717024707103759E-2</v>
      </c>
      <c r="AW21" s="1">
        <v>-2.8836933181371351E-2</v>
      </c>
      <c r="AX21" s="1">
        <v>-5.4653745741173026E-3</v>
      </c>
      <c r="AY21" s="1">
        <v>2.9063425346645931E-2</v>
      </c>
      <c r="AZ21" s="1">
        <v>5.8566475739364708E-3</v>
      </c>
      <c r="BA21" s="1">
        <v>1.8003839555209199E-2</v>
      </c>
      <c r="BB21" s="1">
        <v>-0.114650324572797</v>
      </c>
      <c r="BC21" s="1">
        <v>-6.559755200053452E-2</v>
      </c>
      <c r="BD21" s="1">
        <v>8.3771202009185419E-2</v>
      </c>
      <c r="BE21" s="1">
        <v>-6.579428952886851E-4</v>
      </c>
      <c r="BF21" s="1">
        <v>-0.1234697962283955</v>
      </c>
      <c r="BG21" s="1">
        <v>0.15400692613680311</v>
      </c>
      <c r="BH21" s="1">
        <v>-0.1080103220364243</v>
      </c>
      <c r="BI21" s="1">
        <v>-0.12757213451658411</v>
      </c>
      <c r="BJ21" s="1">
        <v>-6.0711577932139479E-2</v>
      </c>
      <c r="BK21" s="1">
        <v>-1.932791243711587E-2</v>
      </c>
      <c r="BL21" s="1">
        <v>4.2692696355930003E-2</v>
      </c>
      <c r="BM21" s="1">
        <v>-1.2294533445539071E-2</v>
      </c>
      <c r="BN21" s="1">
        <v>-8.3750817310277878E-2</v>
      </c>
      <c r="BO21" s="1">
        <v>-1.2680735901555971E-2</v>
      </c>
      <c r="BP21" s="1">
        <v>5.6761406573451141E-2</v>
      </c>
      <c r="BQ21" s="1">
        <v>3.0274652429513479E-2</v>
      </c>
      <c r="BR21" s="1">
        <v>0.102126663029042</v>
      </c>
      <c r="BS21" s="1">
        <v>9.5808992419894323E-3</v>
      </c>
      <c r="BT21" s="1">
        <v>4.1864956612230303E-2</v>
      </c>
      <c r="BU21" s="1">
        <v>6.9234332013254379E-2</v>
      </c>
      <c r="BV21" s="1">
        <v>-0.1291369849969092</v>
      </c>
      <c r="BW21" s="1">
        <v>4.6771460956974313E-2</v>
      </c>
      <c r="BX21" s="1">
        <v>0.1175696318381606</v>
      </c>
      <c r="BY21" s="1">
        <v>0.1123063552768796</v>
      </c>
      <c r="BZ21" s="1">
        <v>-3.23742949104526E-2</v>
      </c>
      <c r="CA21" s="1">
        <v>5.8178939889110687E-3</v>
      </c>
      <c r="CB21" s="1">
        <v>9.0264913235887978E-2</v>
      </c>
      <c r="CC21" s="1">
        <v>-2.4711040335052031E-2</v>
      </c>
      <c r="CD21" s="1">
        <v>-2.6261220951159341E-2</v>
      </c>
      <c r="CE21" s="1">
        <v>8.8850250272785869E-2</v>
      </c>
      <c r="CF21" s="1">
        <v>-7.552170896408808E-2</v>
      </c>
      <c r="CG21" s="1">
        <v>-8.7640012204966339E-2</v>
      </c>
      <c r="CH21" s="1">
        <v>-0.19610873223685629</v>
      </c>
      <c r="CI21" s="1">
        <v>0.29376096477372698</v>
      </c>
      <c r="CJ21" s="1">
        <v>-4.9615594320264614E-3</v>
      </c>
      <c r="CK21" s="1">
        <v>0.1048151767026481</v>
      </c>
      <c r="CL21" s="1">
        <v>-0.31598367202914679</v>
      </c>
      <c r="CM21" s="1">
        <v>-4.8507977416137042E-2</v>
      </c>
      <c r="CN21" s="1">
        <v>0.16662778750632981</v>
      </c>
      <c r="CO21" s="1">
        <v>4.6133096081600801E-2</v>
      </c>
      <c r="CP21" s="1">
        <v>-2.1714649435103751E-2</v>
      </c>
      <c r="CQ21" s="1">
        <v>-3.5615340231966931E-3</v>
      </c>
      <c r="CR21" s="1">
        <v>-8.1896281327090538E-4</v>
      </c>
      <c r="CS21" s="1">
        <v>0.1359034507508714</v>
      </c>
      <c r="CT21" s="1">
        <v>4.2926339087781679E-3</v>
      </c>
      <c r="CU21" s="1">
        <v>9.5412972406613478E-2</v>
      </c>
      <c r="CV21" s="1">
        <v>8.0332616977563442E-2</v>
      </c>
      <c r="CW21" s="1">
        <v>-5.220439999492521E-2</v>
      </c>
      <c r="CX21" s="1">
        <v>2.17244800150516E-2</v>
      </c>
      <c r="CY21" s="1">
        <v>1.41541879145435E-2</v>
      </c>
      <c r="CZ21" s="1">
        <v>8.3234747331811368E-2</v>
      </c>
      <c r="DA21" s="1">
        <v>5.681066874461374E-2</v>
      </c>
      <c r="DB21" s="1">
        <v>-9.4786783239331054E-2</v>
      </c>
      <c r="DC21" s="1">
        <v>-8.1591936128784653E-2</v>
      </c>
      <c r="DD21" s="1">
        <v>-1.5168702729372039E-3</v>
      </c>
      <c r="DE21" s="1">
        <v>6.0590485510163772E-2</v>
      </c>
      <c r="DF21" s="1">
        <v>-5.8060000446423773E-2</v>
      </c>
      <c r="DG21" s="1">
        <v>-9.7925719967743297E-2</v>
      </c>
      <c r="DH21" s="1">
        <v>-9.7100983136316793E-2</v>
      </c>
      <c r="DI21" s="1">
        <v>-7.799075059875725E-2</v>
      </c>
      <c r="DJ21" s="1">
        <v>0.17965000040780779</v>
      </c>
      <c r="DK21" s="1">
        <v>-0.13347011261847511</v>
      </c>
      <c r="DL21" s="1">
        <v>-4.1539196071656619E-2</v>
      </c>
      <c r="DM21" s="1">
        <v>-5.248297834857886E-2</v>
      </c>
      <c r="DN21" s="1">
        <v>2.5084353420257499E-2</v>
      </c>
      <c r="DO21" s="1">
        <v>-6.5203127954196097E-2</v>
      </c>
      <c r="DP21" s="1">
        <v>-2.579965964023212E-2</v>
      </c>
      <c r="DQ21" s="1">
        <v>7.5013927664844826E-3</v>
      </c>
      <c r="DR21" s="1">
        <v>6.6572909555215526E-2</v>
      </c>
      <c r="DS21" s="1">
        <v>-2.289179433063403E-3</v>
      </c>
      <c r="DT21" s="1">
        <v>5.5367513005972938E-2</v>
      </c>
      <c r="DU21" s="1">
        <v>-2.5836396073543631E-2</v>
      </c>
      <c r="DV21" s="1">
        <v>2.1412870985947411E-2</v>
      </c>
      <c r="DW21" s="1">
        <v>-5.2603057804992352E-2</v>
      </c>
      <c r="DX21" s="1">
        <v>3.3962205076641178E-4</v>
      </c>
      <c r="DY21" s="1">
        <v>7.7069099560074114E-2</v>
      </c>
      <c r="DZ21" s="1">
        <v>2.9567304560442619E-2</v>
      </c>
      <c r="EA21" s="1">
        <v>-9.3776578229457522E-2</v>
      </c>
      <c r="EB21" s="1">
        <v>-1.6968324257334889E-2</v>
      </c>
      <c r="EC21" s="1">
        <v>1.7932049490555321E-2</v>
      </c>
      <c r="ED21" s="1">
        <v>1.7901103391088271E-2</v>
      </c>
      <c r="EE21" s="1">
        <v>4.2735042995316552E-2</v>
      </c>
      <c r="EF21" s="1">
        <v>0.1029289139073024</v>
      </c>
      <c r="EG21" s="46">
        <f t="shared" si="0"/>
        <v>6.8377436794072001E-3</v>
      </c>
      <c r="EH21" s="48">
        <f t="shared" si="1"/>
        <v>8.8870038278841088E-2</v>
      </c>
      <c r="EI21" s="48">
        <f t="shared" si="2"/>
        <v>7.6940933208027959E-2</v>
      </c>
    </row>
    <row r="22" spans="1:139" ht="16" customHeight="1">
      <c r="A22" s="6">
        <v>192</v>
      </c>
      <c r="B22" s="6">
        <v>5</v>
      </c>
      <c r="C22" s="9">
        <v>1.2696408260164469E-2</v>
      </c>
      <c r="D22" s="9">
        <v>5.7359618397013756E-3</v>
      </c>
      <c r="E22" s="9">
        <v>4.5567491176533102E-2</v>
      </c>
      <c r="F22" s="9">
        <v>0.15058182001928919</v>
      </c>
      <c r="G22" s="9">
        <v>0.14069840818617521</v>
      </c>
      <c r="H22" s="9">
        <v>2.53085483986118E-2</v>
      </c>
      <c r="I22" s="9">
        <v>0.24044579545920111</v>
      </c>
      <c r="J22" s="9">
        <v>1.24737477965142E-2</v>
      </c>
      <c r="K22" s="9">
        <v>0.13236028109223871</v>
      </c>
      <c r="L22" s="2">
        <v>6.646266323671754E-3</v>
      </c>
      <c r="M22" s="2">
        <v>-6.9602727833061179E-2</v>
      </c>
      <c r="N22" s="2">
        <v>-0.32558226207308749</v>
      </c>
      <c r="O22" s="1">
        <v>0.1020897696818665</v>
      </c>
      <c r="P22" s="1">
        <v>4.5990059185474802E-2</v>
      </c>
      <c r="Q22" s="1">
        <v>-6.632942501780352E-2</v>
      </c>
      <c r="R22" s="1">
        <v>-1.447158022093956E-2</v>
      </c>
      <c r="S22" s="1">
        <v>0.1057584697400826</v>
      </c>
      <c r="T22" s="1">
        <v>-1.213181047035046E-3</v>
      </c>
      <c r="U22" s="1">
        <v>9.3152443915675495E-2</v>
      </c>
      <c r="V22" s="1">
        <v>-2.2429716421404591E-2</v>
      </c>
      <c r="W22" s="1">
        <v>0.1082329136815615</v>
      </c>
      <c r="X22" s="1">
        <v>3.7686843559318443E-2</v>
      </c>
      <c r="Y22" s="1">
        <v>-6.242034189386237E-2</v>
      </c>
      <c r="Z22" s="1">
        <v>4.4118992520568917E-2</v>
      </c>
      <c r="AA22" s="1">
        <v>-1.004256780953937E-3</v>
      </c>
      <c r="AB22" s="1">
        <v>-2.5291440814533571E-2</v>
      </c>
      <c r="AC22" s="1">
        <v>0.100446244266209</v>
      </c>
      <c r="AD22" s="1">
        <v>0.11238290989510211</v>
      </c>
      <c r="AE22" s="1">
        <v>-9.9604830772072293E-3</v>
      </c>
      <c r="AF22" s="1">
        <v>0.1239292341698264</v>
      </c>
      <c r="AG22" s="1">
        <v>-5.3414692959672383E-3</v>
      </c>
      <c r="AH22" s="1">
        <v>-8.3068787823135752E-3</v>
      </c>
      <c r="AI22" s="1">
        <v>0.11068999565095219</v>
      </c>
      <c r="AJ22" s="1">
        <v>3.0571089946334111E-2</v>
      </c>
      <c r="AK22" s="1">
        <v>-1.4601133818832251E-2</v>
      </c>
      <c r="AL22" s="1">
        <v>-4.1326249555269687E-2</v>
      </c>
      <c r="AM22" s="1">
        <v>-8.6731530440894863E-2</v>
      </c>
      <c r="AN22" s="1">
        <v>6.892085522241885E-2</v>
      </c>
      <c r="AO22" s="1">
        <v>-3.6974260760940063E-2</v>
      </c>
      <c r="AP22" s="1">
        <v>-0.13315504364063699</v>
      </c>
      <c r="AQ22" s="1">
        <v>-0.18588105751585321</v>
      </c>
      <c r="AR22" s="1">
        <v>5.0828797334364698E-2</v>
      </c>
      <c r="AS22" s="1">
        <v>-7.8027456346561504E-3</v>
      </c>
      <c r="AT22" s="1">
        <v>3.8176590088387372E-3</v>
      </c>
      <c r="AU22" s="1">
        <v>6.0437710763012367E-2</v>
      </c>
      <c r="AV22" s="1">
        <v>1.1480871347052E-2</v>
      </c>
      <c r="AW22" s="1">
        <v>-6.3432406024735891E-2</v>
      </c>
      <c r="AX22" s="1">
        <v>-3.4367648539104362E-5</v>
      </c>
      <c r="AY22" s="1">
        <v>2.7198161772156899E-2</v>
      </c>
      <c r="AZ22" s="1">
        <v>2.876873931701357E-3</v>
      </c>
      <c r="BA22" s="1">
        <v>1.6297836270521011E-2</v>
      </c>
      <c r="BB22" s="1">
        <v>-0.1034907040901325</v>
      </c>
      <c r="BC22" s="1">
        <v>-0.13043548925418191</v>
      </c>
      <c r="BD22" s="1">
        <v>0.1091900953518411</v>
      </c>
      <c r="BE22" s="1">
        <v>4.7507091165572626E-3</v>
      </c>
      <c r="BF22" s="1">
        <v>-0.1206034471089288</v>
      </c>
      <c r="BG22" s="1">
        <v>0.18801365925543129</v>
      </c>
      <c r="BH22" s="1">
        <v>-8.1000614240678837E-2</v>
      </c>
      <c r="BI22" s="1">
        <v>-0.14975676980343641</v>
      </c>
      <c r="BJ22" s="1">
        <v>-6.1310161855819612E-2</v>
      </c>
      <c r="BK22" s="1">
        <v>-4.3094689483328397E-2</v>
      </c>
      <c r="BL22" s="1">
        <v>3.1001588405153459E-2</v>
      </c>
      <c r="BM22" s="1">
        <v>-7.3533752292080246E-3</v>
      </c>
      <c r="BN22" s="1">
        <v>-0.16284259333078971</v>
      </c>
      <c r="BO22" s="1">
        <v>8.734178990193478E-3</v>
      </c>
      <c r="BP22" s="1">
        <v>3.8429686864486702E-2</v>
      </c>
      <c r="BQ22" s="1">
        <v>3.9131730329335812E-2</v>
      </c>
      <c r="BR22" s="1">
        <v>0.1265030210723137</v>
      </c>
      <c r="BS22" s="1">
        <v>1.408639447718241E-2</v>
      </c>
      <c r="BT22" s="1">
        <v>-1.097223413907028E-2</v>
      </c>
      <c r="BU22" s="1">
        <v>6.7903221352710597E-2</v>
      </c>
      <c r="BV22" s="1">
        <v>-0.1249247587742181</v>
      </c>
      <c r="BW22" s="1">
        <v>1.496849506321192E-2</v>
      </c>
      <c r="BX22" s="1">
        <v>0.13992720499002689</v>
      </c>
      <c r="BY22" s="1">
        <v>0.17776287539458899</v>
      </c>
      <c r="BZ22" s="1">
        <v>-5.8495425834911491E-2</v>
      </c>
      <c r="CA22" s="1">
        <v>1.9973455264247621E-2</v>
      </c>
      <c r="CB22" s="1">
        <v>0.1058294080600201</v>
      </c>
      <c r="CC22" s="1">
        <v>-2.8887093134229321E-2</v>
      </c>
      <c r="CD22" s="1">
        <v>-7.4761637084660132E-2</v>
      </c>
      <c r="CE22" s="1">
        <v>0.11312962154046061</v>
      </c>
      <c r="CF22" s="1">
        <v>-5.160335811908863E-2</v>
      </c>
      <c r="CG22" s="1">
        <v>-0.112872147015928</v>
      </c>
      <c r="CH22" s="1">
        <v>-0.14207978977354119</v>
      </c>
      <c r="CI22" s="1">
        <v>0.36047328945940449</v>
      </c>
      <c r="CJ22" s="1">
        <v>2.2798546802083319E-3</v>
      </c>
      <c r="CK22" s="1">
        <v>0.14437849435096969</v>
      </c>
      <c r="CL22" s="1">
        <v>-0.42611894157260782</v>
      </c>
      <c r="CM22" s="1">
        <v>-3.9561564930700649E-2</v>
      </c>
      <c r="CN22" s="1">
        <v>0.20150550768288111</v>
      </c>
      <c r="CO22" s="1">
        <v>7.8565939699159634E-2</v>
      </c>
      <c r="CP22" s="1">
        <v>-1.6808345874954941E-2</v>
      </c>
      <c r="CQ22" s="1">
        <v>-2.628810040604513E-2</v>
      </c>
      <c r="CR22" s="1">
        <v>2.18652643080928E-2</v>
      </c>
      <c r="CS22" s="1">
        <v>0.19521080538150851</v>
      </c>
      <c r="CT22" s="1">
        <v>-5.8479647114615327E-2</v>
      </c>
      <c r="CU22" s="1">
        <v>0.14876302254739451</v>
      </c>
      <c r="CV22" s="1">
        <v>0.1241006092719527</v>
      </c>
      <c r="CW22" s="1">
        <v>-3.7250590141754927E-2</v>
      </c>
      <c r="CX22" s="1">
        <v>-1.4766062358645931E-2</v>
      </c>
      <c r="CY22" s="1">
        <v>2.9813079061651041E-2</v>
      </c>
      <c r="CZ22" s="1">
        <v>5.8829339887199773E-2</v>
      </c>
      <c r="DA22" s="1">
        <v>5.4476170193358132E-2</v>
      </c>
      <c r="DB22" s="1">
        <v>-6.9940938042718379E-2</v>
      </c>
      <c r="DC22" s="1">
        <v>-7.5149732129636632E-2</v>
      </c>
      <c r="DD22" s="1">
        <v>-6.7729867452021475E-2</v>
      </c>
      <c r="DE22" s="1">
        <v>5.3891432837552412E-2</v>
      </c>
      <c r="DF22" s="1">
        <v>-7.8747990000193474E-2</v>
      </c>
      <c r="DG22" s="1">
        <v>-0.16125763252639391</v>
      </c>
      <c r="DH22" s="1">
        <v>-0.1073663289861326</v>
      </c>
      <c r="DI22" s="1">
        <v>-0.10727767265738131</v>
      </c>
      <c r="DJ22" s="1">
        <v>0.13412919558411979</v>
      </c>
      <c r="DK22" s="1">
        <v>-9.6606814253205248E-2</v>
      </c>
      <c r="DL22" s="1">
        <v>-1.3837065549073341E-4</v>
      </c>
      <c r="DM22" s="1">
        <v>-1.8109702345287752E-2</v>
      </c>
      <c r="DN22" s="1">
        <v>3.4113444859626758E-2</v>
      </c>
      <c r="DO22" s="1">
        <v>-5.6789559489344242E-2</v>
      </c>
      <c r="DP22" s="1">
        <v>-2.5117061119112358E-2</v>
      </c>
      <c r="DQ22" s="1">
        <v>-1.3742982763854741E-2</v>
      </c>
      <c r="DR22" s="1">
        <v>5.4787553605990677E-2</v>
      </c>
      <c r="DS22" s="1">
        <v>-7.4842879216982863E-4</v>
      </c>
      <c r="DT22" s="1">
        <v>5.1025246134429797E-2</v>
      </c>
      <c r="DU22" s="1">
        <v>-4.4304974776529997E-2</v>
      </c>
      <c r="DV22" s="1">
        <v>1.6997759664116291E-2</v>
      </c>
      <c r="DW22" s="1">
        <v>-4.2731048936854248E-2</v>
      </c>
      <c r="DX22" s="1">
        <v>7.1212896338931813E-3</v>
      </c>
      <c r="DY22" s="1">
        <v>9.0467789074340624E-2</v>
      </c>
      <c r="DZ22" s="1">
        <v>3.3861853072296229E-2</v>
      </c>
      <c r="EA22" s="1">
        <v>-9.4898744775131147E-2</v>
      </c>
      <c r="EB22" s="1">
        <v>5.5127370752319382E-2</v>
      </c>
      <c r="EC22" s="1">
        <v>-1.7822573185333378E-2</v>
      </c>
      <c r="ED22" s="1">
        <v>-1.098055133320504E-2</v>
      </c>
      <c r="EE22" s="1">
        <v>4.1577904724648507E-2</v>
      </c>
      <c r="EF22" s="1">
        <v>8.0705723795211987E-2</v>
      </c>
      <c r="EG22" s="46">
        <f t="shared" si="0"/>
        <v>7.0724975598151271E-3</v>
      </c>
      <c r="EH22" s="48">
        <f t="shared" si="1"/>
        <v>0.10043525456655722</v>
      </c>
      <c r="EI22" s="48">
        <f t="shared" si="2"/>
        <v>7.0418475965810079E-2</v>
      </c>
    </row>
    <row r="23" spans="1:139" ht="16" customHeight="1">
      <c r="A23" s="6">
        <v>241</v>
      </c>
      <c r="B23" s="6">
        <v>4</v>
      </c>
      <c r="C23" s="9">
        <v>1.7768557544988659E-2</v>
      </c>
      <c r="D23" s="9">
        <v>3.6293738465006391E-3</v>
      </c>
      <c r="E23" s="9">
        <v>3.3365453971383789E-2</v>
      </c>
      <c r="F23" s="9">
        <v>0.18403858160612999</v>
      </c>
      <c r="G23" s="9">
        <v>0.13182636817610929</v>
      </c>
      <c r="H23" s="9">
        <v>-3.3901707594463662E-2</v>
      </c>
      <c r="I23" s="9">
        <v>0.2197238180783119</v>
      </c>
      <c r="J23" s="9">
        <v>2.3901226164043991E-2</v>
      </c>
      <c r="K23" s="9">
        <v>8.1136136844890572E-2</v>
      </c>
      <c r="L23" s="2">
        <v>5.7345986776430199E-2</v>
      </c>
      <c r="M23" s="2">
        <v>-1.7826516571285662E-2</v>
      </c>
      <c r="N23" s="2">
        <v>-0.35858597454359697</v>
      </c>
      <c r="O23" s="1">
        <v>0.11877781856491811</v>
      </c>
      <c r="P23" s="1">
        <v>5.1670152446557663E-2</v>
      </c>
      <c r="Q23" s="1">
        <v>-5.4608635836631059E-2</v>
      </c>
      <c r="R23" s="1">
        <v>-2.1618604037915639E-2</v>
      </c>
      <c r="S23" s="1">
        <v>0.1061627575800808</v>
      </c>
      <c r="T23" s="1">
        <v>1.510548356461142E-2</v>
      </c>
      <c r="U23" s="1">
        <v>8.5449085490407473E-2</v>
      </c>
      <c r="V23" s="1">
        <v>2.583971298913228E-2</v>
      </c>
      <c r="W23" s="1">
        <v>4.4941371743242253E-2</v>
      </c>
      <c r="X23" s="1">
        <v>5.087592905360816E-2</v>
      </c>
      <c r="Y23" s="1">
        <v>-6.0508536713148743E-2</v>
      </c>
      <c r="Z23" s="1">
        <v>3.4319390552439967E-2</v>
      </c>
      <c r="AA23" s="1">
        <v>-6.4744736753799409E-2</v>
      </c>
      <c r="AB23" s="1">
        <v>1.7717561138728889E-2</v>
      </c>
      <c r="AC23" s="1">
        <v>0.13907030783542859</v>
      </c>
      <c r="AD23" s="1">
        <v>9.6590874812191668E-2</v>
      </c>
      <c r="AE23" s="1">
        <v>-4.8736242234559211E-2</v>
      </c>
      <c r="AF23" s="1">
        <v>0.12865816779772271</v>
      </c>
      <c r="AG23" s="1">
        <v>-3.3132070610938397E-2</v>
      </c>
      <c r="AH23" s="1">
        <v>-2.3778884689535099E-2</v>
      </c>
      <c r="AI23" s="1">
        <v>9.3260164262647965E-2</v>
      </c>
      <c r="AJ23" s="1">
        <v>1.6259809010618138E-2</v>
      </c>
      <c r="AK23" s="1">
        <v>-5.0449209010242253E-2</v>
      </c>
      <c r="AL23" s="1">
        <v>-2.904096130706282E-2</v>
      </c>
      <c r="AM23" s="1">
        <v>-0.10952467058464289</v>
      </c>
      <c r="AN23" s="1">
        <v>0.11474379825602431</v>
      </c>
      <c r="AO23" s="1">
        <v>3.1320906124784789E-2</v>
      </c>
      <c r="AP23" s="1">
        <v>-0.1876958823981002</v>
      </c>
      <c r="AQ23" s="1">
        <v>-0.14243250214834971</v>
      </c>
      <c r="AR23" s="1">
        <v>2.9043929313240929E-2</v>
      </c>
      <c r="AS23" s="1">
        <v>-1.6452133346676098E-2</v>
      </c>
      <c r="AT23" s="1">
        <v>1.6240971944304499E-2</v>
      </c>
      <c r="AU23" s="1">
        <v>3.6693166887805252E-2</v>
      </c>
      <c r="AV23" s="1">
        <v>6.4710434901475503E-3</v>
      </c>
      <c r="AW23" s="1">
        <v>-7.8632266583492164E-2</v>
      </c>
      <c r="AX23" s="1">
        <v>-3.6202549566612431E-3</v>
      </c>
      <c r="AY23" s="1">
        <v>-6.6584051928471541E-3</v>
      </c>
      <c r="AZ23" s="1">
        <v>4.3636806264680063E-2</v>
      </c>
      <c r="BA23" s="1">
        <v>1.5310521143556251E-2</v>
      </c>
      <c r="BB23" s="1">
        <v>-0.1205648180822174</v>
      </c>
      <c r="BC23" s="1">
        <v>-9.0689495801512782E-2</v>
      </c>
      <c r="BD23" s="1">
        <v>7.4106514114735664E-2</v>
      </c>
      <c r="BE23" s="1">
        <v>6.1631802539145221E-2</v>
      </c>
      <c r="BF23" s="1">
        <v>-0.14126018159736989</v>
      </c>
      <c r="BG23" s="1">
        <v>0.25976445879144539</v>
      </c>
      <c r="BH23" s="1">
        <v>-8.7023734732878749E-2</v>
      </c>
      <c r="BI23" s="1">
        <v>-0.16329974891972229</v>
      </c>
      <c r="BJ23" s="1">
        <v>-4.6496824641444751E-3</v>
      </c>
      <c r="BK23" s="1">
        <v>-3.270940095162083E-2</v>
      </c>
      <c r="BL23" s="1">
        <v>2.1576634812928281E-2</v>
      </c>
      <c r="BM23" s="1">
        <v>-5.6008615970615412E-2</v>
      </c>
      <c r="BN23" s="1">
        <v>-4.7873293060955877E-2</v>
      </c>
      <c r="BO23" s="1">
        <v>-1.9005871093345509E-2</v>
      </c>
      <c r="BP23" s="1">
        <v>6.5180889989970223E-2</v>
      </c>
      <c r="BQ23" s="1">
        <v>6.4890394242131916E-2</v>
      </c>
      <c r="BR23" s="1">
        <v>8.047238059209498E-2</v>
      </c>
      <c r="BS23" s="1">
        <v>2.9805534138836031E-2</v>
      </c>
      <c r="BT23" s="1">
        <v>3.8373337057271292E-2</v>
      </c>
      <c r="BU23" s="1">
        <v>3.5994218127241677E-2</v>
      </c>
      <c r="BV23" s="1">
        <v>-2.5965389053403398E-3</v>
      </c>
      <c r="BW23" s="1">
        <v>-1.4293919040549019E-2</v>
      </c>
      <c r="BX23" s="1">
        <v>6.6021929881958902E-2</v>
      </c>
      <c r="BY23" s="1">
        <v>0.18970453807283069</v>
      </c>
      <c r="BZ23" s="1">
        <v>-0.10725505804596409</v>
      </c>
      <c r="CA23" s="1">
        <v>5.7609562998702818E-2</v>
      </c>
      <c r="CB23" s="1">
        <v>0.12801693466920649</v>
      </c>
      <c r="CC23" s="1">
        <v>-2.4582376267163631E-2</v>
      </c>
      <c r="CD23" s="1">
        <v>-0.1006330169973616</v>
      </c>
      <c r="CE23" s="1">
        <v>0.1184977566555645</v>
      </c>
      <c r="CF23" s="1">
        <v>-6.849126344052725E-2</v>
      </c>
      <c r="CG23" s="1">
        <v>-8.0124953564404217E-2</v>
      </c>
      <c r="CH23" s="1">
        <v>-0.1424634196209365</v>
      </c>
      <c r="CI23" s="1">
        <v>0.42336065084456692</v>
      </c>
      <c r="CJ23" s="1">
        <v>-7.2806889015216009E-3</v>
      </c>
      <c r="CK23" s="1">
        <v>0.1598676785471797</v>
      </c>
      <c r="CL23" s="1">
        <v>-0.35889913945510638</v>
      </c>
      <c r="CM23" s="1">
        <v>-2.074214126028329E-2</v>
      </c>
      <c r="CN23" s="1">
        <v>0.27224844918615537</v>
      </c>
      <c r="CO23" s="1">
        <v>9.1276524621318939E-2</v>
      </c>
      <c r="CP23" s="1">
        <v>-6.9024374701481664E-2</v>
      </c>
      <c r="CQ23" s="1">
        <v>-2.1689423486713998E-2</v>
      </c>
      <c r="CR23" s="1">
        <v>3.3343085642355087E-2</v>
      </c>
      <c r="CS23" s="1">
        <v>0.19386830962193671</v>
      </c>
      <c r="CT23" s="1">
        <v>-3.478501159732119E-2</v>
      </c>
      <c r="CU23" s="1">
        <v>0.1043815490054235</v>
      </c>
      <c r="CV23" s="1">
        <v>0.1005319885468406</v>
      </c>
      <c r="CW23" s="1">
        <v>-2.888480758601274E-2</v>
      </c>
      <c r="CX23" s="1">
        <v>-8.8659967424927558E-2</v>
      </c>
      <c r="CY23" s="1">
        <v>7.9509194561538266E-2</v>
      </c>
      <c r="CZ23" s="1">
        <v>2.7976579764917311E-2</v>
      </c>
      <c r="DA23" s="1">
        <v>3.0745402933177322E-2</v>
      </c>
      <c r="DB23" s="1">
        <v>-6.1865797617067203E-2</v>
      </c>
      <c r="DC23" s="1">
        <v>-0.10851452850448549</v>
      </c>
      <c r="DD23" s="1">
        <v>-8.0548522189097221E-2</v>
      </c>
      <c r="DE23" s="1">
        <v>8.6208573781547088E-2</v>
      </c>
      <c r="DF23" s="1">
        <v>-9.219703351053421E-2</v>
      </c>
      <c r="DG23" s="1">
        <v>-0.1250326769926067</v>
      </c>
      <c r="DH23" s="1">
        <v>-0.1013665143771027</v>
      </c>
      <c r="DI23" s="1">
        <v>-0.1153033435412187</v>
      </c>
      <c r="DJ23" s="1">
        <v>0.13260214688944821</v>
      </c>
      <c r="DK23" s="1">
        <v>-8.0880373393345778E-2</v>
      </c>
      <c r="DL23" s="1">
        <v>1.5517063335353831E-2</v>
      </c>
      <c r="DM23" s="1">
        <v>1.0108938673436509E-2</v>
      </c>
      <c r="DN23" s="1">
        <v>7.658781745288476E-2</v>
      </c>
      <c r="DO23" s="1">
        <v>-3.6377545254188272E-2</v>
      </c>
      <c r="DP23" s="1">
        <v>-2.027529359618958E-2</v>
      </c>
      <c r="DQ23" s="1">
        <v>-1.1067563827388831E-3</v>
      </c>
      <c r="DR23" s="1">
        <v>5.1945145537278692E-2</v>
      </c>
      <c r="DS23" s="1">
        <v>3.7581956536756021E-3</v>
      </c>
      <c r="DT23" s="1">
        <v>6.0108355365498113E-2</v>
      </c>
      <c r="DU23" s="1">
        <v>-6.8452401550071207E-2</v>
      </c>
      <c r="DV23" s="1">
        <v>2.7650714230741801E-2</v>
      </c>
      <c r="DW23" s="1">
        <v>-5.2355674399077068E-2</v>
      </c>
      <c r="DX23" s="1">
        <v>-1.018078737255715E-2</v>
      </c>
      <c r="DY23" s="1">
        <v>0.1583580473514162</v>
      </c>
      <c r="DZ23" s="1">
        <v>5.1267416111806401E-2</v>
      </c>
      <c r="EA23" s="1">
        <v>-7.5067436504996185E-2</v>
      </c>
      <c r="EB23" s="1">
        <v>4.9217697095324968E-2</v>
      </c>
      <c r="EC23" s="1">
        <v>-2.3638998433344969E-2</v>
      </c>
      <c r="ED23" s="1">
        <v>2.479137776986703E-3</v>
      </c>
      <c r="EE23" s="1">
        <v>8.1987457100339542E-2</v>
      </c>
      <c r="EF23" s="1">
        <v>9.8831202334046936E-2</v>
      </c>
      <c r="EG23" s="46">
        <f t="shared" si="0"/>
        <v>1.0878183733002686E-2</v>
      </c>
      <c r="EH23" s="48">
        <f t="shared" si="1"/>
        <v>0.10323480526586777</v>
      </c>
      <c r="EI23" s="48">
        <f t="shared" si="2"/>
        <v>0.10537321889635325</v>
      </c>
    </row>
    <row r="24" spans="1:139" ht="16" customHeight="1">
      <c r="A24" s="6">
        <v>321</v>
      </c>
      <c r="B24" s="6">
        <v>3</v>
      </c>
      <c r="C24" s="9">
        <v>-6.3062694489166519E-3</v>
      </c>
      <c r="D24" s="9">
        <v>-4.869163028523138E-3</v>
      </c>
      <c r="E24" s="9">
        <v>-1.972368218911421E-2</v>
      </c>
      <c r="F24" s="9">
        <v>6.7831060921277567E-2</v>
      </c>
      <c r="G24" s="9">
        <v>0.18159614516159489</v>
      </c>
      <c r="H24" s="9">
        <v>4.0275060846008258E-2</v>
      </c>
      <c r="I24" s="9">
        <v>0.24653947319584449</v>
      </c>
      <c r="J24" s="9">
        <v>-2.2304674947199649E-2</v>
      </c>
      <c r="K24" s="9">
        <v>0.17301942406462231</v>
      </c>
      <c r="L24" s="2">
        <v>0.11131510691571229</v>
      </c>
      <c r="M24" s="2">
        <v>-2.901701104707392E-2</v>
      </c>
      <c r="N24" s="2">
        <v>-0.22759173296506</v>
      </c>
      <c r="O24" s="1">
        <v>0.1252836794948386</v>
      </c>
      <c r="P24" s="1">
        <v>2.0624945378134259E-2</v>
      </c>
      <c r="Q24" s="1">
        <v>3.5129305590993039E-2</v>
      </c>
      <c r="R24" s="1">
        <v>-4.362657550340051E-2</v>
      </c>
      <c r="S24" s="1">
        <v>0.10027709728817021</v>
      </c>
      <c r="T24" s="1">
        <v>3.8207711361990908E-2</v>
      </c>
      <c r="U24" s="1">
        <v>0.108819751254475</v>
      </c>
      <c r="V24" s="1">
        <v>3.9304239189461583E-2</v>
      </c>
      <c r="W24" s="1">
        <v>7.5881253944101862E-2</v>
      </c>
      <c r="X24" s="1">
        <v>-4.7154922278898198E-3</v>
      </c>
      <c r="Y24" s="1">
        <v>-6.6619024692480308E-2</v>
      </c>
      <c r="Z24" s="1">
        <v>2.9560574576931831E-2</v>
      </c>
      <c r="AA24" s="1">
        <v>-1.9168415048834962E-2</v>
      </c>
      <c r="AB24" s="1">
        <v>2.0918382745629321E-2</v>
      </c>
      <c r="AC24" s="1">
        <v>2.1426172310830049E-2</v>
      </c>
      <c r="AD24" s="1">
        <v>0.1052430370118258</v>
      </c>
      <c r="AE24" s="1">
        <v>-1.081405620093143E-2</v>
      </c>
      <c r="AF24" s="1">
        <v>8.5420811594141277E-2</v>
      </c>
      <c r="AG24" s="1">
        <v>-9.626250370201174E-2</v>
      </c>
      <c r="AH24" s="1">
        <v>-2.9239321669734551E-2</v>
      </c>
      <c r="AI24" s="1">
        <v>9.6775906940392259E-2</v>
      </c>
      <c r="AJ24" s="1">
        <v>1.9238961327071352E-2</v>
      </c>
      <c r="AK24" s="1">
        <v>-7.2907422094311974E-2</v>
      </c>
      <c r="AL24" s="1">
        <v>-4.1616186089741408E-4</v>
      </c>
      <c r="AM24" s="1">
        <v>-9.6481459558264454E-2</v>
      </c>
      <c r="AN24" s="1">
        <v>0.108767848291321</v>
      </c>
      <c r="AO24" s="1">
        <v>2.0795467507940289E-2</v>
      </c>
      <c r="AP24" s="1">
        <v>-0.23470321878539921</v>
      </c>
      <c r="AQ24" s="1">
        <v>-0.18056535388522399</v>
      </c>
      <c r="AR24" s="1">
        <v>9.3209520412341432E-3</v>
      </c>
      <c r="AS24" s="1">
        <v>-5.6958808851156811E-2</v>
      </c>
      <c r="AT24" s="1">
        <v>2.0018043540685201E-2</v>
      </c>
      <c r="AU24" s="1">
        <v>9.9998295234840259E-2</v>
      </c>
      <c r="AV24" s="1">
        <v>6.1910958300828732E-2</v>
      </c>
      <c r="AW24" s="1">
        <v>-6.9264748144504396E-2</v>
      </c>
      <c r="AX24" s="1">
        <v>-6.9511224296344744E-3</v>
      </c>
      <c r="AY24" s="1">
        <v>1.163289030575208E-2</v>
      </c>
      <c r="AZ24" s="1">
        <v>0.1084679808679918</v>
      </c>
      <c r="BA24" s="1">
        <v>-9.0978694573972951E-3</v>
      </c>
      <c r="BB24" s="1">
        <v>-0.23225639802188061</v>
      </c>
      <c r="BC24" s="1">
        <v>-8.6937837665089376E-2</v>
      </c>
      <c r="BD24" s="1">
        <v>8.3377874630950602E-2</v>
      </c>
      <c r="BE24" s="1">
        <v>3.9816065643703338E-2</v>
      </c>
      <c r="BF24" s="1">
        <v>-0.19663621782011509</v>
      </c>
      <c r="BG24" s="1">
        <v>0.2993201290705047</v>
      </c>
      <c r="BH24" s="1">
        <v>1.9983486349214371E-2</v>
      </c>
      <c r="BI24" s="1">
        <v>-0.1986242852000337</v>
      </c>
      <c r="BJ24" s="1">
        <v>0.1112540533377466</v>
      </c>
      <c r="BK24" s="1">
        <v>-5.1393366098050189E-2</v>
      </c>
      <c r="BL24" s="1">
        <v>4.9826376529938862E-2</v>
      </c>
      <c r="BM24" s="1">
        <v>-0.10431372627143071</v>
      </c>
      <c r="BN24" s="1">
        <v>-6.1547943466082923E-2</v>
      </c>
      <c r="BO24" s="1">
        <v>-8.3627883352677124E-3</v>
      </c>
      <c r="BP24" s="1">
        <v>6.2981806320227193E-2</v>
      </c>
      <c r="BQ24" s="1">
        <v>7.4121564303359866E-2</v>
      </c>
      <c r="BR24" s="1">
        <v>9.7648744149618355E-2</v>
      </c>
      <c r="BS24" s="1">
        <v>-2.6147767477670041E-2</v>
      </c>
      <c r="BT24" s="1">
        <v>4.6516775165889097E-2</v>
      </c>
      <c r="BU24" s="1">
        <v>5.3464220826829147E-2</v>
      </c>
      <c r="BV24" s="1">
        <v>0.1091235631799951</v>
      </c>
      <c r="BW24" s="1">
        <v>-4.1536123964306837E-2</v>
      </c>
      <c r="BX24" s="1">
        <v>0.10968823402048861</v>
      </c>
      <c r="BY24" s="1">
        <v>0.25496002967285469</v>
      </c>
      <c r="BZ24" s="1">
        <v>-0.14784458709288109</v>
      </c>
      <c r="CA24" s="1">
        <v>6.1790226463393737E-2</v>
      </c>
      <c r="CB24" s="1">
        <v>8.6682850302251396E-2</v>
      </c>
      <c r="CC24" s="1">
        <v>-3.2948818171207269E-3</v>
      </c>
      <c r="CD24" s="1">
        <v>-6.9298645013978255E-2</v>
      </c>
      <c r="CE24" s="1">
        <v>0.14968583762314749</v>
      </c>
      <c r="CF24" s="1">
        <v>-0.1726322656109395</v>
      </c>
      <c r="CG24" s="1">
        <v>-2.7718504361559981E-2</v>
      </c>
      <c r="CH24" s="1">
        <v>-0.13880495637537671</v>
      </c>
      <c r="CI24" s="1">
        <v>0.49887149696342642</v>
      </c>
      <c r="CJ24" s="1">
        <v>-3.8237946783272067E-2</v>
      </c>
      <c r="CK24" s="1">
        <v>0.19282319269388651</v>
      </c>
      <c r="CL24" s="1">
        <v>-0.2355913308038203</v>
      </c>
      <c r="CM24" s="1">
        <v>2.900390554799528E-3</v>
      </c>
      <c r="CN24" s="1">
        <v>0.35538732949250501</v>
      </c>
      <c r="CO24" s="1">
        <v>0.1058051877338685</v>
      </c>
      <c r="CP24" s="1">
        <v>-6.7433001151066332E-2</v>
      </c>
      <c r="CQ24" s="1">
        <v>-2.2709820732653489E-2</v>
      </c>
      <c r="CR24" s="1">
        <v>8.5028480848209388E-3</v>
      </c>
      <c r="CS24" s="1">
        <v>0.27548717705375098</v>
      </c>
      <c r="CT24" s="1">
        <v>-4.753911222530284E-2</v>
      </c>
      <c r="CU24" s="1">
        <v>0.1128842190840323</v>
      </c>
      <c r="CV24" s="1">
        <v>7.83999015852367E-2</v>
      </c>
      <c r="CW24" s="1">
        <v>-2.4774013341636789E-2</v>
      </c>
      <c r="CX24" s="1">
        <v>-0.18173615853769379</v>
      </c>
      <c r="CY24" s="1">
        <v>0.11810957883783051</v>
      </c>
      <c r="CZ24" s="1">
        <v>8.9602014023614035E-2</v>
      </c>
      <c r="DA24" s="1">
        <v>0.13290260687893221</v>
      </c>
      <c r="DB24" s="1">
        <v>-0.14650552243290729</v>
      </c>
      <c r="DC24" s="1">
        <v>-0.16784516583316519</v>
      </c>
      <c r="DD24" s="1">
        <v>-6.7394626895727047E-2</v>
      </c>
      <c r="DE24" s="1">
        <v>8.6433857937583958E-2</v>
      </c>
      <c r="DF24" s="1">
        <v>-0.1223511760766428</v>
      </c>
      <c r="DG24" s="1">
        <v>-8.2917716789695659E-2</v>
      </c>
      <c r="DH24" s="1">
        <v>-6.3375236481075384E-3</v>
      </c>
      <c r="DI24" s="1">
        <v>-0.15864166567601259</v>
      </c>
      <c r="DJ24" s="1">
        <v>0.19682174628132579</v>
      </c>
      <c r="DK24" s="1">
        <v>-0.1350989216838267</v>
      </c>
      <c r="DL24" s="1">
        <v>5.6736339706765044E-3</v>
      </c>
      <c r="DM24" s="1">
        <v>8.0068753762810776E-3</v>
      </c>
      <c r="DN24" s="1">
        <v>5.8503042051950838E-2</v>
      </c>
      <c r="DO24" s="1">
        <v>-2.9333553967765741E-2</v>
      </c>
      <c r="DP24" s="1">
        <v>-3.4563659230275823E-2</v>
      </c>
      <c r="DQ24" s="1">
        <v>5.0752036802284156E-3</v>
      </c>
      <c r="DR24" s="1">
        <v>-2.8489142242539012E-2</v>
      </c>
      <c r="DS24" s="1">
        <v>2.7487495887142811E-2</v>
      </c>
      <c r="DT24" s="1">
        <v>5.9239907162325578E-2</v>
      </c>
      <c r="DU24" s="1">
        <v>-5.9237544540331921E-2</v>
      </c>
      <c r="DV24" s="1">
        <v>4.7527442081500851E-2</v>
      </c>
      <c r="DW24" s="1">
        <v>-0.10587876074551369</v>
      </c>
      <c r="DX24" s="1">
        <v>3.9786367198426688E-2</v>
      </c>
      <c r="DY24" s="1">
        <v>0.29163649261962671</v>
      </c>
      <c r="DZ24" s="1">
        <v>6.9418288477725423E-2</v>
      </c>
      <c r="EA24" s="1">
        <v>-4.0301101410427129E-2</v>
      </c>
      <c r="EB24" s="1">
        <v>7.6117642217217438E-2</v>
      </c>
      <c r="EC24" s="1">
        <v>-8.6707860158814737E-2</v>
      </c>
      <c r="ED24" s="1">
        <v>1.999578201100255E-2</v>
      </c>
      <c r="EE24" s="1">
        <v>6.1664882927584451E-2</v>
      </c>
      <c r="EF24" s="1">
        <v>0.1083450141709638</v>
      </c>
      <c r="EG24" s="46">
        <f t="shared" si="0"/>
        <v>1.6885614064149828E-2</v>
      </c>
      <c r="EH24" s="48">
        <f t="shared" si="1"/>
        <v>0.11854991428640613</v>
      </c>
      <c r="EI24" s="48">
        <f t="shared" si="2"/>
        <v>0.14243463747561785</v>
      </c>
    </row>
    <row r="25" spans="1:139" ht="16" customHeight="1">
      <c r="A25" s="6">
        <v>482</v>
      </c>
      <c r="B25" s="6">
        <v>2</v>
      </c>
      <c r="C25" s="9">
        <v>-1.1176635397692329E-2</v>
      </c>
      <c r="D25" s="9">
        <v>0.1017058544638421</v>
      </c>
      <c r="E25" s="9">
        <v>1.7298065238810919E-3</v>
      </c>
      <c r="F25" s="9">
        <v>0.1823960753208787</v>
      </c>
      <c r="G25" s="9">
        <v>0.13597330557678319</v>
      </c>
      <c r="H25" s="9">
        <v>0.11748259892180229</v>
      </c>
      <c r="I25" s="9">
        <v>0.27196118188721707</v>
      </c>
      <c r="J25" s="9">
        <v>3.8118738486228633E-2</v>
      </c>
      <c r="K25" s="9">
        <v>0.20235700582264121</v>
      </c>
      <c r="L25" s="2">
        <v>0.2059938621028467</v>
      </c>
      <c r="M25" s="2">
        <v>-5.6184856427256062E-2</v>
      </c>
      <c r="N25" s="2">
        <v>-0.10897848735113939</v>
      </c>
      <c r="O25" s="1">
        <v>0.10707325379920581</v>
      </c>
      <c r="P25" s="1">
        <v>2.440991021637957E-2</v>
      </c>
      <c r="Q25" s="1">
        <v>0.13040002594655131</v>
      </c>
      <c r="R25" s="1">
        <v>-0.1114556941139858</v>
      </c>
      <c r="S25" s="1">
        <v>0.15875879811098359</v>
      </c>
      <c r="T25" s="1">
        <v>-0.15453823332994071</v>
      </c>
      <c r="U25" s="1">
        <v>6.0416741150262993E-2</v>
      </c>
      <c r="V25" s="1">
        <v>1.2586623976376721E-2</v>
      </c>
      <c r="W25" s="1">
        <v>8.279603653765201E-2</v>
      </c>
      <c r="X25" s="1">
        <v>2.5317077380880432E-2</v>
      </c>
      <c r="Y25" s="1">
        <v>-8.1813473647399326E-2</v>
      </c>
      <c r="Z25" s="1">
        <v>0.13850190489188549</v>
      </c>
      <c r="AA25" s="1">
        <v>-7.4478125919974894E-2</v>
      </c>
      <c r="AB25" s="1">
        <v>6.7539195942208641E-2</v>
      </c>
      <c r="AC25" s="1">
        <v>-3.9342472677110212E-2</v>
      </c>
      <c r="AD25" s="1">
        <v>0.1400063739576935</v>
      </c>
      <c r="AE25" s="1">
        <v>-1.6441839287021719E-2</v>
      </c>
      <c r="AF25" s="1">
        <v>-4.656553119136049E-2</v>
      </c>
      <c r="AG25" s="1">
        <v>-9.0288917285312853E-2</v>
      </c>
      <c r="AH25" s="1">
        <v>-1.4882818362244589E-2</v>
      </c>
      <c r="AI25" s="1">
        <v>5.4506319604153197E-2</v>
      </c>
      <c r="AJ25" s="1">
        <v>-6.7327504333120972E-2</v>
      </c>
      <c r="AK25" s="1">
        <v>-5.3778446543676563E-2</v>
      </c>
      <c r="AL25" s="1">
        <v>3.5359790360734833E-2</v>
      </c>
      <c r="AM25" s="1">
        <v>-0.13989795624362411</v>
      </c>
      <c r="AN25" s="1">
        <v>1.8071933045002288E-2</v>
      </c>
      <c r="AO25" s="1">
        <v>1.7285819697287191E-2</v>
      </c>
      <c r="AP25" s="1">
        <v>-0.26878315307720091</v>
      </c>
      <c r="AQ25" s="1">
        <v>-0.1778657567916081</v>
      </c>
      <c r="AR25" s="1">
        <v>-6.0289305469053023E-3</v>
      </c>
      <c r="AS25" s="1">
        <v>-1.7369852614536089E-3</v>
      </c>
      <c r="AT25" s="1">
        <v>-2.1738456786016859E-2</v>
      </c>
      <c r="AU25" s="1">
        <v>8.9617388766367628E-2</v>
      </c>
      <c r="AV25" s="1">
        <v>6.6312772002082437E-2</v>
      </c>
      <c r="AW25" s="1">
        <v>-0.146328600726572</v>
      </c>
      <c r="AX25" s="1">
        <v>-3.6610450268814522E-2</v>
      </c>
      <c r="AY25" s="1">
        <v>3.9620455230382018E-2</v>
      </c>
      <c r="AZ25" s="1">
        <v>0.2127199228411942</v>
      </c>
      <c r="BA25" s="1">
        <v>1.0230411461854071E-2</v>
      </c>
      <c r="BB25" s="1">
        <v>-0.40590381996941932</v>
      </c>
      <c r="BC25" s="1">
        <v>-0.25872777779329781</v>
      </c>
      <c r="BD25" s="1">
        <v>6.8750755073092557E-2</v>
      </c>
      <c r="BE25" s="1">
        <v>4.8838023870078281E-3</v>
      </c>
      <c r="BF25" s="1">
        <v>-7.8079992990361419E-2</v>
      </c>
      <c r="BG25" s="1">
        <v>0.28204446614517931</v>
      </c>
      <c r="BH25" s="1">
        <v>7.869241285093509E-2</v>
      </c>
      <c r="BI25" s="1">
        <v>-0.20510938647173901</v>
      </c>
      <c r="BJ25" s="1">
        <v>0.1208633971895671</v>
      </c>
      <c r="BK25" s="1">
        <v>6.5382534939776277E-2</v>
      </c>
      <c r="BL25" s="1">
        <v>-2.6370013375987409E-2</v>
      </c>
      <c r="BM25" s="1">
        <v>-8.5424442236395629E-2</v>
      </c>
      <c r="BN25" s="1">
        <v>-0.28180431800044542</v>
      </c>
      <c r="BO25" s="1">
        <v>1.0006677186349931E-2</v>
      </c>
      <c r="BP25" s="1">
        <v>7.4523471870586569E-2</v>
      </c>
      <c r="BQ25" s="1">
        <v>2.8943449463485829E-2</v>
      </c>
      <c r="BR25" s="1">
        <v>0.1037300642101959</v>
      </c>
      <c r="BS25" s="1">
        <v>-1.7801571878259061E-2</v>
      </c>
      <c r="BT25" s="1">
        <v>2.947025744155778E-3</v>
      </c>
      <c r="BU25" s="1">
        <v>5.3515140012071638E-2</v>
      </c>
      <c r="BV25" s="1">
        <v>6.1355668392797137E-2</v>
      </c>
      <c r="BW25" s="1">
        <v>7.6821221925844424E-2</v>
      </c>
      <c r="BX25" s="1">
        <v>0.1164855883416844</v>
      </c>
      <c r="BY25" s="1">
        <v>0.25922077110363689</v>
      </c>
      <c r="BZ25" s="1">
        <v>-5.4013620888694797E-2</v>
      </c>
      <c r="CA25" s="1">
        <v>-6.3292141727192164E-2</v>
      </c>
      <c r="CB25" s="1">
        <v>5.037651067305017E-2</v>
      </c>
      <c r="CC25" s="1">
        <v>-5.4953001889277042E-2</v>
      </c>
      <c r="CD25" s="1">
        <v>-4.7401119874468767E-2</v>
      </c>
      <c r="CE25" s="1">
        <v>-2.6251390901640682E-2</v>
      </c>
      <c r="CF25" s="1">
        <v>-9.7597849040728268E-2</v>
      </c>
      <c r="CG25" s="1">
        <v>-0.12614547986649721</v>
      </c>
      <c r="CH25" s="1">
        <v>-0.1965486677071365</v>
      </c>
      <c r="CI25" s="1">
        <v>0.24210088653679049</v>
      </c>
      <c r="CJ25" s="1">
        <v>-3.021847674768895E-2</v>
      </c>
      <c r="CK25" s="1">
        <v>0.1949186160196773</v>
      </c>
      <c r="CL25" s="1">
        <v>-0.26704515195579032</v>
      </c>
      <c r="CM25" s="1">
        <v>7.0337667920157387E-2</v>
      </c>
      <c r="CN25" s="1">
        <v>0.38307225012371582</v>
      </c>
      <c r="CO25" s="1">
        <v>0.2432325272263734</v>
      </c>
      <c r="CP25" s="1">
        <v>-8.426717332978699E-2</v>
      </c>
      <c r="CQ25" s="1">
        <v>-1.196549196764421E-2</v>
      </c>
      <c r="CR25" s="1">
        <v>6.2754605262825947E-2</v>
      </c>
      <c r="CS25" s="1">
        <v>0.30874973828746533</v>
      </c>
      <c r="CT25" s="1">
        <v>-6.238689319144209E-2</v>
      </c>
      <c r="CU25" s="1">
        <v>-6.3346803569921339E-2</v>
      </c>
      <c r="CV25" s="1">
        <v>8.1010744495212797E-2</v>
      </c>
      <c r="CW25" s="1">
        <v>-5.0220955670807019E-2</v>
      </c>
      <c r="CX25" s="1">
        <v>-9.6371400170513322E-2</v>
      </c>
      <c r="CY25" s="1">
        <v>0.17675246314135121</v>
      </c>
      <c r="CZ25" s="1">
        <v>6.9488822513388282E-2</v>
      </c>
      <c r="DA25" s="1">
        <v>0.25064704577170122</v>
      </c>
      <c r="DB25" s="1">
        <v>-0.21468138697964639</v>
      </c>
      <c r="DC25" s="1">
        <v>-0.2079647076334204</v>
      </c>
      <c r="DD25" s="1">
        <v>-0.1214572814367675</v>
      </c>
      <c r="DE25" s="1">
        <v>0.17933134583388399</v>
      </c>
      <c r="DF25" s="1">
        <v>-0.14752329381699719</v>
      </c>
      <c r="DG25" s="1">
        <v>-8.339346702929698E-2</v>
      </c>
      <c r="DH25" s="1">
        <v>7.8069361975731416E-2</v>
      </c>
      <c r="DI25" s="1">
        <v>-0.12881936442746231</v>
      </c>
      <c r="DJ25" s="1">
        <v>0.1223186324341745</v>
      </c>
      <c r="DK25" s="1">
        <v>-2.1390825138809921E-2</v>
      </c>
      <c r="DL25" s="1">
        <v>-2.9152109710336542E-3</v>
      </c>
      <c r="DM25" s="1">
        <v>5.4019009095150783E-2</v>
      </c>
      <c r="DN25" s="1">
        <v>1.076211748783428E-2</v>
      </c>
      <c r="DO25" s="1">
        <v>-3.6036683021156223E-2</v>
      </c>
      <c r="DP25" s="1">
        <v>-2.2379992012505349E-2</v>
      </c>
      <c r="DQ25" s="1">
        <v>-2.4876989943931241E-2</v>
      </c>
      <c r="DR25" s="1">
        <v>2.451806220912664E-3</v>
      </c>
      <c r="DS25" s="1">
        <v>5.7046335108949228E-2</v>
      </c>
      <c r="DT25" s="1">
        <v>5.4242171047005953E-2</v>
      </c>
      <c r="DU25" s="1">
        <v>4.078558858304962E-2</v>
      </c>
      <c r="DV25" s="1">
        <v>7.5101079929500852E-3</v>
      </c>
      <c r="DW25" s="1">
        <v>-0.1168458844607229</v>
      </c>
      <c r="DX25" s="1">
        <v>4.0656364616804802E-2</v>
      </c>
      <c r="DY25" s="1">
        <v>0.30069223079817181</v>
      </c>
      <c r="DZ25" s="1">
        <v>5.8520647841665718E-2</v>
      </c>
      <c r="EA25" s="1">
        <v>-4.2626528235966819E-2</v>
      </c>
      <c r="EB25" s="1">
        <v>9.8940549319175453E-2</v>
      </c>
      <c r="EC25" s="1">
        <v>5.6814080318295851E-2</v>
      </c>
      <c r="ED25" s="1">
        <v>-2.231844169999089E-2</v>
      </c>
      <c r="EE25" s="1">
        <v>0.1080716885389183</v>
      </c>
      <c r="EF25" s="1">
        <v>0.15302670969919099</v>
      </c>
      <c r="EG25" s="46">
        <f t="shared" si="0"/>
        <v>1.5696984568305428E-2</v>
      </c>
      <c r="EH25" s="48">
        <f t="shared" si="1"/>
        <v>0.13033831297596818</v>
      </c>
      <c r="EI25" s="48">
        <f t="shared" si="2"/>
        <v>0.1204326203853785</v>
      </c>
    </row>
    <row r="26" spans="1:139" ht="16" customHeight="1">
      <c r="A26" s="6">
        <v>964</v>
      </c>
      <c r="B26" s="6">
        <v>1</v>
      </c>
      <c r="C26" s="9">
        <v>-2.397827262489214E-2</v>
      </c>
      <c r="D26" s="9">
        <v>0.1074668426285946</v>
      </c>
      <c r="E26" s="9">
        <v>8.1880334610397495E-2</v>
      </c>
      <c r="F26" s="9">
        <v>0.20154571887164621</v>
      </c>
      <c r="G26" s="9">
        <v>-3.0122759455108301E-2</v>
      </c>
      <c r="H26" s="9">
        <v>0.46015339819355161</v>
      </c>
      <c r="I26" s="9">
        <v>0.13279745646808361</v>
      </c>
      <c r="J26" s="9">
        <v>-0.13980471397482319</v>
      </c>
      <c r="K26" s="9">
        <v>6.657371792337248E-2</v>
      </c>
      <c r="L26" s="2">
        <v>7.8228279730046799E-2</v>
      </c>
      <c r="M26" s="2">
        <v>-0.10199865858902479</v>
      </c>
      <c r="N26" s="2">
        <v>-4.5513036897265921E-2</v>
      </c>
      <c r="O26" s="1">
        <v>5.9180833949199957E-2</v>
      </c>
      <c r="P26" s="1">
        <v>-9.7279322230834613E-3</v>
      </c>
      <c r="Q26" s="1">
        <v>-2.19237633294057E-2</v>
      </c>
      <c r="R26" s="1">
        <v>-0.17737141393444411</v>
      </c>
      <c r="S26" s="1">
        <v>0.35409217262327541</v>
      </c>
      <c r="T26" s="1">
        <v>-0.32186608423185092</v>
      </c>
      <c r="U26" s="1">
        <v>0.12158004290383841</v>
      </c>
      <c r="V26" s="1">
        <v>1.8085837861962412E-2</v>
      </c>
      <c r="W26" s="1">
        <v>-8.3245266993240266E-2</v>
      </c>
      <c r="X26" s="1">
        <v>-1.1084832424492959E-2</v>
      </c>
      <c r="Y26" s="1">
        <v>-0.1343495973489485</v>
      </c>
      <c r="Z26" s="1">
        <v>0.3029822242618031</v>
      </c>
      <c r="AA26" s="1">
        <v>-6.4650776205474367E-2</v>
      </c>
      <c r="AB26" s="1">
        <v>0.29886182767946068</v>
      </c>
      <c r="AC26" s="1">
        <v>-0.1199897241996761</v>
      </c>
      <c r="AD26" s="1">
        <v>2.6312997438532049E-3</v>
      </c>
      <c r="AE26" s="1">
        <v>0.27206647150981772</v>
      </c>
      <c r="AF26" s="1">
        <v>5.6712084888107278E-2</v>
      </c>
      <c r="AG26" s="1">
        <v>-0.16788087263916021</v>
      </c>
      <c r="AH26" s="1">
        <v>1.1082145256576859E-3</v>
      </c>
      <c r="AI26" s="1">
        <v>9.374965388051637E-2</v>
      </c>
      <c r="AJ26" s="1">
        <v>9.9353040758460853E-3</v>
      </c>
      <c r="AK26" s="1">
        <v>-0.20923944858273699</v>
      </c>
      <c r="AL26" s="1">
        <v>5.1245019478863688E-2</v>
      </c>
      <c r="AM26" s="1">
        <v>4.1787711640214061E-2</v>
      </c>
      <c r="AN26" s="1">
        <v>2.2585701491153801E-2</v>
      </c>
      <c r="AO26" s="1">
        <v>0.25746018414715283</v>
      </c>
      <c r="AP26" s="1">
        <v>-0.1252037380785373</v>
      </c>
      <c r="AQ26" s="1">
        <v>-6.472567315234104E-2</v>
      </c>
      <c r="AR26" s="1">
        <v>1.7315274301530841E-2</v>
      </c>
      <c r="AS26" s="1">
        <v>0.15366090388995471</v>
      </c>
      <c r="AT26" s="1">
        <v>-7.3778943607527417E-2</v>
      </c>
      <c r="AU26" s="1">
        <v>7.8874832059266223E-2</v>
      </c>
      <c r="AV26" s="1">
        <v>7.6121549857557119E-2</v>
      </c>
      <c r="AW26" s="1">
        <v>-0.22850363294976711</v>
      </c>
      <c r="AX26" s="1">
        <v>-5.4109392388275467E-2</v>
      </c>
      <c r="AY26" s="1">
        <v>-0.33258448458340317</v>
      </c>
      <c r="AZ26" s="1">
        <v>0.44422923858109209</v>
      </c>
      <c r="BA26" s="1">
        <v>-8.1321871386234312E-2</v>
      </c>
      <c r="BB26" s="1">
        <v>-0.57777575290265071</v>
      </c>
      <c r="BC26" s="1">
        <v>-0.36462735238366278</v>
      </c>
      <c r="BD26" s="1">
        <v>-2.9082265239732341E-2</v>
      </c>
      <c r="BE26" s="1">
        <v>-0.15545515595392831</v>
      </c>
      <c r="BF26" s="1">
        <v>0.22423064379795971</v>
      </c>
      <c r="BG26" s="1">
        <v>7.2909503612259161E-2</v>
      </c>
      <c r="BH26" s="1">
        <v>-0.1272724181183274</v>
      </c>
      <c r="BI26" s="1">
        <v>-8.8317144313354287E-2</v>
      </c>
      <c r="BJ26" s="1">
        <v>-5.8521571619655953E-2</v>
      </c>
      <c r="BK26" s="1">
        <v>-1.000500333583447E-3</v>
      </c>
      <c r="BL26" s="1">
        <v>-9.1837888969591719E-3</v>
      </c>
      <c r="BM26" s="1">
        <v>-0.18523762192489099</v>
      </c>
      <c r="BN26" s="1">
        <v>-0.23863077880541311</v>
      </c>
      <c r="BO26" s="1">
        <v>-4.4829258038111552E-2</v>
      </c>
      <c r="BP26" s="1">
        <v>6.9861207582933585E-2</v>
      </c>
      <c r="BQ26" s="1">
        <v>0.11785997944898111</v>
      </c>
      <c r="BR26" s="1">
        <v>0.25295734153499139</v>
      </c>
      <c r="BS26" s="1">
        <v>7.5707377394247877E-2</v>
      </c>
      <c r="BT26" s="1">
        <v>8.1280215544621559E-3</v>
      </c>
      <c r="BU26" s="1">
        <v>0.10139313897097239</v>
      </c>
      <c r="BV26" s="1">
        <v>0.15057537116013159</v>
      </c>
      <c r="BW26" s="1">
        <v>1.3813921363985239E-2</v>
      </c>
      <c r="BX26" s="1">
        <v>0.44324424123638229</v>
      </c>
      <c r="BY26" s="1">
        <v>0.20360345365667271</v>
      </c>
      <c r="BZ26" s="1">
        <v>-0.1048376053826649</v>
      </c>
      <c r="CA26" s="1">
        <v>-2.511808234358421E-2</v>
      </c>
      <c r="CB26" s="1">
        <v>1.031555266980203E-2</v>
      </c>
      <c r="CC26" s="1">
        <v>0.1273600820845717</v>
      </c>
      <c r="CD26" s="1">
        <v>-0.1653921916695397</v>
      </c>
      <c r="CE26" s="1">
        <v>-2.7341345604321068E-2</v>
      </c>
      <c r="CF26" s="1">
        <v>-0.20924058316052921</v>
      </c>
      <c r="CG26" s="1">
        <v>2.2968880995469229E-5</v>
      </c>
      <c r="CH26" s="1">
        <v>-5.4275700415670702E-2</v>
      </c>
      <c r="CI26" s="1">
        <v>-3.512420545780226E-2</v>
      </c>
      <c r="CJ26" s="1">
        <v>-2.9492149645956488E-2</v>
      </c>
      <c r="CK26" s="1">
        <v>-2.4112795848419081E-2</v>
      </c>
      <c r="CL26" s="1">
        <v>-0.31770505721251319</v>
      </c>
      <c r="CM26" s="1">
        <v>0.15087950601455649</v>
      </c>
      <c r="CN26" s="1">
        <v>0.61572720776034739</v>
      </c>
      <c r="CO26" s="1">
        <v>0.3308949279712623</v>
      </c>
      <c r="CP26" s="1">
        <v>-0.13311928001549739</v>
      </c>
      <c r="CQ26" s="1">
        <v>-4.3926427739531038E-2</v>
      </c>
      <c r="CR26" s="1">
        <v>-1.8817212958095859E-2</v>
      </c>
      <c r="CS26" s="1">
        <v>0.1160361213105537</v>
      </c>
      <c r="CT26" s="1">
        <v>0.10590234095197899</v>
      </c>
      <c r="CU26" s="1">
        <v>-4.9885679281278322E-2</v>
      </c>
      <c r="CV26" s="1">
        <v>0.1809712377700877</v>
      </c>
      <c r="CW26" s="1">
        <v>-5.5481234025061443E-2</v>
      </c>
      <c r="CX26" s="1">
        <v>2.8276544794653141E-4</v>
      </c>
      <c r="CY26" s="1">
        <v>0.4022226868047441</v>
      </c>
      <c r="CZ26" s="1">
        <v>0.1489714278280958</v>
      </c>
      <c r="DA26" s="1">
        <v>4.6293283970844902E-2</v>
      </c>
      <c r="DB26" s="1">
        <v>-0.29234256969676109</v>
      </c>
      <c r="DC26" s="1">
        <v>-0.34795665462323427</v>
      </c>
      <c r="DD26" s="1">
        <v>0.2154271266243577</v>
      </c>
      <c r="DE26" s="1">
        <v>0.19912842850908691</v>
      </c>
      <c r="DF26" s="1">
        <v>-9.0697090661079408E-2</v>
      </c>
      <c r="DG26" s="1">
        <v>-0.13032742910620199</v>
      </c>
      <c r="DH26" s="1">
        <v>0.1063188290996378</v>
      </c>
      <c r="DI26" s="1">
        <v>9.2112155334545004E-2</v>
      </c>
      <c r="DJ26" s="1">
        <v>0.28429457033390099</v>
      </c>
      <c r="DK26" s="1">
        <v>0.18393473390785489</v>
      </c>
      <c r="DL26" s="1">
        <v>9.0323205603472623E-2</v>
      </c>
      <c r="DM26" s="1">
        <v>0.45836075171528878</v>
      </c>
      <c r="DN26" s="1">
        <v>0.13803354713330829</v>
      </c>
      <c r="DO26" s="1">
        <v>-5.8539410869663709E-2</v>
      </c>
      <c r="DP26" s="1">
        <v>6.6723921489478061E-2</v>
      </c>
      <c r="DQ26" s="1">
        <v>-9.9914946191073106E-2</v>
      </c>
      <c r="DR26" s="1">
        <v>-2.5269916655573571E-2</v>
      </c>
      <c r="DS26" s="1">
        <v>0.12412695126985331</v>
      </c>
      <c r="DT26" s="1">
        <v>6.2242989010295659E-2</v>
      </c>
      <c r="DU26" s="1">
        <v>-5.2845280922532829E-2</v>
      </c>
      <c r="DV26" s="1">
        <v>-1.8501180348737579E-2</v>
      </c>
      <c r="DW26" s="1">
        <v>3.0684045682453379E-2</v>
      </c>
      <c r="DX26" s="1">
        <v>6.3391654437357286E-3</v>
      </c>
      <c r="DY26" s="1">
        <v>0.14062865449528411</v>
      </c>
      <c r="DZ26" s="1">
        <v>5.4973545195608833E-2</v>
      </c>
      <c r="EA26" s="1">
        <v>-7.3102723301121733E-2</v>
      </c>
      <c r="EB26" s="1">
        <v>4.0453048516888981E-2</v>
      </c>
      <c r="EC26" s="1">
        <v>0.1209027256446402</v>
      </c>
      <c r="ED26" s="1">
        <v>3.6871482436997109E-3</v>
      </c>
      <c r="EE26" s="1">
        <v>4.138827801689874E-2</v>
      </c>
      <c r="EF26" s="1">
        <v>8.8642827168659802E-2</v>
      </c>
      <c r="EG26" s="46">
        <f t="shared" si="0"/>
        <v>2.5339759996478393E-2</v>
      </c>
      <c r="EH26" s="48">
        <f t="shared" si="1"/>
        <v>0.17793745796457436</v>
      </c>
      <c r="EI26" s="48">
        <f t="shared" si="2"/>
        <v>0.14240823875051253</v>
      </c>
    </row>
    <row r="27" spans="1:139" ht="16" customHeight="1">
      <c r="A27" s="6" t="s">
        <v>147</v>
      </c>
      <c r="B27" s="6" t="s">
        <v>148</v>
      </c>
      <c r="C27" s="20">
        <v>-1.7446770539390338E-2</v>
      </c>
      <c r="D27" s="20">
        <v>2.070106053181563E-2</v>
      </c>
      <c r="E27" s="20">
        <v>2.3982129254766709E-2</v>
      </c>
      <c r="F27" s="20">
        <v>-6.557578972823077E-3</v>
      </c>
      <c r="G27" s="20">
        <v>3.1845129800519692E-2</v>
      </c>
      <c r="H27" s="20">
        <v>3.4348532736990518E-2</v>
      </c>
      <c r="I27" s="20">
        <v>-8.2549327813252367E-3</v>
      </c>
      <c r="J27" s="20">
        <v>1.2843524394052759E-2</v>
      </c>
      <c r="K27" s="20">
        <v>-5.1018524626790823E-2</v>
      </c>
      <c r="L27" s="20">
        <v>8.7394274103658827E-4</v>
      </c>
      <c r="M27" s="20">
        <v>2.3389575505495919E-2</v>
      </c>
      <c r="N27" s="20">
        <v>1.2988972200332851E-2</v>
      </c>
      <c r="O27" s="20">
        <v>5.8545887256348812E-3</v>
      </c>
      <c r="P27" s="20">
        <v>2.7413206571790558E-2</v>
      </c>
      <c r="Q27" s="20">
        <v>-3.7129361176928542E-3</v>
      </c>
      <c r="R27" s="20">
        <v>2.4076614047823328E-2</v>
      </c>
      <c r="S27" s="20">
        <v>-1.219002529903996E-2</v>
      </c>
      <c r="T27" s="20">
        <v>-3.9749578159589592E-2</v>
      </c>
      <c r="U27" s="20">
        <v>-7.3155449831649552E-2</v>
      </c>
      <c r="V27" s="20">
        <v>-5.8260229910114661E-2</v>
      </c>
      <c r="W27" s="20">
        <v>7.7279756550837221E-4</v>
      </c>
      <c r="X27" s="20">
        <v>4.459152113521897E-2</v>
      </c>
      <c r="Y27" s="20">
        <v>-2.7699680050213091E-2</v>
      </c>
      <c r="Z27" s="20">
        <v>2.0950059497436462E-3</v>
      </c>
      <c r="AA27" s="20">
        <v>-2.340055099256411E-2</v>
      </c>
      <c r="AB27" s="20">
        <v>3.2129371097322189E-2</v>
      </c>
      <c r="AC27" s="20">
        <v>3.890327309406643E-2</v>
      </c>
      <c r="AD27" s="20">
        <v>-4.286538217110427E-2</v>
      </c>
      <c r="AE27" s="20">
        <v>1.8647194550152159E-2</v>
      </c>
      <c r="AF27" s="20">
        <v>1.5229768322528949E-2</v>
      </c>
      <c r="AG27" s="20">
        <v>3.6016603778892417E-2</v>
      </c>
      <c r="AH27" s="20">
        <v>9.3546113853161701E-3</v>
      </c>
      <c r="AI27" s="20">
        <v>1.0748251336838139E-2</v>
      </c>
      <c r="AJ27" s="20">
        <v>1.335775405308097E-2</v>
      </c>
      <c r="AK27" s="20">
        <v>-5.3327473290953921E-3</v>
      </c>
      <c r="AL27" s="20">
        <v>1.383135807261675E-3</v>
      </c>
      <c r="AM27" s="20">
        <v>2.079592842007446E-2</v>
      </c>
      <c r="AN27" s="20">
        <v>3.1517702220390638E-2</v>
      </c>
      <c r="AO27" s="20">
        <v>6.2417165333294418E-3</v>
      </c>
      <c r="AP27" s="20">
        <v>6.1452616535713897E-3</v>
      </c>
      <c r="AQ27" s="20">
        <v>1.694635767669651E-2</v>
      </c>
      <c r="AR27" s="20">
        <v>3.4682830454308228E-2</v>
      </c>
      <c r="AS27" s="20">
        <v>3.0985886171969678E-3</v>
      </c>
      <c r="AT27" s="20">
        <v>1.508134714348611E-2</v>
      </c>
      <c r="AU27" s="20">
        <v>-1.9251209229863991E-2</v>
      </c>
      <c r="AV27" s="20">
        <v>3.8711513387631437E-2</v>
      </c>
      <c r="AW27" s="20">
        <v>-2.1856951135736599E-2</v>
      </c>
      <c r="AX27" s="20">
        <v>7.7743007097896798E-3</v>
      </c>
      <c r="AY27" s="20">
        <v>4.2397246695325942E-2</v>
      </c>
      <c r="AZ27" s="20">
        <v>-2.630897486115975E-2</v>
      </c>
      <c r="BA27" s="20">
        <v>9.5717493087162323E-3</v>
      </c>
      <c r="BB27" s="20">
        <v>-2.424974126627483E-2</v>
      </c>
      <c r="BC27" s="20">
        <v>2.0163374143915822E-2</v>
      </c>
      <c r="BD27" s="20">
        <v>-3.5049987821160239E-3</v>
      </c>
      <c r="BE27" s="20">
        <v>2.0151935098542271E-2</v>
      </c>
      <c r="BF27" s="20">
        <v>5.8133623077027128E-4</v>
      </c>
      <c r="BG27" s="20">
        <v>-5.2197009532526043E-3</v>
      </c>
      <c r="BH27" s="20">
        <v>-0.11587176140213</v>
      </c>
      <c r="BI27" s="20">
        <v>8.7252256924373536E-3</v>
      </c>
      <c r="BJ27" s="20">
        <v>-1.6377260977822151E-2</v>
      </c>
      <c r="BK27" s="20">
        <v>2.0840371600260421E-2</v>
      </c>
      <c r="BL27" s="20">
        <v>4.4975872102114713E-2</v>
      </c>
      <c r="BM27" s="20">
        <v>2.3954306081863871E-2</v>
      </c>
      <c r="BN27" s="20">
        <v>3.0239101391442601E-2</v>
      </c>
      <c r="BO27" s="20">
        <v>-4.372588759108751E-2</v>
      </c>
      <c r="BP27" s="20">
        <v>2.1889469568198618E-2</v>
      </c>
      <c r="BQ27" s="20">
        <v>8.6274302635084028E-3</v>
      </c>
      <c r="BR27" s="20">
        <v>-1.9192953994658781E-2</v>
      </c>
      <c r="BS27" s="20">
        <v>1.973512988813305E-2</v>
      </c>
      <c r="BT27" s="20">
        <v>4.7694337483699438E-2</v>
      </c>
      <c r="BU27" s="20">
        <v>1.145481680658339E-2</v>
      </c>
      <c r="BV27" s="20">
        <v>4.3228620735213191E-2</v>
      </c>
      <c r="BW27" s="20">
        <v>-4.2747430436922793E-2</v>
      </c>
      <c r="BX27" s="20">
        <v>-1.781129242779457E-2</v>
      </c>
      <c r="BY27" s="20">
        <v>-0.1511530968690756</v>
      </c>
      <c r="BZ27" s="20">
        <v>0.12422400361957529</v>
      </c>
      <c r="CA27" s="20">
        <v>-4.5572538445296431E-3</v>
      </c>
      <c r="CB27" s="20">
        <v>6.0211240204911178E-2</v>
      </c>
      <c r="CC27" s="20">
        <v>8.5992033482502284E-2</v>
      </c>
      <c r="CD27" s="20">
        <v>-5.8084795823660634E-3</v>
      </c>
      <c r="CE27" s="20">
        <v>-6.0413469889680736E-3</v>
      </c>
      <c r="CF27" s="20">
        <v>2.4523243722520739E-3</v>
      </c>
      <c r="CG27" s="20">
        <v>8.963625193702289E-2</v>
      </c>
      <c r="CH27" s="20">
        <v>7.099273252675789E-2</v>
      </c>
      <c r="CI27" s="20">
        <v>2.7170642901783448E-2</v>
      </c>
      <c r="CJ27" s="20">
        <v>5.2468428425330033E-2</v>
      </c>
      <c r="CK27" s="20">
        <v>2.9480660943049509E-2</v>
      </c>
      <c r="CL27" s="20">
        <v>6.6825081060201283E-2</v>
      </c>
      <c r="CM27" s="20">
        <v>-2.8772229019816971E-2</v>
      </c>
      <c r="CN27" s="20">
        <v>3.9462515901637851E-2</v>
      </c>
      <c r="CO27" s="20">
        <v>-2.9031086977359909E-2</v>
      </c>
      <c r="CP27" s="20">
        <v>1.3983882519467901E-2</v>
      </c>
      <c r="CQ27" s="20">
        <v>-3.2276964959333833E-2</v>
      </c>
      <c r="CR27" s="20">
        <v>3.1035766128940231E-3</v>
      </c>
      <c r="CS27" s="20">
        <v>2.5591855767083171E-2</v>
      </c>
      <c r="CT27" s="20">
        <v>4.4391886287193302E-2</v>
      </c>
      <c r="CU27" s="20">
        <v>-3.0338958549577438E-2</v>
      </c>
      <c r="CV27" s="20">
        <v>-1.2579764545717069E-3</v>
      </c>
      <c r="CW27" s="20">
        <v>2.336356455857952E-3</v>
      </c>
      <c r="CX27" s="20">
        <v>-6.4264144925906069E-2</v>
      </c>
      <c r="CY27" s="20">
        <v>1.2909779458992439E-2</v>
      </c>
      <c r="CZ27" s="20">
        <v>-0.12547709467085871</v>
      </c>
      <c r="DA27" s="20">
        <v>1.1690682939792569E-2</v>
      </c>
      <c r="DB27" s="20">
        <v>6.3378437007417512E-3</v>
      </c>
      <c r="DC27" s="20">
        <v>-0.1173053564693855</v>
      </c>
      <c r="DD27" s="20">
        <v>-3.6010872049446613E-2</v>
      </c>
      <c r="DE27" s="20">
        <v>0.1389113040722679</v>
      </c>
      <c r="DF27" s="20">
        <v>-5.1143506226105737E-2</v>
      </c>
      <c r="DG27" s="20">
        <v>7.6731447181969059E-2</v>
      </c>
      <c r="DH27" s="20">
        <v>1.550878219700816E-2</v>
      </c>
      <c r="DI27" s="20">
        <v>2.3223773674755831E-2</v>
      </c>
      <c r="DJ27" s="20">
        <v>-1.8372876361227891E-2</v>
      </c>
      <c r="DK27" s="20">
        <v>6.2199014085099431E-2</v>
      </c>
      <c r="DL27" s="20">
        <v>2.0098304486957191E-2</v>
      </c>
      <c r="DM27" s="20">
        <v>1.349893974806809E-2</v>
      </c>
      <c r="DN27" s="20">
        <v>-3.025221272842088E-2</v>
      </c>
      <c r="DO27" s="20">
        <v>-1.7022835708053841E-2</v>
      </c>
      <c r="DP27" s="20">
        <v>-2.1788523272461981E-2</v>
      </c>
      <c r="DQ27" s="20">
        <v>8.5745624585137223E-2</v>
      </c>
      <c r="DR27" s="20">
        <v>2.8106743604973752E-2</v>
      </c>
      <c r="DS27" s="20">
        <v>-2.3031598073594501E-3</v>
      </c>
      <c r="DT27" s="20">
        <v>5.8471198131487503E-2</v>
      </c>
      <c r="DU27" s="20">
        <v>6.7658949048647651E-2</v>
      </c>
      <c r="DV27" s="20">
        <v>5.0207706404322644E-3</v>
      </c>
      <c r="DW27" s="20">
        <v>3.7416183675207063E-2</v>
      </c>
      <c r="DX27" s="20">
        <v>8.4111003746042121E-2</v>
      </c>
      <c r="DY27" s="20">
        <v>-3.6832398544012837E-2</v>
      </c>
      <c r="DZ27" s="20">
        <v>3.0917028169369942E-3</v>
      </c>
      <c r="EA27" s="20">
        <v>-1.957628214294549E-3</v>
      </c>
      <c r="EB27" s="20">
        <v>2.6459103603519739E-2</v>
      </c>
      <c r="EC27" s="20">
        <v>-2.4752538760690269E-2</v>
      </c>
      <c r="ED27" s="20">
        <v>3.4115490982559941E-2</v>
      </c>
      <c r="EE27" s="20">
        <v>2.1061973989032982E-2</v>
      </c>
      <c r="EF27" s="20">
        <v>-2.0277392706005919E-2</v>
      </c>
      <c r="EG27" s="27">
        <f t="shared" si="0"/>
        <v>7.3485376145559517E-3</v>
      </c>
      <c r="EH27" s="27">
        <f t="shared" si="1"/>
        <v>4.2276369775976368E-2</v>
      </c>
      <c r="EI27" s="27">
        <f t="shared" si="2"/>
        <v>0.17382139605401439</v>
      </c>
    </row>
    <row r="28" spans="1:139" ht="16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3"/>
    </row>
    <row r="30" spans="1:139" ht="16" customHeight="1">
      <c r="A30" s="22"/>
      <c r="B30" s="22"/>
      <c r="C30" s="22"/>
      <c r="D30" s="4"/>
      <c r="E30" s="4"/>
      <c r="F30" s="4"/>
      <c r="G30" s="4"/>
      <c r="H30" s="4"/>
      <c r="I30" s="4"/>
      <c r="J30" s="4"/>
      <c r="K30" s="22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</row>
  </sheetData>
  <mergeCells count="1">
    <mergeCell ref="A12:B12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G33"/>
  <sheetViews>
    <sheetView zoomScale="89" zoomScaleNormal="71" workbookViewId="0">
      <selection activeCell="C3" sqref="C3:EF7"/>
    </sheetView>
  </sheetViews>
  <sheetFormatPr baseColWidth="10" defaultColWidth="8.83203125" defaultRowHeight="15"/>
  <cols>
    <col min="1" max="1" width="16.6640625" style="21" customWidth="1"/>
    <col min="3" max="3" width="10.1640625" style="21" customWidth="1"/>
    <col min="4" max="4" width="11.6640625" style="21" customWidth="1"/>
    <col min="5" max="5" width="9.1640625" style="21" customWidth="1"/>
    <col min="6" max="6" width="8.6640625" style="21" customWidth="1"/>
    <col min="7" max="7" width="9.33203125" style="21" customWidth="1"/>
    <col min="8" max="8" width="9.6640625" style="21" customWidth="1"/>
    <col min="9" max="9" width="9" style="21" customWidth="1"/>
    <col min="10" max="136" width="10.6640625" style="21" customWidth="1"/>
  </cols>
  <sheetData>
    <row r="1" spans="1:137" ht="16" customHeight="1">
      <c r="A1" s="13" t="s">
        <v>236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</row>
    <row r="2" spans="1:137" ht="16" customHeight="1">
      <c r="A2" s="30"/>
      <c r="B2" s="6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14" t="s">
        <v>7</v>
      </c>
      <c r="I2" s="14" t="s">
        <v>8</v>
      </c>
      <c r="J2" s="14" t="s">
        <v>9</v>
      </c>
      <c r="K2" s="14" t="s">
        <v>10</v>
      </c>
      <c r="L2" s="14" t="s">
        <v>11</v>
      </c>
      <c r="M2" s="14" t="s">
        <v>12</v>
      </c>
      <c r="N2" s="14" t="s">
        <v>13</v>
      </c>
      <c r="O2" s="14" t="s">
        <v>14</v>
      </c>
      <c r="P2" s="14" t="s">
        <v>15</v>
      </c>
      <c r="Q2" s="14" t="s">
        <v>16</v>
      </c>
      <c r="R2" s="14" t="s">
        <v>17</v>
      </c>
      <c r="S2" s="14" t="s">
        <v>18</v>
      </c>
      <c r="T2" s="14" t="s">
        <v>19</v>
      </c>
      <c r="U2" s="14" t="s">
        <v>20</v>
      </c>
      <c r="V2" s="14" t="s">
        <v>21</v>
      </c>
      <c r="W2" s="14" t="s">
        <v>22</v>
      </c>
      <c r="X2" s="14" t="s">
        <v>23</v>
      </c>
      <c r="Y2" s="14" t="s">
        <v>24</v>
      </c>
      <c r="Z2" s="14" t="s">
        <v>25</v>
      </c>
      <c r="AA2" s="14" t="s">
        <v>26</v>
      </c>
      <c r="AB2" s="14" t="s">
        <v>27</v>
      </c>
      <c r="AC2" s="14" t="s">
        <v>28</v>
      </c>
      <c r="AD2" s="14" t="s">
        <v>29</v>
      </c>
      <c r="AE2" s="14" t="s">
        <v>30</v>
      </c>
      <c r="AF2" s="14" t="s">
        <v>31</v>
      </c>
      <c r="AG2" s="14" t="s">
        <v>32</v>
      </c>
      <c r="AH2" s="14" t="s">
        <v>33</v>
      </c>
      <c r="AI2" s="14" t="s">
        <v>34</v>
      </c>
      <c r="AJ2" s="14" t="s">
        <v>35</v>
      </c>
      <c r="AK2" s="14" t="s">
        <v>36</v>
      </c>
      <c r="AL2" s="14" t="s">
        <v>37</v>
      </c>
      <c r="AM2" s="14" t="s">
        <v>38</v>
      </c>
      <c r="AN2" s="14" t="s">
        <v>39</v>
      </c>
      <c r="AO2" s="14" t="s">
        <v>40</v>
      </c>
      <c r="AP2" s="14" t="s">
        <v>41</v>
      </c>
      <c r="AQ2" s="14" t="s">
        <v>42</v>
      </c>
      <c r="AR2" s="14" t="s">
        <v>43</v>
      </c>
      <c r="AS2" s="14" t="s">
        <v>44</v>
      </c>
      <c r="AT2" s="14" t="s">
        <v>45</v>
      </c>
      <c r="AU2" s="14" t="s">
        <v>46</v>
      </c>
      <c r="AV2" s="14" t="s">
        <v>47</v>
      </c>
      <c r="AW2" s="14" t="s">
        <v>48</v>
      </c>
      <c r="AX2" s="14" t="s">
        <v>49</v>
      </c>
      <c r="AY2" s="14" t="s">
        <v>50</v>
      </c>
      <c r="AZ2" s="14" t="s">
        <v>51</v>
      </c>
      <c r="BA2" s="14" t="s">
        <v>52</v>
      </c>
      <c r="BB2" s="14" t="s">
        <v>53</v>
      </c>
      <c r="BC2" s="14" t="s">
        <v>54</v>
      </c>
      <c r="BD2" s="14" t="s">
        <v>55</v>
      </c>
      <c r="BE2" s="14" t="s">
        <v>56</v>
      </c>
      <c r="BF2" s="14" t="s">
        <v>57</v>
      </c>
      <c r="BG2" s="14" t="s">
        <v>58</v>
      </c>
      <c r="BH2" s="14" t="s">
        <v>59</v>
      </c>
      <c r="BI2" s="14" t="s">
        <v>60</v>
      </c>
      <c r="BJ2" s="14" t="s">
        <v>61</v>
      </c>
      <c r="BK2" s="14" t="s">
        <v>62</v>
      </c>
      <c r="BL2" s="14" t="s">
        <v>63</v>
      </c>
      <c r="BM2" s="14" t="s">
        <v>64</v>
      </c>
      <c r="BN2" s="14" t="s">
        <v>65</v>
      </c>
      <c r="BO2" s="14" t="s">
        <v>66</v>
      </c>
      <c r="BP2" s="14" t="s">
        <v>67</v>
      </c>
      <c r="BQ2" s="14" t="s">
        <v>68</v>
      </c>
      <c r="BR2" s="14" t="s">
        <v>69</v>
      </c>
      <c r="BS2" s="14" t="s">
        <v>70</v>
      </c>
      <c r="BT2" s="14" t="s">
        <v>71</v>
      </c>
      <c r="BU2" s="14" t="s">
        <v>72</v>
      </c>
      <c r="BV2" s="14" t="s">
        <v>73</v>
      </c>
      <c r="BW2" s="14" t="s">
        <v>74</v>
      </c>
      <c r="BX2" s="14" t="s">
        <v>75</v>
      </c>
      <c r="BY2" s="14" t="s">
        <v>76</v>
      </c>
      <c r="BZ2" s="14" t="s">
        <v>77</v>
      </c>
      <c r="CA2" s="14" t="s">
        <v>78</v>
      </c>
      <c r="CB2" s="14" t="s">
        <v>79</v>
      </c>
      <c r="CC2" s="14" t="s">
        <v>80</v>
      </c>
      <c r="CD2" s="14" t="s">
        <v>81</v>
      </c>
      <c r="CE2" s="14" t="s">
        <v>82</v>
      </c>
      <c r="CF2" s="14" t="s">
        <v>83</v>
      </c>
      <c r="CG2" s="14" t="s">
        <v>84</v>
      </c>
      <c r="CH2" s="14" t="s">
        <v>85</v>
      </c>
      <c r="CI2" s="14" t="s">
        <v>86</v>
      </c>
      <c r="CJ2" s="14" t="s">
        <v>87</v>
      </c>
      <c r="CK2" s="14" t="s">
        <v>88</v>
      </c>
      <c r="CL2" s="14" t="s">
        <v>89</v>
      </c>
      <c r="CM2" s="14" t="s">
        <v>90</v>
      </c>
      <c r="CN2" s="14" t="s">
        <v>91</v>
      </c>
      <c r="CO2" s="14" t="s">
        <v>92</v>
      </c>
      <c r="CP2" s="14" t="s">
        <v>93</v>
      </c>
      <c r="CQ2" s="14" t="s">
        <v>94</v>
      </c>
      <c r="CR2" s="14" t="s">
        <v>95</v>
      </c>
      <c r="CS2" s="14" t="s">
        <v>96</v>
      </c>
      <c r="CT2" s="14" t="s">
        <v>97</v>
      </c>
      <c r="CU2" s="14" t="s">
        <v>98</v>
      </c>
      <c r="CV2" s="14" t="s">
        <v>99</v>
      </c>
      <c r="CW2" s="14" t="s">
        <v>100</v>
      </c>
      <c r="CX2" s="14" t="s">
        <v>101</v>
      </c>
      <c r="CY2" s="14" t="s">
        <v>102</v>
      </c>
      <c r="CZ2" s="14" t="s">
        <v>103</v>
      </c>
      <c r="DA2" s="14" t="s">
        <v>104</v>
      </c>
      <c r="DB2" s="14" t="s">
        <v>105</v>
      </c>
      <c r="DC2" s="14" t="s">
        <v>106</v>
      </c>
      <c r="DD2" s="14" t="s">
        <v>107</v>
      </c>
      <c r="DE2" s="14" t="s">
        <v>108</v>
      </c>
      <c r="DF2" s="14" t="s">
        <v>109</v>
      </c>
      <c r="DG2" s="14" t="s">
        <v>110</v>
      </c>
      <c r="DH2" s="14" t="s">
        <v>111</v>
      </c>
      <c r="DI2" s="14" t="s">
        <v>112</v>
      </c>
      <c r="DJ2" s="14" t="s">
        <v>113</v>
      </c>
      <c r="DK2" s="14" t="s">
        <v>114</v>
      </c>
      <c r="DL2" s="14" t="s">
        <v>115</v>
      </c>
      <c r="DM2" s="14" t="s">
        <v>116</v>
      </c>
      <c r="DN2" s="14" t="s">
        <v>117</v>
      </c>
      <c r="DO2" s="14" t="s">
        <v>118</v>
      </c>
      <c r="DP2" s="14" t="s">
        <v>119</v>
      </c>
      <c r="DQ2" s="14" t="s">
        <v>120</v>
      </c>
      <c r="DR2" s="14" t="s">
        <v>121</v>
      </c>
      <c r="DS2" s="14" t="s">
        <v>122</v>
      </c>
      <c r="DT2" s="14" t="s">
        <v>123</v>
      </c>
      <c r="DU2" s="14" t="s">
        <v>124</v>
      </c>
      <c r="DV2" s="14" t="s">
        <v>125</v>
      </c>
      <c r="DW2" s="14" t="s">
        <v>126</v>
      </c>
      <c r="DX2" s="14" t="s">
        <v>127</v>
      </c>
      <c r="DY2" s="14" t="s">
        <v>128</v>
      </c>
      <c r="DZ2" s="14" t="s">
        <v>129</v>
      </c>
      <c r="EA2" s="14" t="s">
        <v>130</v>
      </c>
      <c r="EB2" s="14" t="s">
        <v>131</v>
      </c>
      <c r="EC2" s="14" t="s">
        <v>132</v>
      </c>
      <c r="ED2" s="15" t="s">
        <v>133</v>
      </c>
      <c r="EE2" s="12" t="s">
        <v>134</v>
      </c>
      <c r="EF2" s="14" t="s">
        <v>135</v>
      </c>
    </row>
    <row r="3" spans="1:137" ht="16" customHeight="1">
      <c r="A3" s="30"/>
      <c r="B3" s="26" t="s">
        <v>136</v>
      </c>
      <c r="C3" s="31">
        <v>-8.429603670598744E-2</v>
      </c>
      <c r="D3" s="31">
        <v>-2.8453094355183509E-2</v>
      </c>
      <c r="E3" s="31">
        <v>-2.189673558976005E-2</v>
      </c>
      <c r="F3" s="31">
        <v>4.9927874598066002E-3</v>
      </c>
      <c r="G3" s="31">
        <v>-0.12759725107710429</v>
      </c>
      <c r="H3" s="31">
        <v>1.2816976342359719E-2</v>
      </c>
      <c r="I3" s="31">
        <v>-4.8252077588753918E-2</v>
      </c>
      <c r="J3" s="31">
        <v>-3.7695709693859387E-2</v>
      </c>
      <c r="K3" s="31">
        <v>-9.4919956827117749E-2</v>
      </c>
      <c r="L3" s="31">
        <v>-5.8099280150866649E-2</v>
      </c>
      <c r="M3" s="31">
        <v>-3.3822409699698831E-2</v>
      </c>
      <c r="N3" s="31">
        <v>8.961225742132652E-3</v>
      </c>
      <c r="O3" s="31">
        <v>-3.2121130195936792E-2</v>
      </c>
      <c r="P3" s="31">
        <v>-3.2817402836170961E-2</v>
      </c>
      <c r="Q3" s="31">
        <v>-4.6633805887103363E-2</v>
      </c>
      <c r="R3" s="31">
        <v>-1.8320593612796018E-2</v>
      </c>
      <c r="S3" s="31">
        <v>6.9135446653425794E-3</v>
      </c>
      <c r="T3" s="31">
        <v>6.1760095460787982E-3</v>
      </c>
      <c r="U3" s="31">
        <v>-3.1689832722602687E-2</v>
      </c>
      <c r="V3" s="31">
        <v>-3.0298885153137861E-2</v>
      </c>
      <c r="W3" s="31">
        <v>-2.1307535409495399E-3</v>
      </c>
      <c r="X3" s="31">
        <v>-8.6751883318852613E-2</v>
      </c>
      <c r="Y3" s="31">
        <v>-3.7445057390587108E-2</v>
      </c>
      <c r="Z3" s="31">
        <v>-4.6435733061716479E-2</v>
      </c>
      <c r="AA3" s="31">
        <v>-4.6019081170122191E-2</v>
      </c>
      <c r="AB3" s="31">
        <v>1.5009172006643661E-2</v>
      </c>
      <c r="AC3" s="31">
        <v>-8.2020304959678787E-3</v>
      </c>
      <c r="AD3" s="31">
        <v>8.0247192997532895E-3</v>
      </c>
      <c r="AE3" s="31">
        <v>-1.4694865267356199E-2</v>
      </c>
      <c r="AF3" s="31">
        <v>-2.536323449777915E-2</v>
      </c>
      <c r="AG3" s="31">
        <v>-6.2780938947660687E-3</v>
      </c>
      <c r="AH3" s="31">
        <v>-1.6290747013119989E-2</v>
      </c>
      <c r="AI3" s="31">
        <v>-2.3747913986364749E-2</v>
      </c>
      <c r="AJ3" s="31">
        <v>-4.2027210947840378E-3</v>
      </c>
      <c r="AK3" s="31">
        <v>-3.4839296562989612E-2</v>
      </c>
      <c r="AL3" s="31">
        <v>-8.603256023268871E-2</v>
      </c>
      <c r="AM3" s="31">
        <v>-1.0445527914776161E-2</v>
      </c>
      <c r="AN3" s="31">
        <v>-3.8234996216167251E-2</v>
      </c>
      <c r="AO3" s="31">
        <v>-5.3682827418385197E-2</v>
      </c>
      <c r="AP3" s="31">
        <v>-5.1607565085224127E-2</v>
      </c>
      <c r="AQ3" s="31">
        <v>-0.1057668660704561</v>
      </c>
      <c r="AR3" s="31">
        <v>-1.608388920302788E-2</v>
      </c>
      <c r="AS3" s="31">
        <v>-7.0025961534977421E-2</v>
      </c>
      <c r="AT3" s="31">
        <v>-2.5652004068212889E-2</v>
      </c>
      <c r="AU3" s="31">
        <v>-3.2847243481502177E-2</v>
      </c>
      <c r="AV3" s="31">
        <v>-2.1292942698152809E-2</v>
      </c>
      <c r="AW3" s="31">
        <v>-1.3342952691464859E-2</v>
      </c>
      <c r="AX3" s="31">
        <v>-3.1210135959572399E-3</v>
      </c>
      <c r="AY3" s="31">
        <v>-2.9055730389324231E-2</v>
      </c>
      <c r="AZ3" s="31">
        <v>-4.6051807599752784E-3</v>
      </c>
      <c r="BA3" s="31">
        <v>-1.9629734103372841E-2</v>
      </c>
      <c r="BB3" s="31">
        <v>-5.2320473774724742E-2</v>
      </c>
      <c r="BC3" s="31">
        <v>5.0930864916999351E-2</v>
      </c>
      <c r="BD3" s="31">
        <v>-1.924624929782847E-2</v>
      </c>
      <c r="BE3" s="31">
        <v>9.3228681284677033E-3</v>
      </c>
      <c r="BF3" s="31">
        <v>6.8709222035228557E-2</v>
      </c>
      <c r="BG3" s="31">
        <v>-5.0917387340051128E-2</v>
      </c>
      <c r="BH3" s="31">
        <v>-6.7289767486816057E-3</v>
      </c>
      <c r="BI3" s="31">
        <v>0.1016303390984352</v>
      </c>
      <c r="BJ3" s="31">
        <v>6.7263981434539488E-2</v>
      </c>
      <c r="BK3" s="31">
        <v>5.0972985229607859E-2</v>
      </c>
      <c r="BL3" s="31">
        <v>-4.6184890386919128E-2</v>
      </c>
      <c r="BM3" s="31">
        <v>2.5892875867364471E-2</v>
      </c>
      <c r="BN3" s="31">
        <v>-2.671033276380938E-2</v>
      </c>
      <c r="BO3" s="31">
        <v>-4.9927813423697759E-2</v>
      </c>
      <c r="BP3" s="31">
        <v>-7.1747728967514121E-3</v>
      </c>
      <c r="BQ3" s="31">
        <v>4.9605234395863418E-3</v>
      </c>
      <c r="BR3" s="31">
        <v>2.1221623732671471E-2</v>
      </c>
      <c r="BS3" s="31">
        <v>-2.0949280526751889E-2</v>
      </c>
      <c r="BT3" s="31">
        <v>-1.9188709318224549E-2</v>
      </c>
      <c r="BU3" s="31">
        <v>-8.4922409669360311E-3</v>
      </c>
      <c r="BV3" s="31">
        <v>9.4929292201117435E-4</v>
      </c>
      <c r="BW3" s="31">
        <v>7.6663618870091146E-3</v>
      </c>
      <c r="BX3" s="31">
        <v>-1.780618477908151E-2</v>
      </c>
      <c r="BY3" s="31">
        <v>-4.3971774630502627E-2</v>
      </c>
      <c r="BZ3" s="31">
        <v>3.0984032396892281E-2</v>
      </c>
      <c r="CA3" s="31">
        <v>-4.8069219951427339E-4</v>
      </c>
      <c r="CB3" s="31">
        <v>2.4421774280175199E-2</v>
      </c>
      <c r="CC3" s="31">
        <v>-3.1392559724719271E-2</v>
      </c>
      <c r="CD3" s="31">
        <v>1.164267431750987E-2</v>
      </c>
      <c r="CE3" s="31">
        <v>-2.0740706423887579E-2</v>
      </c>
      <c r="CF3" s="31">
        <v>-5.1309418295801351E-2</v>
      </c>
      <c r="CG3" s="31">
        <v>-5.0579962983245443E-2</v>
      </c>
      <c r="CH3" s="31">
        <v>-4.5668992771231993E-2</v>
      </c>
      <c r="CI3" s="31">
        <v>-4.1886812377985562E-2</v>
      </c>
      <c r="CJ3" s="31">
        <v>-1.3254799328362149E-2</v>
      </c>
      <c r="CK3" s="31">
        <v>-5.6820905314016637E-2</v>
      </c>
      <c r="CL3" s="31">
        <v>1.174160069405677E-2</v>
      </c>
      <c r="CM3" s="31">
        <v>-9.3584980205713621E-3</v>
      </c>
      <c r="CN3" s="31">
        <v>-4.7772207508421163E-2</v>
      </c>
      <c r="CO3" s="31">
        <v>-1.5664502952299469E-2</v>
      </c>
      <c r="CP3" s="31">
        <v>-3.0212115984057972E-2</v>
      </c>
      <c r="CQ3" s="31">
        <v>-2.015009076236424E-2</v>
      </c>
      <c r="CR3" s="31">
        <v>-2.206234995081641E-2</v>
      </c>
      <c r="CS3" s="31">
        <v>4.6777663787930822E-2</v>
      </c>
      <c r="CT3" s="31">
        <v>-7.035607214404746E-2</v>
      </c>
      <c r="CU3" s="31">
        <v>-5.259209843406671E-2</v>
      </c>
      <c r="CV3" s="31">
        <v>-2.2595183669130679E-2</v>
      </c>
      <c r="CW3" s="31">
        <v>-2.863497085763619E-2</v>
      </c>
      <c r="CX3" s="31">
        <v>-2.0095475714382902E-2</v>
      </c>
      <c r="CY3" s="31">
        <v>-6.8682507891461271E-3</v>
      </c>
      <c r="CZ3" s="31">
        <v>-8.3664721523415801E-3</v>
      </c>
      <c r="DA3" s="31">
        <v>-1.252714679609465E-2</v>
      </c>
      <c r="DB3" s="31">
        <v>-3.4742487142407331E-2</v>
      </c>
      <c r="DC3" s="31">
        <v>-3.5287016329989908E-2</v>
      </c>
      <c r="DD3" s="31">
        <v>-4.0320739370364921E-2</v>
      </c>
      <c r="DE3" s="31">
        <v>-1.8885247935566708E-2</v>
      </c>
      <c r="DF3" s="31">
        <v>-5.7070855171200341E-3</v>
      </c>
      <c r="DG3" s="31">
        <v>2.1545946483440478E-2</v>
      </c>
      <c r="DH3" s="31">
        <v>-2.0355161427642019E-2</v>
      </c>
      <c r="DI3" s="31">
        <v>1.277570739996689E-2</v>
      </c>
      <c r="DJ3" s="31">
        <v>-2.8843413177194171E-2</v>
      </c>
      <c r="DK3" s="31">
        <v>-1.3952374164494481E-2</v>
      </c>
      <c r="DL3" s="31">
        <v>-2.019265102715739E-2</v>
      </c>
      <c r="DM3" s="31">
        <v>-3.8524101566572509E-2</v>
      </c>
      <c r="DN3" s="31">
        <v>-3.6688151255884253E-2</v>
      </c>
      <c r="DO3" s="31">
        <v>-4.8332590170758319E-2</v>
      </c>
      <c r="DP3" s="31">
        <v>-2.8173828738575098E-2</v>
      </c>
      <c r="DQ3" s="31">
        <v>-4.0410748477300293E-2</v>
      </c>
      <c r="DR3" s="31">
        <v>-2.2062607332942689E-2</v>
      </c>
      <c r="DS3" s="31">
        <v>1.208152381299746E-2</v>
      </c>
      <c r="DT3" s="31">
        <v>-3.1258488389118412E-2</v>
      </c>
      <c r="DU3" s="31">
        <v>-3.8229012564871698E-2</v>
      </c>
      <c r="DV3" s="31">
        <v>-3.095133348021312E-2</v>
      </c>
      <c r="DW3" s="31">
        <v>-2.8482854394170951E-2</v>
      </c>
      <c r="DX3" s="31">
        <v>-1.8710656799514901E-2</v>
      </c>
      <c r="DY3" s="31">
        <v>-7.8415569930099602E-3</v>
      </c>
      <c r="DZ3" s="31">
        <v>-5.2340508647293407E-2</v>
      </c>
      <c r="EA3" s="31">
        <v>-7.7639695706951191E-4</v>
      </c>
      <c r="EB3" s="31">
        <v>-8.0836124983127491E-2</v>
      </c>
      <c r="EC3" s="31">
        <v>-2.8180414679363119E-2</v>
      </c>
      <c r="ED3" s="31">
        <v>-1.9637574344743249E-2</v>
      </c>
      <c r="EE3" s="31">
        <v>-2.7325424558614728E-2</v>
      </c>
      <c r="EF3" s="31">
        <v>-6.9995167886594363E-3</v>
      </c>
    </row>
    <row r="4" spans="1:137" ht="16" customHeight="1">
      <c r="A4" s="30"/>
      <c r="B4" s="26" t="s">
        <v>137</v>
      </c>
      <c r="C4" s="31">
        <v>3.1086562017614922E-2</v>
      </c>
      <c r="D4" s="31">
        <v>4.7767866074439398E-2</v>
      </c>
      <c r="E4" s="31">
        <v>2.9442858767467581E-2</v>
      </c>
      <c r="F4" s="31">
        <v>3.42562610572201E-2</v>
      </c>
      <c r="G4" s="31">
        <v>3.6325840606290127E-2</v>
      </c>
      <c r="H4" s="31">
        <v>6.3325989563785511E-3</v>
      </c>
      <c r="I4" s="31">
        <v>6.969222696993109E-2</v>
      </c>
      <c r="J4" s="31">
        <v>2.4401361138749269E-2</v>
      </c>
      <c r="K4" s="31">
        <v>4.5767937238663257E-2</v>
      </c>
      <c r="L4" s="31">
        <v>3.1477200440385308E-2</v>
      </c>
      <c r="M4" s="31">
        <v>4.2317700949589337E-2</v>
      </c>
      <c r="N4" s="31">
        <v>-1.8905536477247689E-3</v>
      </c>
      <c r="O4" s="31">
        <v>-1.0245774793506419E-2</v>
      </c>
      <c r="P4" s="31">
        <v>-1.9796768620016741E-3</v>
      </c>
      <c r="Q4" s="31">
        <v>1.753684731187774E-2</v>
      </c>
      <c r="R4" s="31">
        <v>1.762440573458724E-3</v>
      </c>
      <c r="S4" s="31">
        <v>2.1768037095609621E-2</v>
      </c>
      <c r="T4" s="31">
        <v>5.9442181018087396E-3</v>
      </c>
      <c r="U4" s="31">
        <v>3.946430190280148E-2</v>
      </c>
      <c r="V4" s="31">
        <v>6.8762140092548135E-2</v>
      </c>
      <c r="W4" s="31">
        <v>7.6546931193163054E-2</v>
      </c>
      <c r="X4" s="31">
        <v>3.142037484700555E-2</v>
      </c>
      <c r="Y4" s="31">
        <v>7.9660159694748586E-2</v>
      </c>
      <c r="Z4" s="31">
        <v>8.5053837994098935E-2</v>
      </c>
      <c r="AA4" s="31">
        <v>9.1527941671766491E-2</v>
      </c>
      <c r="AB4" s="31">
        <v>4.9242916811069813E-2</v>
      </c>
      <c r="AC4" s="31">
        <v>8.5711746226351082E-2</v>
      </c>
      <c r="AD4" s="31">
        <v>7.1048821703633552E-2</v>
      </c>
      <c r="AE4" s="31">
        <v>0.10226171691635939</v>
      </c>
      <c r="AF4" s="31">
        <v>6.9767585915637614E-2</v>
      </c>
      <c r="AG4" s="31">
        <v>4.3866200419990932E-2</v>
      </c>
      <c r="AH4" s="31">
        <v>2.1430809297785468E-2</v>
      </c>
      <c r="AI4" s="31">
        <v>7.9171443804792505E-2</v>
      </c>
      <c r="AJ4" s="31">
        <v>1.459323207818186E-2</v>
      </c>
      <c r="AK4" s="31">
        <v>1.5906455659644912E-2</v>
      </c>
      <c r="AL4" s="31">
        <v>1.227335617652308E-2</v>
      </c>
      <c r="AM4" s="31">
        <v>1.692299662077195E-2</v>
      </c>
      <c r="AN4" s="31">
        <v>1.1423359454151761E-2</v>
      </c>
      <c r="AO4" s="31">
        <v>2.6535956821140211E-2</v>
      </c>
      <c r="AP4" s="31">
        <v>1.174375645519797E-3</v>
      </c>
      <c r="AQ4" s="31">
        <v>1.2771089116512551E-2</v>
      </c>
      <c r="AR4" s="31">
        <v>1.031777454001114E-2</v>
      </c>
      <c r="AS4" s="31">
        <v>1.6975410459023319E-2</v>
      </c>
      <c r="AT4" s="31">
        <v>1.416661816296551E-2</v>
      </c>
      <c r="AU4" s="31">
        <v>8.2552446478443529E-3</v>
      </c>
      <c r="AV4" s="31">
        <v>2.3066346488062231E-2</v>
      </c>
      <c r="AW4" s="31">
        <v>2.3147919254929161E-2</v>
      </c>
      <c r="AX4" s="31">
        <v>2.3799648818368629E-2</v>
      </c>
      <c r="AY4" s="31">
        <v>1.4460876412209641E-2</v>
      </c>
      <c r="AZ4" s="31">
        <v>3.4728632796035101E-2</v>
      </c>
      <c r="BA4" s="31">
        <v>3.2672293676415873E-2</v>
      </c>
      <c r="BB4" s="31">
        <v>3.3982517110570078E-2</v>
      </c>
      <c r="BC4" s="31">
        <v>2.90359512742814E-2</v>
      </c>
      <c r="BD4" s="31">
        <v>2.028800563296055E-2</v>
      </c>
      <c r="BE4" s="31">
        <v>-2.8476375646501882E-4</v>
      </c>
      <c r="BF4" s="31">
        <v>6.2749562943551834E-3</v>
      </c>
      <c r="BG4" s="31">
        <v>1.7906542863161071E-2</v>
      </c>
      <c r="BH4" s="31">
        <v>6.3413702413501211E-3</v>
      </c>
      <c r="BI4" s="31">
        <v>6.8454634185270329E-3</v>
      </c>
      <c r="BJ4" s="31">
        <v>-6.0452062839624197E-2</v>
      </c>
      <c r="BK4" s="31">
        <v>-1.3397290686041161E-2</v>
      </c>
      <c r="BL4" s="31">
        <v>-3.4864652740761413E-2</v>
      </c>
      <c r="BM4" s="31">
        <v>-2.1633194985984969E-2</v>
      </c>
      <c r="BN4" s="31">
        <v>-1.6377984049195399E-2</v>
      </c>
      <c r="BO4" s="31">
        <v>-6.1762359357300572E-3</v>
      </c>
      <c r="BP4" s="31">
        <v>-1.111768634620681E-2</v>
      </c>
      <c r="BQ4" s="31">
        <v>-3.6182030084923588E-4</v>
      </c>
      <c r="BR4" s="31">
        <v>-1.1873785088533449E-2</v>
      </c>
      <c r="BS4" s="31">
        <v>-3.4710974945003229E-3</v>
      </c>
      <c r="BT4" s="31">
        <v>-2.5477535648933989E-2</v>
      </c>
      <c r="BU4" s="31">
        <v>6.9430725459985656E-3</v>
      </c>
      <c r="BV4" s="31">
        <v>-2.3398357392429459E-2</v>
      </c>
      <c r="BW4" s="31">
        <v>-1.8522725176781819E-2</v>
      </c>
      <c r="BX4" s="31">
        <v>5.9401306752944645E-4</v>
      </c>
      <c r="BY4" s="31">
        <v>-1.4444654343307901E-2</v>
      </c>
      <c r="BZ4" s="31">
        <v>2.8941467796544249E-2</v>
      </c>
      <c r="CA4" s="31">
        <v>1.022957490346592E-2</v>
      </c>
      <c r="CB4" s="31">
        <v>4.1552026559534341E-2</v>
      </c>
      <c r="CC4" s="31">
        <v>5.7523362093914133E-3</v>
      </c>
      <c r="CD4" s="31">
        <v>3.352312080223616E-3</v>
      </c>
      <c r="CE4" s="31">
        <v>1.4197074577809931E-2</v>
      </c>
      <c r="CF4" s="31">
        <v>-4.569375013317228E-3</v>
      </c>
      <c r="CG4" s="31">
        <v>-1.9029597473078221E-2</v>
      </c>
      <c r="CH4" s="31">
        <v>-1.078828377868199E-2</v>
      </c>
      <c r="CI4" s="31">
        <v>6.378389447033861E-4</v>
      </c>
      <c r="CJ4" s="31">
        <v>-1.410861394167664E-2</v>
      </c>
      <c r="CK4" s="31">
        <v>8.6953487232029059E-3</v>
      </c>
      <c r="CL4" s="31">
        <v>1.735977508200044E-3</v>
      </c>
      <c r="CM4" s="31">
        <v>4.0652306647892874E-3</v>
      </c>
      <c r="CN4" s="31">
        <v>1.599458250513771E-3</v>
      </c>
      <c r="CO4" s="31">
        <v>-4.3710700528488246E-3</v>
      </c>
      <c r="CP4" s="31">
        <v>6.9698802880730909E-3</v>
      </c>
      <c r="CQ4" s="31">
        <v>1.080805319400783E-2</v>
      </c>
      <c r="CR4" s="31">
        <v>6.7308184628707074E-3</v>
      </c>
      <c r="CS4" s="31">
        <v>3.9378842997400037E-3</v>
      </c>
      <c r="CT4" s="31">
        <v>2.3343906114171148E-3</v>
      </c>
      <c r="CU4" s="31">
        <v>1.416185231139584E-2</v>
      </c>
      <c r="CV4" s="31">
        <v>1.6578617053342692E-2</v>
      </c>
      <c r="CW4" s="31">
        <v>-5.376710860990742E-5</v>
      </c>
      <c r="CX4" s="31">
        <v>5.9573099053326292E-3</v>
      </c>
      <c r="CY4" s="31">
        <v>-3.159300236466362E-3</v>
      </c>
      <c r="CZ4" s="31">
        <v>4.5647167486379051E-2</v>
      </c>
      <c r="DA4" s="31">
        <v>-8.6543633156096651E-3</v>
      </c>
      <c r="DB4" s="31">
        <v>4.2922579657901656E-3</v>
      </c>
      <c r="DC4" s="31">
        <v>2.3703575286452758E-2</v>
      </c>
      <c r="DD4" s="31">
        <v>-1.6213709187740361E-2</v>
      </c>
      <c r="DE4" s="31">
        <v>-7.617669415694992E-3</v>
      </c>
      <c r="DF4" s="31">
        <v>-1.24751247509716E-2</v>
      </c>
      <c r="DG4" s="31">
        <v>9.2687207888571752E-3</v>
      </c>
      <c r="DH4" s="31">
        <v>2.2705825758782629E-2</v>
      </c>
      <c r="DI4" s="31">
        <v>2.3233119436897182E-2</v>
      </c>
      <c r="DJ4" s="31">
        <v>2.1631160020617948E-2</v>
      </c>
      <c r="DK4" s="31">
        <v>1.4060584661944989E-2</v>
      </c>
      <c r="DL4" s="31">
        <v>1.3527414001372759E-2</v>
      </c>
      <c r="DM4" s="31">
        <v>1.6738817987969008E-2</v>
      </c>
      <c r="DN4" s="31">
        <v>-3.7982044901072958E-3</v>
      </c>
      <c r="DO4" s="31">
        <v>-1.4217691108761031E-2</v>
      </c>
      <c r="DP4" s="31">
        <v>-1.130871406173896E-2</v>
      </c>
      <c r="DQ4" s="31">
        <v>-7.9768897261401784E-3</v>
      </c>
      <c r="DR4" s="31">
        <v>-2.1246793588885999E-2</v>
      </c>
      <c r="DS4" s="31">
        <v>-3.4573385345236939E-3</v>
      </c>
      <c r="DT4" s="31">
        <v>-3.190192289273106E-3</v>
      </c>
      <c r="DU4" s="31">
        <v>-5.5752804591476506E-3</v>
      </c>
      <c r="DV4" s="31">
        <v>1.2936464971217379E-3</v>
      </c>
      <c r="DW4" s="31">
        <v>9.9671657442681801E-3</v>
      </c>
      <c r="DX4" s="31">
        <v>2.3796674508214009E-2</v>
      </c>
      <c r="DY4" s="31">
        <v>1.742339065196764E-2</v>
      </c>
      <c r="DZ4" s="31">
        <v>2.4955597468828881E-2</v>
      </c>
      <c r="EA4" s="31">
        <v>1.5925090313129581E-2</v>
      </c>
      <c r="EB4" s="31">
        <v>2.0969356564657132E-2</v>
      </c>
      <c r="EC4" s="31">
        <v>3.5010762253000607E-2</v>
      </c>
      <c r="ED4" s="31">
        <v>2.4269624682826271E-2</v>
      </c>
      <c r="EE4" s="31">
        <v>2.7041591978138921E-2</v>
      </c>
      <c r="EF4" s="31">
        <v>3.3338078598236107E-2</v>
      </c>
    </row>
    <row r="5" spans="1:137" ht="16" customHeight="1">
      <c r="A5" s="30"/>
      <c r="B5" s="26" t="s">
        <v>138</v>
      </c>
      <c r="C5" s="31">
        <v>-1.276903423641129E-2</v>
      </c>
      <c r="D5" s="31">
        <v>-8.0379556774421962E-2</v>
      </c>
      <c r="E5" s="31">
        <v>-7.7795221627793218E-2</v>
      </c>
      <c r="F5" s="31">
        <v>3.2339974658819248E-3</v>
      </c>
      <c r="G5" s="31">
        <v>-4.9376851596867187E-2</v>
      </c>
      <c r="H5" s="31">
        <v>-4.7750874534698852E-4</v>
      </c>
      <c r="I5" s="31">
        <v>-6.4108659888108396E-3</v>
      </c>
      <c r="J5" s="31">
        <v>3.5346434275331188E-3</v>
      </c>
      <c r="K5" s="31">
        <v>3.7623829610121742E-2</v>
      </c>
      <c r="L5" s="31">
        <v>9.8663401218173838E-3</v>
      </c>
      <c r="M5" s="31">
        <v>4.9079599134880449E-2</v>
      </c>
      <c r="N5" s="31">
        <v>-5.2030404022897603E-2</v>
      </c>
      <c r="O5" s="31">
        <v>-4.4621880970520687E-2</v>
      </c>
      <c r="P5" s="31">
        <v>-4.4150300026948808E-2</v>
      </c>
      <c r="Q5" s="31">
        <v>-4.1312604531438132E-2</v>
      </c>
      <c r="R5" s="31">
        <v>-6.0858785202456633E-2</v>
      </c>
      <c r="S5" s="31">
        <v>-7.2576562071988487E-3</v>
      </c>
      <c r="T5" s="31">
        <v>-4.3309016613512262E-3</v>
      </c>
      <c r="U5" s="31">
        <v>2.972276040116109E-3</v>
      </c>
      <c r="V5" s="31">
        <v>-3.3837326644713478E-2</v>
      </c>
      <c r="W5" s="31">
        <v>-6.5398146658754458E-2</v>
      </c>
      <c r="X5" s="31">
        <v>4.2224768806785717E-2</v>
      </c>
      <c r="Y5" s="31">
        <v>3.1967888910205133E-2</v>
      </c>
      <c r="Z5" s="31">
        <v>3.1174126677241489E-2</v>
      </c>
      <c r="AA5" s="31">
        <v>1.9039589866032859E-2</v>
      </c>
      <c r="AB5" s="31">
        <v>-5.5678241139305418E-2</v>
      </c>
      <c r="AC5" s="31">
        <v>5.0430967887632218E-2</v>
      </c>
      <c r="AD5" s="31">
        <v>4.4867778116560217E-2</v>
      </c>
      <c r="AE5" s="31">
        <v>-1.0455356224387469E-2</v>
      </c>
      <c r="AF5" s="31">
        <v>-1.271131384880001E-2</v>
      </c>
      <c r="AG5" s="31">
        <v>-5.5209955766540961E-2</v>
      </c>
      <c r="AH5" s="31">
        <v>-3.4749333315611232E-2</v>
      </c>
      <c r="AI5" s="31">
        <v>-4.8839310805408813E-2</v>
      </c>
      <c r="AJ5" s="31">
        <v>-4.7042932884567873E-2</v>
      </c>
      <c r="AK5" s="31">
        <v>-3.1198327343008491E-2</v>
      </c>
      <c r="AL5" s="31">
        <v>-4.5546270327156593E-2</v>
      </c>
      <c r="AM5" s="31">
        <v>-3.41917036382237E-2</v>
      </c>
      <c r="AN5" s="31">
        <v>-3.058655475592463E-2</v>
      </c>
      <c r="AO5" s="31">
        <v>-2.868083947213719E-2</v>
      </c>
      <c r="AP5" s="31">
        <v>-3.1230965054815301E-2</v>
      </c>
      <c r="AQ5" s="31">
        <v>-3.0843958563632631E-2</v>
      </c>
      <c r="AR5" s="31">
        <v>-1.526355936226936E-2</v>
      </c>
      <c r="AS5" s="31">
        <v>-7.3979910720890531E-3</v>
      </c>
      <c r="AT5" s="31">
        <v>-2.334363137771015E-3</v>
      </c>
      <c r="AU5" s="31">
        <v>-1.5139698309381701E-2</v>
      </c>
      <c r="AV5" s="31">
        <v>-2.5649844052517872E-3</v>
      </c>
      <c r="AW5" s="31">
        <v>-1.668569186070761E-3</v>
      </c>
      <c r="AX5" s="31">
        <v>-7.7675324881669771E-3</v>
      </c>
      <c r="AY5" s="31">
        <v>-3.931777617504021E-3</v>
      </c>
      <c r="AZ5" s="31">
        <v>-1.7814331085823389E-2</v>
      </c>
      <c r="BA5" s="31">
        <v>-1.0207531665196711E-2</v>
      </c>
      <c r="BB5" s="31">
        <v>-2.2441412636840978E-3</v>
      </c>
      <c r="BC5" s="31">
        <v>-2.605351417700201E-2</v>
      </c>
      <c r="BD5" s="31">
        <v>-2.1648415194386279E-2</v>
      </c>
      <c r="BE5" s="31">
        <v>-2.0364467545819259E-2</v>
      </c>
      <c r="BF5" s="31">
        <v>-2.792040002396893E-3</v>
      </c>
      <c r="BG5" s="31">
        <v>-1.638011826199013E-2</v>
      </c>
      <c r="BH5" s="31">
        <v>-1.706880048060486E-2</v>
      </c>
      <c r="BI5" s="31">
        <v>1.317814481513154E-2</v>
      </c>
      <c r="BJ5" s="31">
        <v>-5.3697740439019878E-3</v>
      </c>
      <c r="BK5" s="31">
        <v>-3.232371011460896E-2</v>
      </c>
      <c r="BL5" s="31">
        <v>-4.6513129667255848E-2</v>
      </c>
      <c r="BM5" s="31">
        <v>-6.5427689159544264E-2</v>
      </c>
      <c r="BN5" s="31">
        <v>-2.834007893995057E-2</v>
      </c>
      <c r="BO5" s="31">
        <v>-6.8067015354060192E-2</v>
      </c>
      <c r="BP5" s="31">
        <v>-5.7393520983543833E-2</v>
      </c>
      <c r="BQ5" s="31">
        <v>-3.6663021358398287E-2</v>
      </c>
      <c r="BR5" s="31">
        <v>-3.1607123737363962E-2</v>
      </c>
      <c r="BS5" s="31">
        <v>1.1799890707074051E-2</v>
      </c>
      <c r="BT5" s="31">
        <v>-1.300951356952498E-2</v>
      </c>
      <c r="BU5" s="31">
        <v>-1.431128719077006E-2</v>
      </c>
      <c r="BV5" s="31">
        <v>1.811570148890078E-3</v>
      </c>
      <c r="BW5" s="31">
        <v>-3.074963920285477E-2</v>
      </c>
      <c r="BX5" s="31">
        <v>-1.8084769272886589E-2</v>
      </c>
      <c r="BY5" s="31">
        <v>9.8999111264047156E-4</v>
      </c>
      <c r="BZ5" s="31">
        <v>-1.3055744445046501E-2</v>
      </c>
      <c r="CA5" s="31">
        <v>-2.5328399954947799E-2</v>
      </c>
      <c r="CB5" s="31">
        <v>3.8353479288371108E-2</v>
      </c>
      <c r="CC5" s="31">
        <v>-1.6522259062889798E-2</v>
      </c>
      <c r="CD5" s="31">
        <v>-5.3755456494018912E-4</v>
      </c>
      <c r="CE5" s="31">
        <v>-1.125222353290794E-2</v>
      </c>
      <c r="CF5" s="31">
        <v>-1.52603093753312E-2</v>
      </c>
      <c r="CG5" s="31">
        <v>-1.53476726004833E-2</v>
      </c>
      <c r="CH5" s="31">
        <v>-2.5082186453729151E-2</v>
      </c>
      <c r="CI5" s="31">
        <v>-2.3339198487570791E-2</v>
      </c>
      <c r="CJ5" s="31">
        <v>-1.682036006053169E-2</v>
      </c>
      <c r="CK5" s="31">
        <v>-9.7529038500343435E-3</v>
      </c>
      <c r="CL5" s="31">
        <v>-3.4307648892497142E-2</v>
      </c>
      <c r="CM5" s="31">
        <v>-1.6145440877798289E-2</v>
      </c>
      <c r="CN5" s="31">
        <v>-5.2400767642859933E-2</v>
      </c>
      <c r="CO5" s="31">
        <v>-4.2581801615140788E-2</v>
      </c>
      <c r="CP5" s="31">
        <v>-4.655686839208896E-2</v>
      </c>
      <c r="CQ5" s="31">
        <v>-2.027232178660204E-2</v>
      </c>
      <c r="CR5" s="31">
        <v>-3.1058178965966909E-3</v>
      </c>
      <c r="CS5" s="31">
        <v>-8.7262057890671765E-4</v>
      </c>
      <c r="CT5" s="31">
        <v>-3.9574465846048887E-2</v>
      </c>
      <c r="CU5" s="31">
        <v>-2.9502152679233892E-2</v>
      </c>
      <c r="CV5" s="31">
        <v>-2.2976062921494639E-2</v>
      </c>
      <c r="CW5" s="31">
        <v>-8.3811044411202743E-3</v>
      </c>
      <c r="CX5" s="31">
        <v>-1.135324252400207E-2</v>
      </c>
      <c r="CY5" s="31">
        <v>-2.0845782084474889E-2</v>
      </c>
      <c r="CZ5" s="31">
        <v>-2.766233521734919E-2</v>
      </c>
      <c r="DA5" s="31">
        <v>-2.9502398659883081E-2</v>
      </c>
      <c r="DB5" s="31">
        <v>-2.2160845133663849E-2</v>
      </c>
      <c r="DC5" s="31">
        <v>-7.4919916539323672E-2</v>
      </c>
      <c r="DD5" s="31">
        <v>-5.8916671088211109E-2</v>
      </c>
      <c r="DE5" s="31">
        <v>-5.7093108023774951E-2</v>
      </c>
      <c r="DF5" s="31">
        <v>-5.3718019048533842E-2</v>
      </c>
      <c r="DG5" s="31">
        <v>-5.8042033624051137E-2</v>
      </c>
      <c r="DH5" s="31">
        <v>-4.5676488721785653E-2</v>
      </c>
      <c r="DI5" s="31">
        <v>-1.5917012763894619E-2</v>
      </c>
      <c r="DJ5" s="31">
        <v>-3.3235286664000122E-2</v>
      </c>
      <c r="DK5" s="31">
        <v>-1.8187098604843469E-2</v>
      </c>
      <c r="DL5" s="31">
        <v>-1.544584578937103E-2</v>
      </c>
      <c r="DM5" s="31">
        <v>-2.249726221125636E-2</v>
      </c>
      <c r="DN5" s="31">
        <v>-1.605208169523252E-2</v>
      </c>
      <c r="DO5" s="31">
        <v>-1.5928649706160682E-2</v>
      </c>
      <c r="DP5" s="31">
        <v>-2.0912628632926832E-2</v>
      </c>
      <c r="DQ5" s="31">
        <v>-2.2164841676978429E-2</v>
      </c>
      <c r="DR5" s="31">
        <v>-8.9371675669312929E-3</v>
      </c>
      <c r="DS5" s="31">
        <v>-1.098240409876333E-2</v>
      </c>
      <c r="DT5" s="31">
        <v>-1.0795642921424769E-2</v>
      </c>
      <c r="DU5" s="31">
        <v>-1.1575455014925851E-2</v>
      </c>
      <c r="DV5" s="31">
        <v>-3.6917770101867912E-2</v>
      </c>
      <c r="DW5" s="31">
        <v>-3.1998140788843887E-2</v>
      </c>
      <c r="DX5" s="31">
        <v>-2.6040725380935988E-2</v>
      </c>
      <c r="DY5" s="31">
        <v>-1.6413638129547631E-2</v>
      </c>
      <c r="DZ5" s="31">
        <v>-2.2523035595239261E-2</v>
      </c>
      <c r="EA5" s="31">
        <v>-3.0593761571648271E-2</v>
      </c>
      <c r="EB5" s="31">
        <v>-2.3293474687012108E-2</v>
      </c>
      <c r="EC5" s="31">
        <v>-2.7976746624741811E-2</v>
      </c>
      <c r="ED5" s="31">
        <v>-1.783417785468196E-2</v>
      </c>
      <c r="EE5" s="31">
        <v>-9.9851965650295429E-2</v>
      </c>
      <c r="EF5" s="31">
        <v>-1.1236466774279931E-2</v>
      </c>
    </row>
    <row r="6" spans="1:137" ht="16" customHeight="1">
      <c r="A6" s="30"/>
      <c r="B6" s="26" t="s">
        <v>139</v>
      </c>
      <c r="C6" s="31">
        <v>2.4781267200839532E-2</v>
      </c>
      <c r="D6" s="31">
        <v>-1.3055565789411099E-3</v>
      </c>
      <c r="E6" s="31">
        <v>1.608875249320281E-2</v>
      </c>
      <c r="F6" s="31">
        <v>2.4671315533627981E-2</v>
      </c>
      <c r="G6" s="31">
        <v>-3.162639901064353E-3</v>
      </c>
      <c r="H6" s="31">
        <v>1.7431697066357749E-2</v>
      </c>
      <c r="I6" s="31">
        <v>3.422480146831456E-2</v>
      </c>
      <c r="J6" s="31">
        <v>2.1370583560873811E-2</v>
      </c>
      <c r="K6" s="31">
        <v>4.0150458395306857E-2</v>
      </c>
      <c r="L6" s="31">
        <v>3.3348307529469962E-2</v>
      </c>
      <c r="M6" s="31">
        <v>3.4388556589353358E-2</v>
      </c>
      <c r="N6" s="31">
        <v>3.5428173652712662E-2</v>
      </c>
      <c r="O6" s="31">
        <v>2.6141637932049711E-2</v>
      </c>
      <c r="P6" s="31">
        <v>1.8742897836585191E-2</v>
      </c>
      <c r="Q6" s="31">
        <v>-9.3773208719438836E-4</v>
      </c>
      <c r="R6" s="31">
        <v>1.079295630792587E-2</v>
      </c>
      <c r="S6" s="31">
        <v>3.152027631550381E-2</v>
      </c>
      <c r="T6" s="31">
        <v>1.078063718230503E-2</v>
      </c>
      <c r="U6" s="31">
        <v>1.2518142192402109E-2</v>
      </c>
      <c r="V6" s="31">
        <v>1.477948987093089E-2</v>
      </c>
      <c r="W6" s="31">
        <v>-1.014984542391845E-3</v>
      </c>
      <c r="X6" s="31">
        <v>-1.55598676641233E-3</v>
      </c>
      <c r="Y6" s="31">
        <v>-3.9166885734630988E-3</v>
      </c>
      <c r="Z6" s="31">
        <v>3.9797344312131524E-3</v>
      </c>
      <c r="AA6" s="31">
        <v>-1.2931896458828321E-2</v>
      </c>
      <c r="AB6" s="31">
        <v>-3.6109544813227412E-3</v>
      </c>
      <c r="AC6" s="31">
        <v>-1.590180178324977E-3</v>
      </c>
      <c r="AD6" s="31">
        <v>6.5947133089347939E-3</v>
      </c>
      <c r="AE6" s="31">
        <v>9.0079003385393416E-3</v>
      </c>
      <c r="AF6" s="31">
        <v>5.167996022717892E-3</v>
      </c>
      <c r="AG6" s="31">
        <v>1.166480210328194E-2</v>
      </c>
      <c r="AH6" s="31">
        <v>7.5437547748470071E-2</v>
      </c>
      <c r="AI6" s="31">
        <v>1.7333287380158099E-2</v>
      </c>
      <c r="AJ6" s="31">
        <v>1.354700501647794E-2</v>
      </c>
      <c r="AK6" s="31">
        <v>5.6964666402779139E-3</v>
      </c>
      <c r="AL6" s="31">
        <v>1.9356861327155341E-2</v>
      </c>
      <c r="AM6" s="31">
        <v>2.0237431961993749E-2</v>
      </c>
      <c r="AN6" s="31">
        <v>1.3241047847869371E-2</v>
      </c>
      <c r="AO6" s="31">
        <v>7.1526960893376172E-3</v>
      </c>
      <c r="AP6" s="31">
        <v>1.545428361210225E-2</v>
      </c>
      <c r="AQ6" s="31">
        <v>3.3343225994607782E-2</v>
      </c>
      <c r="AR6" s="31">
        <v>2.1523283527663431E-2</v>
      </c>
      <c r="AS6" s="31">
        <v>2.595737831565019E-2</v>
      </c>
      <c r="AT6" s="31">
        <v>1.3557033199555471E-2</v>
      </c>
      <c r="AU6" s="31">
        <v>1.6235781199579739E-2</v>
      </c>
      <c r="AV6" s="31">
        <v>2.392446634226629E-2</v>
      </c>
      <c r="AW6" s="31">
        <v>1.231490848747469E-2</v>
      </c>
      <c r="AX6" s="31">
        <v>2.7608811437208201E-2</v>
      </c>
      <c r="AY6" s="31">
        <v>1.996872779917654E-2</v>
      </c>
      <c r="AZ6" s="31">
        <v>1.8852318839162829E-2</v>
      </c>
      <c r="BA6" s="31">
        <v>1.4060393575469111E-2</v>
      </c>
      <c r="BB6" s="31">
        <v>3.2051330875087568E-2</v>
      </c>
      <c r="BC6" s="31">
        <v>2.9666564239491652E-2</v>
      </c>
      <c r="BD6" s="31">
        <v>2.8976140089225309E-2</v>
      </c>
      <c r="BE6" s="31">
        <v>1.6734098316147111E-2</v>
      </c>
      <c r="BF6" s="31">
        <v>3.3082162179669777E-2</v>
      </c>
      <c r="BG6" s="31">
        <v>1.558207216165047E-2</v>
      </c>
      <c r="BH6" s="31">
        <v>9.3848798818102312E-3</v>
      </c>
      <c r="BI6" s="31">
        <v>2.2418834194505272E-2</v>
      </c>
      <c r="BJ6" s="31">
        <v>1.508065269020129E-2</v>
      </c>
      <c r="BK6" s="31">
        <v>1.496728948241398E-2</v>
      </c>
      <c r="BL6" s="31">
        <v>2.7962623448211971E-3</v>
      </c>
      <c r="BM6" s="31">
        <v>6.400178511550861E-3</v>
      </c>
      <c r="BN6" s="31">
        <v>5.9565526767230183E-3</v>
      </c>
      <c r="BO6" s="31">
        <v>1.049673092157379E-2</v>
      </c>
      <c r="BP6" s="31">
        <v>4.1071899048283119E-3</v>
      </c>
      <c r="BQ6" s="31">
        <v>7.2204176017996863E-3</v>
      </c>
      <c r="BR6" s="31">
        <v>1.2253608458149859E-2</v>
      </c>
      <c r="BS6" s="31">
        <v>9.6881159921888976E-3</v>
      </c>
      <c r="BT6" s="31">
        <v>2.7689998067733809E-2</v>
      </c>
      <c r="BU6" s="31">
        <v>3.7176813136260332E-2</v>
      </c>
      <c r="BV6" s="31">
        <v>2.2503001411651829E-2</v>
      </c>
      <c r="BW6" s="31">
        <v>2.3397136029649931E-2</v>
      </c>
      <c r="BX6" s="31">
        <v>2.480656631688416E-2</v>
      </c>
      <c r="BY6" s="31">
        <v>3.2843935313915711E-2</v>
      </c>
      <c r="BZ6" s="31">
        <v>3.3974648984394562E-2</v>
      </c>
      <c r="CA6" s="31">
        <v>3.9509159659096647E-2</v>
      </c>
      <c r="CB6" s="31">
        <v>8.3908379926236426E-2</v>
      </c>
      <c r="CC6" s="31">
        <v>2.5834605631543359E-2</v>
      </c>
      <c r="CD6" s="31">
        <v>2.4055734838958669E-2</v>
      </c>
      <c r="CE6" s="31">
        <v>2.3266114819983839E-2</v>
      </c>
      <c r="CF6" s="31">
        <v>1.373644968263679E-2</v>
      </c>
      <c r="CG6" s="31">
        <v>7.9774934076112334E-3</v>
      </c>
      <c r="CH6" s="31">
        <v>3.3776236728276038E-2</v>
      </c>
      <c r="CI6" s="31">
        <v>3.9098583471403797E-2</v>
      </c>
      <c r="CJ6" s="31">
        <v>9.4079956580735966E-2</v>
      </c>
      <c r="CK6" s="31">
        <v>2.4276764549051359E-2</v>
      </c>
      <c r="CL6" s="31">
        <v>2.212857318350395E-2</v>
      </c>
      <c r="CM6" s="31">
        <v>3.5010445306269712E-2</v>
      </c>
      <c r="CN6" s="31">
        <v>2.040106560066687E-2</v>
      </c>
      <c r="CO6" s="31">
        <v>2.7974486001637149E-2</v>
      </c>
      <c r="CP6" s="31">
        <v>2.7230711421953841E-2</v>
      </c>
      <c r="CQ6" s="31">
        <v>2.3250527277598531E-2</v>
      </c>
      <c r="CR6" s="31">
        <v>5.9947722885327218E-3</v>
      </c>
      <c r="CS6" s="31">
        <v>4.6918986846785126E-3</v>
      </c>
      <c r="CT6" s="31">
        <v>1.4269956673716781E-2</v>
      </c>
      <c r="CU6" s="31">
        <v>6.6048063471903576E-3</v>
      </c>
      <c r="CV6" s="31">
        <v>-2.853701244410783E-3</v>
      </c>
      <c r="CW6" s="31">
        <v>1.1713582017715111E-2</v>
      </c>
      <c r="CX6" s="31">
        <v>1.428089450034001E-2</v>
      </c>
      <c r="CY6" s="31">
        <v>1.4092544414494741E-2</v>
      </c>
      <c r="CZ6" s="31">
        <v>1.430785991608354E-2</v>
      </c>
      <c r="DA6" s="31">
        <v>1.638894060642291E-2</v>
      </c>
      <c r="DB6" s="31">
        <v>1.8640833873862658E-2</v>
      </c>
      <c r="DC6" s="31">
        <v>1.7264687974317211E-2</v>
      </c>
      <c r="DD6" s="31">
        <v>1.367079578077373E-2</v>
      </c>
      <c r="DE6" s="31">
        <v>1.598033144106726E-2</v>
      </c>
      <c r="DF6" s="31">
        <v>1.0148803863284791E-2</v>
      </c>
      <c r="DG6" s="31">
        <v>9.2175440306715168E-3</v>
      </c>
      <c r="DH6" s="31">
        <v>8.6918177487599561E-3</v>
      </c>
      <c r="DI6" s="31">
        <v>8.3922693782744178E-3</v>
      </c>
      <c r="DJ6" s="31">
        <v>1.2134253144492591E-2</v>
      </c>
      <c r="DK6" s="31">
        <v>7.8949548997025686E-3</v>
      </c>
      <c r="DL6" s="31">
        <v>8.6436134423099088E-3</v>
      </c>
      <c r="DM6" s="31">
        <v>7.1718550188898051E-3</v>
      </c>
      <c r="DN6" s="31">
        <v>1.189680536618898E-2</v>
      </c>
      <c r="DO6" s="31">
        <v>8.699709629232355E-2</v>
      </c>
      <c r="DP6" s="31">
        <v>9.2320821514673163E-2</v>
      </c>
      <c r="DQ6" s="31">
        <v>9.1081724304045278E-2</v>
      </c>
      <c r="DR6" s="31">
        <v>8.6032132250165649E-2</v>
      </c>
      <c r="DS6" s="31">
        <v>8.5301283791686805E-2</v>
      </c>
      <c r="DT6" s="31">
        <v>0.1041565042492031</v>
      </c>
      <c r="DU6" s="31">
        <v>0.11147644696708429</v>
      </c>
      <c r="DV6" s="31">
        <v>0.11222522581554389</v>
      </c>
      <c r="DW6" s="31">
        <v>0.1138274309818893</v>
      </c>
      <c r="DX6" s="31">
        <v>0.1196025912506227</v>
      </c>
      <c r="DY6" s="31">
        <v>0.1252888485306749</v>
      </c>
      <c r="DZ6" s="31">
        <v>0.1263966268246263</v>
      </c>
      <c r="EA6" s="31">
        <v>0.12674932582331719</v>
      </c>
      <c r="EB6" s="31">
        <v>0.13046922426681409</v>
      </c>
      <c r="EC6" s="31">
        <v>0.13362177999338981</v>
      </c>
      <c r="ED6" s="31">
        <v>1.9701395161749072E-3</v>
      </c>
      <c r="EE6" s="31">
        <v>2.8774188048903038E-3</v>
      </c>
      <c r="EF6" s="31">
        <v>1.3222361011934959E-3</v>
      </c>
      <c r="EG6" s="4"/>
    </row>
    <row r="7" spans="1:137" ht="16" customHeight="1">
      <c r="A7" s="4"/>
      <c r="B7" s="26" t="s">
        <v>140</v>
      </c>
      <c r="C7" s="31">
        <v>2.8323116205970649E-2</v>
      </c>
      <c r="D7" s="31">
        <v>1.220645087705181E-2</v>
      </c>
      <c r="E7" s="31">
        <v>3.7689314578788092E-3</v>
      </c>
      <c r="F7" s="31">
        <v>-8.9288017209798037E-3</v>
      </c>
      <c r="G7" s="31">
        <v>-2.9484001707404669E-2</v>
      </c>
      <c r="H7" s="31">
        <v>-3.4708549258569137E-2</v>
      </c>
      <c r="I7" s="31">
        <v>-5.1269568629370391E-2</v>
      </c>
      <c r="J7" s="31">
        <v>-3.1660114684653101E-2</v>
      </c>
      <c r="K7" s="31">
        <v>-2.0045521998210108E-2</v>
      </c>
      <c r="L7" s="31">
        <v>-1.946642190515354E-2</v>
      </c>
      <c r="M7" s="31">
        <v>-2.1515618928716389E-2</v>
      </c>
      <c r="N7" s="31">
        <v>-1.083706305143352E-2</v>
      </c>
      <c r="O7" s="31">
        <v>5.2283701946722813E-3</v>
      </c>
      <c r="P7" s="31">
        <v>1.0223189883993389E-2</v>
      </c>
      <c r="Q7" s="31">
        <v>1.7629327728845831E-2</v>
      </c>
      <c r="R7" s="31">
        <v>2.42507527371295E-2</v>
      </c>
      <c r="S7" s="31">
        <v>3.1586313437792307E-2</v>
      </c>
      <c r="T7" s="31">
        <v>4.6423106526677818E-2</v>
      </c>
      <c r="U7" s="31">
        <v>4.5126890420718303E-2</v>
      </c>
      <c r="V7" s="31">
        <v>-5.9353126628225519E-3</v>
      </c>
      <c r="W7" s="31">
        <v>6.2574474802079812E-3</v>
      </c>
      <c r="X7" s="31">
        <v>2.1909646310636671E-2</v>
      </c>
      <c r="Y7" s="31">
        <v>-1.9078750142578951E-2</v>
      </c>
      <c r="Z7" s="31">
        <v>5.1659428108109529E-3</v>
      </c>
      <c r="AA7" s="31">
        <v>-1.227951959204077E-2</v>
      </c>
      <c r="AB7" s="31">
        <v>-1.7069928724083431E-3</v>
      </c>
      <c r="AC7" s="31">
        <v>-7.5664343527085494E-4</v>
      </c>
      <c r="AD7" s="31">
        <v>-3.0775683873463318E-3</v>
      </c>
      <c r="AE7" s="31">
        <v>-1.0483985865871589E-2</v>
      </c>
      <c r="AF7" s="31">
        <v>-2.650219920235473E-3</v>
      </c>
      <c r="AG7" s="31">
        <v>8.0797789865460031E-5</v>
      </c>
      <c r="AH7" s="31">
        <v>-4.855947946520129E-3</v>
      </c>
      <c r="AI7" s="31">
        <v>-4.6092936292946567E-3</v>
      </c>
      <c r="AJ7" s="31">
        <v>-1.4472155809734859E-2</v>
      </c>
      <c r="AK7" s="31">
        <v>-1.290903943117051E-2</v>
      </c>
      <c r="AL7" s="31">
        <v>-1.5644125682714709E-2</v>
      </c>
      <c r="AM7" s="31">
        <v>-6.5867114533051316E-3</v>
      </c>
      <c r="AN7" s="31">
        <v>-1.6828039138058581E-2</v>
      </c>
      <c r="AO7" s="31">
        <v>-1.44767767559632E-2</v>
      </c>
      <c r="AP7" s="31">
        <v>-2.1091681513781539E-2</v>
      </c>
      <c r="AQ7" s="31">
        <v>-2.8551067900773702E-2</v>
      </c>
      <c r="AR7" s="31">
        <v>-7.815146644734235E-3</v>
      </c>
      <c r="AS7" s="31">
        <v>-1.0129083365470909E-2</v>
      </c>
      <c r="AT7" s="31">
        <v>-7.8955661712926811E-3</v>
      </c>
      <c r="AU7" s="31">
        <v>-9.0748824012586195E-3</v>
      </c>
      <c r="AV7" s="31">
        <v>2.1755521665491471E-2</v>
      </c>
      <c r="AW7" s="31">
        <v>2.5959517748677791E-2</v>
      </c>
      <c r="AX7" s="31">
        <v>1.0969239090769601E-2</v>
      </c>
      <c r="AY7" s="31">
        <v>1.9528500438089701E-2</v>
      </c>
      <c r="AZ7" s="31">
        <v>3.9109089557056873E-2</v>
      </c>
      <c r="BA7" s="31">
        <v>5.0277285509633403E-2</v>
      </c>
      <c r="BB7" s="31">
        <v>-4.1446395084688333E-3</v>
      </c>
      <c r="BC7" s="31">
        <v>1.506235820187214E-2</v>
      </c>
      <c r="BD7" s="31">
        <v>8.2699574246126279E-4</v>
      </c>
      <c r="BE7" s="31">
        <v>3.4352436066370259E-3</v>
      </c>
      <c r="BF7" s="31">
        <v>1.1414189226976179E-3</v>
      </c>
      <c r="BG7" s="31">
        <v>-2.9143660459482138E-3</v>
      </c>
      <c r="BH7" s="31">
        <v>9.9346355757370993E-3</v>
      </c>
      <c r="BI7" s="31">
        <v>5.9251983127507693E-3</v>
      </c>
      <c r="BJ7" s="31">
        <v>-5.6623803040730357E-3</v>
      </c>
      <c r="BK7" s="31">
        <v>-2.0464909442552111E-3</v>
      </c>
      <c r="BL7" s="31">
        <v>-3.8359611766034568E-3</v>
      </c>
      <c r="BM7" s="31">
        <v>-8.7151659096519896E-3</v>
      </c>
      <c r="BN7" s="31">
        <v>-1.832571489778549E-3</v>
      </c>
      <c r="BO7" s="31">
        <v>-4.4087481904577924E-3</v>
      </c>
      <c r="BP7" s="31">
        <v>-2.891257891708336E-3</v>
      </c>
      <c r="BQ7" s="31">
        <v>-6.1427376331082313E-3</v>
      </c>
      <c r="BR7" s="31">
        <v>-9.9651227238089233E-4</v>
      </c>
      <c r="BS7" s="31">
        <v>6.4362376317152262E-3</v>
      </c>
      <c r="BT7" s="31">
        <v>4.6488175320688841E-3</v>
      </c>
      <c r="BU7" s="31">
        <v>-1.2628115860533549E-3</v>
      </c>
      <c r="BV7" s="31">
        <v>8.6401318779156799E-3</v>
      </c>
      <c r="BW7" s="31">
        <v>1.6261705068177271E-2</v>
      </c>
      <c r="BX7" s="31">
        <v>2.7921778864699799E-2</v>
      </c>
      <c r="BY7" s="31">
        <v>2.063472509326976E-2</v>
      </c>
      <c r="BZ7" s="31">
        <v>2.2316884120747841E-2</v>
      </c>
      <c r="CA7" s="31">
        <v>3.4580544379991729E-3</v>
      </c>
      <c r="CB7" s="31">
        <v>-3.5781520047250561E-4</v>
      </c>
      <c r="CC7" s="31">
        <v>-1.84133247490101E-3</v>
      </c>
      <c r="CD7" s="31">
        <v>1.620762306198292E-3</v>
      </c>
      <c r="CE7" s="31">
        <v>4.9775066885598641E-3</v>
      </c>
      <c r="CF7" s="31">
        <v>-1.2314831660388379E-2</v>
      </c>
      <c r="CG7" s="31">
        <v>-1.51438918338312E-2</v>
      </c>
      <c r="CH7" s="31">
        <v>-1.250415618066782E-2</v>
      </c>
      <c r="CI7" s="31">
        <v>-8.4800575413573175E-3</v>
      </c>
      <c r="CJ7" s="31">
        <v>-8.2879515233858761E-4</v>
      </c>
      <c r="CK7" s="31">
        <v>5.4167268423041181E-3</v>
      </c>
      <c r="CL7" s="31">
        <v>8.2758180384598454E-3</v>
      </c>
      <c r="CM7" s="31">
        <v>8.7966919088218604E-3</v>
      </c>
      <c r="CN7" s="31">
        <v>1.4065471313855859E-2</v>
      </c>
      <c r="CO7" s="31">
        <v>4.6390608616348429E-3</v>
      </c>
      <c r="CP7" s="31">
        <v>1.7356225502970501E-2</v>
      </c>
      <c r="CQ7" s="31">
        <v>1.293129772227289E-2</v>
      </c>
      <c r="CR7" s="31">
        <v>1.426078471993762E-2</v>
      </c>
      <c r="CS7" s="31">
        <v>1.001240032010085E-2</v>
      </c>
      <c r="CT7" s="31">
        <v>1.4104360742096001E-2</v>
      </c>
      <c r="CU7" s="31">
        <v>7.4970201242530064E-3</v>
      </c>
      <c r="CV7" s="31">
        <v>1.451765648853795E-3</v>
      </c>
      <c r="CW7" s="31">
        <v>4.1397841096599318E-4</v>
      </c>
      <c r="CX7" s="31">
        <v>-4.7169750035794579E-3</v>
      </c>
      <c r="CY7" s="31">
        <v>-3.6579019011274642E-3</v>
      </c>
      <c r="CZ7" s="31">
        <v>-3.174916961075335E-3</v>
      </c>
      <c r="DA7" s="31">
        <v>-4.190890033522179E-3</v>
      </c>
      <c r="DB7" s="31">
        <v>-5.0241843991830556E-3</v>
      </c>
      <c r="DC7" s="31">
        <v>-2.061699191471476E-3</v>
      </c>
      <c r="DD7" s="31">
        <v>3.8595740338514262E-3</v>
      </c>
      <c r="DE7" s="31">
        <v>9.4969409784354431E-5</v>
      </c>
      <c r="DF7" s="31">
        <v>-1.7685341040774819E-4</v>
      </c>
      <c r="DG7" s="31">
        <v>1.6713109063221389E-3</v>
      </c>
      <c r="DH7" s="31">
        <v>5.819328903155915E-4</v>
      </c>
      <c r="DI7" s="31">
        <v>3.8134948709455378E-4</v>
      </c>
      <c r="DJ7" s="31">
        <v>-7.0806785542101838E-3</v>
      </c>
      <c r="DK7" s="31">
        <v>-3.751803548952918E-3</v>
      </c>
      <c r="DL7" s="31">
        <v>-5.0886448123400386E-4</v>
      </c>
      <c r="DM7" s="31">
        <v>-2.6977714334621311E-3</v>
      </c>
      <c r="DN7" s="31">
        <v>4.5161168072374802E-4</v>
      </c>
      <c r="DO7" s="31">
        <v>-1.260303871118466E-2</v>
      </c>
      <c r="DP7" s="31">
        <v>-9.2454616550252579E-3</v>
      </c>
      <c r="DQ7" s="31">
        <v>-4.2401797109490524E-3</v>
      </c>
      <c r="DR7" s="31">
        <v>3.1142192352477849E-3</v>
      </c>
      <c r="DS7" s="31">
        <v>-2.0752695358667449E-3</v>
      </c>
      <c r="DT7" s="31">
        <v>6.954270407677373E-3</v>
      </c>
      <c r="DU7" s="31">
        <v>8.8154032132534621E-4</v>
      </c>
      <c r="DV7" s="31">
        <v>-7.7751542774112095E-4</v>
      </c>
      <c r="DW7" s="31">
        <v>-2.8298684672772019E-3</v>
      </c>
      <c r="DX7" s="31">
        <v>-5.0638239411524857E-4</v>
      </c>
      <c r="DY7" s="31">
        <v>5.8338742954088382E-3</v>
      </c>
      <c r="DZ7" s="31">
        <v>6.0715890265439622E-4</v>
      </c>
      <c r="EA7" s="31">
        <v>-3.785089003194287E-3</v>
      </c>
      <c r="EB7" s="31">
        <v>2.689984028990627E-3</v>
      </c>
      <c r="EC7" s="31">
        <v>2.1806230143573292E-3</v>
      </c>
      <c r="ED7" s="31">
        <v>6.3146460627895714E-3</v>
      </c>
      <c r="EE7" s="31">
        <v>6.4540842212046732E-3</v>
      </c>
      <c r="EF7" s="31">
        <v>6.2494522616986167E-3</v>
      </c>
    </row>
    <row r="8" spans="1:137" ht="16" customHeight="1">
      <c r="A8" s="4"/>
    </row>
    <row r="9" spans="1:137" ht="16" customHeight="1">
      <c r="A9" s="43" t="s">
        <v>0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2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4"/>
    </row>
    <row r="10" spans="1:137" ht="17" customHeight="1">
      <c r="A10" s="30"/>
      <c r="B10" s="6" t="s">
        <v>1</v>
      </c>
      <c r="C10" s="40" t="s">
        <v>2</v>
      </c>
      <c r="D10" s="40" t="s">
        <v>3</v>
      </c>
      <c r="E10" s="40" t="s">
        <v>4</v>
      </c>
      <c r="F10" s="40" t="s">
        <v>5</v>
      </c>
      <c r="G10" s="40" t="s">
        <v>6</v>
      </c>
      <c r="H10" s="40" t="s">
        <v>7</v>
      </c>
      <c r="I10" s="40" t="s">
        <v>8</v>
      </c>
      <c r="J10" s="40" t="s">
        <v>9</v>
      </c>
      <c r="K10" s="40" t="s">
        <v>10</v>
      </c>
      <c r="L10" s="40" t="s">
        <v>11</v>
      </c>
      <c r="M10" s="40" t="s">
        <v>12</v>
      </c>
      <c r="N10" s="40" t="s">
        <v>13</v>
      </c>
      <c r="O10" s="40" t="s">
        <v>14</v>
      </c>
      <c r="P10" s="40" t="s">
        <v>15</v>
      </c>
      <c r="Q10" s="40" t="s">
        <v>16</v>
      </c>
      <c r="R10" s="40" t="s">
        <v>17</v>
      </c>
      <c r="S10" s="40" t="s">
        <v>18</v>
      </c>
      <c r="T10" s="40" t="s">
        <v>19</v>
      </c>
      <c r="U10" s="40" t="s">
        <v>20</v>
      </c>
      <c r="V10" s="40" t="s">
        <v>21</v>
      </c>
      <c r="W10" s="40" t="s">
        <v>22</v>
      </c>
      <c r="X10" s="40" t="s">
        <v>23</v>
      </c>
      <c r="Y10" s="40" t="s">
        <v>24</v>
      </c>
      <c r="Z10" s="40" t="s">
        <v>25</v>
      </c>
      <c r="AA10" s="40" t="s">
        <v>26</v>
      </c>
      <c r="AB10" s="40" t="s">
        <v>27</v>
      </c>
      <c r="AC10" s="40" t="s">
        <v>28</v>
      </c>
      <c r="AD10" s="40" t="s">
        <v>29</v>
      </c>
      <c r="AE10" s="40" t="s">
        <v>30</v>
      </c>
      <c r="AF10" s="40" t="s">
        <v>31</v>
      </c>
      <c r="AG10" s="40" t="s">
        <v>32</v>
      </c>
      <c r="AH10" s="40" t="s">
        <v>33</v>
      </c>
      <c r="AI10" s="40" t="s">
        <v>34</v>
      </c>
      <c r="AJ10" s="40" t="s">
        <v>35</v>
      </c>
      <c r="AK10" s="40" t="s">
        <v>36</v>
      </c>
      <c r="AL10" s="40" t="s">
        <v>37</v>
      </c>
      <c r="AM10" s="40" t="s">
        <v>38</v>
      </c>
      <c r="AN10" s="40" t="s">
        <v>39</v>
      </c>
      <c r="AO10" s="40" t="s">
        <v>40</v>
      </c>
      <c r="AP10" s="40" t="s">
        <v>41</v>
      </c>
      <c r="AQ10" s="40" t="s">
        <v>42</v>
      </c>
      <c r="AR10" s="40" t="s">
        <v>43</v>
      </c>
      <c r="AS10" s="40" t="s">
        <v>44</v>
      </c>
      <c r="AT10" s="40" t="s">
        <v>45</v>
      </c>
      <c r="AU10" s="40" t="s">
        <v>46</v>
      </c>
      <c r="AV10" s="40" t="s">
        <v>47</v>
      </c>
      <c r="AW10" s="40" t="s">
        <v>48</v>
      </c>
      <c r="AX10" s="40" t="s">
        <v>49</v>
      </c>
      <c r="AY10" s="40" t="s">
        <v>50</v>
      </c>
      <c r="AZ10" s="40" t="s">
        <v>51</v>
      </c>
      <c r="BA10" s="40" t="s">
        <v>52</v>
      </c>
      <c r="BB10" s="40" t="s">
        <v>53</v>
      </c>
      <c r="BC10" s="40" t="s">
        <v>54</v>
      </c>
      <c r="BD10" s="40" t="s">
        <v>55</v>
      </c>
      <c r="BE10" s="40" t="s">
        <v>56</v>
      </c>
      <c r="BF10" s="40" t="s">
        <v>57</v>
      </c>
      <c r="BG10" s="40" t="s">
        <v>58</v>
      </c>
      <c r="BH10" s="40" t="s">
        <v>59</v>
      </c>
      <c r="BI10" s="40" t="s">
        <v>60</v>
      </c>
      <c r="BJ10" s="40" t="s">
        <v>61</v>
      </c>
      <c r="BK10" s="40" t="s">
        <v>62</v>
      </c>
      <c r="BL10" s="40" t="s">
        <v>63</v>
      </c>
      <c r="BM10" s="40" t="s">
        <v>64</v>
      </c>
      <c r="BN10" s="40" t="s">
        <v>65</v>
      </c>
      <c r="BO10" s="40" t="s">
        <v>66</v>
      </c>
      <c r="BP10" s="40" t="s">
        <v>67</v>
      </c>
      <c r="BQ10" s="40" t="s">
        <v>68</v>
      </c>
      <c r="BR10" s="40" t="s">
        <v>69</v>
      </c>
      <c r="BS10" s="40" t="s">
        <v>70</v>
      </c>
      <c r="BT10" s="40" t="s">
        <v>71</v>
      </c>
      <c r="BU10" s="40" t="s">
        <v>72</v>
      </c>
      <c r="BV10" s="40" t="s">
        <v>73</v>
      </c>
      <c r="BW10" s="40" t="s">
        <v>74</v>
      </c>
      <c r="BX10" s="40" t="s">
        <v>75</v>
      </c>
      <c r="BY10" s="40" t="s">
        <v>76</v>
      </c>
      <c r="BZ10" s="40" t="s">
        <v>77</v>
      </c>
      <c r="CA10" s="40" t="s">
        <v>78</v>
      </c>
      <c r="CB10" s="40" t="s">
        <v>79</v>
      </c>
      <c r="CC10" s="40" t="s">
        <v>80</v>
      </c>
      <c r="CD10" s="40" t="s">
        <v>81</v>
      </c>
      <c r="CE10" s="40" t="s">
        <v>82</v>
      </c>
      <c r="CF10" s="40" t="s">
        <v>83</v>
      </c>
      <c r="CG10" s="40" t="s">
        <v>84</v>
      </c>
      <c r="CH10" s="40" t="s">
        <v>85</v>
      </c>
      <c r="CI10" s="40" t="s">
        <v>86</v>
      </c>
      <c r="CJ10" s="40" t="s">
        <v>87</v>
      </c>
      <c r="CK10" s="40" t="s">
        <v>88</v>
      </c>
      <c r="CL10" s="40" t="s">
        <v>89</v>
      </c>
      <c r="CM10" s="40" t="s">
        <v>90</v>
      </c>
      <c r="CN10" s="40" t="s">
        <v>91</v>
      </c>
      <c r="CO10" s="40" t="s">
        <v>92</v>
      </c>
      <c r="CP10" s="40" t="s">
        <v>93</v>
      </c>
      <c r="CQ10" s="40" t="s">
        <v>94</v>
      </c>
      <c r="CR10" s="40" t="s">
        <v>95</v>
      </c>
      <c r="CS10" s="40" t="s">
        <v>96</v>
      </c>
      <c r="CT10" s="40" t="s">
        <v>97</v>
      </c>
      <c r="CU10" s="40" t="s">
        <v>98</v>
      </c>
      <c r="CV10" s="40" t="s">
        <v>99</v>
      </c>
      <c r="CW10" s="40" t="s">
        <v>100</v>
      </c>
      <c r="CX10" s="40" t="s">
        <v>101</v>
      </c>
      <c r="CY10" s="40" t="s">
        <v>102</v>
      </c>
      <c r="CZ10" s="40" t="s">
        <v>103</v>
      </c>
      <c r="DA10" s="40" t="s">
        <v>104</v>
      </c>
      <c r="DB10" s="40" t="s">
        <v>105</v>
      </c>
      <c r="DC10" s="40" t="s">
        <v>106</v>
      </c>
      <c r="DD10" s="40" t="s">
        <v>107</v>
      </c>
      <c r="DE10" s="40" t="s">
        <v>108</v>
      </c>
      <c r="DF10" s="40" t="s">
        <v>109</v>
      </c>
      <c r="DG10" s="40" t="s">
        <v>110</v>
      </c>
      <c r="DH10" s="40" t="s">
        <v>111</v>
      </c>
      <c r="DI10" s="40" t="s">
        <v>112</v>
      </c>
      <c r="DJ10" s="40" t="s">
        <v>113</v>
      </c>
      <c r="DK10" s="40" t="s">
        <v>114</v>
      </c>
      <c r="DL10" s="40" t="s">
        <v>115</v>
      </c>
      <c r="DM10" s="40" t="s">
        <v>116</v>
      </c>
      <c r="DN10" s="40" t="s">
        <v>117</v>
      </c>
      <c r="DO10" s="40" t="s">
        <v>118</v>
      </c>
      <c r="DP10" s="40" t="s">
        <v>119</v>
      </c>
      <c r="DQ10" s="40" t="s">
        <v>120</v>
      </c>
      <c r="DR10" s="40" t="s">
        <v>121</v>
      </c>
      <c r="DS10" s="40" t="s">
        <v>122</v>
      </c>
      <c r="DT10" s="40" t="s">
        <v>123</v>
      </c>
      <c r="DU10" s="40" t="s">
        <v>124</v>
      </c>
      <c r="DV10" s="40" t="s">
        <v>125</v>
      </c>
      <c r="DW10" s="40" t="s">
        <v>126</v>
      </c>
      <c r="DX10" s="40" t="s">
        <v>127</v>
      </c>
      <c r="DY10" s="40" t="s">
        <v>128</v>
      </c>
      <c r="DZ10" s="40" t="s">
        <v>129</v>
      </c>
      <c r="EA10" s="40" t="s">
        <v>130</v>
      </c>
      <c r="EB10" s="40" t="s">
        <v>131</v>
      </c>
      <c r="EC10" s="40" t="s">
        <v>132</v>
      </c>
      <c r="ED10" s="41" t="s">
        <v>133</v>
      </c>
      <c r="EE10" s="40" t="s">
        <v>134</v>
      </c>
      <c r="EF10" s="40" t="s">
        <v>135</v>
      </c>
      <c r="EG10" s="4"/>
    </row>
    <row r="11" spans="1:137" ht="16" customHeight="1">
      <c r="A11" s="30"/>
      <c r="B11" s="26" t="s">
        <v>136</v>
      </c>
      <c r="C11" s="31">
        <v>0.12061070248141641</v>
      </c>
      <c r="D11" s="31">
        <v>4.5588621500437902E-2</v>
      </c>
      <c r="E11" s="31">
        <v>0.16704505126777161</v>
      </c>
      <c r="F11" s="31">
        <v>-7.3748988286869252E-2</v>
      </c>
      <c r="G11" s="31">
        <v>-3.2506586973684262E-2</v>
      </c>
      <c r="H11" s="31">
        <v>-3.2847118626080897E-2</v>
      </c>
      <c r="I11" s="31">
        <v>-0.12110157860918851</v>
      </c>
      <c r="J11" s="31">
        <v>2.5822337019559341E-3</v>
      </c>
      <c r="K11" s="31">
        <v>7.1968625004836057E-2</v>
      </c>
      <c r="L11" s="31">
        <v>3.4342712304991078E-2</v>
      </c>
      <c r="M11" s="31">
        <v>4.0084602667129349E-2</v>
      </c>
      <c r="N11" s="31">
        <v>4.1563466655895852E-2</v>
      </c>
      <c r="O11" s="31">
        <v>-6.9002801033464468E-3</v>
      </c>
      <c r="P11" s="31">
        <v>3.5779379096689788E-2</v>
      </c>
      <c r="Q11" s="31">
        <v>6.8350636349776644E-2</v>
      </c>
      <c r="R11" s="31">
        <v>-4.5413080669201647E-2</v>
      </c>
      <c r="S11" s="31">
        <v>1.9673980374611249E-2</v>
      </c>
      <c r="T11" s="31">
        <v>-0.10645091888905089</v>
      </c>
      <c r="U11" s="31">
        <v>-3.2053188608652222E-2</v>
      </c>
      <c r="V11" s="31">
        <v>-1.486561554125564E-2</v>
      </c>
      <c r="W11" s="31">
        <v>-9.3405071083985589E-2</v>
      </c>
      <c r="X11" s="31">
        <v>-3.7053875715306342E-2</v>
      </c>
      <c r="Y11" s="31">
        <v>-4.7379645481055749E-2</v>
      </c>
      <c r="Z11" s="31">
        <v>-3.5732975972085197E-2</v>
      </c>
      <c r="AA11" s="31">
        <v>7.4709415434143334E-2</v>
      </c>
      <c r="AB11" s="31">
        <v>-0.1014916742073749</v>
      </c>
      <c r="AC11" s="31">
        <v>-2.958901675079971E-4</v>
      </c>
      <c r="AD11" s="31">
        <v>-6.884879748071672E-2</v>
      </c>
      <c r="AE11" s="31">
        <v>-2.226603217992465E-2</v>
      </c>
      <c r="AF11" s="31">
        <v>4.1625471515908258E-2</v>
      </c>
      <c r="AG11" s="31">
        <v>-8.0508267102041703E-3</v>
      </c>
      <c r="AH11" s="31">
        <v>-3.8264652471021107E-2</v>
      </c>
      <c r="AI11" s="31">
        <v>4.5184246070277309E-2</v>
      </c>
      <c r="AJ11" s="31">
        <v>3.4215625055713628E-2</v>
      </c>
      <c r="AK11" s="31">
        <v>4.4138222564125883E-2</v>
      </c>
      <c r="AL11" s="31">
        <v>-3.5587566867339653E-2</v>
      </c>
      <c r="AM11" s="31">
        <v>-1.307752910282832E-2</v>
      </c>
      <c r="AN11" s="31">
        <v>4.1485640311627048E-3</v>
      </c>
      <c r="AO11" s="31">
        <v>-7.7685069747940566E-2</v>
      </c>
      <c r="AP11" s="31">
        <v>-6.9983938877633423E-3</v>
      </c>
      <c r="AQ11" s="31">
        <v>0.13094783928293391</v>
      </c>
      <c r="AR11" s="31">
        <v>-8.6792708504303165E-2</v>
      </c>
      <c r="AS11" s="31">
        <v>-5.2702983493883533E-2</v>
      </c>
      <c r="AT11" s="31">
        <v>6.5228470856534659E-2</v>
      </c>
      <c r="AU11" s="31">
        <v>-6.5193823066972231E-2</v>
      </c>
      <c r="AV11" s="31">
        <v>8.5695091691641318E-3</v>
      </c>
      <c r="AW11" s="31">
        <v>-4.0024302856775031E-2</v>
      </c>
      <c r="AX11" s="31">
        <v>-3.1442522098695247E-2</v>
      </c>
      <c r="AY11" s="31">
        <v>-4.0051979337830963E-3</v>
      </c>
      <c r="AZ11" s="31">
        <v>-7.87988595399116E-3</v>
      </c>
      <c r="BA11" s="31">
        <v>-6.0724257043419964E-3</v>
      </c>
      <c r="BB11" s="31">
        <v>-1.1000774597969601E-2</v>
      </c>
      <c r="BC11" s="31">
        <v>-2.6379571628000791E-2</v>
      </c>
      <c r="BD11" s="31">
        <v>3.9479545280064407E-2</v>
      </c>
      <c r="BE11" s="31">
        <v>3.1278311810121473E-2</v>
      </c>
      <c r="BF11" s="31">
        <v>-6.0707144594610513E-3</v>
      </c>
      <c r="BG11" s="31">
        <v>-6.0537314950835433E-2</v>
      </c>
      <c r="BH11" s="31">
        <v>-8.5381433803068715E-2</v>
      </c>
      <c r="BI11" s="31">
        <v>6.449315459347095E-2</v>
      </c>
      <c r="BJ11" s="31">
        <v>-6.227610105192051E-3</v>
      </c>
      <c r="BK11" s="31">
        <v>4.6391114420235899E-2</v>
      </c>
      <c r="BL11" s="31">
        <v>-1.156082161362396E-2</v>
      </c>
      <c r="BM11" s="31">
        <v>-4.455844209947097E-2</v>
      </c>
      <c r="BN11" s="31">
        <v>2.7621487445270072E-3</v>
      </c>
      <c r="BO11" s="31">
        <v>8.312142553037161E-3</v>
      </c>
      <c r="BP11" s="31">
        <v>-5.5860348790947041E-2</v>
      </c>
      <c r="BQ11" s="31">
        <v>3.5706629851489133E-2</v>
      </c>
      <c r="BR11" s="31">
        <v>-2.2012848784035179E-2</v>
      </c>
      <c r="BS11" s="31">
        <v>3.9643524500143849E-2</v>
      </c>
      <c r="BT11" s="31">
        <v>-3.5802523819053762E-3</v>
      </c>
      <c r="BU11" s="31">
        <v>8.9809503674597949E-3</v>
      </c>
      <c r="BV11" s="31">
        <v>-8.9428832558806175E-3</v>
      </c>
      <c r="BW11" s="31">
        <v>-7.606401830661523E-2</v>
      </c>
      <c r="BX11" s="31">
        <v>-4.0663010962644373E-2</v>
      </c>
      <c r="BY11" s="31">
        <v>-5.908333642589482E-2</v>
      </c>
      <c r="BZ11" s="31">
        <v>-2.6982576363534839E-2</v>
      </c>
      <c r="CA11" s="31">
        <v>-0.12652495379074219</v>
      </c>
      <c r="CB11" s="31">
        <v>1.2022261026242089E-2</v>
      </c>
      <c r="CC11" s="31">
        <v>-5.0881431189465171E-2</v>
      </c>
      <c r="CD11" s="31">
        <v>2.5276040610712269E-2</v>
      </c>
      <c r="CE11" s="31">
        <v>8.7027483919829188E-2</v>
      </c>
      <c r="CF11" s="31">
        <v>-2.4625967354591039E-2</v>
      </c>
      <c r="CG11" s="31">
        <v>1.874726219553563E-2</v>
      </c>
      <c r="CH11" s="31">
        <v>4.1512479804806227E-2</v>
      </c>
      <c r="CI11" s="31">
        <v>-2.982027623949892E-2</v>
      </c>
      <c r="CJ11" s="31">
        <v>-1.2665490672423049E-2</v>
      </c>
      <c r="CK11" s="31">
        <v>4.7987523977313533E-2</v>
      </c>
      <c r="CL11" s="31">
        <v>-6.6815212175235783E-3</v>
      </c>
      <c r="CM11" s="31">
        <v>2.3373144063608738E-2</v>
      </c>
      <c r="CN11" s="31">
        <v>1.089017138913061E-2</v>
      </c>
      <c r="CO11" s="31">
        <v>0.14646343744112991</v>
      </c>
      <c r="CP11" s="31">
        <v>1.9768544897054329E-2</v>
      </c>
      <c r="CQ11" s="31">
        <v>1.7749235500301951E-2</v>
      </c>
      <c r="CR11" s="31">
        <v>-2.8991521269468159E-2</v>
      </c>
      <c r="CS11" s="31">
        <v>-9.2105433549335754E-3</v>
      </c>
      <c r="CT11" s="31">
        <v>3.684814317680405E-2</v>
      </c>
      <c r="CU11" s="31">
        <v>3.050411561754297E-2</v>
      </c>
      <c r="CV11" s="31">
        <v>4.0383350938434252E-2</v>
      </c>
      <c r="CW11" s="31">
        <v>-9.3859596047043536E-3</v>
      </c>
      <c r="CX11" s="31">
        <v>-7.7248887176943296E-2</v>
      </c>
      <c r="CY11" s="31">
        <v>2.548220655716743E-3</v>
      </c>
      <c r="CZ11" s="31">
        <v>-2.335678888027266E-2</v>
      </c>
      <c r="DA11" s="31">
        <v>-3.5608656768651929E-2</v>
      </c>
      <c r="DB11" s="31">
        <v>4.4999952963004786E-3</v>
      </c>
      <c r="DC11" s="31">
        <v>-4.3417921151317942E-2</v>
      </c>
      <c r="DD11" s="31">
        <v>7.7585487350289431E-2</v>
      </c>
      <c r="DE11" s="31">
        <v>4.5548817954567847E-2</v>
      </c>
      <c r="DF11" s="31">
        <v>-7.3761037440207289E-2</v>
      </c>
      <c r="DG11" s="31">
        <v>-1.383602919096409E-2</v>
      </c>
      <c r="DH11" s="31">
        <v>-1.314658790875837E-2</v>
      </c>
      <c r="DI11" s="31">
        <v>-0.1184441451090506</v>
      </c>
      <c r="DJ11" s="31">
        <v>4.9715760335060859E-2</v>
      </c>
      <c r="DK11" s="31">
        <v>2.8876918213256629E-2</v>
      </c>
      <c r="DL11" s="31">
        <v>-1.318152540995088E-2</v>
      </c>
      <c r="DM11" s="31">
        <v>4.3520520821273612E-2</v>
      </c>
      <c r="DN11" s="31">
        <v>-6.0662478946377781E-2</v>
      </c>
      <c r="DO11" s="31">
        <v>8.2564150197316444E-2</v>
      </c>
      <c r="DP11" s="31">
        <v>-9.6015988315113029E-2</v>
      </c>
      <c r="DQ11" s="31">
        <v>-1.9845471562179029E-2</v>
      </c>
      <c r="DR11" s="31">
        <v>-1.8579633997215111E-2</v>
      </c>
      <c r="DS11" s="31">
        <v>-2.578465931080003E-2</v>
      </c>
      <c r="DT11" s="31">
        <v>-3.759158589343687E-2</v>
      </c>
      <c r="DU11" s="31">
        <v>-4.5291919372196177E-2</v>
      </c>
      <c r="DV11" s="31">
        <v>-2.2458423361422019E-2</v>
      </c>
      <c r="DW11" s="31">
        <v>2.7164709117450531E-4</v>
      </c>
      <c r="DX11" s="31">
        <v>-6.4503989329820932E-2</v>
      </c>
      <c r="DY11" s="31">
        <v>6.0125260418043287E-2</v>
      </c>
      <c r="DZ11" s="31">
        <v>5.824521899381126E-3</v>
      </c>
      <c r="EA11" s="31">
        <v>1.550389496878647E-2</v>
      </c>
      <c r="EB11" s="31">
        <v>3.0904912560126702E-2</v>
      </c>
      <c r="EC11" s="31">
        <v>3.9813074668317322E-2</v>
      </c>
      <c r="ED11" s="31">
        <v>6.0186469707419407E-3</v>
      </c>
      <c r="EE11" s="31">
        <v>-3.9888767217459868E-2</v>
      </c>
      <c r="EF11" s="31">
        <v>-9.608135149364426E-2</v>
      </c>
      <c r="EG11" s="4"/>
    </row>
    <row r="12" spans="1:137" ht="16" customHeight="1">
      <c r="A12" s="30"/>
      <c r="B12" s="26" t="s">
        <v>137</v>
      </c>
      <c r="C12" s="31">
        <v>-0.20935792122733601</v>
      </c>
      <c r="D12" s="31">
        <v>-0.24145620521490571</v>
      </c>
      <c r="E12" s="31">
        <v>0.26636596474473501</v>
      </c>
      <c r="F12" s="31">
        <v>0.33022979398488089</v>
      </c>
      <c r="G12" s="31">
        <v>0.2035863770520018</v>
      </c>
      <c r="H12" s="31">
        <v>0.5537341742626456</v>
      </c>
      <c r="I12" s="31">
        <v>0.66979451114429034</v>
      </c>
      <c r="J12" s="31">
        <v>0.61032590854849456</v>
      </c>
      <c r="K12" s="31">
        <v>0.86207445584452447</v>
      </c>
      <c r="L12" s="31">
        <v>0.37355796404420633</v>
      </c>
      <c r="M12" s="31">
        <v>0.62222012198115262</v>
      </c>
      <c r="N12" s="31">
        <v>0.29351051715390319</v>
      </c>
      <c r="O12" s="31">
        <v>0.35628689631689647</v>
      </c>
      <c r="P12" s="31">
        <v>0.17806893054971379</v>
      </c>
      <c r="Q12" s="31">
        <v>0.1563575197337759</v>
      </c>
      <c r="R12" s="31">
        <v>0.22483040458636899</v>
      </c>
      <c r="S12" s="31">
        <v>0.18264461949126659</v>
      </c>
      <c r="T12" s="31">
        <v>0.15307368282964859</v>
      </c>
      <c r="U12" s="31">
        <v>0.22557713697371559</v>
      </c>
      <c r="V12" s="31">
        <v>-9.1580290119962757E-2</v>
      </c>
      <c r="W12" s="31">
        <v>-4.9495832352311628E-2</v>
      </c>
      <c r="X12" s="31">
        <v>-0.2678950640091351</v>
      </c>
      <c r="Y12" s="31">
        <v>-0.36478829273583491</v>
      </c>
      <c r="Z12" s="31">
        <v>-0.3779060136015861</v>
      </c>
      <c r="AA12" s="31">
        <v>-0.43955484978357701</v>
      </c>
      <c r="AB12" s="31">
        <v>-0.41859416874526367</v>
      </c>
      <c r="AC12" s="31">
        <v>-0.31816515320418409</v>
      </c>
      <c r="AD12" s="31">
        <v>-0.20856536883441179</v>
      </c>
      <c r="AE12" s="31">
        <v>-0.1023649845008438</v>
      </c>
      <c r="AF12" s="31">
        <v>-0.14886860509428651</v>
      </c>
      <c r="AG12" s="31">
        <v>-0.1866902267256208</v>
      </c>
      <c r="AH12" s="31">
        <v>-0.25393275403871191</v>
      </c>
      <c r="AI12" s="31">
        <v>-0.14773922610345119</v>
      </c>
      <c r="AJ12" s="31">
        <v>4.4513506223647151E-2</v>
      </c>
      <c r="AK12" s="31">
        <v>-5.8155621464165322E-2</v>
      </c>
      <c r="AL12" s="31">
        <v>-9.1865237642505163E-2</v>
      </c>
      <c r="AM12" s="31">
        <v>-0.16826269698552301</v>
      </c>
      <c r="AN12" s="31">
        <v>-0.33743700555198552</v>
      </c>
      <c r="AO12" s="31">
        <v>-0.36868152859592562</v>
      </c>
      <c r="AP12" s="31">
        <v>-0.28691959224511548</v>
      </c>
      <c r="AQ12" s="31">
        <v>-0.30523872624318382</v>
      </c>
      <c r="AR12" s="31">
        <v>-0.29331379911690642</v>
      </c>
      <c r="AS12" s="31">
        <v>-0.30267029688624508</v>
      </c>
      <c r="AT12" s="31">
        <v>-0.28045675156766531</v>
      </c>
      <c r="AU12" s="31">
        <v>-0.18262992182905941</v>
      </c>
      <c r="AV12" s="31">
        <v>-0.12130978761687</v>
      </c>
      <c r="AW12" s="31">
        <v>-0.15372123350245639</v>
      </c>
      <c r="AX12" s="31">
        <v>-2.163155956071092E-2</v>
      </c>
      <c r="AY12" s="31">
        <v>0.10122185588554949</v>
      </c>
      <c r="AZ12" s="31">
        <v>0.18954150820982221</v>
      </c>
      <c r="BA12" s="31">
        <v>9.5279708371273503E-2</v>
      </c>
      <c r="BB12" s="31">
        <v>1.1130473143875179E-2</v>
      </c>
      <c r="BC12" s="31">
        <v>0.19620313414919849</v>
      </c>
      <c r="BD12" s="31">
        <v>0.1522471346455414</v>
      </c>
      <c r="BE12" s="31">
        <v>0.20934399551839861</v>
      </c>
      <c r="BF12" s="31">
        <v>0.16752252916389659</v>
      </c>
      <c r="BG12" s="31">
        <v>0.16855713353359719</v>
      </c>
      <c r="BH12" s="31">
        <v>0.23475757737273911</v>
      </c>
      <c r="BI12" s="31">
        <v>0.27598376688340442</v>
      </c>
      <c r="BJ12" s="31">
        <v>0.26154895504900538</v>
      </c>
      <c r="BK12" s="31">
        <v>0.19300560487419521</v>
      </c>
      <c r="BL12" s="31">
        <v>3.2255305302616187E-2</v>
      </c>
      <c r="BM12" s="31">
        <v>8.4649698660638095E-2</v>
      </c>
      <c r="BN12" s="31">
        <v>-1.5702242386539032E-2</v>
      </c>
      <c r="BO12" s="31">
        <v>2.9608765252482721E-2</v>
      </c>
      <c r="BP12" s="31">
        <v>-8.2625544071202886E-2</v>
      </c>
      <c r="BQ12" s="31">
        <v>-7.9330451385874676E-2</v>
      </c>
      <c r="BR12" s="31">
        <v>-0.11353413407979809</v>
      </c>
      <c r="BS12" s="31">
        <v>-0.16045061256945001</v>
      </c>
      <c r="BT12" s="31">
        <v>-2.8989653450827001E-2</v>
      </c>
      <c r="BU12" s="31">
        <v>-3.8417136037107451E-3</v>
      </c>
      <c r="BV12" s="31">
        <v>-0.17414888256791389</v>
      </c>
      <c r="BW12" s="31">
        <v>-5.0655462653666453E-2</v>
      </c>
      <c r="BX12" s="31">
        <v>-9.7462301529207679E-3</v>
      </c>
      <c r="BY12" s="31">
        <v>4.311871752812544E-2</v>
      </c>
      <c r="BZ12" s="31">
        <v>8.3594709945727624E-2</v>
      </c>
      <c r="CA12" s="31">
        <v>5.9758542127211607E-2</v>
      </c>
      <c r="CB12" s="31">
        <v>0.22654684744137221</v>
      </c>
      <c r="CC12" s="31">
        <v>0.16059562442098191</v>
      </c>
      <c r="CD12" s="31">
        <v>0.1247822180786789</v>
      </c>
      <c r="CE12" s="31">
        <v>7.0316847032607876E-2</v>
      </c>
      <c r="CF12" s="31">
        <v>3.7786686365643571E-2</v>
      </c>
      <c r="CG12" s="31">
        <v>0.14783134630066269</v>
      </c>
      <c r="CH12" s="31">
        <v>0.16146329015111541</v>
      </c>
      <c r="CI12" s="31">
        <v>0.19050379057570099</v>
      </c>
      <c r="CJ12" s="31">
        <v>5.7810008272749062E-2</v>
      </c>
      <c r="CK12" s="31">
        <v>0.1815957554070709</v>
      </c>
      <c r="CL12" s="31">
        <v>0.15995890504762161</v>
      </c>
      <c r="CM12" s="31">
        <v>-0.19344889033092799</v>
      </c>
      <c r="CN12" s="31">
        <v>9.2661650400173462E-2</v>
      </c>
      <c r="CO12" s="31">
        <v>0.18420345965444129</v>
      </c>
      <c r="CP12" s="31">
        <v>0.21509937997508449</v>
      </c>
      <c r="CQ12" s="31">
        <v>7.8222160125948112E-2</v>
      </c>
      <c r="CR12" s="31">
        <v>0.23262305351410531</v>
      </c>
      <c r="CS12" s="31">
        <v>0.1246176152094155</v>
      </c>
      <c r="CT12" s="31">
        <v>0.2146340953754568</v>
      </c>
      <c r="CU12" s="31">
        <v>0.29380322799279129</v>
      </c>
      <c r="CV12" s="31">
        <v>0.16458639143631021</v>
      </c>
      <c r="CW12" s="31">
        <v>0.22758953291297229</v>
      </c>
      <c r="CX12" s="31">
        <v>0.30967914222586451</v>
      </c>
      <c r="CY12" s="31">
        <v>0.1008269451540873</v>
      </c>
      <c r="CZ12" s="31">
        <v>0.27399190305797039</v>
      </c>
      <c r="DA12" s="31">
        <v>0.29613632136496731</v>
      </c>
      <c r="DB12" s="31">
        <v>0.44409378278633932</v>
      </c>
      <c r="DC12" s="31">
        <v>0.27739949663700231</v>
      </c>
      <c r="DD12" s="31">
        <v>0.2084619437252104</v>
      </c>
      <c r="DE12" s="31">
        <v>5.006562543628422E-2</v>
      </c>
      <c r="DF12" s="31">
        <v>7.9342540750067247E-2</v>
      </c>
      <c r="DG12" s="31">
        <v>4.1263423131758292E-2</v>
      </c>
      <c r="DH12" s="31">
        <v>-7.4014041769745603E-3</v>
      </c>
      <c r="DI12" s="31">
        <v>9.1903678777207287E-2</v>
      </c>
      <c r="DJ12" s="31">
        <v>0.18881040894549631</v>
      </c>
      <c r="DK12" s="31">
        <v>5.0346204508612824E-3</v>
      </c>
      <c r="DL12" s="31">
        <v>-6.5302735759753747E-2</v>
      </c>
      <c r="DM12" s="31">
        <v>-0.16991943054339001</v>
      </c>
      <c r="DN12" s="31">
        <v>-4.8355536158137598E-2</v>
      </c>
      <c r="DO12" s="31">
        <v>0.3023913444349744</v>
      </c>
      <c r="DP12" s="31">
        <v>0.40249617507699309</v>
      </c>
      <c r="DQ12" s="31">
        <v>0.42337951153233438</v>
      </c>
      <c r="DR12" s="31">
        <v>0.31958732161063053</v>
      </c>
      <c r="DS12" s="31">
        <v>0.27007262221994582</v>
      </c>
      <c r="DT12" s="31">
        <v>0.24555914580250721</v>
      </c>
      <c r="DU12" s="31">
        <v>0.18374521718344591</v>
      </c>
      <c r="DV12" s="31">
        <v>0.16882438454898829</v>
      </c>
      <c r="DW12" s="31">
        <v>0.21735692510693649</v>
      </c>
      <c r="DX12" s="31">
        <v>0.18716202375844659</v>
      </c>
      <c r="DY12" s="31">
        <v>0.12863278460069319</v>
      </c>
      <c r="DZ12" s="31">
        <v>0.1138956216351769</v>
      </c>
      <c r="EA12" s="31">
        <v>6.9887093780084175E-2</v>
      </c>
      <c r="EB12" s="31">
        <v>0.12681710950217981</v>
      </c>
      <c r="EC12" s="31">
        <v>0.1562815300942598</v>
      </c>
      <c r="ED12" s="31">
        <v>0.36668826933924509</v>
      </c>
      <c r="EE12" s="31">
        <v>0.47250079911659248</v>
      </c>
      <c r="EF12" s="31">
        <v>0.72972326297934098</v>
      </c>
      <c r="EG12" s="4"/>
    </row>
    <row r="13" spans="1:137" ht="16" customHeight="1">
      <c r="A13" s="30"/>
      <c r="B13" s="26" t="s">
        <v>138</v>
      </c>
      <c r="C13" s="31">
        <v>0.1415892121840287</v>
      </c>
      <c r="D13" s="31">
        <v>9.2586945061469042E-2</v>
      </c>
      <c r="E13" s="31">
        <v>0.11349879155944111</v>
      </c>
      <c r="F13" s="31">
        <v>-7.3769776575699809E-3</v>
      </c>
      <c r="G13" s="31">
        <v>-0.3186396678242116</v>
      </c>
      <c r="H13" s="31">
        <v>-0.42059898952232572</v>
      </c>
      <c r="I13" s="31">
        <v>-0.61741574929518839</v>
      </c>
      <c r="J13" s="31">
        <v>-0.43362008529973561</v>
      </c>
      <c r="K13" s="31">
        <v>-0.25626772334753112</v>
      </c>
      <c r="L13" s="31">
        <v>-0.2113105027109515</v>
      </c>
      <c r="M13" s="31">
        <v>-0.20647602014875061</v>
      </c>
      <c r="N13" s="31">
        <v>-0.32791237477111829</v>
      </c>
      <c r="O13" s="31">
        <v>1.5729811103918339E-2</v>
      </c>
      <c r="P13" s="31">
        <v>6.8442694647505714E-2</v>
      </c>
      <c r="Q13" s="31">
        <v>5.2648855857004642E-2</v>
      </c>
      <c r="R13" s="31">
        <v>-2.0694613114836578E-2</v>
      </c>
      <c r="S13" s="31">
        <v>2.495928979766664E-2</v>
      </c>
      <c r="T13" s="31">
        <v>-8.6843647181224407E-2</v>
      </c>
      <c r="U13" s="31">
        <v>-0.52458473451682519</v>
      </c>
      <c r="V13" s="31">
        <v>-0.4792143423997316</v>
      </c>
      <c r="W13" s="31">
        <v>-0.36348833368794342</v>
      </c>
      <c r="X13" s="31">
        <v>-0.39764648466092672</v>
      </c>
      <c r="Y13" s="31">
        <v>-0.47562109760818377</v>
      </c>
      <c r="Z13" s="31">
        <v>-0.29400139222215738</v>
      </c>
      <c r="AA13" s="31">
        <v>-0.21990454798605369</v>
      </c>
      <c r="AB13" s="31">
        <v>1.8176812449253021E-2</v>
      </c>
      <c r="AC13" s="31">
        <v>-7.9990063758137941E-2</v>
      </c>
      <c r="AD13" s="31">
        <v>-0.1028929785055152</v>
      </c>
      <c r="AE13" s="31">
        <v>0.14449675324010591</v>
      </c>
      <c r="AF13" s="31">
        <v>9.4619546486641323E-2</v>
      </c>
      <c r="AG13" s="31">
        <v>0.15888808539996641</v>
      </c>
      <c r="AH13" s="31">
        <v>0.1196181721172441</v>
      </c>
      <c r="AI13" s="31">
        <v>0.26749723606904691</v>
      </c>
      <c r="AJ13" s="31">
        <v>0.28042018158602128</v>
      </c>
      <c r="AK13" s="31">
        <v>-3.0700048481476939E-2</v>
      </c>
      <c r="AL13" s="31">
        <v>4.5908625392411313E-2</v>
      </c>
      <c r="AM13" s="31">
        <v>0.17498289674326181</v>
      </c>
      <c r="AN13" s="31">
        <v>0.12715124049161411</v>
      </c>
      <c r="AO13" s="31">
        <v>0.1846750202735136</v>
      </c>
      <c r="AP13" s="31">
        <v>8.4214377141994659E-2</v>
      </c>
      <c r="AQ13" s="31">
        <v>0.195944269725251</v>
      </c>
      <c r="AR13" s="31">
        <v>0.1332335332468598</v>
      </c>
      <c r="AS13" s="31">
        <v>0.16593561585303601</v>
      </c>
      <c r="AT13" s="31">
        <v>2.0797244614353168E-2</v>
      </c>
      <c r="AU13" s="31">
        <v>1.2255111472991581E-2</v>
      </c>
      <c r="AV13" s="31">
        <v>-1.3354263340341489E-2</v>
      </c>
      <c r="AW13" s="31">
        <v>-0.1629162908390954</v>
      </c>
      <c r="AX13" s="31">
        <v>2.1398073174880568E-2</v>
      </c>
      <c r="AY13" s="31">
        <v>-0.31841892204614608</v>
      </c>
      <c r="AZ13" s="31">
        <v>-0.2389402856524428</v>
      </c>
      <c r="BA13" s="31">
        <v>-0.22999540969309759</v>
      </c>
      <c r="BB13" s="31">
        <v>-7.1523535861795301E-2</v>
      </c>
      <c r="BC13" s="31">
        <v>0.19523407189221659</v>
      </c>
      <c r="BD13" s="31">
        <v>0.1343817013556074</v>
      </c>
      <c r="BE13" s="31">
        <v>0.36448653223917399</v>
      </c>
      <c r="BF13" s="31">
        <v>0.44848254478272898</v>
      </c>
      <c r="BG13" s="31">
        <v>0.43221300941381358</v>
      </c>
      <c r="BH13" s="31">
        <v>0.27475197161243958</v>
      </c>
      <c r="BI13" s="31">
        <v>0.27625006164983618</v>
      </c>
      <c r="BJ13" s="31">
        <v>1.55846946017396E-2</v>
      </c>
      <c r="BK13" s="31">
        <v>0.1058051363286677</v>
      </c>
      <c r="BL13" s="31">
        <v>0.12655100249236981</v>
      </c>
      <c r="BM13" s="31">
        <v>0.22848090332571749</v>
      </c>
      <c r="BN13" s="31">
        <v>0.28499472414789501</v>
      </c>
      <c r="BO13" s="31">
        <v>0.10343621031436109</v>
      </c>
      <c r="BP13" s="31">
        <v>0.37735475502544108</v>
      </c>
      <c r="BQ13" s="31">
        <v>0.20037255890381511</v>
      </c>
      <c r="BR13" s="31">
        <v>0.22737663442672029</v>
      </c>
      <c r="BS13" s="31">
        <v>0.28000569960508931</v>
      </c>
      <c r="BT13" s="31">
        <v>0.25048842105416552</v>
      </c>
      <c r="BU13" s="31">
        <v>0.40950603598106478</v>
      </c>
      <c r="BV13" s="31">
        <v>0.27914339825966772</v>
      </c>
      <c r="BW13" s="31">
        <v>0.42338681782856119</v>
      </c>
      <c r="BX13" s="31">
        <v>0.20681397354492859</v>
      </c>
      <c r="BY13" s="31">
        <v>0.16995656458325559</v>
      </c>
      <c r="BZ13" s="31">
        <v>0.25229150973658637</v>
      </c>
      <c r="CA13" s="31">
        <v>0.32026292962452041</v>
      </c>
      <c r="CB13" s="31">
        <v>0.51463583067154539</v>
      </c>
      <c r="CC13" s="31">
        <v>0.18153007409469241</v>
      </c>
      <c r="CD13" s="31">
        <v>0.12003370467929959</v>
      </c>
      <c r="CE13" s="31">
        <v>-2.5943292883541139E-2</v>
      </c>
      <c r="CF13" s="31">
        <v>4.5043615925369367E-2</v>
      </c>
      <c r="CG13" s="31">
        <v>-0.35445425141928649</v>
      </c>
      <c r="CH13" s="31">
        <v>-0.25260244407894528</v>
      </c>
      <c r="CI13" s="31">
        <v>0.14395187079646721</v>
      </c>
      <c r="CJ13" s="31">
        <v>0.27306771173615763</v>
      </c>
      <c r="CK13" s="31">
        <v>1.7040845792885052E-2</v>
      </c>
      <c r="CL13" s="31">
        <v>-0.2428342099250631</v>
      </c>
      <c r="CM13" s="31">
        <v>-6.2585841640853714E-3</v>
      </c>
      <c r="CN13" s="31">
        <v>-0.310075109187538</v>
      </c>
      <c r="CO13" s="31">
        <v>-0.48661942430606081</v>
      </c>
      <c r="CP13" s="31">
        <v>-0.58562675232019856</v>
      </c>
      <c r="CQ13" s="31">
        <v>-0.21352733862147991</v>
      </c>
      <c r="CR13" s="31">
        <v>-0.1651861224943722</v>
      </c>
      <c r="CS13" s="31">
        <v>-0.15856953077819341</v>
      </c>
      <c r="CT13" s="31">
        <v>-0.2953032979629534</v>
      </c>
      <c r="CU13" s="31">
        <v>-0.1254818780087637</v>
      </c>
      <c r="CV13" s="31">
        <v>-4.7694294242323958E-2</v>
      </c>
      <c r="CW13" s="31">
        <v>-6.9955238824078614E-2</v>
      </c>
      <c r="CX13" s="31">
        <v>-9.2457955566808206E-3</v>
      </c>
      <c r="CY13" s="31">
        <v>-2.2135304831282489E-2</v>
      </c>
      <c r="CZ13" s="31">
        <v>5.5799951070273343E-2</v>
      </c>
      <c r="DA13" s="31">
        <v>4.6904914532679559E-3</v>
      </c>
      <c r="DB13" s="31">
        <v>-0.19841703137983821</v>
      </c>
      <c r="DC13" s="31">
        <v>-0.1481577816394834</v>
      </c>
      <c r="DD13" s="31">
        <v>-7.8448866350443819E-2</v>
      </c>
      <c r="DE13" s="31">
        <v>-3.4735830531551833E-2</v>
      </c>
      <c r="DF13" s="31">
        <v>0.23309856186511069</v>
      </c>
      <c r="DG13" s="31">
        <v>0.10547592327494661</v>
      </c>
      <c r="DH13" s="31">
        <v>0.26024560403747621</v>
      </c>
      <c r="DI13" s="31">
        <v>0.24342212166939201</v>
      </c>
      <c r="DJ13" s="31">
        <v>6.1619870633241258E-2</v>
      </c>
      <c r="DK13" s="31">
        <v>8.9139844165813373E-2</v>
      </c>
      <c r="DL13" s="31">
        <v>2.9253193961501531E-2</v>
      </c>
      <c r="DM13" s="31">
        <v>0.14236144307942539</v>
      </c>
      <c r="DN13" s="31">
        <v>0.14615257349174909</v>
      </c>
      <c r="DO13" s="31">
        <v>4.9079225670203321E-2</v>
      </c>
      <c r="DP13" s="31">
        <v>0.40322960152089549</v>
      </c>
      <c r="DQ13" s="31">
        <v>0.46524421937942317</v>
      </c>
      <c r="DR13" s="31">
        <v>0.25491522170831532</v>
      </c>
      <c r="DS13" s="31">
        <v>0.1449016436002509</v>
      </c>
      <c r="DT13" s="31">
        <v>0.1096478687616492</v>
      </c>
      <c r="DU13" s="31">
        <v>0.14664794338699069</v>
      </c>
      <c r="DV13" s="31">
        <v>-0.37515330256173463</v>
      </c>
      <c r="DW13" s="31">
        <v>-0.29741986054930047</v>
      </c>
      <c r="DX13" s="31">
        <v>-0.19544277976532101</v>
      </c>
      <c r="DY13" s="31">
        <v>-8.2428265894752814E-2</v>
      </c>
      <c r="DZ13" s="31">
        <v>5.866183339010559E-2</v>
      </c>
      <c r="EA13" s="31">
        <v>-4.6779077930829367E-2</v>
      </c>
      <c r="EB13" s="31">
        <v>0.1641432425225606</v>
      </c>
      <c r="EC13" s="31">
        <v>-3.8064247233434587E-2</v>
      </c>
      <c r="ED13" s="31">
        <v>5.5317446797800797E-2</v>
      </c>
      <c r="EE13" s="31">
        <v>4.5666052310806213E-2</v>
      </c>
      <c r="EF13" s="31">
        <v>-1.513055182908553E-2</v>
      </c>
      <c r="EG13" s="4"/>
    </row>
    <row r="14" spans="1:137" ht="16" customHeight="1">
      <c r="A14" s="4"/>
      <c r="B14" s="26" t="s">
        <v>139</v>
      </c>
      <c r="C14" s="31">
        <v>-5.5287602367965212E-2</v>
      </c>
      <c r="D14" s="31">
        <v>-0.14445298729163969</v>
      </c>
      <c r="E14" s="31">
        <v>-9.1431301014034599E-2</v>
      </c>
      <c r="F14" s="31">
        <v>0.35495179720125758</v>
      </c>
      <c r="G14" s="31">
        <v>0.21923638181908089</v>
      </c>
      <c r="H14" s="31">
        <v>0.283134197622957</v>
      </c>
      <c r="I14" s="31">
        <v>0.37143266638530409</v>
      </c>
      <c r="J14" s="31">
        <v>0.41062409023091229</v>
      </c>
      <c r="K14" s="31">
        <v>0.40769934121960488</v>
      </c>
      <c r="L14" s="31">
        <v>-7.159674146892725E-3</v>
      </c>
      <c r="M14" s="31">
        <v>-7.3648091051968512E-3</v>
      </c>
      <c r="N14" s="31">
        <v>-5.1515820152121562E-2</v>
      </c>
      <c r="O14" s="31">
        <v>0.2542620970860141</v>
      </c>
      <c r="P14" s="31">
        <v>0.25179107603585099</v>
      </c>
      <c r="Q14" s="31">
        <v>0.2218350215305622</v>
      </c>
      <c r="R14" s="31">
        <v>0.24564422754657189</v>
      </c>
      <c r="S14" s="31">
        <v>0.21802587035960269</v>
      </c>
      <c r="T14" s="31">
        <v>0.22885928116164689</v>
      </c>
      <c r="U14" s="31">
        <v>-3.8365895591860683E-2</v>
      </c>
      <c r="V14" s="31">
        <v>-2.4933565518348022E-4</v>
      </c>
      <c r="W14" s="31">
        <v>-6.9911431364622995E-2</v>
      </c>
      <c r="X14" s="31">
        <v>-6.456449127916436E-2</v>
      </c>
      <c r="Y14" s="31">
        <v>4.1605297186146813E-2</v>
      </c>
      <c r="Z14" s="31">
        <v>-1.9800016442501619E-2</v>
      </c>
      <c r="AA14" s="31">
        <v>-7.2143290991637576E-2</v>
      </c>
      <c r="AB14" s="31">
        <v>-6.8452120608651329E-2</v>
      </c>
      <c r="AC14" s="31">
        <v>3.2607263241921841E-2</v>
      </c>
      <c r="AD14" s="31">
        <v>1.7594645532416991E-2</v>
      </c>
      <c r="AE14" s="31">
        <v>-2.901928616329708E-3</v>
      </c>
      <c r="AF14" s="31">
        <v>-2.248356577507465E-3</v>
      </c>
      <c r="AG14" s="31">
        <v>-5.5811273092355174E-3</v>
      </c>
      <c r="AH14" s="31">
        <v>-6.6841359079102816E-3</v>
      </c>
      <c r="AI14" s="31">
        <v>-1.385499411618335E-3</v>
      </c>
      <c r="AJ14" s="31">
        <v>-8.6481173432073621E-4</v>
      </c>
      <c r="AK14" s="31">
        <v>5.6462115284851337E-2</v>
      </c>
      <c r="AL14" s="31">
        <v>7.8493009558184917E-2</v>
      </c>
      <c r="AM14" s="31">
        <v>-0.11226928615946841</v>
      </c>
      <c r="AN14" s="31">
        <v>-0.22946841655236611</v>
      </c>
      <c r="AO14" s="31">
        <v>-0.13981328564836121</v>
      </c>
      <c r="AP14" s="31">
        <v>-0.1103039313350698</v>
      </c>
      <c r="AQ14" s="31">
        <v>-0.16861413881368431</v>
      </c>
      <c r="AR14" s="31">
        <v>-0.1371830444209835</v>
      </c>
      <c r="AS14" s="31">
        <v>5.211904011802404E-2</v>
      </c>
      <c r="AT14" s="31">
        <v>0.14234804792068309</v>
      </c>
      <c r="AU14" s="31">
        <v>0.15576266032816749</v>
      </c>
      <c r="AV14" s="31">
        <v>0.1449166373776215</v>
      </c>
      <c r="AW14" s="31">
        <v>0.18538208810641141</v>
      </c>
      <c r="AX14" s="31">
        <v>0.1366523480003056</v>
      </c>
      <c r="AY14" s="31">
        <v>0.14596250886375589</v>
      </c>
      <c r="AZ14" s="31">
        <v>0.26503780407394811</v>
      </c>
      <c r="BA14" s="31">
        <v>0.14676561542020911</v>
      </c>
      <c r="BB14" s="31">
        <v>3.3428218400161358E-3</v>
      </c>
      <c r="BC14" s="31">
        <v>-7.0510317488028634E-2</v>
      </c>
      <c r="BD14" s="31">
        <v>-3.5291447065675441E-2</v>
      </c>
      <c r="BE14" s="31">
        <v>3.5257594922360899E-2</v>
      </c>
      <c r="BF14" s="31">
        <v>3.8800415177149161E-2</v>
      </c>
      <c r="BG14" s="31">
        <v>5.35267227270948E-2</v>
      </c>
      <c r="BH14" s="31">
        <v>0.17967627527126151</v>
      </c>
      <c r="BI14" s="31">
        <v>0.15487119135892979</v>
      </c>
      <c r="BJ14" s="31">
        <v>0.1190558145321248</v>
      </c>
      <c r="BK14" s="31">
        <v>0.13032726460855551</v>
      </c>
      <c r="BL14" s="31">
        <v>9.3330537871948963E-2</v>
      </c>
      <c r="BM14" s="31">
        <v>8.0284022008766234E-2</v>
      </c>
      <c r="BN14" s="31">
        <v>0.20761045318620699</v>
      </c>
      <c r="BO14" s="31">
        <v>0.18768666424061561</v>
      </c>
      <c r="BP14" s="31">
        <v>0.1299212136716856</v>
      </c>
      <c r="BQ14" s="31">
        <v>9.8717055186148456E-2</v>
      </c>
      <c r="BR14" s="31">
        <v>4.5233846544491793E-2</v>
      </c>
      <c r="BS14" s="31">
        <v>0.13778382026817171</v>
      </c>
      <c r="BT14" s="31">
        <v>4.6964995030642789E-2</v>
      </c>
      <c r="BU14" s="31">
        <v>7.8535809146009994E-2</v>
      </c>
      <c r="BV14" s="31">
        <v>0.12030054403500839</v>
      </c>
      <c r="BW14" s="31">
        <v>5.9755525305673893E-2</v>
      </c>
      <c r="BX14" s="31">
        <v>6.3549054774741306E-2</v>
      </c>
      <c r="BY14" s="31">
        <v>-6.5045110879808632E-3</v>
      </c>
      <c r="BZ14" s="31">
        <v>-5.1668341542727647E-2</v>
      </c>
      <c r="CA14" s="31">
        <v>-7.9185433944847061E-2</v>
      </c>
      <c r="CB14" s="31">
        <v>-0.1127810804912311</v>
      </c>
      <c r="CC14" s="31">
        <v>-6.7050409232242481E-2</v>
      </c>
      <c r="CD14" s="31">
        <v>-6.6787378150592241E-2</v>
      </c>
      <c r="CE14" s="31">
        <v>-4.6564912298377087E-2</v>
      </c>
      <c r="CF14" s="31">
        <v>-0.11929573414549299</v>
      </c>
      <c r="CG14" s="31">
        <v>-5.3152980450178272E-2</v>
      </c>
      <c r="CH14" s="31">
        <v>-9.2611607894625192E-2</v>
      </c>
      <c r="CI14" s="31">
        <v>-0.1090312706633422</v>
      </c>
      <c r="CJ14" s="31">
        <v>-6.5592489381071956E-2</v>
      </c>
      <c r="CK14" s="31">
        <v>-8.8696832578178758E-2</v>
      </c>
      <c r="CL14" s="31">
        <v>8.9572676996418077E-2</v>
      </c>
      <c r="CM14" s="31">
        <v>6.5466674673977043E-2</v>
      </c>
      <c r="CN14" s="31">
        <v>2.9778259770337628E-2</v>
      </c>
      <c r="CO14" s="31">
        <v>7.2508099539442067E-2</v>
      </c>
      <c r="CP14" s="31">
        <v>-1.303358147527731E-2</v>
      </c>
      <c r="CQ14" s="31">
        <v>9.569522182040463E-3</v>
      </c>
      <c r="CR14" s="31">
        <v>2.47953533363264E-2</v>
      </c>
      <c r="CS14" s="31">
        <v>4.8612117320788267E-2</v>
      </c>
      <c r="CT14" s="31">
        <v>6.0893021537142523E-2</v>
      </c>
      <c r="CU14" s="31">
        <v>3.4381618283240711E-2</v>
      </c>
      <c r="CV14" s="31">
        <v>0.16980040126902121</v>
      </c>
      <c r="CW14" s="31">
        <v>0.20445758339957451</v>
      </c>
      <c r="CX14" s="31">
        <v>0.1166793182346092</v>
      </c>
      <c r="CY14" s="31">
        <v>2.005814356519928E-2</v>
      </c>
      <c r="CZ14" s="31">
        <v>-1.4802745472687891E-3</v>
      </c>
      <c r="DA14" s="31">
        <v>-2.3150114921623641E-2</v>
      </c>
      <c r="DB14" s="31">
        <v>-0.19162965872882659</v>
      </c>
      <c r="DC14" s="31">
        <v>-0.27185177019325968</v>
      </c>
      <c r="DD14" s="31">
        <v>-0.21309613111010051</v>
      </c>
      <c r="DE14" s="31">
        <v>-0.16221912242286801</v>
      </c>
      <c r="DF14" s="31">
        <v>-0.2020125592365708</v>
      </c>
      <c r="DG14" s="31">
        <v>-0.17344116046680241</v>
      </c>
      <c r="DH14" s="31">
        <v>1.012974642923409E-3</v>
      </c>
      <c r="DI14" s="31">
        <v>7.6205462994728718E-2</v>
      </c>
      <c r="DJ14" s="31">
        <v>6.8038263628197981E-2</v>
      </c>
      <c r="DK14" s="31">
        <v>5.8032611963437293E-2</v>
      </c>
      <c r="DL14" s="31">
        <v>9.6719985419295995E-3</v>
      </c>
      <c r="DM14" s="31">
        <v>-0.13040706175590769</v>
      </c>
      <c r="DN14" s="31">
        <v>-0.29058270893517102</v>
      </c>
      <c r="DO14" s="31">
        <v>-0.37804696398510318</v>
      </c>
      <c r="DP14" s="31">
        <v>-0.38659982436733192</v>
      </c>
      <c r="DQ14" s="31">
        <v>-0.38856601893403331</v>
      </c>
      <c r="DR14" s="31">
        <v>-0.2225135809416024</v>
      </c>
      <c r="DS14" s="31">
        <v>-0.1787917296931768</v>
      </c>
      <c r="DT14" s="31">
        <v>-0.15458476004354091</v>
      </c>
      <c r="DU14" s="31">
        <v>-6.1360687164233867E-2</v>
      </c>
      <c r="DV14" s="31">
        <v>2.79779304551812E-2</v>
      </c>
      <c r="DW14" s="31">
        <v>-3.1911652435136412E-2</v>
      </c>
      <c r="DX14" s="31">
        <v>-9.9874593181686566E-2</v>
      </c>
      <c r="DY14" s="31">
        <v>3.4834303206100481E-3</v>
      </c>
      <c r="DZ14" s="31">
        <v>2.8079826854705309E-2</v>
      </c>
      <c r="EA14" s="31">
        <v>-1.7876846775940201E-3</v>
      </c>
      <c r="EB14" s="31">
        <v>-9.0286462263588552E-2</v>
      </c>
      <c r="EC14" s="31">
        <v>-5.335702626953312E-2</v>
      </c>
      <c r="ED14" s="31">
        <v>-6.5240630345267336E-2</v>
      </c>
      <c r="EE14" s="31">
        <v>-4.1521107351409209E-2</v>
      </c>
      <c r="EF14" s="31">
        <v>-3.5067920268846753E-2</v>
      </c>
      <c r="EG14" s="4"/>
    </row>
    <row r="15" spans="1:137" ht="16" customHeight="1">
      <c r="A15" s="4"/>
      <c r="B15" s="26" t="s">
        <v>140</v>
      </c>
      <c r="C15" s="31">
        <v>3.1791852321887817E-2</v>
      </c>
      <c r="D15" s="31">
        <v>-0.124113534659973</v>
      </c>
      <c r="E15" s="31">
        <v>-0.1855275041338216</v>
      </c>
      <c r="F15" s="31">
        <v>-0.51750513151026711</v>
      </c>
      <c r="G15" s="31">
        <v>-0.47668017407719437</v>
      </c>
      <c r="H15" s="31">
        <v>-0.45722757099455158</v>
      </c>
      <c r="I15" s="31">
        <v>-0.52844879570355097</v>
      </c>
      <c r="J15" s="31">
        <v>-0.42896715641499811</v>
      </c>
      <c r="K15" s="31">
        <v>-0.41261833988945718</v>
      </c>
      <c r="L15" s="31">
        <v>-4.1638076480459141E-3</v>
      </c>
      <c r="M15" s="31">
        <v>-2.6791835565263569E-2</v>
      </c>
      <c r="N15" s="31">
        <v>-0.1044832975710908</v>
      </c>
      <c r="O15" s="31">
        <v>4.4211548082371273E-2</v>
      </c>
      <c r="P15" s="31">
        <v>5.8306595935677913E-2</v>
      </c>
      <c r="Q15" s="31">
        <v>-6.8633318730227794E-2</v>
      </c>
      <c r="R15" s="31">
        <v>3.9118300564990882E-2</v>
      </c>
      <c r="S15" s="31">
        <v>1.430917631974769E-2</v>
      </c>
      <c r="T15" s="31">
        <v>4.7434316151017543E-2</v>
      </c>
      <c r="U15" s="31">
        <v>-5.8521476915807114E-3</v>
      </c>
      <c r="V15" s="31">
        <v>-8.4536822785316129E-2</v>
      </c>
      <c r="W15" s="31">
        <v>-0.21030818610927479</v>
      </c>
      <c r="X15" s="31">
        <v>-0.29890892520185208</v>
      </c>
      <c r="Y15" s="31">
        <v>-0.28699682154041978</v>
      </c>
      <c r="Z15" s="31">
        <v>-0.24392935892183371</v>
      </c>
      <c r="AA15" s="31">
        <v>-0.26669381309450008</v>
      </c>
      <c r="AB15" s="31">
        <v>-0.26649480062011849</v>
      </c>
      <c r="AC15" s="31">
        <v>-9.2233352434640453E-2</v>
      </c>
      <c r="AD15" s="31">
        <v>-0.1147951387733117</v>
      </c>
      <c r="AE15" s="31">
        <v>-0.1224079017715</v>
      </c>
      <c r="AF15" s="31">
        <v>-9.5242339474186588E-2</v>
      </c>
      <c r="AG15" s="31">
        <v>-7.8768448683095765E-2</v>
      </c>
      <c r="AH15" s="31">
        <v>-0.10231021540807481</v>
      </c>
      <c r="AI15" s="31">
        <v>-5.7262343839864033E-2</v>
      </c>
      <c r="AJ15" s="31">
        <v>1.375630556441051E-2</v>
      </c>
      <c r="AK15" s="31">
        <v>7.4954773180899756E-2</v>
      </c>
      <c r="AL15" s="31">
        <v>5.8691382352518973E-2</v>
      </c>
      <c r="AM15" s="31">
        <v>5.3574222808861066E-3</v>
      </c>
      <c r="AN15" s="31">
        <v>1.151120887247797E-2</v>
      </c>
      <c r="AO15" s="31">
        <v>4.3992852184543921E-2</v>
      </c>
      <c r="AP15" s="31">
        <v>1.386578512691944E-2</v>
      </c>
      <c r="AQ15" s="31">
        <v>-3.7826594379919122E-2</v>
      </c>
      <c r="AR15" s="31">
        <v>2.0397996471123452E-3</v>
      </c>
      <c r="AS15" s="31">
        <v>0.1357503039005247</v>
      </c>
      <c r="AT15" s="31">
        <v>9.6260025474145652E-2</v>
      </c>
      <c r="AU15" s="31">
        <v>0.1098524283726847</v>
      </c>
      <c r="AV15" s="31">
        <v>5.4049591826809518E-2</v>
      </c>
      <c r="AW15" s="31">
        <v>9.1063555575025282E-2</v>
      </c>
      <c r="AX15" s="31">
        <v>-3.3959984777302832E-3</v>
      </c>
      <c r="AY15" s="31">
        <v>-7.119897332728195E-2</v>
      </c>
      <c r="AZ15" s="31">
        <v>-7.4040978527148166E-2</v>
      </c>
      <c r="BA15" s="31">
        <v>-0.1347483501299408</v>
      </c>
      <c r="BB15" s="31">
        <v>-0.18483968000529249</v>
      </c>
      <c r="BC15" s="31">
        <v>-0.17191627264560791</v>
      </c>
      <c r="BD15" s="31">
        <v>-0.19026124746966269</v>
      </c>
      <c r="BE15" s="31">
        <v>-0.18314878620084191</v>
      </c>
      <c r="BF15" s="31">
        <v>-0.1169061503080033</v>
      </c>
      <c r="BG15" s="31">
        <v>0.12330030316125749</v>
      </c>
      <c r="BH15" s="31">
        <v>0.15359621989951699</v>
      </c>
      <c r="BI15" s="31">
        <v>0.14035134075417011</v>
      </c>
      <c r="BJ15" s="31">
        <v>0.23465690016734941</v>
      </c>
      <c r="BK15" s="31">
        <v>0.2729537543891194</v>
      </c>
      <c r="BL15" s="31">
        <v>0.28953704776009159</v>
      </c>
      <c r="BM15" s="31">
        <v>5.9430813207467729E-2</v>
      </c>
      <c r="BN15" s="31">
        <v>0.12537867289131549</v>
      </c>
      <c r="BO15" s="31">
        <v>9.4402297988768397E-2</v>
      </c>
      <c r="BP15" s="31">
        <v>2.2123087244387041E-2</v>
      </c>
      <c r="BQ15" s="31">
        <v>3.8988347669411047E-2</v>
      </c>
      <c r="BR15" s="31">
        <v>3.9930685000121452E-2</v>
      </c>
      <c r="BS15" s="31">
        <v>4.2655091353802167E-2</v>
      </c>
      <c r="BT15" s="31">
        <v>3.6797176926708558E-2</v>
      </c>
      <c r="BU15" s="31">
        <v>7.6853980936937072E-2</v>
      </c>
      <c r="BV15" s="31">
        <v>8.6874653055629289E-2</v>
      </c>
      <c r="BW15" s="31">
        <v>4.5363248455846543E-2</v>
      </c>
      <c r="BX15" s="31">
        <v>3.359059787487173E-2</v>
      </c>
      <c r="BY15" s="31">
        <v>5.0840617964594763E-2</v>
      </c>
      <c r="BZ15" s="31">
        <v>9.0275438321156073E-2</v>
      </c>
      <c r="CA15" s="31">
        <v>9.5704210681912413E-2</v>
      </c>
      <c r="CB15" s="31">
        <v>0.1004237191891803</v>
      </c>
      <c r="CC15" s="31">
        <v>0.1341684898244323</v>
      </c>
      <c r="CD15" s="31">
        <v>6.9815281522896414E-2</v>
      </c>
      <c r="CE15" s="31">
        <v>5.3519808238351417E-2</v>
      </c>
      <c r="CF15" s="31">
        <v>-0.13786759520854391</v>
      </c>
      <c r="CG15" s="31">
        <v>-0.19353121275137081</v>
      </c>
      <c r="CH15" s="31">
        <v>-0.26226848017204002</v>
      </c>
      <c r="CI15" s="31">
        <v>-0.3621599917846654</v>
      </c>
      <c r="CJ15" s="31">
        <v>-0.17238616741213869</v>
      </c>
      <c r="CK15" s="31">
        <v>-0.24049517149258881</v>
      </c>
      <c r="CL15" s="31">
        <v>-2.9835663042383141E-2</v>
      </c>
      <c r="CM15" s="31">
        <v>4.8473891845623951E-2</v>
      </c>
      <c r="CN15" s="31">
        <v>3.9346739118729157E-2</v>
      </c>
      <c r="CO15" s="31">
        <v>0.1164079590468295</v>
      </c>
      <c r="CP15" s="31">
        <v>2.7954671930253121E-2</v>
      </c>
      <c r="CQ15" s="31">
        <v>0.11747759455583209</v>
      </c>
      <c r="CR15" s="31">
        <v>2.9545899327482559E-2</v>
      </c>
      <c r="CS15" s="31">
        <v>1.0751643579328309E-2</v>
      </c>
      <c r="CT15" s="31">
        <v>5.1099373345264383E-2</v>
      </c>
      <c r="CU15" s="31">
        <v>0.1082341816412679</v>
      </c>
      <c r="CV15" s="31">
        <v>0.10010509493954881</v>
      </c>
      <c r="CW15" s="31">
        <v>8.243585879334471E-2</v>
      </c>
      <c r="CX15" s="31">
        <v>0.14446651107932301</v>
      </c>
      <c r="CY15" s="31">
        <v>1.543497282917974E-2</v>
      </c>
      <c r="CZ15" s="31">
        <v>-6.8435941888257273E-2</v>
      </c>
      <c r="DA15" s="31">
        <v>-4.0885147588147007E-2</v>
      </c>
      <c r="DB15" s="31">
        <v>-9.0240152606780755E-2</v>
      </c>
      <c r="DC15" s="31">
        <v>-7.2910137230503241E-2</v>
      </c>
      <c r="DD15" s="31">
        <v>-7.4101523922137175E-2</v>
      </c>
      <c r="DE15" s="31">
        <v>-3.8176172495442889E-2</v>
      </c>
      <c r="DF15" s="31">
        <v>-8.0366391316806784E-2</v>
      </c>
      <c r="DG15" s="31">
        <v>-8.476282179701658E-2</v>
      </c>
      <c r="DH15" s="31">
        <v>4.5561825761215147E-2</v>
      </c>
      <c r="DI15" s="31">
        <v>1.528392919064096E-2</v>
      </c>
      <c r="DJ15" s="31">
        <v>-8.6368002330220212E-2</v>
      </c>
      <c r="DK15" s="31">
        <v>-8.3284992535386043E-2</v>
      </c>
      <c r="DL15" s="31">
        <v>-0.31070789680062177</v>
      </c>
      <c r="DM15" s="31">
        <v>-0.48915583017430442</v>
      </c>
      <c r="DN15" s="31">
        <v>-0.61713752149518741</v>
      </c>
      <c r="DO15" s="31">
        <v>-0.64241868762619436</v>
      </c>
      <c r="DP15" s="31">
        <v>-0.51612725116185121</v>
      </c>
      <c r="DQ15" s="31">
        <v>-0.53531007584853307</v>
      </c>
      <c r="DR15" s="31">
        <v>-0.2064125755835888</v>
      </c>
      <c r="DS15" s="31">
        <v>-3.676563839448474E-2</v>
      </c>
      <c r="DT15" s="31">
        <v>-2.1176359815958671E-2</v>
      </c>
      <c r="DU15" s="31">
        <v>-0.10998908800017081</v>
      </c>
      <c r="DV15" s="31">
        <v>-8.386624293692993E-2</v>
      </c>
      <c r="DW15" s="31">
        <v>-0.1762242698023504</v>
      </c>
      <c r="DX15" s="31">
        <v>-0.2504373293811597</v>
      </c>
      <c r="DY15" s="31">
        <v>-0.1513928108760241</v>
      </c>
      <c r="DZ15" s="31">
        <v>-0.1158377971666855</v>
      </c>
      <c r="EA15" s="31">
        <v>-5.6648240929698529E-2</v>
      </c>
      <c r="EB15" s="31">
        <v>3.4255181880149747E-2</v>
      </c>
      <c r="EC15" s="31">
        <v>-1.7395651008662891E-2</v>
      </c>
      <c r="ED15" s="31">
        <v>4.0598599233819838E-2</v>
      </c>
      <c r="EE15" s="31">
        <v>4.9896273549653668E-2</v>
      </c>
      <c r="EF15" s="31">
        <v>4.1656706453052278E-2</v>
      </c>
    </row>
    <row r="16" spans="1:137" ht="16" customHeight="1">
      <c r="A16" s="4"/>
    </row>
    <row r="17" spans="1:137" ht="16" customHeight="1">
      <c r="A17" s="44" t="s">
        <v>256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2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4"/>
    </row>
    <row r="18" spans="1:137" ht="17" customHeight="1">
      <c r="A18" s="30"/>
      <c r="B18" s="6" t="s">
        <v>1</v>
      </c>
      <c r="C18" s="40" t="s">
        <v>2</v>
      </c>
      <c r="D18" s="40" t="s">
        <v>3</v>
      </c>
      <c r="E18" s="40" t="s">
        <v>4</v>
      </c>
      <c r="F18" s="40" t="s">
        <v>5</v>
      </c>
      <c r="G18" s="40" t="s">
        <v>6</v>
      </c>
      <c r="H18" s="40" t="s">
        <v>7</v>
      </c>
      <c r="I18" s="40" t="s">
        <v>8</v>
      </c>
      <c r="J18" s="40" t="s">
        <v>9</v>
      </c>
      <c r="K18" s="40" t="s">
        <v>10</v>
      </c>
      <c r="L18" s="40" t="s">
        <v>11</v>
      </c>
      <c r="M18" s="40" t="s">
        <v>12</v>
      </c>
      <c r="N18" s="40" t="s">
        <v>13</v>
      </c>
      <c r="O18" s="40" t="s">
        <v>14</v>
      </c>
      <c r="P18" s="40" t="s">
        <v>15</v>
      </c>
      <c r="Q18" s="40" t="s">
        <v>16</v>
      </c>
      <c r="R18" s="40" t="s">
        <v>17</v>
      </c>
      <c r="S18" s="40" t="s">
        <v>18</v>
      </c>
      <c r="T18" s="40" t="s">
        <v>19</v>
      </c>
      <c r="U18" s="40" t="s">
        <v>20</v>
      </c>
      <c r="V18" s="40" t="s">
        <v>21</v>
      </c>
      <c r="W18" s="40" t="s">
        <v>22</v>
      </c>
      <c r="X18" s="40" t="s">
        <v>23</v>
      </c>
      <c r="Y18" s="40" t="s">
        <v>24</v>
      </c>
      <c r="Z18" s="40" t="s">
        <v>25</v>
      </c>
      <c r="AA18" s="40" t="s">
        <v>26</v>
      </c>
      <c r="AB18" s="40" t="s">
        <v>27</v>
      </c>
      <c r="AC18" s="40" t="s">
        <v>28</v>
      </c>
      <c r="AD18" s="40" t="s">
        <v>29</v>
      </c>
      <c r="AE18" s="40" t="s">
        <v>30</v>
      </c>
      <c r="AF18" s="40" t="s">
        <v>31</v>
      </c>
      <c r="AG18" s="40" t="s">
        <v>32</v>
      </c>
      <c r="AH18" s="40" t="s">
        <v>33</v>
      </c>
      <c r="AI18" s="40" t="s">
        <v>34</v>
      </c>
      <c r="AJ18" s="40" t="s">
        <v>35</v>
      </c>
      <c r="AK18" s="40" t="s">
        <v>36</v>
      </c>
      <c r="AL18" s="40" t="s">
        <v>37</v>
      </c>
      <c r="AM18" s="40" t="s">
        <v>38</v>
      </c>
      <c r="AN18" s="40" t="s">
        <v>39</v>
      </c>
      <c r="AO18" s="40" t="s">
        <v>40</v>
      </c>
      <c r="AP18" s="40" t="s">
        <v>41</v>
      </c>
      <c r="AQ18" s="40" t="s">
        <v>42</v>
      </c>
      <c r="AR18" s="40" t="s">
        <v>43</v>
      </c>
      <c r="AS18" s="40" t="s">
        <v>44</v>
      </c>
      <c r="AT18" s="40" t="s">
        <v>45</v>
      </c>
      <c r="AU18" s="40" t="s">
        <v>46</v>
      </c>
      <c r="AV18" s="40" t="s">
        <v>47</v>
      </c>
      <c r="AW18" s="40" t="s">
        <v>48</v>
      </c>
      <c r="AX18" s="40" t="s">
        <v>49</v>
      </c>
      <c r="AY18" s="40" t="s">
        <v>50</v>
      </c>
      <c r="AZ18" s="40" t="s">
        <v>51</v>
      </c>
      <c r="BA18" s="40" t="s">
        <v>52</v>
      </c>
      <c r="BB18" s="40" t="s">
        <v>53</v>
      </c>
      <c r="BC18" s="40" t="s">
        <v>54</v>
      </c>
      <c r="BD18" s="40" t="s">
        <v>55</v>
      </c>
      <c r="BE18" s="40" t="s">
        <v>56</v>
      </c>
      <c r="BF18" s="40" t="s">
        <v>57</v>
      </c>
      <c r="BG18" s="40" t="s">
        <v>58</v>
      </c>
      <c r="BH18" s="40" t="s">
        <v>59</v>
      </c>
      <c r="BI18" s="40" t="s">
        <v>60</v>
      </c>
      <c r="BJ18" s="40" t="s">
        <v>61</v>
      </c>
      <c r="BK18" s="40" t="s">
        <v>62</v>
      </c>
      <c r="BL18" s="40" t="s">
        <v>63</v>
      </c>
      <c r="BM18" s="40" t="s">
        <v>64</v>
      </c>
      <c r="BN18" s="40" t="s">
        <v>65</v>
      </c>
      <c r="BO18" s="40" t="s">
        <v>66</v>
      </c>
      <c r="BP18" s="40" t="s">
        <v>67</v>
      </c>
      <c r="BQ18" s="40" t="s">
        <v>68</v>
      </c>
      <c r="BR18" s="40" t="s">
        <v>69</v>
      </c>
      <c r="BS18" s="40" t="s">
        <v>70</v>
      </c>
      <c r="BT18" s="40" t="s">
        <v>71</v>
      </c>
      <c r="BU18" s="40" t="s">
        <v>72</v>
      </c>
      <c r="BV18" s="40" t="s">
        <v>73</v>
      </c>
      <c r="BW18" s="40" t="s">
        <v>74</v>
      </c>
      <c r="BX18" s="40" t="s">
        <v>75</v>
      </c>
      <c r="BY18" s="40" t="s">
        <v>76</v>
      </c>
      <c r="BZ18" s="40" t="s">
        <v>77</v>
      </c>
      <c r="CA18" s="40" t="s">
        <v>78</v>
      </c>
      <c r="CB18" s="40" t="s">
        <v>79</v>
      </c>
      <c r="CC18" s="40" t="s">
        <v>80</v>
      </c>
      <c r="CD18" s="40" t="s">
        <v>81</v>
      </c>
      <c r="CE18" s="40" t="s">
        <v>82</v>
      </c>
      <c r="CF18" s="40" t="s">
        <v>83</v>
      </c>
      <c r="CG18" s="40" t="s">
        <v>84</v>
      </c>
      <c r="CH18" s="40" t="s">
        <v>85</v>
      </c>
      <c r="CI18" s="40" t="s">
        <v>86</v>
      </c>
      <c r="CJ18" s="40" t="s">
        <v>87</v>
      </c>
      <c r="CK18" s="40" t="s">
        <v>88</v>
      </c>
      <c r="CL18" s="40" t="s">
        <v>89</v>
      </c>
      <c r="CM18" s="40" t="s">
        <v>90</v>
      </c>
      <c r="CN18" s="40" t="s">
        <v>91</v>
      </c>
      <c r="CO18" s="40" t="s">
        <v>92</v>
      </c>
      <c r="CP18" s="40" t="s">
        <v>93</v>
      </c>
      <c r="CQ18" s="40" t="s">
        <v>94</v>
      </c>
      <c r="CR18" s="40" t="s">
        <v>95</v>
      </c>
      <c r="CS18" s="40" t="s">
        <v>96</v>
      </c>
      <c r="CT18" s="40" t="s">
        <v>97</v>
      </c>
      <c r="CU18" s="40" t="s">
        <v>98</v>
      </c>
      <c r="CV18" s="40" t="s">
        <v>99</v>
      </c>
      <c r="CW18" s="40" t="s">
        <v>100</v>
      </c>
      <c r="CX18" s="40" t="s">
        <v>101</v>
      </c>
      <c r="CY18" s="40" t="s">
        <v>102</v>
      </c>
      <c r="CZ18" s="40" t="s">
        <v>103</v>
      </c>
      <c r="DA18" s="40" t="s">
        <v>104</v>
      </c>
      <c r="DB18" s="40" t="s">
        <v>105</v>
      </c>
      <c r="DC18" s="40" t="s">
        <v>106</v>
      </c>
      <c r="DD18" s="40" t="s">
        <v>107</v>
      </c>
      <c r="DE18" s="40" t="s">
        <v>108</v>
      </c>
      <c r="DF18" s="40" t="s">
        <v>109</v>
      </c>
      <c r="DG18" s="40" t="s">
        <v>110</v>
      </c>
      <c r="DH18" s="40" t="s">
        <v>111</v>
      </c>
      <c r="DI18" s="40" t="s">
        <v>112</v>
      </c>
      <c r="DJ18" s="40" t="s">
        <v>113</v>
      </c>
      <c r="DK18" s="40" t="s">
        <v>114</v>
      </c>
      <c r="DL18" s="40" t="s">
        <v>115</v>
      </c>
      <c r="DM18" s="40" t="s">
        <v>116</v>
      </c>
      <c r="DN18" s="40" t="s">
        <v>117</v>
      </c>
      <c r="DO18" s="40" t="s">
        <v>118</v>
      </c>
      <c r="DP18" s="40" t="s">
        <v>119</v>
      </c>
      <c r="DQ18" s="40" t="s">
        <v>120</v>
      </c>
      <c r="DR18" s="40" t="s">
        <v>121</v>
      </c>
      <c r="DS18" s="40" t="s">
        <v>122</v>
      </c>
      <c r="DT18" s="40" t="s">
        <v>123</v>
      </c>
      <c r="DU18" s="40" t="s">
        <v>124</v>
      </c>
      <c r="DV18" s="40" t="s">
        <v>125</v>
      </c>
      <c r="DW18" s="40" t="s">
        <v>126</v>
      </c>
      <c r="DX18" s="40" t="s">
        <v>127</v>
      </c>
      <c r="DY18" s="40" t="s">
        <v>128</v>
      </c>
      <c r="DZ18" s="40" t="s">
        <v>129</v>
      </c>
      <c r="EA18" s="40" t="s">
        <v>130</v>
      </c>
      <c r="EB18" s="40" t="s">
        <v>131</v>
      </c>
      <c r="EC18" s="40" t="s">
        <v>132</v>
      </c>
      <c r="ED18" s="41" t="s">
        <v>133</v>
      </c>
      <c r="EE18" s="40" t="s">
        <v>134</v>
      </c>
      <c r="EF18" s="40" t="s">
        <v>135</v>
      </c>
      <c r="EG18" s="4"/>
    </row>
    <row r="19" spans="1:137" ht="16" customHeight="1">
      <c r="A19" s="30"/>
      <c r="B19" s="26" t="s">
        <v>136</v>
      </c>
      <c r="C19" s="31">
        <f t="shared" ref="C19:AH19" si="0">(C3-C11)^2</f>
        <v>4.1986771764414746E-2</v>
      </c>
      <c r="D19" s="31">
        <f t="shared" si="0"/>
        <v>5.4821756868445801E-3</v>
      </c>
      <c r="E19" s="31">
        <f t="shared" si="0"/>
        <v>3.569899882091692E-2</v>
      </c>
      <c r="F19" s="31">
        <f t="shared" si="0"/>
        <v>6.2002672477397885E-3</v>
      </c>
      <c r="G19" s="31">
        <f t="shared" si="0"/>
        <v>9.0422343996294542E-3</v>
      </c>
      <c r="H19" s="31">
        <f t="shared" si="0"/>
        <v>2.0852095692867633E-3</v>
      </c>
      <c r="I19" s="31">
        <f t="shared" si="0"/>
        <v>5.3070497989262996E-3</v>
      </c>
      <c r="J19" s="31">
        <f t="shared" si="0"/>
        <v>1.622312724196503E-3</v>
      </c>
      <c r="K19" s="31">
        <f t="shared" si="0"/>
        <v>2.7851798745880747E-2</v>
      </c>
      <c r="L19" s="31">
        <f t="shared" si="0"/>
        <v>8.5455219692088576E-3</v>
      </c>
      <c r="M19" s="31">
        <f t="shared" si="0"/>
        <v>5.4622464769904927E-3</v>
      </c>
      <c r="N19" s="31">
        <f t="shared" si="0"/>
        <v>1.0629061125990553E-3</v>
      </c>
      <c r="O19" s="31">
        <f t="shared" si="0"/>
        <v>6.3609127939291438E-4</v>
      </c>
      <c r="P19" s="31">
        <f t="shared" si="0"/>
        <v>4.7055184915444515E-3</v>
      </c>
      <c r="Q19" s="31">
        <f t="shared" si="0"/>
        <v>1.3221421956526395E-2</v>
      </c>
      <c r="R19" s="31">
        <f t="shared" si="0"/>
        <v>7.3400285490150656E-4</v>
      </c>
      <c r="S19" s="31">
        <f t="shared" si="0"/>
        <v>1.6282871949037898E-4</v>
      </c>
      <c r="T19" s="31">
        <f t="shared" si="0"/>
        <v>1.2684825008731826E-2</v>
      </c>
      <c r="U19" s="31">
        <f t="shared" si="0"/>
        <v>1.320274999268427E-7</v>
      </c>
      <c r="V19" s="31">
        <f t="shared" si="0"/>
        <v>2.3818581091304721E-4</v>
      </c>
      <c r="W19" s="31">
        <f t="shared" si="0"/>
        <v>8.3310010429469786E-3</v>
      </c>
      <c r="X19" s="31">
        <f t="shared" si="0"/>
        <v>2.4698919597621431E-3</v>
      </c>
      <c r="Y19" s="31">
        <f t="shared" si="0"/>
        <v>9.8696040527281351E-5</v>
      </c>
      <c r="Z19" s="31">
        <f t="shared" si="0"/>
        <v>1.1454900931965267E-4</v>
      </c>
      <c r="AA19" s="31">
        <f t="shared" si="0"/>
        <v>1.457536989232615E-2</v>
      </c>
      <c r="AB19" s="31">
        <f t="shared" si="0"/>
        <v>1.3572447168582403E-2</v>
      </c>
      <c r="AC19" s="31">
        <f t="shared" si="0"/>
        <v>6.2507054893299721E-5</v>
      </c>
      <c r="AD19" s="31">
        <f t="shared" si="0"/>
        <v>5.9095375821972039E-3</v>
      </c>
      <c r="AE19" s="31">
        <f t="shared" si="0"/>
        <v>5.7322568417971279E-5</v>
      </c>
      <c r="AF19" s="31">
        <f t="shared" si="0"/>
        <v>4.4874867333882396E-3</v>
      </c>
      <c r="AG19" s="31">
        <f t="shared" si="0"/>
        <v>3.1425816349310983E-6</v>
      </c>
      <c r="AH19" s="31">
        <f t="shared" si="0"/>
        <v>4.8285252107277654E-4</v>
      </c>
      <c r="AI19" s="31">
        <f t="shared" ref="AI19:BN19" si="1">(AI3-AI11)^2</f>
        <v>4.7516426900745187E-3</v>
      </c>
      <c r="AJ19" s="31">
        <f t="shared" si="1"/>
        <v>1.4759693209394585E-3</v>
      </c>
      <c r="AK19" s="31">
        <f t="shared" si="1"/>
        <v>6.237448527473894E-3</v>
      </c>
      <c r="AL19" s="31">
        <f t="shared" si="1"/>
        <v>2.5446973556301103E-3</v>
      </c>
      <c r="AM19" s="31">
        <f t="shared" si="1"/>
        <v>6.9274302539079764E-6</v>
      </c>
      <c r="AN19" s="31">
        <f t="shared" si="1"/>
        <v>1.7963661792390481E-3</v>
      </c>
      <c r="AO19" s="31">
        <f t="shared" si="1"/>
        <v>5.7610763684669958E-4</v>
      </c>
      <c r="AP19" s="31">
        <f t="shared" si="1"/>
        <v>1.9899781549243649E-3</v>
      </c>
      <c r="AQ19" s="31">
        <f t="shared" si="1"/>
        <v>5.6033851730542247E-2</v>
      </c>
      <c r="AR19" s="31">
        <f t="shared" si="1"/>
        <v>4.9997371269804008E-3</v>
      </c>
      <c r="AS19" s="31">
        <f t="shared" si="1"/>
        <v>3.0008556821222105E-4</v>
      </c>
      <c r="AT19" s="31">
        <f t="shared" si="1"/>
        <v>8.2592607225476667E-3</v>
      </c>
      <c r="AU19" s="31">
        <f t="shared" si="1"/>
        <v>1.046301210879148E-3</v>
      </c>
      <c r="AV19" s="31">
        <f t="shared" si="1"/>
        <v>8.9176603152782094E-4</v>
      </c>
      <c r="AW19" s="31">
        <f t="shared" si="1"/>
        <v>7.1189444664389713E-4</v>
      </c>
      <c r="AX19" s="31">
        <f t="shared" si="1"/>
        <v>8.0210784387066121E-4</v>
      </c>
      <c r="AY19" s="31">
        <f t="shared" si="1"/>
        <v>6.275291763061197E-4</v>
      </c>
      <c r="AZ19" s="31">
        <f t="shared" si="1"/>
        <v>1.0723694107714594E-5</v>
      </c>
      <c r="BA19" s="31">
        <f t="shared" si="1"/>
        <v>1.8380061102643225E-4</v>
      </c>
      <c r="BB19" s="31">
        <f t="shared" si="1"/>
        <v>1.7073175400575393E-3</v>
      </c>
      <c r="BC19" s="31">
        <f t="shared" si="1"/>
        <v>5.9769035987784934E-3</v>
      </c>
      <c r="BD19" s="31">
        <f t="shared" si="1"/>
        <v>3.4487189488048723E-3</v>
      </c>
      <c r="BE19" s="31">
        <f t="shared" si="1"/>
        <v>4.8204150725827044E-4</v>
      </c>
      <c r="BF19" s="31">
        <f t="shared" si="1"/>
        <v>5.5920389021498111E-3</v>
      </c>
      <c r="BG19" s="31">
        <f t="shared" si="1"/>
        <v>9.2543007236730229E-5</v>
      </c>
      <c r="BH19" s="31">
        <f t="shared" si="1"/>
        <v>6.1862090006922091E-3</v>
      </c>
      <c r="BI19" s="31">
        <f t="shared" si="1"/>
        <v>1.3791704729557571E-3</v>
      </c>
      <c r="BJ19" s="31">
        <f t="shared" si="1"/>
        <v>5.4010140270427396E-3</v>
      </c>
      <c r="BK19" s="31">
        <f t="shared" si="1"/>
        <v>2.0993540113774862E-5</v>
      </c>
      <c r="BL19" s="31">
        <f t="shared" si="1"/>
        <v>1.1988261384178738E-3</v>
      </c>
      <c r="BM19" s="31">
        <f t="shared" si="1"/>
        <v>4.9633882032641503E-3</v>
      </c>
      <c r="BN19" s="31">
        <f t="shared" si="1"/>
        <v>8.6862716625923041E-4</v>
      </c>
      <c r="BO19" s="31">
        <f t="shared" ref="BO19:CT19" si="2">(BO3-BO11)^2</f>
        <v>3.3918924721720212E-3</v>
      </c>
      <c r="BP19" s="31">
        <f t="shared" si="2"/>
        <v>2.3702853001494827E-3</v>
      </c>
      <c r="BQ19" s="31">
        <f t="shared" si="2"/>
        <v>9.4532305949204993E-4</v>
      </c>
      <c r="BR19" s="31">
        <f t="shared" si="2"/>
        <v>1.8692196137978622E-3</v>
      </c>
      <c r="BS19" s="31">
        <f t="shared" si="2"/>
        <v>3.6714880210274013E-3</v>
      </c>
      <c r="BT19" s="31">
        <f t="shared" si="2"/>
        <v>2.4362392793293012E-4</v>
      </c>
      <c r="BU19" s="31">
        <f t="shared" si="2"/>
        <v>3.0531241540840539E-4</v>
      </c>
      <c r="BV19" s="31">
        <f t="shared" si="2"/>
        <v>9.7855149534449863E-5</v>
      </c>
      <c r="BW19" s="31">
        <f t="shared" si="2"/>
        <v>7.01077656736888E-3</v>
      </c>
      <c r="BX19" s="31">
        <f t="shared" si="2"/>
        <v>5.2243450318560484E-4</v>
      </c>
      <c r="BY19" s="31">
        <f t="shared" si="2"/>
        <v>2.2835929989595689E-4</v>
      </c>
      <c r="BZ19" s="31">
        <f t="shared" si="2"/>
        <v>3.360127731184426E-3</v>
      </c>
      <c r="CA19" s="31">
        <f t="shared" si="2"/>
        <v>1.5887155880077893E-2</v>
      </c>
      <c r="CB19" s="31">
        <f t="shared" si="2"/>
        <v>1.5374792893446286E-4</v>
      </c>
      <c r="CC19" s="31">
        <f t="shared" si="2"/>
        <v>3.79816110969387E-4</v>
      </c>
      <c r="CD19" s="31">
        <f t="shared" si="2"/>
        <v>1.8586867648462732E-4</v>
      </c>
      <c r="CE19" s="31">
        <f t="shared" si="2"/>
        <v>1.1613982849959566E-2</v>
      </c>
      <c r="CF19" s="31">
        <f t="shared" si="2"/>
        <v>7.1200655413197745E-4</v>
      </c>
      <c r="CG19" s="31">
        <f t="shared" si="2"/>
        <v>4.8062641509894156E-3</v>
      </c>
      <c r="CH19" s="31">
        <f t="shared" si="2"/>
        <v>7.6006091605265056E-3</v>
      </c>
      <c r="CI19" s="31">
        <f t="shared" si="2"/>
        <v>1.456012943814041E-4</v>
      </c>
      <c r="CJ19" s="31">
        <f t="shared" si="2"/>
        <v>3.4728469196474866E-7</v>
      </c>
      <c r="CK19" s="31">
        <f t="shared" si="2"/>
        <v>1.0984806850515755E-2</v>
      </c>
      <c r="CL19" s="31">
        <f t="shared" si="2"/>
        <v>3.3941142096895188E-4</v>
      </c>
      <c r="CM19" s="31">
        <f t="shared" si="2"/>
        <v>1.0713603935268697E-3</v>
      </c>
      <c r="CN19" s="31">
        <f t="shared" si="2"/>
        <v>3.4412746979199274E-3</v>
      </c>
      <c r="CO19" s="31">
        <f t="shared" si="2"/>
        <v>2.6285469056215385E-2</v>
      </c>
      <c r="CP19" s="31">
        <f t="shared" si="2"/>
        <v>2.4980664621127497E-3</v>
      </c>
      <c r="CQ19" s="31">
        <f t="shared" si="2"/>
        <v>1.4363589311640194E-3</v>
      </c>
      <c r="CR19" s="31">
        <f t="shared" si="2"/>
        <v>4.8013415163226011E-5</v>
      </c>
      <c r="CS19" s="31">
        <f t="shared" si="2"/>
        <v>3.134679339072292E-3</v>
      </c>
      <c r="CT19" s="31">
        <f t="shared" si="2"/>
        <v>1.1492743782559493E-2</v>
      </c>
      <c r="CU19" s="31">
        <f t="shared" ref="CU19:DZ19" si="3">(CU3-CU11)^2</f>
        <v>6.9049807897109336E-3</v>
      </c>
      <c r="CV19" s="31">
        <f t="shared" si="3"/>
        <v>3.9662958213162536E-3</v>
      </c>
      <c r="CW19" s="31">
        <f t="shared" si="3"/>
        <v>3.7052443421549657E-4</v>
      </c>
      <c r="CX19" s="31">
        <f t="shared" si="3"/>
        <v>3.2665124418087299E-3</v>
      </c>
      <c r="CY19" s="31">
        <f t="shared" si="3"/>
        <v>8.8669934471917816E-5</v>
      </c>
      <c r="CZ19" s="31">
        <f t="shared" si="3"/>
        <v>2.2470959560369036E-4</v>
      </c>
      <c r="DA19" s="31">
        <f t="shared" si="3"/>
        <v>5.327561026132611E-4</v>
      </c>
      <c r="DB19" s="31">
        <f t="shared" si="3"/>
        <v>1.5399724279522907E-3</v>
      </c>
      <c r="DC19" s="31">
        <f t="shared" si="3"/>
        <v>6.6111613213495476E-5</v>
      </c>
      <c r="DD19" s="31">
        <f t="shared" si="3"/>
        <v>1.3901878299502344E-2</v>
      </c>
      <c r="DE19" s="31">
        <f t="shared" si="3"/>
        <v>4.1517488471342024E-3</v>
      </c>
      <c r="DF19" s="31">
        <f t="shared" si="3"/>
        <v>4.6313403723498726E-3</v>
      </c>
      <c r="DG19" s="31">
        <f t="shared" si="3"/>
        <v>1.2518842026241568E-3</v>
      </c>
      <c r="DH19" s="31">
        <f t="shared" si="3"/>
        <v>5.1963532177150591E-5</v>
      </c>
      <c r="DI19" s="31">
        <f t="shared" si="3"/>
        <v>1.7218649692488305E-2</v>
      </c>
      <c r="DJ19" s="31">
        <f t="shared" si="3"/>
        <v>6.1715437429285917E-3</v>
      </c>
      <c r="DK19" s="31">
        <f t="shared" si="3"/>
        <v>1.8343482855788895E-3</v>
      </c>
      <c r="DL19" s="31">
        <f t="shared" si="3"/>
        <v>4.9155882420249365E-5</v>
      </c>
      <c r="DM19" s="31">
        <f t="shared" si="3"/>
        <v>6.7313200627642624E-3</v>
      </c>
      <c r="DN19" s="31">
        <f t="shared" si="3"/>
        <v>5.7476838821116474E-4</v>
      </c>
      <c r="DO19" s="31">
        <f t="shared" si="3"/>
        <v>1.7133956638987171E-2</v>
      </c>
      <c r="DP19" s="31">
        <f t="shared" si="3"/>
        <v>4.6025586160084366E-3</v>
      </c>
      <c r="DQ19" s="31">
        <f t="shared" si="3"/>
        <v>4.2293061459561959E-4</v>
      </c>
      <c r="DR19" s="31">
        <f t="shared" si="3"/>
        <v>1.2131103257389292E-5</v>
      </c>
      <c r="DS19" s="31">
        <f t="shared" si="3"/>
        <v>1.4338478243649659E-3</v>
      </c>
      <c r="DT19" s="31">
        <f t="shared" si="3"/>
        <v>4.0108123999204679E-5</v>
      </c>
      <c r="DU19" s="31">
        <f t="shared" si="3"/>
        <v>4.9884652568950461E-5</v>
      </c>
      <c r="DV19" s="31">
        <f t="shared" si="3"/>
        <v>7.2129522285864283E-5</v>
      </c>
      <c r="DW19" s="31">
        <f t="shared" si="3"/>
        <v>8.2682135567073412E-4</v>
      </c>
      <c r="DX19" s="31">
        <f t="shared" si="3"/>
        <v>2.0970293042311843E-3</v>
      </c>
      <c r="DY19" s="31">
        <f t="shared" si="3"/>
        <v>4.619488268987451E-3</v>
      </c>
      <c r="DZ19" s="31">
        <f t="shared" si="3"/>
        <v>3.3831707784955814E-3</v>
      </c>
      <c r="EA19" s="31">
        <f t="shared" ref="EA19:EF19" si="4">(EA3-EA11)^2</f>
        <v>2.6504790519109143E-4</v>
      </c>
      <c r="EB19" s="31">
        <f t="shared" si="4"/>
        <v>1.2486059471242943E-2</v>
      </c>
      <c r="EC19" s="31">
        <f t="shared" si="4"/>
        <v>4.6231145936731343E-3</v>
      </c>
      <c r="ED19" s="31">
        <f t="shared" si="4"/>
        <v>6.5824169218915663E-4</v>
      </c>
      <c r="EE19" s="31">
        <f t="shared" si="4"/>
        <v>1.5783757876355808E-4</v>
      </c>
      <c r="EF19" s="31">
        <f t="shared" si="4"/>
        <v>7.9355732744062369E-3</v>
      </c>
      <c r="EG19" s="4"/>
    </row>
    <row r="20" spans="1:137" ht="16" customHeight="1">
      <c r="A20" s="30"/>
      <c r="B20" s="26" t="s">
        <v>137</v>
      </c>
      <c r="C20" s="31">
        <f t="shared" ref="C20:AH20" si="5">(C4-C12)^2</f>
        <v>5.7813549522931489E-2</v>
      </c>
      <c r="D20" s="31">
        <f t="shared" si="5"/>
        <v>8.3650563413184192E-2</v>
      </c>
      <c r="E20" s="31">
        <f t="shared" si="5"/>
        <v>5.6132558145915494E-2</v>
      </c>
      <c r="F20" s="31">
        <f t="shared" si="5"/>
        <v>8.760033219368113E-2</v>
      </c>
      <c r="G20" s="31">
        <f t="shared" si="5"/>
        <v>2.7976087052107246E-2</v>
      </c>
      <c r="H20" s="31">
        <f t="shared" si="5"/>
        <v>0.29964848464778282</v>
      </c>
      <c r="I20" s="31">
        <f t="shared" si="5"/>
        <v>0.36012275147128348</v>
      </c>
      <c r="J20" s="31">
        <f t="shared" si="5"/>
        <v>0.34330757525731487</v>
      </c>
      <c r="K20" s="31">
        <f t="shared" si="5"/>
        <v>0.66635633231842128</v>
      </c>
      <c r="L20" s="31">
        <f t="shared" si="5"/>
        <v>0.11701924882777327</v>
      </c>
      <c r="M20" s="31">
        <f t="shared" si="5"/>
        <v>0.33628681791826853</v>
      </c>
      <c r="N20" s="31">
        <f t="shared" si="5"/>
        <v>8.7261792630748417E-2</v>
      </c>
      <c r="O20" s="31">
        <f t="shared" si="5"/>
        <v>0.13434619899132677</v>
      </c>
      <c r="P20" s="31">
        <f t="shared" si="5"/>
        <v>3.2417501030898042E-2</v>
      </c>
      <c r="Q20" s="31">
        <f t="shared" si="5"/>
        <v>1.9271179091667957E-2</v>
      </c>
      <c r="R20" s="31">
        <f t="shared" si="5"/>
        <v>4.9759316568865029E-2</v>
      </c>
      <c r="S20" s="31">
        <f t="shared" si="5"/>
        <v>2.5881274763306605E-2</v>
      </c>
      <c r="T20" s="31">
        <f t="shared" si="5"/>
        <v>2.1647079391100672E-2</v>
      </c>
      <c r="U20" s="31">
        <f t="shared" si="5"/>
        <v>3.4637987378133277E-2</v>
      </c>
      <c r="V20" s="31">
        <f t="shared" si="5"/>
        <v>2.5709694926453922E-2</v>
      </c>
      <c r="W20" s="31">
        <f t="shared" si="5"/>
        <v>1.5886778242180436E-2</v>
      </c>
      <c r="X20" s="31">
        <f t="shared" si="5"/>
        <v>8.9589731937644065E-2</v>
      </c>
      <c r="Y20" s="31">
        <f t="shared" si="5"/>
        <v>0.19753442686794065</v>
      </c>
      <c r="Z20" s="31">
        <f t="shared" si="5"/>
        <v>0.2143318241894987</v>
      </c>
      <c r="AA20" s="31">
        <f t="shared" si="5"/>
        <v>0.28204893137999992</v>
      </c>
      <c r="AB20" s="31">
        <f t="shared" si="5"/>
        <v>0.21887153862184408</v>
      </c>
      <c r="AC20" s="31">
        <f t="shared" si="5"/>
        <v>0.16311654989362262</v>
      </c>
      <c r="AD20" s="31">
        <f t="shared" si="5"/>
        <v>7.8184095550246344E-2</v>
      </c>
      <c r="AE20" s="31">
        <f t="shared" si="5"/>
        <v>4.1872086932885223E-2</v>
      </c>
      <c r="AF20" s="31">
        <f t="shared" si="5"/>
        <v>4.7801784019328025E-2</v>
      </c>
      <c r="AG20" s="31">
        <f t="shared" si="5"/>
        <v>5.3156266098149767E-2</v>
      </c>
      <c r="AH20" s="31">
        <f t="shared" si="5"/>
        <v>7.5825092013373188E-2</v>
      </c>
      <c r="AI20" s="31">
        <f t="shared" ref="AI20:BN20" si="6">(AI4-AI12)^2</f>
        <v>5.148845211820794E-2</v>
      </c>
      <c r="AJ20" s="31">
        <f t="shared" si="6"/>
        <v>8.9522280493979861E-4</v>
      </c>
      <c r="AK20" s="31">
        <f t="shared" si="6"/>
        <v>5.4851912678932149E-3</v>
      </c>
      <c r="AL20" s="31">
        <f t="shared" si="6"/>
        <v>1.0844846722604546E-2</v>
      </c>
      <c r="AM20" s="31">
        <f t="shared" si="6"/>
        <v>3.4293741116444558E-2</v>
      </c>
      <c r="AN20" s="31">
        <f t="shared" si="6"/>
        <v>0.12170355427221533</v>
      </c>
      <c r="AO20" s="31">
        <f t="shared" si="6"/>
        <v>0.15619686077938863</v>
      </c>
      <c r="AP20" s="31">
        <f t="shared" si="6"/>
        <v>8.29981343349704E-2</v>
      </c>
      <c r="AQ20" s="31">
        <f t="shared" si="6"/>
        <v>0.10113024266510817</v>
      </c>
      <c r="AR20" s="31">
        <f t="shared" si="6"/>
        <v>9.2192132521376161E-2</v>
      </c>
      <c r="AS20" s="31">
        <f t="shared" si="6"/>
        <v>0.10217337822425698</v>
      </c>
      <c r="AT20" s="31">
        <f t="shared" si="6"/>
        <v>8.6802929991431979E-2</v>
      </c>
      <c r="AU20" s="31">
        <f t="shared" si="6"/>
        <v>3.6437146780915267E-2</v>
      </c>
      <c r="AV20" s="31">
        <f t="shared" si="6"/>
        <v>2.0844468099085373E-2</v>
      </c>
      <c r="AW20" s="31">
        <f t="shared" si="6"/>
        <v>3.1282697197115385E-2</v>
      </c>
      <c r="AX20" s="31">
        <f t="shared" si="6"/>
        <v>2.0639946947833476E-3</v>
      </c>
      <c r="AY20" s="31">
        <f t="shared" si="6"/>
        <v>7.5274675591733E-3</v>
      </c>
      <c r="AZ20" s="31">
        <f t="shared" si="6"/>
        <v>2.3967026393884767E-2</v>
      </c>
      <c r="BA20" s="31">
        <f t="shared" si="6"/>
        <v>3.9196883747738753E-3</v>
      </c>
      <c r="BB20" s="31">
        <f t="shared" si="6"/>
        <v>5.2221591345575681E-4</v>
      </c>
      <c r="BC20" s="31">
        <f t="shared" si="6"/>
        <v>2.7944867030335972E-2</v>
      </c>
      <c r="BD20" s="31">
        <f t="shared" si="6"/>
        <v>1.7413211729758959E-2</v>
      </c>
      <c r="BE20" s="31">
        <f t="shared" si="6"/>
        <v>4.3944216715118722E-2</v>
      </c>
      <c r="BF20" s="31">
        <f t="shared" si="6"/>
        <v>2.6000779756318069E-2</v>
      </c>
      <c r="BG20" s="31">
        <f t="shared" si="6"/>
        <v>2.2695600469351297E-2</v>
      </c>
      <c r="BH20" s="31">
        <f t="shared" si="6"/>
        <v>5.2173963680289599E-2</v>
      </c>
      <c r="BI20" s="31">
        <f t="shared" si="6"/>
        <v>7.2435426391952426E-2</v>
      </c>
      <c r="BJ20" s="31">
        <f t="shared" si="6"/>
        <v>0.10368465552131353</v>
      </c>
      <c r="BK20" s="31">
        <f t="shared" si="6"/>
        <v>4.2602155295649848E-2</v>
      </c>
      <c r="BL20" s="31">
        <f t="shared" si="6"/>
        <v>4.5050887677447696E-3</v>
      </c>
      <c r="BM20" s="31">
        <f t="shared" si="6"/>
        <v>1.1296053481899389E-2</v>
      </c>
      <c r="BN20" s="31">
        <f t="shared" si="6"/>
        <v>4.5662679464959242E-7</v>
      </c>
      <c r="BO20" s="31">
        <f t="shared" ref="BO20:CT20" si="7">(BO4-BO12)^2</f>
        <v>1.2805663100403898E-3</v>
      </c>
      <c r="BP20" s="31">
        <f t="shared" si="7"/>
        <v>5.1133737164182807E-3</v>
      </c>
      <c r="BQ20" s="31">
        <f t="shared" si="7"/>
        <v>6.236044695442847E-3</v>
      </c>
      <c r="BR20" s="31">
        <f t="shared" si="7"/>
        <v>1.0334826557025721E-2</v>
      </c>
      <c r="BS20" s="31">
        <f t="shared" si="7"/>
        <v>2.4642568153166351E-2</v>
      </c>
      <c r="BT20" s="31">
        <f t="shared" si="7"/>
        <v>1.2334971454373805E-5</v>
      </c>
      <c r="BU20" s="31">
        <f t="shared" si="7"/>
        <v>1.1631161229496177E-4</v>
      </c>
      <c r="BV20" s="31">
        <f t="shared" si="7"/>
        <v>2.2725720840684364E-2</v>
      </c>
      <c r="BW20" s="31">
        <f t="shared" si="7"/>
        <v>1.0325128177583866E-3</v>
      </c>
      <c r="BX20" s="31">
        <f t="shared" si="7"/>
        <v>1.0692062985806662E-4</v>
      </c>
      <c r="BY20" s="31">
        <f t="shared" si="7"/>
        <v>3.3135417812089236E-3</v>
      </c>
      <c r="BZ20" s="31">
        <f t="shared" si="7"/>
        <v>2.9869768774172748E-3</v>
      </c>
      <c r="CA20" s="31">
        <f t="shared" si="7"/>
        <v>2.4531185942508749E-3</v>
      </c>
      <c r="CB20" s="31">
        <f t="shared" si="7"/>
        <v>3.4223083753103282E-2</v>
      </c>
      <c r="CC20" s="31">
        <f t="shared" si="7"/>
        <v>2.3976443904177677E-2</v>
      </c>
      <c r="CD20" s="31">
        <f t="shared" si="7"/>
        <v>1.4745222070793686E-2</v>
      </c>
      <c r="CE20" s="31">
        <f t="shared" si="7"/>
        <v>3.1494288603782982E-3</v>
      </c>
      <c r="CF20" s="31">
        <f t="shared" si="7"/>
        <v>1.7940359355382947E-3</v>
      </c>
      <c r="CG20" s="31">
        <f t="shared" si="7"/>
        <v>2.7842574557063529E-2</v>
      </c>
      <c r="CH20" s="31">
        <f t="shared" si="7"/>
        <v>2.967060472129246E-2</v>
      </c>
      <c r="CI20" s="31">
        <f t="shared" si="7"/>
        <v>3.6049079588744329E-2</v>
      </c>
      <c r="CJ20" s="31">
        <f t="shared" si="7"/>
        <v>5.1722882212212858E-3</v>
      </c>
      <c r="CK20" s="31">
        <f t="shared" si="7"/>
        <v>2.9894550631446946E-2</v>
      </c>
      <c r="CL20" s="31">
        <f t="shared" si="7"/>
        <v>2.503449479914505E-2</v>
      </c>
      <c r="CM20" s="31">
        <f t="shared" si="7"/>
        <v>3.9011827992710843E-2</v>
      </c>
      <c r="CN20" s="31">
        <f t="shared" si="7"/>
        <v>8.292322839101543E-3</v>
      </c>
      <c r="CO20" s="31">
        <f t="shared" si="7"/>
        <v>3.556035325432564E-2</v>
      </c>
      <c r="CP20" s="31">
        <f t="shared" si="7"/>
        <v>4.3317888639965677E-2</v>
      </c>
      <c r="CQ20" s="31">
        <f t="shared" si="7"/>
        <v>4.5446618134310779E-3</v>
      </c>
      <c r="CR20" s="31">
        <f t="shared" si="7"/>
        <v>5.102730185644222E-2</v>
      </c>
      <c r="CS20" s="31">
        <f t="shared" si="7"/>
        <v>1.4563597452431689E-2</v>
      </c>
      <c r="CT20" s="31">
        <f t="shared" si="7"/>
        <v>4.5071164642898419E-2</v>
      </c>
      <c r="CU20" s="31">
        <f t="shared" ref="CU20:DZ20" si="8">(CU4-CU12)^2</f>
        <v>7.8199298992983349E-2</v>
      </c>
      <c r="CV20" s="31">
        <f t="shared" si="8"/>
        <v>2.1906301277799418E-2</v>
      </c>
      <c r="CW20" s="31">
        <f t="shared" si="8"/>
        <v>5.1821472044716085E-2</v>
      </c>
      <c r="CX20" s="31">
        <f t="shared" si="8"/>
        <v>9.2246951428141294E-2</v>
      </c>
      <c r="CY20" s="31">
        <f t="shared" si="8"/>
        <v>1.0813139230424443E-2</v>
      </c>
      <c r="CZ20" s="31">
        <f t="shared" si="8"/>
        <v>5.2141318263259975E-2</v>
      </c>
      <c r="DA20" s="31">
        <f t="shared" si="8"/>
        <v>9.2897361468054898E-2</v>
      </c>
      <c r="DB20" s="31">
        <f t="shared" si="8"/>
        <v>0.19342538123448008</v>
      </c>
      <c r="DC20" s="31">
        <f t="shared" si="8"/>
        <v>6.436162050990421E-2</v>
      </c>
      <c r="DD20" s="31">
        <f t="shared" si="8"/>
        <v>5.0479149011860729E-2</v>
      </c>
      <c r="DE20" s="31">
        <f t="shared" si="8"/>
        <v>3.3273625049803717E-3</v>
      </c>
      <c r="DF20" s="31">
        <f t="shared" si="8"/>
        <v>8.4304836980606587E-3</v>
      </c>
      <c r="DG20" s="31">
        <f t="shared" si="8"/>
        <v>1.0236609780108423E-3</v>
      </c>
      <c r="DH20" s="31">
        <f t="shared" si="8"/>
        <v>9.0644529440455388E-4</v>
      </c>
      <c r="DI20" s="31">
        <f t="shared" si="8"/>
        <v>4.7156457201110516E-3</v>
      </c>
      <c r="DJ20" s="31">
        <f t="shared" si="8"/>
        <v>2.7948901271086436E-2</v>
      </c>
      <c r="DK20" s="31">
        <f t="shared" si="8"/>
        <v>8.1468029939763925E-5</v>
      </c>
      <c r="DL20" s="31">
        <f t="shared" si="8"/>
        <v>6.2141925113616339E-3</v>
      </c>
      <c r="DM20" s="31">
        <f t="shared" si="8"/>
        <v>3.4841301744794585E-2</v>
      </c>
      <c r="DN20" s="31">
        <f t="shared" si="8"/>
        <v>1.9853558053748561E-3</v>
      </c>
      <c r="DO20" s="31">
        <f t="shared" si="8"/>
        <v>0.10024128138793433</v>
      </c>
      <c r="DP20" s="31">
        <f t="shared" si="8"/>
        <v>0.17123448627511831</v>
      </c>
      <c r="DQ20" s="31">
        <f t="shared" si="8"/>
        <v>0.18606834490666213</v>
      </c>
      <c r="DR20" s="31">
        <f t="shared" si="8"/>
        <v>0.11616789408383729</v>
      </c>
      <c r="DS20" s="31">
        <f t="shared" si="8"/>
        <v>7.481863943034163E-2</v>
      </c>
      <c r="DT20" s="31">
        <f t="shared" si="8"/>
        <v>6.1876233201098835E-2</v>
      </c>
      <c r="DU20" s="31">
        <f t="shared" si="8"/>
        <v>3.5842250827639276E-2</v>
      </c>
      <c r="DV20" s="31">
        <f t="shared" si="8"/>
        <v>2.8066548192203129E-2</v>
      </c>
      <c r="DW20" s="31">
        <f t="shared" si="8"/>
        <v>4.301051228850547E-2</v>
      </c>
      <c r="DX20" s="31">
        <f t="shared" si="8"/>
        <v>2.6688237335650466E-2</v>
      </c>
      <c r="DY20" s="31">
        <f t="shared" si="8"/>
        <v>1.2367529302442833E-2</v>
      </c>
      <c r="DZ20" s="31">
        <f t="shared" si="8"/>
        <v>7.9103278987105712E-3</v>
      </c>
      <c r="EA20" s="31">
        <f t="shared" ref="EA20:EF20" si="9">(EA4-EA12)^2</f>
        <v>2.9118978181676197E-3</v>
      </c>
      <c r="EB20" s="31">
        <f t="shared" si="9"/>
        <v>1.1203746801922839E-2</v>
      </c>
      <c r="EC20" s="31">
        <f t="shared" si="9"/>
        <v>1.4706599132808584E-2</v>
      </c>
      <c r="ED20" s="31">
        <f t="shared" si="9"/>
        <v>0.11725052820833881</v>
      </c>
      <c r="EE20" s="31">
        <f t="shared" si="9"/>
        <v>0.19843390522441967</v>
      </c>
      <c r="EF20" s="31">
        <f t="shared" si="9"/>
        <v>0.48495232502550539</v>
      </c>
      <c r="EG20" s="4"/>
    </row>
    <row r="21" spans="1:137" ht="16" customHeight="1">
      <c r="A21" s="30"/>
      <c r="B21" s="26" t="s">
        <v>138</v>
      </c>
      <c r="C21" s="31">
        <f t="shared" ref="C21:AH21" si="10">(C5-C13)^2</f>
        <v>2.3826468237993274E-2</v>
      </c>
      <c r="D21" s="31">
        <f t="shared" si="10"/>
        <v>2.9917410757345289E-2</v>
      </c>
      <c r="E21" s="31">
        <f t="shared" si="10"/>
        <v>3.659339948127778E-2</v>
      </c>
      <c r="F21" s="31">
        <f t="shared" si="10"/>
        <v>1.1259279307051521E-4</v>
      </c>
      <c r="G21" s="31">
        <f t="shared" si="10"/>
        <v>7.2502464202680666E-2</v>
      </c>
      <c r="H21" s="31">
        <f t="shared" si="10"/>
        <v>0.17650205861024132</v>
      </c>
      <c r="I21" s="31">
        <f t="shared" si="10"/>
        <v>0.3733269674242401</v>
      </c>
      <c r="J21" s="31">
        <f t="shared" si="10"/>
        <v>0.19110425684861193</v>
      </c>
      <c r="K21" s="31">
        <f t="shared" si="10"/>
        <v>8.6372244899860867E-2</v>
      </c>
      <c r="L21" s="31">
        <f t="shared" si="10"/>
        <v>4.8919195805471355E-2</v>
      </c>
      <c r="M21" s="31">
        <f t="shared" si="10"/>
        <v>6.5308674547440188E-2</v>
      </c>
      <c r="N21" s="31">
        <f t="shared" si="10"/>
        <v>7.6110861783922096E-2</v>
      </c>
      <c r="O21" s="31">
        <f t="shared" si="10"/>
        <v>3.6423267362479059E-3</v>
      </c>
      <c r="P21" s="31">
        <f t="shared" si="10"/>
        <v>1.2677182449761744E-2</v>
      </c>
      <c r="Q21" s="31">
        <f t="shared" si="10"/>
        <v>8.8287560383289009E-3</v>
      </c>
      <c r="R21" s="31">
        <f t="shared" si="10"/>
        <v>1.6131607194839579E-3</v>
      </c>
      <c r="S21" s="31">
        <f t="shared" si="10"/>
        <v>1.0379316098804183E-3</v>
      </c>
      <c r="T21" s="31">
        <f t="shared" si="10"/>
        <v>6.8083531732273522E-3</v>
      </c>
      <c r="U21" s="31">
        <f t="shared" si="10"/>
        <v>0.27831639938777664</v>
      </c>
      <c r="V21" s="31">
        <f t="shared" si="10"/>
        <v>0.19836068616284563</v>
      </c>
      <c r="W21" s="31">
        <f t="shared" si="10"/>
        <v>8.8857759603096872E-2</v>
      </c>
      <c r="X21" s="31">
        <f t="shared" si="10"/>
        <v>0.19348671962725653</v>
      </c>
      <c r="Y21" s="31">
        <f t="shared" si="10"/>
        <v>0.25764657923476519</v>
      </c>
      <c r="Z21" s="31">
        <f t="shared" si="10"/>
        <v>0.10573911809149332</v>
      </c>
      <c r="AA21" s="31">
        <f t="shared" si="10"/>
        <v>5.7094301013876934E-2</v>
      </c>
      <c r="AB21" s="31">
        <f t="shared" si="10"/>
        <v>5.4545689405688389E-3</v>
      </c>
      <c r="AC21" s="31">
        <f t="shared" si="10"/>
        <v>1.7009645495546979E-2</v>
      </c>
      <c r="AD21" s="31">
        <f t="shared" si="10"/>
        <v>2.1833241197528202E-2</v>
      </c>
      <c r="AE21" s="31">
        <f t="shared" si="10"/>
        <v>2.4010156227496342E-2</v>
      </c>
      <c r="AF21" s="31">
        <f t="shared" si="10"/>
        <v>1.1519913580346012E-2</v>
      </c>
      <c r="AG21" s="31">
        <f t="shared" si="10"/>
        <v>4.5837971231335491E-2</v>
      </c>
      <c r="AH21" s="31">
        <f t="shared" si="10"/>
        <v>2.3829326733562618E-2</v>
      </c>
      <c r="AI21" s="31">
        <f t="shared" ref="AI21:BN21" si="11">(AI5-AI13)^2</f>
        <v>0.10006881088845472</v>
      </c>
      <c r="AJ21" s="31">
        <f t="shared" si="11"/>
        <v>0.10723209133877819</v>
      </c>
      <c r="AK21" s="31">
        <f t="shared" si="11"/>
        <v>2.4828182384917985E-7</v>
      </c>
      <c r="AL21" s="31">
        <f t="shared" si="11"/>
        <v>8.3639979510770415E-3</v>
      </c>
      <c r="AM21" s="31">
        <f t="shared" si="11"/>
        <v>4.3754013444754151E-2</v>
      </c>
      <c r="AN21" s="31">
        <f t="shared" si="11"/>
        <v>2.4881212049554451E-2</v>
      </c>
      <c r="AO21" s="31">
        <f t="shared" si="11"/>
        <v>4.5520722887805815E-2</v>
      </c>
      <c r="AP21" s="31">
        <f t="shared" si="11"/>
        <v>1.3327627034938552E-2</v>
      </c>
      <c r="AQ21" s="31">
        <f t="shared" si="11"/>
        <v>5.1432900490410792E-2</v>
      </c>
      <c r="AR21" s="31">
        <f t="shared" si="11"/>
        <v>2.2051386513364281E-2</v>
      </c>
      <c r="AS21" s="31">
        <f t="shared" si="11"/>
        <v>3.0044539289673763E-2</v>
      </c>
      <c r="AT21" s="31">
        <f t="shared" si="11"/>
        <v>5.3507127719813166E-4</v>
      </c>
      <c r="AU21" s="31">
        <f t="shared" si="11"/>
        <v>7.5047560301241497E-4</v>
      </c>
      <c r="AV21" s="31">
        <f t="shared" si="11"/>
        <v>1.164085399391704E-4</v>
      </c>
      <c r="AW21" s="31">
        <f t="shared" si="11"/>
        <v>2.6000827738291314E-2</v>
      </c>
      <c r="AX21" s="31">
        <f t="shared" si="11"/>
        <v>8.5063255369239102E-4</v>
      </c>
      <c r="AY21" s="31">
        <f t="shared" si="11"/>
        <v>9.8902164010881574E-2</v>
      </c>
      <c r="AZ21" s="31">
        <f t="shared" si="11"/>
        <v>4.8896687782998625E-2</v>
      </c>
      <c r="BA21" s="31">
        <f t="shared" si="11"/>
        <v>4.8306711328007429E-2</v>
      </c>
      <c r="BB21" s="31">
        <f t="shared" si="11"/>
        <v>4.7996345158808004E-3</v>
      </c>
      <c r="BC21" s="31">
        <f t="shared" si="11"/>
        <v>4.8968195748341832E-2</v>
      </c>
      <c r="BD21" s="31">
        <f t="shared" si="11"/>
        <v>2.4345397270604613E-2</v>
      </c>
      <c r="BE21" s="31">
        <f t="shared" si="11"/>
        <v>0.14811029203550888</v>
      </c>
      <c r="BF21" s="31">
        <f t="shared" si="11"/>
        <v>0.20364875087298778</v>
      </c>
      <c r="BG21" s="31">
        <f t="shared" si="11"/>
        <v>0.20123579419795995</v>
      </c>
      <c r="BH21" s="31">
        <f t="shared" si="11"/>
        <v>8.5159363024980603E-2</v>
      </c>
      <c r="BI21" s="31">
        <f t="shared" si="11"/>
        <v>6.9206833427085765E-2</v>
      </c>
      <c r="BJ21" s="31">
        <f t="shared" si="11"/>
        <v>4.3908975622117648E-4</v>
      </c>
      <c r="BK21" s="31">
        <f t="shared" si="11"/>
        <v>1.9079578219750305E-2</v>
      </c>
      <c r="BL21" s="31">
        <f t="shared" si="11"/>
        <v>2.9951193840164377E-2</v>
      </c>
      <c r="BM21" s="31">
        <f t="shared" si="11"/>
        <v>8.638226073666766E-2</v>
      </c>
      <c r="BN21" s="31">
        <f t="shared" si="11"/>
        <v>9.8178698826098948E-2</v>
      </c>
      <c r="BO21" s="31">
        <f t="shared" ref="BO21:CT21" si="12">(BO5-BO13)^2</f>
        <v>2.9413356414673443E-2</v>
      </c>
      <c r="BP21" s="31">
        <f t="shared" si="12"/>
        <v>0.18900606349278454</v>
      </c>
      <c r="BQ21" s="31">
        <f t="shared" si="12"/>
        <v>5.6185866310244206E-2</v>
      </c>
      <c r="BR21" s="31">
        <f t="shared" si="12"/>
        <v>6.7072586992792879E-2</v>
      </c>
      <c r="BS21" s="31">
        <f t="shared" si="12"/>
        <v>7.1934355926638688E-2</v>
      </c>
      <c r="BT21" s="31">
        <f t="shared" si="12"/>
        <v>6.9431161550950665E-2</v>
      </c>
      <c r="BU21" s="31">
        <f t="shared" si="12"/>
        <v>0.17962112342053949</v>
      </c>
      <c r="BV21" s="31">
        <f t="shared" si="12"/>
        <v>7.6912942883265931E-2</v>
      </c>
      <c r="BW21" s="31">
        <f t="shared" si="12"/>
        <v>0.20623992160504712</v>
      </c>
      <c r="BX21" s="31">
        <f t="shared" si="12"/>
        <v>5.057944452103378E-2</v>
      </c>
      <c r="BY21" s="31">
        <f t="shared" si="12"/>
        <v>2.8549702950400775E-2</v>
      </c>
      <c r="BZ21" s="31">
        <f t="shared" si="12"/>
        <v>7.040916530173208E-2</v>
      </c>
      <c r="CA21" s="31">
        <f t="shared" si="12"/>
        <v>0.11943336708050462</v>
      </c>
      <c r="CB21" s="31">
        <f t="shared" si="12"/>
        <v>0.22684487823908547</v>
      </c>
      <c r="CC21" s="31">
        <f t="shared" si="12"/>
        <v>3.9224726669161929E-2</v>
      </c>
      <c r="CD21" s="31">
        <f t="shared" si="12"/>
        <v>1.4537428555741676E-2</v>
      </c>
      <c r="CE21" s="31">
        <f t="shared" si="12"/>
        <v>2.1582751866511417E-4</v>
      </c>
      <c r="CF21" s="31">
        <f t="shared" si="12"/>
        <v>3.6365634066724741E-3</v>
      </c>
      <c r="CG21" s="31">
        <f t="shared" si="12"/>
        <v>0.11499327179819317</v>
      </c>
      <c r="CH21" s="31">
        <f t="shared" si="12"/>
        <v>5.1765467629844721E-2</v>
      </c>
      <c r="CI21" s="31">
        <f t="shared" si="12"/>
        <v>2.7986301862196802E-2</v>
      </c>
      <c r="CJ21" s="31">
        <f t="shared" si="12"/>
        <v>8.4035094170002489E-2</v>
      </c>
      <c r="CK21" s="31">
        <f t="shared" si="12"/>
        <v>7.1790501992744329E-4</v>
      </c>
      <c r="CL21" s="31">
        <f t="shared" si="12"/>
        <v>4.3483326656068452E-2</v>
      </c>
      <c r="CM21" s="31">
        <f t="shared" si="12"/>
        <v>9.7749935677490202E-5</v>
      </c>
      <c r="CN21" s="31">
        <f t="shared" si="12"/>
        <v>6.6396066290483405E-2</v>
      </c>
      <c r="CO21" s="31">
        <f t="shared" si="12"/>
        <v>0.19716941036500385</v>
      </c>
      <c r="CP21" s="31">
        <f t="shared" si="12"/>
        <v>0.2905963397582656</v>
      </c>
      <c r="CQ21" s="31">
        <f t="shared" si="12"/>
        <v>3.7347501531848924E-2</v>
      </c>
      <c r="CR21" s="31">
        <f t="shared" si="12"/>
        <v>2.6270025138507687E-2</v>
      </c>
      <c r="CS21" s="31">
        <f t="shared" si="12"/>
        <v>2.4868315486401893E-2</v>
      </c>
      <c r="CT21" s="31">
        <f t="shared" si="12"/>
        <v>6.5397235575875928E-2</v>
      </c>
      <c r="CU21" s="31">
        <f t="shared" ref="CU21:DZ21" si="13">(CU5-CU13)^2</f>
        <v>9.212107674331985E-3</v>
      </c>
      <c r="CV21" s="31">
        <f t="shared" si="13"/>
        <v>6.1099095963002752E-4</v>
      </c>
      <c r="CW21" s="31">
        <f t="shared" si="13"/>
        <v>3.7913740250106126E-3</v>
      </c>
      <c r="CX21" s="31">
        <f t="shared" si="13"/>
        <v>4.441332720071533E-6</v>
      </c>
      <c r="CY21" s="31">
        <f t="shared" si="13"/>
        <v>1.6628689145342168E-6</v>
      </c>
      <c r="CZ21" s="31">
        <f t="shared" si="13"/>
        <v>6.9659532323570646E-3</v>
      </c>
      <c r="DA21" s="31">
        <f t="shared" si="13"/>
        <v>1.1691537342900216E-3</v>
      </c>
      <c r="DB21" s="31">
        <f t="shared" si="13"/>
        <v>3.1066243190046108E-2</v>
      </c>
      <c r="DC21" s="31">
        <f t="shared" si="13"/>
        <v>5.3637848844291939E-3</v>
      </c>
      <c r="DD21" s="31">
        <f t="shared" si="13"/>
        <v>3.815066517619859E-4</v>
      </c>
      <c r="DE21" s="31">
        <f t="shared" si="13"/>
        <v>4.9984785686426648E-4</v>
      </c>
      <c r="DF21" s="31">
        <f t="shared" si="13"/>
        <v>8.22637510869932E-2</v>
      </c>
      <c r="DG21" s="31">
        <f t="shared" si="13"/>
        <v>2.6738122228422478E-2</v>
      </c>
      <c r="DH21" s="31">
        <f t="shared" si="13"/>
        <v>9.358832683820642E-2</v>
      </c>
      <c r="DI21" s="31">
        <f t="shared" si="13"/>
        <v>6.7256786648606293E-2</v>
      </c>
      <c r="DJ21" s="31">
        <f t="shared" si="13"/>
        <v>8.9975008658844044E-3</v>
      </c>
      <c r="DK21" s="31">
        <f t="shared" si="13"/>
        <v>1.1519072644495849E-2</v>
      </c>
      <c r="DL21" s="31">
        <f t="shared" si="13"/>
        <v>1.9980041546500855E-3</v>
      </c>
      <c r="DM21" s="31">
        <f t="shared" si="13"/>
        <v>2.7178392710119858E-2</v>
      </c>
      <c r="DN21" s="31">
        <f t="shared" si="13"/>
        <v>2.6310350164327607E-2</v>
      </c>
      <c r="DO21" s="31">
        <f t="shared" si="13"/>
        <v>4.2260238609488736E-3</v>
      </c>
      <c r="DP21" s="31">
        <f t="shared" si="13"/>
        <v>0.17989663139985795</v>
      </c>
      <c r="DQ21" s="31">
        <f t="shared" si="13"/>
        <v>0.23756759279988302</v>
      </c>
      <c r="DR21" s="31">
        <f t="shared" si="13"/>
        <v>6.9618083326256283E-2</v>
      </c>
      <c r="DS21" s="31">
        <f t="shared" si="13"/>
        <v>2.4299836327028545E-2</v>
      </c>
      <c r="DT21" s="31">
        <f t="shared" si="13"/>
        <v>1.4506639506550774E-2</v>
      </c>
      <c r="DU21" s="31">
        <f t="shared" si="13"/>
        <v>2.5034643801851605E-2</v>
      </c>
      <c r="DV21" s="31">
        <f t="shared" si="13"/>
        <v>0.11440327541840954</v>
      </c>
      <c r="DW21" s="31">
        <f t="shared" si="13"/>
        <v>7.0448689320598348E-2</v>
      </c>
      <c r="DX21" s="31">
        <f t="shared" si="13"/>
        <v>2.8697056029650139E-2</v>
      </c>
      <c r="DY21" s="31">
        <f t="shared" si="13"/>
        <v>4.3579310789785995E-3</v>
      </c>
      <c r="DZ21" s="31">
        <f t="shared" si="13"/>
        <v>6.5909829521676091E-3</v>
      </c>
      <c r="EA21" s="31">
        <f t="shared" ref="EA21:EF21" si="14">(EA5-EA13)^2</f>
        <v>2.6196446564677521E-4</v>
      </c>
      <c r="EB21" s="31">
        <f t="shared" si="14"/>
        <v>3.5132522958301333E-2</v>
      </c>
      <c r="EC21" s="31">
        <f t="shared" si="14"/>
        <v>1.0175766853037713E-4</v>
      </c>
      <c r="ED21" s="31">
        <f t="shared" si="14"/>
        <v>5.351160189297724E-3</v>
      </c>
      <c r="EE21" s="31">
        <f t="shared" si="14"/>
        <v>2.1175493551327501E-2</v>
      </c>
      <c r="EF21" s="31">
        <f t="shared" si="14"/>
        <v>1.516389841406033E-5</v>
      </c>
      <c r="EG21" s="4"/>
    </row>
    <row r="22" spans="1:137" ht="16" customHeight="1">
      <c r="A22" s="4"/>
      <c r="B22" s="26" t="s">
        <v>139</v>
      </c>
      <c r="C22" s="31">
        <f t="shared" ref="C22:AH22" si="15">(C6-C14)^2</f>
        <v>6.4110238740262655E-3</v>
      </c>
      <c r="D22" s="31">
        <f t="shared" si="15"/>
        <v>2.0491186919646843E-2</v>
      </c>
      <c r="E22" s="31">
        <f t="shared" si="15"/>
        <v>1.1560561906199196E-2</v>
      </c>
      <c r="F22" s="31">
        <f t="shared" si="15"/>
        <v>0.10908519657060139</v>
      </c>
      <c r="G22" s="31">
        <f t="shared" si="15"/>
        <v>4.9461324862077639E-2</v>
      </c>
      <c r="H22" s="31">
        <f t="shared" si="15"/>
        <v>7.0597818802029644E-2</v>
      </c>
      <c r="I22" s="31">
        <f t="shared" si="15"/>
        <v>0.11370914416187464</v>
      </c>
      <c r="J22" s="31">
        <f t="shared" si="15"/>
        <v>0.15151829245492171</v>
      </c>
      <c r="K22" s="31">
        <f t="shared" si="15"/>
        <v>0.13509218126538958</v>
      </c>
      <c r="L22" s="31">
        <f t="shared" si="15"/>
        <v>1.6408965794925351E-3</v>
      </c>
      <c r="M22" s="31">
        <f t="shared" si="15"/>
        <v>1.7433435468228423E-3</v>
      </c>
      <c r="N22" s="31">
        <f t="shared" si="15"/>
        <v>7.5592580587350517E-3</v>
      </c>
      <c r="O22" s="31">
        <f t="shared" si="15"/>
        <v>5.2038943884615538E-2</v>
      </c>
      <c r="P22" s="31">
        <f t="shared" si="15"/>
        <v>5.4311453361996741E-2</v>
      </c>
      <c r="Q22" s="31">
        <f t="shared" si="15"/>
        <v>4.9627699754437683E-2</v>
      </c>
      <c r="R22" s="31">
        <f t="shared" si="15"/>
        <v>5.5155119602408084E-2</v>
      </c>
      <c r="S22" s="31">
        <f t="shared" si="15"/>
        <v>3.4784336609742214E-2</v>
      </c>
      <c r="T22" s="31">
        <f t="shared" si="15"/>
        <v>4.7558294959868533E-2</v>
      </c>
      <c r="U22" s="31">
        <f t="shared" si="15"/>
        <v>2.5891853012302837E-3</v>
      </c>
      <c r="V22" s="31">
        <f t="shared" si="15"/>
        <v>2.2586559669438686E-4</v>
      </c>
      <c r="W22" s="31">
        <f t="shared" si="15"/>
        <v>4.7467203847285236E-3</v>
      </c>
      <c r="X22" s="31">
        <f t="shared" si="15"/>
        <v>3.9700716409334924E-3</v>
      </c>
      <c r="Y22" s="31">
        <f t="shared" si="15"/>
        <v>2.0722511874981275E-3</v>
      </c>
      <c r="Z22" s="31">
        <f t="shared" si="15"/>
        <v>5.6547655161593834E-4</v>
      </c>
      <c r="AA22" s="31">
        <f t="shared" si="15"/>
        <v>3.5059892425199938E-3</v>
      </c>
      <c r="AB22" s="31">
        <f t="shared" si="15"/>
        <v>4.2043768247518234E-3</v>
      </c>
      <c r="AC22" s="31">
        <f t="shared" si="15"/>
        <v>1.1694651364809823E-3</v>
      </c>
      <c r="AD22" s="31">
        <f t="shared" si="15"/>
        <v>1.2099850892120202E-4</v>
      </c>
      <c r="AE22" s="31">
        <f t="shared" si="15"/>
        <v>1.4184402573423719E-4</v>
      </c>
      <c r="AF22" s="31">
        <f t="shared" si="15"/>
        <v>5.5002285890869409E-5</v>
      </c>
      <c r="AG22" s="31">
        <f t="shared" si="15"/>
        <v>2.9742208130153477E-4</v>
      </c>
      <c r="AH22" s="31">
        <f t="shared" si="15"/>
        <v>6.7439709265586078E-3</v>
      </c>
      <c r="AI22" s="31">
        <f t="shared" ref="AI22:BN22" si="16">(AI6-AI14)^2</f>
        <v>3.5039297895598387E-4</v>
      </c>
      <c r="AJ22" s="31">
        <f t="shared" si="16"/>
        <v>2.0770046205860129E-4</v>
      </c>
      <c r="AK22" s="31">
        <f t="shared" si="16"/>
        <v>2.5771510823042799E-3</v>
      </c>
      <c r="AL22" s="31">
        <f t="shared" si="16"/>
        <v>3.4970840276023025E-3</v>
      </c>
      <c r="AM22" s="31">
        <f t="shared" si="16"/>
        <v>1.7558030347320622E-2</v>
      </c>
      <c r="AN22" s="31">
        <f t="shared" si="16"/>
        <v>5.8907884109449166E-2</v>
      </c>
      <c r="AO22" s="31">
        <f t="shared" si="16"/>
        <v>2.1598999788125621E-2</v>
      </c>
      <c r="AP22" s="31">
        <f t="shared" si="16"/>
        <v>1.5815128626699124E-2</v>
      </c>
      <c r="AQ22" s="31">
        <f t="shared" si="16"/>
        <v>4.0786777200309578E-2</v>
      </c>
      <c r="AR22" s="31">
        <f t="shared" si="16"/>
        <v>2.5187698530943468E-2</v>
      </c>
      <c r="AS22" s="31">
        <f t="shared" si="16"/>
        <v>6.84432548261787E-4</v>
      </c>
      <c r="AT22" s="31">
        <f t="shared" si="16"/>
        <v>1.6587125472897708E-2</v>
      </c>
      <c r="AU22" s="31">
        <f t="shared" si="16"/>
        <v>1.9467749999363536E-2</v>
      </c>
      <c r="AV22" s="31">
        <f t="shared" si="16"/>
        <v>1.463910545184865E-2</v>
      </c>
      <c r="AW22" s="31">
        <f t="shared" si="16"/>
        <v>2.9952248661253306E-2</v>
      </c>
      <c r="AX22" s="31">
        <f t="shared" si="16"/>
        <v>1.189049286618756E-2</v>
      </c>
      <c r="AY22" s="31">
        <f t="shared" si="16"/>
        <v>1.5874432866949152E-2</v>
      </c>
      <c r="AZ22" s="31">
        <f t="shared" si="16"/>
        <v>6.0607293140286685E-2</v>
      </c>
      <c r="BA22" s="31">
        <f t="shared" si="16"/>
        <v>1.7610675904861654E-2</v>
      </c>
      <c r="BB22" s="31">
        <f t="shared" si="16"/>
        <v>8.2417849101677808E-4</v>
      </c>
      <c r="BC22" s="31">
        <f t="shared" si="16"/>
        <v>1.0035407632649589E-2</v>
      </c>
      <c r="BD22" s="31">
        <f t="shared" si="16"/>
        <v>4.1303227587127633E-3</v>
      </c>
      <c r="BE22" s="31">
        <f t="shared" si="16"/>
        <v>3.4311992652041374E-4</v>
      </c>
      <c r="BF22" s="31">
        <f t="shared" si="16"/>
        <v>3.2698417343181956E-5</v>
      </c>
      <c r="BG22" s="31">
        <f t="shared" si="16"/>
        <v>1.4397965065336745E-3</v>
      </c>
      <c r="BH22" s="31">
        <f t="shared" si="16"/>
        <v>2.899915934368643E-2</v>
      </c>
      <c r="BI22" s="31">
        <f t="shared" si="16"/>
        <v>1.754362691841228E-2</v>
      </c>
      <c r="BJ22" s="31">
        <f t="shared" si="16"/>
        <v>1.0810834280054188E-2</v>
      </c>
      <c r="BK22" s="31">
        <f t="shared" si="16"/>
        <v>1.3307923861103993E-2</v>
      </c>
      <c r="BL22" s="31">
        <f t="shared" si="16"/>
        <v>8.1964550452218853E-3</v>
      </c>
      <c r="BM22" s="31">
        <f t="shared" si="16"/>
        <v>5.4588223299210144E-3</v>
      </c>
      <c r="BN22" s="31">
        <f t="shared" si="16"/>
        <v>4.0664295590688862E-2</v>
      </c>
      <c r="BO22" s="31">
        <f t="shared" ref="BO22:CT22" si="17">(BO6-BO14)^2</f>
        <v>3.1396272469606482E-2</v>
      </c>
      <c r="BP22" s="31">
        <f t="shared" si="17"/>
        <v>1.5829168576407333E-2</v>
      </c>
      <c r="BQ22" s="31">
        <f t="shared" si="17"/>
        <v>8.3716346892416631E-3</v>
      </c>
      <c r="BR22" s="31">
        <f t="shared" si="17"/>
        <v>1.0876961042317992E-3</v>
      </c>
      <c r="BS22" s="31">
        <f t="shared" si="17"/>
        <v>1.6408509453960045E-2</v>
      </c>
      <c r="BT22" s="31">
        <f t="shared" si="17"/>
        <v>3.7152550792015043E-4</v>
      </c>
      <c r="BU22" s="31">
        <f t="shared" si="17"/>
        <v>1.7105665509344885E-3</v>
      </c>
      <c r="BV22" s="31">
        <f t="shared" si="17"/>
        <v>9.5643593431672443E-3</v>
      </c>
      <c r="BW22" s="31">
        <f t="shared" si="17"/>
        <v>1.321932470746894E-3</v>
      </c>
      <c r="BX22" s="31">
        <f t="shared" si="17"/>
        <v>1.5009804119071942E-3</v>
      </c>
      <c r="BY22" s="31">
        <f t="shared" si="17"/>
        <v>1.5483002342429274E-3</v>
      </c>
      <c r="BZ22" s="31">
        <f t="shared" si="17"/>
        <v>7.3347218264287447E-3</v>
      </c>
      <c r="CA22" s="31">
        <f t="shared" si="17"/>
        <v>1.4088406550805356E-2</v>
      </c>
      <c r="CB22" s="31">
        <f t="shared" si="17"/>
        <v>3.868674383931453E-2</v>
      </c>
      <c r="CC22" s="31">
        <f t="shared" si="17"/>
        <v>8.6276259862457152E-3</v>
      </c>
      <c r="CD22" s="31">
        <f t="shared" si="17"/>
        <v>8.2524711776323142E-3</v>
      </c>
      <c r="CE22" s="31">
        <f t="shared" si="17"/>
        <v>4.8763723484052581E-3</v>
      </c>
      <c r="CF22" s="31">
        <f t="shared" si="17"/>
        <v>1.7697561934081316E-2</v>
      </c>
      <c r="CG22" s="31">
        <f t="shared" si="17"/>
        <v>3.7369348340778861E-3</v>
      </c>
      <c r="CH22" s="31">
        <f t="shared" si="17"/>
        <v>1.5973887268422624E-2</v>
      </c>
      <c r="CI22" s="31">
        <f t="shared" si="17"/>
        <v>2.1942453685981127E-2</v>
      </c>
      <c r="CJ22" s="31">
        <f t="shared" si="17"/>
        <v>2.5495289999426466E-2</v>
      </c>
      <c r="CK22" s="31">
        <f t="shared" si="17"/>
        <v>1.2763033647865699E-2</v>
      </c>
      <c r="CL22" s="31">
        <f t="shared" si="17"/>
        <v>4.5487071391271386E-3</v>
      </c>
      <c r="CM22" s="31">
        <f t="shared" si="17"/>
        <v>9.2758190729839854E-4</v>
      </c>
      <c r="CN22" s="31">
        <f t="shared" si="17"/>
        <v>8.7931770495707271E-5</v>
      </c>
      <c r="CO22" s="31">
        <f t="shared" si="17"/>
        <v>1.9832427347345615E-3</v>
      </c>
      <c r="CP22" s="31">
        <f t="shared" si="17"/>
        <v>1.6212132825140189E-3</v>
      </c>
      <c r="CQ22" s="31">
        <f t="shared" si="17"/>
        <v>1.8716990042468582E-4</v>
      </c>
      <c r="CR22" s="31">
        <f t="shared" si="17"/>
        <v>3.5346184773465885E-4</v>
      </c>
      <c r="CS22" s="31">
        <f t="shared" si="17"/>
        <v>1.9289856050436823E-3</v>
      </c>
      <c r="CT22" s="31">
        <f t="shared" si="17"/>
        <v>2.1737101772592035E-3</v>
      </c>
      <c r="CU22" s="31">
        <f t="shared" ref="CU22:DZ22" si="18">(CU6-CU14)^2</f>
        <v>7.7155128133070937E-4</v>
      </c>
      <c r="CV22" s="31">
        <f t="shared" si="18"/>
        <v>2.9809439114718686E-2</v>
      </c>
      <c r="CW22" s="31">
        <f t="shared" si="18"/>
        <v>3.7150250068690223E-2</v>
      </c>
      <c r="CX22" s="31">
        <f t="shared" si="18"/>
        <v>1.0485437183262943E-2</v>
      </c>
      <c r="CY22" s="31">
        <f t="shared" si="18"/>
        <v>3.5588373226886719E-5</v>
      </c>
      <c r="CZ22" s="31">
        <f t="shared" si="18"/>
        <v>2.4926518983289347E-4</v>
      </c>
      <c r="DA22" s="31">
        <f t="shared" si="18"/>
        <v>1.5633369120499488E-3</v>
      </c>
      <c r="DB22" s="31">
        <f t="shared" si="18"/>
        <v>4.4213680059377598E-2</v>
      </c>
      <c r="DC22" s="31">
        <f t="shared" si="18"/>
        <v>8.3588326383364248E-2</v>
      </c>
      <c r="DD22" s="31">
        <f t="shared" si="18"/>
        <v>5.1423239131531101E-2</v>
      </c>
      <c r="DE22" s="31">
        <f t="shared" si="18"/>
        <v>3.1755045357404796E-2</v>
      </c>
      <c r="DF22" s="31">
        <f t="shared" si="18"/>
        <v>4.5012443992388768E-2</v>
      </c>
      <c r="DG22" s="31">
        <f t="shared" si="18"/>
        <v>3.3364202328695504E-2</v>
      </c>
      <c r="DH22" s="31">
        <f t="shared" si="18"/>
        <v>5.8964631444053471E-5</v>
      </c>
      <c r="DI22" s="31">
        <f t="shared" si="18"/>
        <v>4.5986292284627183E-3</v>
      </c>
      <c r="DJ22" s="31">
        <f t="shared" si="18"/>
        <v>3.1252583881622425E-3</v>
      </c>
      <c r="DK22" s="31">
        <f t="shared" si="18"/>
        <v>2.5137846558406689E-3</v>
      </c>
      <c r="DL22" s="31">
        <f t="shared" si="18"/>
        <v>1.0575759131198012E-6</v>
      </c>
      <c r="DM22" s="31">
        <f t="shared" si="18"/>
        <v>1.8927958340926657E-2</v>
      </c>
      <c r="DN22" s="31">
        <f t="shared" si="18"/>
        <v>9.1493856571986651E-2</v>
      </c>
      <c r="DO22" s="31">
        <f t="shared" si="18"/>
        <v>0.21626597799931491</v>
      </c>
      <c r="DP22" s="31">
        <f t="shared" si="18"/>
        <v>0.22936498505203695</v>
      </c>
      <c r="DQ22" s="31">
        <f t="shared" si="18"/>
        <v>0.23006195759338174</v>
      </c>
      <c r="DR22" s="31">
        <f t="shared" si="18"/>
        <v>9.5200457129016786E-2</v>
      </c>
      <c r="DS22" s="31">
        <f t="shared" si="18"/>
        <v>6.9745119771516331E-2</v>
      </c>
      <c r="DT22" s="31">
        <f t="shared" si="18"/>
        <v>6.6947041847807615E-2</v>
      </c>
      <c r="DU22" s="31">
        <f t="shared" si="18"/>
        <v>2.9872674934727263E-2</v>
      </c>
      <c r="DV22" s="31">
        <f t="shared" si="18"/>
        <v>7.0976067755361902E-3</v>
      </c>
      <c r="DW22" s="31">
        <f t="shared" si="18"/>
        <v>2.1239880435234778E-2</v>
      </c>
      <c r="DX22" s="31">
        <f t="shared" si="18"/>
        <v>4.8170234486333896E-2</v>
      </c>
      <c r="DY22" s="31">
        <f t="shared" si="18"/>
        <v>1.4836559905328799E-2</v>
      </c>
      <c r="DZ22" s="31">
        <f t="shared" si="18"/>
        <v>9.6661931563254561E-3</v>
      </c>
      <c r="EA22" s="31">
        <f t="shared" ref="EA22:EF22" si="19">(EA6-EA14)^2</f>
        <v>1.6521763068511358E-2</v>
      </c>
      <c r="EB22" s="31">
        <f t="shared" si="19"/>
        <v>4.8733073135509397E-2</v>
      </c>
      <c r="EC22" s="31">
        <f t="shared" si="19"/>
        <v>3.496107399150767E-2</v>
      </c>
      <c r="ED22" s="31">
        <f t="shared" si="19"/>
        <v>4.5172875853677526E-3</v>
      </c>
      <c r="EE22" s="31">
        <f t="shared" si="19"/>
        <v>1.9712291248516122E-3</v>
      </c>
      <c r="EF22" s="31">
        <f t="shared" si="19"/>
        <v>1.3242434806359808E-3</v>
      </c>
      <c r="EG22" s="4"/>
    </row>
    <row r="23" spans="1:137" ht="16" customHeight="1">
      <c r="A23" s="4"/>
      <c r="B23" s="26" t="s">
        <v>140</v>
      </c>
      <c r="C23" s="31">
        <f t="shared" ref="C23:AH23" si="20">(C7-C15)^2</f>
        <v>1.2032130241868122E-5</v>
      </c>
      <c r="D23" s="31">
        <f t="shared" si="20"/>
        <v>1.8583138456814655E-2</v>
      </c>
      <c r="E23" s="31">
        <f t="shared" si="20"/>
        <v>3.5833140527722789E-2</v>
      </c>
      <c r="F23" s="31">
        <f t="shared" si="20"/>
        <v>0.25864988322194199</v>
      </c>
      <c r="G23" s="31">
        <f t="shared" si="20"/>
        <v>0.19998441658219065</v>
      </c>
      <c r="H23" s="31">
        <f t="shared" si="20"/>
        <v>0.17852232372873159</v>
      </c>
      <c r="I23" s="31">
        <f t="shared" si="20"/>
        <v>0.2277000147511124</v>
      </c>
      <c r="J23" s="31">
        <f t="shared" si="20"/>
        <v>0.15785288540851813</v>
      </c>
      <c r="K23" s="31">
        <f t="shared" si="20"/>
        <v>0.15411341734707426</v>
      </c>
      <c r="L23" s="31">
        <f t="shared" si="20"/>
        <v>2.3417000310183358E-4</v>
      </c>
      <c r="M23" s="31">
        <f t="shared" si="20"/>
        <v>2.7838461995777233E-5</v>
      </c>
      <c r="N23" s="31">
        <f t="shared" si="20"/>
        <v>8.769617239710651E-3</v>
      </c>
      <c r="O23" s="31">
        <f t="shared" si="20"/>
        <v>1.5196881582239836E-3</v>
      </c>
      <c r="P23" s="31">
        <f t="shared" si="20"/>
        <v>2.312013937531172E-3</v>
      </c>
      <c r="Q23" s="31">
        <f t="shared" si="20"/>
        <v>7.441244174123127E-3</v>
      </c>
      <c r="R23" s="31">
        <f t="shared" si="20"/>
        <v>2.210439784137457E-4</v>
      </c>
      <c r="S23" s="31">
        <f t="shared" si="20"/>
        <v>2.9849946699571508E-4</v>
      </c>
      <c r="T23" s="31">
        <f t="shared" si="20"/>
        <v>1.0225449043572874E-6</v>
      </c>
      <c r="U23" s="31">
        <f t="shared" si="20"/>
        <v>2.5988623268552355E-3</v>
      </c>
      <c r="V23" s="31">
        <f t="shared" si="20"/>
        <v>6.1781973935364611E-3</v>
      </c>
      <c r="W23" s="31">
        <f t="shared" si="20"/>
        <v>4.6900673652014113E-2</v>
      </c>
      <c r="X23" s="31">
        <f t="shared" si="20"/>
        <v>0.10292455582731387</v>
      </c>
      <c r="Y23" s="31">
        <f t="shared" si="20"/>
        <v>7.1780092981538549E-2</v>
      </c>
      <c r="Z23" s="31">
        <f t="shared" si="20"/>
        <v>6.2048469345277288E-2</v>
      </c>
      <c r="AA23" s="31">
        <f t="shared" si="20"/>
        <v>6.4726632738355508E-2</v>
      </c>
      <c r="AB23" s="31">
        <f t="shared" si="20"/>
        <v>7.011258313183831E-2</v>
      </c>
      <c r="AC23" s="31">
        <f t="shared" si="20"/>
        <v>8.3679882893553485E-3</v>
      </c>
      <c r="AD23" s="31">
        <f t="shared" si="20"/>
        <v>1.2480815532943125E-2</v>
      </c>
      <c r="AE23" s="31">
        <f t="shared" si="20"/>
        <v>1.2526962951650181E-2</v>
      </c>
      <c r="AF23" s="31">
        <f t="shared" si="20"/>
        <v>8.573300603493178E-3</v>
      </c>
      <c r="AG23" s="31">
        <f t="shared" si="20"/>
        <v>6.2172036693537878E-3</v>
      </c>
      <c r="AH23" s="31">
        <f t="shared" si="20"/>
        <v>9.4973342464682361E-3</v>
      </c>
      <c r="AI23" s="31">
        <f t="shared" ref="AI23:BN23" si="21">(AI7-AI15)^2</f>
        <v>2.7723436964767396E-3</v>
      </c>
      <c r="AJ23" s="31">
        <f t="shared" si="21"/>
        <v>7.9684603155161715E-4</v>
      </c>
      <c r="AK23" s="31">
        <f t="shared" si="21"/>
        <v>7.7200495667289985E-3</v>
      </c>
      <c r="AL23" s="31">
        <f t="shared" si="21"/>
        <v>5.5257677548562921E-3</v>
      </c>
      <c r="AM23" s="31">
        <f t="shared" si="21"/>
        <v>1.4266233066024514E-4</v>
      </c>
      <c r="AN23" s="31">
        <f t="shared" si="21"/>
        <v>8.0311297780269995E-4</v>
      </c>
      <c r="AO23" s="31">
        <f t="shared" si="21"/>
        <v>3.4186975084405879E-3</v>
      </c>
      <c r="AP23" s="31">
        <f t="shared" si="21"/>
        <v>1.2220244739357218E-3</v>
      </c>
      <c r="AQ23" s="31">
        <f t="shared" si="21"/>
        <v>8.6035391465327844E-5</v>
      </c>
      <c r="AR23" s="31">
        <f t="shared" si="21"/>
        <v>9.7119966415180659E-5</v>
      </c>
      <c r="AS23" s="31">
        <f t="shared" si="21"/>
        <v>2.1280795629102324E-2</v>
      </c>
      <c r="AT23" s="31">
        <f t="shared" si="21"/>
        <v>1.0848387271011303E-2</v>
      </c>
      <c r="AU23" s="31">
        <f t="shared" si="21"/>
        <v>1.4143705247922096E-2</v>
      </c>
      <c r="AV23" s="31">
        <f t="shared" si="21"/>
        <v>1.0429069675841327E-3</v>
      </c>
      <c r="AW23" s="31">
        <f t="shared" si="21"/>
        <v>4.2385357412944857E-3</v>
      </c>
      <c r="AX23" s="31">
        <f t="shared" si="21"/>
        <v>2.0636005039944045E-4</v>
      </c>
      <c r="AY23" s="31">
        <f t="shared" si="21"/>
        <v>8.2314744958462017E-3</v>
      </c>
      <c r="AZ23" s="31">
        <f t="shared" si="21"/>
        <v>1.2802937907460236E-2</v>
      </c>
      <c r="BA23" s="31">
        <f t="shared" si="21"/>
        <v>3.4234485843828467E-2</v>
      </c>
      <c r="BB23" s="31">
        <f t="shared" si="21"/>
        <v>3.2650697660148748E-2</v>
      </c>
      <c r="BC23" s="31">
        <f t="shared" si="21"/>
        <v>3.4961008393598211E-2</v>
      </c>
      <c r="BD23" s="31">
        <f t="shared" si="21"/>
        <v>3.6514716693895832E-2</v>
      </c>
      <c r="BE23" s="31">
        <f t="shared" si="21"/>
        <v>3.4813600179198184E-2</v>
      </c>
      <c r="BF23" s="31">
        <f t="shared" si="21"/>
        <v>1.3935228601277126E-2</v>
      </c>
      <c r="BG23" s="31">
        <f t="shared" si="21"/>
        <v>1.5930142723084358E-2</v>
      </c>
      <c r="BH23" s="31">
        <f t="shared" si="21"/>
        <v>2.0638650810418522E-2</v>
      </c>
      <c r="BI23" s="31">
        <f t="shared" si="21"/>
        <v>1.8070387771680765E-2</v>
      </c>
      <c r="BJ23" s="31">
        <f t="shared" si="21"/>
        <v>5.7753356566302212E-2</v>
      </c>
      <c r="BK23" s="31">
        <f t="shared" si="21"/>
        <v>7.5625134933416202E-2</v>
      </c>
      <c r="BL23" s="31">
        <f t="shared" si="21"/>
        <v>8.6067722372570155E-2</v>
      </c>
      <c r="BM23" s="31">
        <f t="shared" si="21"/>
        <v>4.6438744698309182E-3</v>
      </c>
      <c r="BN23" s="31">
        <f t="shared" si="21"/>
        <v>1.6182700696986432E-2</v>
      </c>
      <c r="BO23" s="31">
        <f t="shared" ref="BO23:CT23" si="22">(BO7-BO15)^2</f>
        <v>9.7636228470331706E-3</v>
      </c>
      <c r="BP23" s="31">
        <f t="shared" si="22"/>
        <v>6.2571746258769853E-4</v>
      </c>
      <c r="BQ23" s="31">
        <f t="shared" si="22"/>
        <v>2.0368148605832714E-3</v>
      </c>
      <c r="BR23" s="31">
        <f t="shared" si="22"/>
        <v>1.6750354765823234E-3</v>
      </c>
      <c r="BS23" s="31">
        <f t="shared" si="22"/>
        <v>1.3118053649419311E-3</v>
      </c>
      <c r="BT23" s="31">
        <f t="shared" si="22"/>
        <v>1.0335170117669172E-3</v>
      </c>
      <c r="BU23" s="31">
        <f t="shared" si="22"/>
        <v>6.1022332740799344E-3</v>
      </c>
      <c r="BV23" s="31">
        <f t="shared" si="22"/>
        <v>6.1206403039061191E-3</v>
      </c>
      <c r="BW23" s="31">
        <f t="shared" si="22"/>
        <v>8.4689982754439718E-4</v>
      </c>
      <c r="BX23" s="31">
        <f t="shared" si="22"/>
        <v>3.2135508970086675E-5</v>
      </c>
      <c r="BY23" s="31">
        <f t="shared" si="22"/>
        <v>9.123959641539627E-4</v>
      </c>
      <c r="BZ23" s="31">
        <f t="shared" si="22"/>
        <v>4.618365089009824E-3</v>
      </c>
      <c r="CA23" s="31">
        <f t="shared" si="22"/>
        <v>8.5093533417764551E-3</v>
      </c>
      <c r="CB23" s="31">
        <f t="shared" si="22"/>
        <v>1.0156917673932774E-2</v>
      </c>
      <c r="CC23" s="31">
        <f t="shared" si="22"/>
        <v>1.8498671761896224E-2</v>
      </c>
      <c r="CD23" s="31">
        <f t="shared" si="22"/>
        <v>4.6504924511966104E-3</v>
      </c>
      <c r="CE23" s="31">
        <f t="shared" si="22"/>
        <v>2.3563550397508958E-3</v>
      </c>
      <c r="CF23" s="31">
        <f t="shared" si="22"/>
        <v>1.5763496434579052E-2</v>
      </c>
      <c r="CG23" s="31">
        <f t="shared" si="22"/>
        <v>3.1822036264137266E-2</v>
      </c>
      <c r="CH23" s="31">
        <f t="shared" si="22"/>
        <v>6.2382217538867135E-2</v>
      </c>
      <c r="CI23" s="31">
        <f t="shared" si="22"/>
        <v>0.12508949588635071</v>
      </c>
      <c r="CJ23" s="31">
        <f t="shared" si="22"/>
        <v>2.9431931976687632E-2</v>
      </c>
      <c r="CK23" s="31">
        <f t="shared" si="22"/>
        <v>6.0472661742670721E-2</v>
      </c>
      <c r="CL23" s="31">
        <f t="shared" si="22"/>
        <v>1.4524849901754529E-3</v>
      </c>
      <c r="CM23" s="31">
        <f t="shared" si="22"/>
        <v>1.5742801948249677E-3</v>
      </c>
      <c r="CN23" s="31">
        <f t="shared" si="22"/>
        <v>6.3914250182172305E-4</v>
      </c>
      <c r="CO23" s="31">
        <f t="shared" si="22"/>
        <v>1.2492286601532409E-2</v>
      </c>
      <c r="CP23" s="31">
        <f t="shared" si="22"/>
        <v>1.1232706667197973E-4</v>
      </c>
      <c r="CQ23" s="31">
        <f t="shared" si="22"/>
        <v>1.0929928181610671E-2</v>
      </c>
      <c r="CR23" s="31">
        <f t="shared" si="22"/>
        <v>2.3363472856578366E-4</v>
      </c>
      <c r="CS23" s="31">
        <f t="shared" si="22"/>
        <v>5.4648059631323681E-7</v>
      </c>
      <c r="CT23" s="31">
        <f t="shared" si="22"/>
        <v>1.3686309575085876E-3</v>
      </c>
      <c r="CU23" s="31">
        <f t="shared" ref="CU23:DZ23" si="23">(CU7-CU15)^2</f>
        <v>1.0147975710505146E-2</v>
      </c>
      <c r="CV23" s="31">
        <f t="shared" si="23"/>
        <v>9.7324793801383015E-3</v>
      </c>
      <c r="CW23" s="31">
        <f t="shared" si="23"/>
        <v>6.7275888614612431E-3</v>
      </c>
      <c r="CX23" s="31">
        <f t="shared" si="23"/>
        <v>2.2255712519847554E-2</v>
      </c>
      <c r="CY23" s="31">
        <f t="shared" si="23"/>
        <v>3.645378654672035E-4</v>
      </c>
      <c r="CZ23" s="31">
        <f t="shared" si="23"/>
        <v>4.259001374546263E-3</v>
      </c>
      <c r="DA23" s="31">
        <f t="shared" si="23"/>
        <v>1.3464685374851412E-3</v>
      </c>
      <c r="DB23" s="31">
        <f t="shared" si="23"/>
        <v>7.2617612375583005E-3</v>
      </c>
      <c r="DC23" s="31">
        <f t="shared" si="23"/>
        <v>5.019501172570523E-3</v>
      </c>
      <c r="DD23" s="31">
        <f t="shared" si="23"/>
        <v>6.0779327945032499E-3</v>
      </c>
      <c r="DE23" s="31">
        <f t="shared" si="23"/>
        <v>1.4646803027300406E-3</v>
      </c>
      <c r="DF23" s="31">
        <f t="shared" si="23"/>
        <v>6.4303619896418068E-3</v>
      </c>
      <c r="DG23" s="31">
        <f t="shared" si="23"/>
        <v>7.4708592961783673E-3</v>
      </c>
      <c r="DH23" s="31">
        <f t="shared" si="23"/>
        <v>2.0231907626776006E-3</v>
      </c>
      <c r="DI23" s="31">
        <f t="shared" si="23"/>
        <v>2.2208688182055329E-4</v>
      </c>
      <c r="DJ23" s="31">
        <f t="shared" si="23"/>
        <v>6.2864797115618452E-3</v>
      </c>
      <c r="DK23" s="31">
        <f t="shared" si="23"/>
        <v>6.3255281503516864E-3</v>
      </c>
      <c r="DL23" s="31">
        <f t="shared" si="23"/>
        <v>9.6223439651884582E-2</v>
      </c>
      <c r="DM23" s="31">
        <f t="shared" si="23"/>
        <v>0.23664144291390879</v>
      </c>
      <c r="DN23" s="31">
        <f t="shared" si="23"/>
        <v>0.38141633741697328</v>
      </c>
      <c r="DO23" s="31">
        <f t="shared" si="23"/>
        <v>0.39666775161823481</v>
      </c>
      <c r="DP23" s="31">
        <f t="shared" si="23"/>
        <v>0.25692914853364218</v>
      </c>
      <c r="DQ23" s="31">
        <f t="shared" si="23"/>
        <v>0.28203523458358432</v>
      </c>
      <c r="DR23" s="31">
        <f t="shared" si="23"/>
        <v>4.390147774705485E-2</v>
      </c>
      <c r="DS23" s="31">
        <f t="shared" si="23"/>
        <v>1.2034216915469732E-3</v>
      </c>
      <c r="DT23" s="31">
        <f t="shared" si="23"/>
        <v>7.9133235677894564E-4</v>
      </c>
      <c r="DU23" s="31">
        <f t="shared" si="23"/>
        <v>1.2292296224403344E-2</v>
      </c>
      <c r="DV23" s="31">
        <f t="shared" si="23"/>
        <v>6.9037366390962279E-3</v>
      </c>
      <c r="DW23" s="31">
        <f t="shared" si="23"/>
        <v>3.0065618414348433E-2</v>
      </c>
      <c r="DX23" s="31">
        <f t="shared" si="23"/>
        <v>6.2465478261840832E-2</v>
      </c>
      <c r="DY23" s="31">
        <f t="shared" si="23"/>
        <v>2.4720230529996886E-2</v>
      </c>
      <c r="DZ23" s="31">
        <f t="shared" si="23"/>
        <v>1.3559427793990499E-2</v>
      </c>
      <c r="EA23" s="31">
        <f t="shared" ref="EA23:EF23" si="24">(EA7-EA15)^2</f>
        <v>2.7945128316046695E-3</v>
      </c>
      <c r="EB23" s="31">
        <f t="shared" si="24"/>
        <v>9.9636171538282033E-4</v>
      </c>
      <c r="EC23" s="31">
        <f t="shared" si="24"/>
        <v>3.8323050462437639E-4</v>
      </c>
      <c r="ED23" s="31">
        <f t="shared" si="24"/>
        <v>1.1753894450333962E-3</v>
      </c>
      <c r="EE23" s="31">
        <f t="shared" si="24"/>
        <v>1.8872238136488078E-3</v>
      </c>
      <c r="EF23" s="31">
        <f t="shared" si="24"/>
        <v>1.2536736493711314E-3</v>
      </c>
    </row>
    <row r="24" spans="1:137" ht="16" customHeight="1">
      <c r="A24" s="4"/>
    </row>
    <row r="25" spans="1:137" ht="16" customHeight="1">
      <c r="A25" s="44" t="s">
        <v>257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2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4"/>
    </row>
    <row r="26" spans="1:137" ht="17" customHeight="1">
      <c r="A26" s="30"/>
      <c r="B26" s="6" t="s">
        <v>1</v>
      </c>
      <c r="C26" s="40" t="s">
        <v>2</v>
      </c>
      <c r="D26" s="40" t="s">
        <v>3</v>
      </c>
      <c r="E26" s="40" t="s">
        <v>4</v>
      </c>
      <c r="F26" s="40" t="s">
        <v>5</v>
      </c>
      <c r="G26" s="40" t="s">
        <v>6</v>
      </c>
      <c r="H26" s="40" t="s">
        <v>7</v>
      </c>
      <c r="I26" s="40" t="s">
        <v>8</v>
      </c>
      <c r="J26" s="40" t="s">
        <v>9</v>
      </c>
      <c r="K26" s="40" t="s">
        <v>10</v>
      </c>
      <c r="L26" s="40" t="s">
        <v>11</v>
      </c>
      <c r="M26" s="40" t="s">
        <v>12</v>
      </c>
      <c r="N26" s="40" t="s">
        <v>13</v>
      </c>
      <c r="O26" s="40" t="s">
        <v>14</v>
      </c>
      <c r="P26" s="40" t="s">
        <v>15</v>
      </c>
      <c r="Q26" s="40" t="s">
        <v>16</v>
      </c>
      <c r="R26" s="40" t="s">
        <v>17</v>
      </c>
      <c r="S26" s="40" t="s">
        <v>18</v>
      </c>
      <c r="T26" s="40" t="s">
        <v>19</v>
      </c>
      <c r="U26" s="40" t="s">
        <v>20</v>
      </c>
      <c r="V26" s="40" t="s">
        <v>21</v>
      </c>
      <c r="W26" s="40" t="s">
        <v>22</v>
      </c>
      <c r="X26" s="40" t="s">
        <v>23</v>
      </c>
      <c r="Y26" s="40" t="s">
        <v>24</v>
      </c>
      <c r="Z26" s="40" t="s">
        <v>25</v>
      </c>
      <c r="AA26" s="40" t="s">
        <v>26</v>
      </c>
      <c r="AB26" s="40" t="s">
        <v>27</v>
      </c>
      <c r="AC26" s="40" t="s">
        <v>28</v>
      </c>
      <c r="AD26" s="40" t="s">
        <v>29</v>
      </c>
      <c r="AE26" s="40" t="s">
        <v>30</v>
      </c>
      <c r="AF26" s="40" t="s">
        <v>31</v>
      </c>
      <c r="AG26" s="40" t="s">
        <v>32</v>
      </c>
      <c r="AH26" s="40" t="s">
        <v>33</v>
      </c>
      <c r="AI26" s="40" t="s">
        <v>34</v>
      </c>
      <c r="AJ26" s="40" t="s">
        <v>35</v>
      </c>
      <c r="AK26" s="40" t="s">
        <v>36</v>
      </c>
      <c r="AL26" s="40" t="s">
        <v>37</v>
      </c>
      <c r="AM26" s="40" t="s">
        <v>38</v>
      </c>
      <c r="AN26" s="40" t="s">
        <v>39</v>
      </c>
      <c r="AO26" s="40" t="s">
        <v>40</v>
      </c>
      <c r="AP26" s="40" t="s">
        <v>41</v>
      </c>
      <c r="AQ26" s="40" t="s">
        <v>42</v>
      </c>
      <c r="AR26" s="40" t="s">
        <v>43</v>
      </c>
      <c r="AS26" s="40" t="s">
        <v>44</v>
      </c>
      <c r="AT26" s="40" t="s">
        <v>45</v>
      </c>
      <c r="AU26" s="40" t="s">
        <v>46</v>
      </c>
      <c r="AV26" s="40" t="s">
        <v>47</v>
      </c>
      <c r="AW26" s="40" t="s">
        <v>48</v>
      </c>
      <c r="AX26" s="40" t="s">
        <v>49</v>
      </c>
      <c r="AY26" s="40" t="s">
        <v>50</v>
      </c>
      <c r="AZ26" s="40" t="s">
        <v>51</v>
      </c>
      <c r="BA26" s="40" t="s">
        <v>52</v>
      </c>
      <c r="BB26" s="40" t="s">
        <v>53</v>
      </c>
      <c r="BC26" s="40" t="s">
        <v>54</v>
      </c>
      <c r="BD26" s="40" t="s">
        <v>55</v>
      </c>
      <c r="BE26" s="40" t="s">
        <v>56</v>
      </c>
      <c r="BF26" s="40" t="s">
        <v>57</v>
      </c>
      <c r="BG26" s="40" t="s">
        <v>58</v>
      </c>
      <c r="BH26" s="40" t="s">
        <v>59</v>
      </c>
      <c r="BI26" s="40" t="s">
        <v>60</v>
      </c>
      <c r="BJ26" s="40" t="s">
        <v>61</v>
      </c>
      <c r="BK26" s="40" t="s">
        <v>62</v>
      </c>
      <c r="BL26" s="40" t="s">
        <v>63</v>
      </c>
      <c r="BM26" s="40" t="s">
        <v>64</v>
      </c>
      <c r="BN26" s="40" t="s">
        <v>65</v>
      </c>
      <c r="BO26" s="40" t="s">
        <v>66</v>
      </c>
      <c r="BP26" s="40" t="s">
        <v>67</v>
      </c>
      <c r="BQ26" s="40" t="s">
        <v>68</v>
      </c>
      <c r="BR26" s="40" t="s">
        <v>69</v>
      </c>
      <c r="BS26" s="40" t="s">
        <v>70</v>
      </c>
      <c r="BT26" s="40" t="s">
        <v>71</v>
      </c>
      <c r="BU26" s="40" t="s">
        <v>72</v>
      </c>
      <c r="BV26" s="40" t="s">
        <v>73</v>
      </c>
      <c r="BW26" s="40" t="s">
        <v>74</v>
      </c>
      <c r="BX26" s="40" t="s">
        <v>75</v>
      </c>
      <c r="BY26" s="40" t="s">
        <v>76</v>
      </c>
      <c r="BZ26" s="40" t="s">
        <v>77</v>
      </c>
      <c r="CA26" s="40" t="s">
        <v>78</v>
      </c>
      <c r="CB26" s="40" t="s">
        <v>79</v>
      </c>
      <c r="CC26" s="40" t="s">
        <v>80</v>
      </c>
      <c r="CD26" s="40" t="s">
        <v>81</v>
      </c>
      <c r="CE26" s="40" t="s">
        <v>82</v>
      </c>
      <c r="CF26" s="40" t="s">
        <v>83</v>
      </c>
      <c r="CG26" s="40" t="s">
        <v>84</v>
      </c>
      <c r="CH26" s="40" t="s">
        <v>85</v>
      </c>
      <c r="CI26" s="40" t="s">
        <v>86</v>
      </c>
      <c r="CJ26" s="40" t="s">
        <v>87</v>
      </c>
      <c r="CK26" s="40" t="s">
        <v>88</v>
      </c>
      <c r="CL26" s="40" t="s">
        <v>89</v>
      </c>
      <c r="CM26" s="40" t="s">
        <v>90</v>
      </c>
      <c r="CN26" s="40" t="s">
        <v>91</v>
      </c>
      <c r="CO26" s="40" t="s">
        <v>92</v>
      </c>
      <c r="CP26" s="40" t="s">
        <v>93</v>
      </c>
      <c r="CQ26" s="40" t="s">
        <v>94</v>
      </c>
      <c r="CR26" s="40" t="s">
        <v>95</v>
      </c>
      <c r="CS26" s="40" t="s">
        <v>96</v>
      </c>
      <c r="CT26" s="40" t="s">
        <v>97</v>
      </c>
      <c r="CU26" s="40" t="s">
        <v>98</v>
      </c>
      <c r="CV26" s="40" t="s">
        <v>99</v>
      </c>
      <c r="CW26" s="40" t="s">
        <v>100</v>
      </c>
      <c r="CX26" s="40" t="s">
        <v>101</v>
      </c>
      <c r="CY26" s="40" t="s">
        <v>102</v>
      </c>
      <c r="CZ26" s="40" t="s">
        <v>103</v>
      </c>
      <c r="DA26" s="40" t="s">
        <v>104</v>
      </c>
      <c r="DB26" s="40" t="s">
        <v>105</v>
      </c>
      <c r="DC26" s="40" t="s">
        <v>106</v>
      </c>
      <c r="DD26" s="40" t="s">
        <v>107</v>
      </c>
      <c r="DE26" s="40" t="s">
        <v>108</v>
      </c>
      <c r="DF26" s="40" t="s">
        <v>109</v>
      </c>
      <c r="DG26" s="40" t="s">
        <v>110</v>
      </c>
      <c r="DH26" s="40" t="s">
        <v>111</v>
      </c>
      <c r="DI26" s="40" t="s">
        <v>112</v>
      </c>
      <c r="DJ26" s="40" t="s">
        <v>113</v>
      </c>
      <c r="DK26" s="40" t="s">
        <v>114</v>
      </c>
      <c r="DL26" s="40" t="s">
        <v>115</v>
      </c>
      <c r="DM26" s="40" t="s">
        <v>116</v>
      </c>
      <c r="DN26" s="40" t="s">
        <v>117</v>
      </c>
      <c r="DO26" s="40" t="s">
        <v>118</v>
      </c>
      <c r="DP26" s="40" t="s">
        <v>119</v>
      </c>
      <c r="DQ26" s="40" t="s">
        <v>120</v>
      </c>
      <c r="DR26" s="40" t="s">
        <v>121</v>
      </c>
      <c r="DS26" s="40" t="s">
        <v>122</v>
      </c>
      <c r="DT26" s="40" t="s">
        <v>123</v>
      </c>
      <c r="DU26" s="40" t="s">
        <v>124</v>
      </c>
      <c r="DV26" s="40" t="s">
        <v>125</v>
      </c>
      <c r="DW26" s="40" t="s">
        <v>126</v>
      </c>
      <c r="DX26" s="40" t="s">
        <v>127</v>
      </c>
      <c r="DY26" s="40" t="s">
        <v>128</v>
      </c>
      <c r="DZ26" s="40" t="s">
        <v>129</v>
      </c>
      <c r="EA26" s="40" t="s">
        <v>130</v>
      </c>
      <c r="EB26" s="40" t="s">
        <v>131</v>
      </c>
      <c r="EC26" s="40" t="s">
        <v>132</v>
      </c>
      <c r="ED26" s="41" t="s">
        <v>133</v>
      </c>
      <c r="EE26" s="40" t="s">
        <v>134</v>
      </c>
      <c r="EF26" s="40" t="s">
        <v>135</v>
      </c>
      <c r="EG26" s="4"/>
    </row>
    <row r="27" spans="1:137" ht="16" customHeight="1">
      <c r="A27" s="30"/>
      <c r="B27" s="26" t="s">
        <v>136</v>
      </c>
      <c r="C27" s="31">
        <f t="shared" ref="C27:AH27" si="25">C11^2</f>
        <v>1.4546941553060746E-2</v>
      </c>
      <c r="D27" s="31">
        <f t="shared" si="25"/>
        <v>2.0783224103101891E-3</v>
      </c>
      <c r="E27" s="31">
        <f t="shared" si="25"/>
        <v>2.7904049153052446E-2</v>
      </c>
      <c r="F27" s="31">
        <f t="shared" si="25"/>
        <v>5.4389132733367778E-3</v>
      </c>
      <c r="G27" s="31">
        <f t="shared" si="25"/>
        <v>1.0566781966776994E-3</v>
      </c>
      <c r="H27" s="31">
        <f t="shared" si="25"/>
        <v>1.0789332020358306E-3</v>
      </c>
      <c r="I27" s="31">
        <f t="shared" si="25"/>
        <v>1.4665592341637463E-2</v>
      </c>
      <c r="J27" s="31">
        <f t="shared" si="25"/>
        <v>6.667930891517048E-6</v>
      </c>
      <c r="K27" s="31">
        <f t="shared" si="25"/>
        <v>5.1794829850867136E-3</v>
      </c>
      <c r="L27" s="31">
        <f t="shared" si="25"/>
        <v>1.1794218884633857E-3</v>
      </c>
      <c r="M27" s="31">
        <f t="shared" si="25"/>
        <v>1.6067753709816334E-3</v>
      </c>
      <c r="N27" s="31">
        <f t="shared" si="25"/>
        <v>1.7275217604557664E-3</v>
      </c>
      <c r="O27" s="31">
        <f t="shared" si="25"/>
        <v>4.7613865504638851E-5</v>
      </c>
      <c r="P27" s="31">
        <f t="shared" si="25"/>
        <v>1.2801639685446422E-3</v>
      </c>
      <c r="Q27" s="31">
        <f t="shared" si="25"/>
        <v>4.6718094894194085E-3</v>
      </c>
      <c r="R27" s="31">
        <f t="shared" si="25"/>
        <v>2.0623478958674162E-3</v>
      </c>
      <c r="S27" s="31">
        <f t="shared" si="25"/>
        <v>3.8706550378058856E-4</v>
      </c>
      <c r="T27" s="31">
        <f t="shared" si="25"/>
        <v>1.1331798132323292E-2</v>
      </c>
      <c r="U27" s="31">
        <f t="shared" si="25"/>
        <v>1.0274068999818326E-3</v>
      </c>
      <c r="V27" s="31">
        <f t="shared" si="25"/>
        <v>2.209865254204212E-4</v>
      </c>
      <c r="W27" s="31">
        <f t="shared" si="25"/>
        <v>8.7245073042044007E-3</v>
      </c>
      <c r="X27" s="31">
        <f t="shared" si="25"/>
        <v>1.3729897055253691E-3</v>
      </c>
      <c r="Y27" s="31">
        <f t="shared" si="25"/>
        <v>2.2448308059105264E-3</v>
      </c>
      <c r="Z27" s="31">
        <f t="shared" si="25"/>
        <v>1.276845571821618E-3</v>
      </c>
      <c r="AA27" s="31">
        <f t="shared" si="25"/>
        <v>5.5814967545114143E-3</v>
      </c>
      <c r="AB27" s="31">
        <f t="shared" si="25"/>
        <v>1.0300559933415927E-2</v>
      </c>
      <c r="AC27" s="31">
        <f t="shared" si="25"/>
        <v>8.7550991227910581E-8</v>
      </c>
      <c r="AD27" s="31">
        <f t="shared" si="25"/>
        <v>4.7401569145407449E-3</v>
      </c>
      <c r="AE27" s="31">
        <f t="shared" si="25"/>
        <v>4.9577618903744007E-4</v>
      </c>
      <c r="AF27" s="31">
        <f t="shared" si="25"/>
        <v>1.7326798789216898E-3</v>
      </c>
      <c r="AG27" s="31">
        <f t="shared" si="25"/>
        <v>6.4815810717736903E-5</v>
      </c>
      <c r="AH27" s="31">
        <f t="shared" si="25"/>
        <v>1.4641836287280217E-3</v>
      </c>
      <c r="AI27" s="31">
        <f t="shared" ref="AI27:BN27" si="26">AI11^2</f>
        <v>2.0416160929393706E-3</v>
      </c>
      <c r="AJ27" s="31">
        <f t="shared" si="26"/>
        <v>1.1707089979531781E-3</v>
      </c>
      <c r="AK27" s="31">
        <f t="shared" si="26"/>
        <v>1.9481826911203113E-3</v>
      </c>
      <c r="AL27" s="31">
        <f t="shared" si="26"/>
        <v>1.266474915537371E-3</v>
      </c>
      <c r="AM27" s="31">
        <f t="shared" si="26"/>
        <v>1.7102176743532169E-4</v>
      </c>
      <c r="AN27" s="31">
        <f t="shared" si="26"/>
        <v>1.7210583520656951E-5</v>
      </c>
      <c r="AO27" s="31">
        <f t="shared" si="26"/>
        <v>6.0349700617423905E-3</v>
      </c>
      <c r="AP27" s="31">
        <f t="shared" si="26"/>
        <v>4.8977517008283308E-5</v>
      </c>
      <c r="AQ27" s="31">
        <f t="shared" si="26"/>
        <v>1.7147336612869088E-2</v>
      </c>
      <c r="AR27" s="31">
        <f t="shared" si="26"/>
        <v>7.5329742495129385E-3</v>
      </c>
      <c r="AS27" s="31">
        <f t="shared" si="26"/>
        <v>2.7776044691565603E-3</v>
      </c>
      <c r="AT27" s="31">
        <f t="shared" si="26"/>
        <v>4.2547534102817912E-3</v>
      </c>
      <c r="AU27" s="31">
        <f t="shared" si="26"/>
        <v>4.2502345660876805E-3</v>
      </c>
      <c r="AV27" s="31">
        <f t="shared" si="26"/>
        <v>7.3436487400388122E-5</v>
      </c>
      <c r="AW27" s="31">
        <f t="shared" si="26"/>
        <v>1.60194481917085E-3</v>
      </c>
      <c r="AX27" s="31">
        <f t="shared" si="26"/>
        <v>9.8863219592693887E-4</v>
      </c>
      <c r="AY27" s="31">
        <f t="shared" si="26"/>
        <v>1.6041610488780382E-5</v>
      </c>
      <c r="AZ27" s="31">
        <f t="shared" si="26"/>
        <v>6.2092602647907178E-5</v>
      </c>
      <c r="BA27" s="31">
        <f t="shared" si="26"/>
        <v>3.6874353934753392E-5</v>
      </c>
      <c r="BB27" s="31">
        <f t="shared" si="26"/>
        <v>1.2101704175533322E-4</v>
      </c>
      <c r="BC27" s="31">
        <f t="shared" si="26"/>
        <v>6.9588179927682428E-4</v>
      </c>
      <c r="BD27" s="31">
        <f t="shared" si="26"/>
        <v>1.5586344955206557E-3</v>
      </c>
      <c r="BE27" s="31">
        <f t="shared" si="26"/>
        <v>9.7833278969118435E-4</v>
      </c>
      <c r="BF27" s="31">
        <f t="shared" si="26"/>
        <v>3.6853574048309485E-5</v>
      </c>
      <c r="BG27" s="31">
        <f t="shared" si="26"/>
        <v>3.6647665014566434E-3</v>
      </c>
      <c r="BH27" s="31">
        <f t="shared" si="26"/>
        <v>7.289989238267805E-3</v>
      </c>
      <c r="BI27" s="31">
        <f t="shared" si="26"/>
        <v>4.1593669894173435E-3</v>
      </c>
      <c r="BJ27" s="31">
        <f t="shared" si="26"/>
        <v>3.8783127622290148E-5</v>
      </c>
      <c r="BK27" s="31">
        <f t="shared" si="26"/>
        <v>2.1521354971514193E-3</v>
      </c>
      <c r="BL27" s="31">
        <f t="shared" si="26"/>
        <v>1.336525963820349E-4</v>
      </c>
      <c r="BM27" s="31">
        <f t="shared" si="26"/>
        <v>1.985454762331907E-3</v>
      </c>
      <c r="BN27" s="31">
        <f t="shared" si="26"/>
        <v>7.629465686892122E-6</v>
      </c>
      <c r="BO27" s="31">
        <f t="shared" ref="BO27:CT27" si="27">BO11^2</f>
        <v>6.9091713822011137E-5</v>
      </c>
      <c r="BP27" s="31">
        <f t="shared" si="27"/>
        <v>3.1203785670462585E-3</v>
      </c>
      <c r="BQ27" s="31">
        <f t="shared" si="27"/>
        <v>1.2749634153512547E-3</v>
      </c>
      <c r="BR27" s="31">
        <f t="shared" si="27"/>
        <v>4.8456551158879905E-4</v>
      </c>
      <c r="BS27" s="31">
        <f t="shared" si="27"/>
        <v>1.5716090347935056E-3</v>
      </c>
      <c r="BT27" s="31">
        <f t="shared" si="27"/>
        <v>1.281820711813912E-5</v>
      </c>
      <c r="BU27" s="31">
        <f t="shared" si="27"/>
        <v>8.0657469502776226E-5</v>
      </c>
      <c r="BV27" s="31">
        <f t="shared" si="27"/>
        <v>7.9975160928309909E-5</v>
      </c>
      <c r="BW27" s="31">
        <f t="shared" si="27"/>
        <v>5.7857348809490965E-3</v>
      </c>
      <c r="BX27" s="31">
        <f t="shared" si="27"/>
        <v>1.6534804605481364E-3</v>
      </c>
      <c r="BY27" s="31">
        <f t="shared" si="27"/>
        <v>3.4908406432154694E-3</v>
      </c>
      <c r="BZ27" s="31">
        <f t="shared" si="27"/>
        <v>7.2805942721398899E-4</v>
      </c>
      <c r="CA27" s="31">
        <f t="shared" si="27"/>
        <v>1.6008563931749445E-2</v>
      </c>
      <c r="CB27" s="31">
        <f t="shared" si="27"/>
        <v>1.445347601830995E-4</v>
      </c>
      <c r="CC27" s="31">
        <f t="shared" si="27"/>
        <v>2.5889200398882791E-3</v>
      </c>
      <c r="CD27" s="31">
        <f t="shared" si="27"/>
        <v>6.3887822895437581E-4</v>
      </c>
      <c r="CE27" s="31">
        <f t="shared" si="27"/>
        <v>7.5737829574161275E-3</v>
      </c>
      <c r="CF27" s="31">
        <f t="shared" si="27"/>
        <v>6.0643826814938361E-4</v>
      </c>
      <c r="CG27" s="31">
        <f t="shared" si="27"/>
        <v>3.5145983982815942E-4</v>
      </c>
      <c r="CH27" s="31">
        <f t="shared" si="27"/>
        <v>1.7232859795444449E-3</v>
      </c>
      <c r="CI27" s="31">
        <f t="shared" si="27"/>
        <v>8.8924887500002386E-4</v>
      </c>
      <c r="CJ27" s="31">
        <f t="shared" si="27"/>
        <v>1.6041465397323526E-4</v>
      </c>
      <c r="CK27" s="31">
        <f t="shared" si="27"/>
        <v>2.3028024574732412E-3</v>
      </c>
      <c r="CL27" s="31">
        <f t="shared" si="27"/>
        <v>4.4642725780217762E-5</v>
      </c>
      <c r="CM27" s="31">
        <f t="shared" si="27"/>
        <v>5.4630386341820839E-4</v>
      </c>
      <c r="CN27" s="31">
        <f t="shared" si="27"/>
        <v>1.1859583288463893E-4</v>
      </c>
      <c r="CO27" s="31">
        <f t="shared" si="27"/>
        <v>2.1451538507071776E-2</v>
      </c>
      <c r="CP27" s="31">
        <f t="shared" si="27"/>
        <v>3.9079536734685274E-4</v>
      </c>
      <c r="CQ27" s="31">
        <f t="shared" si="27"/>
        <v>3.1503536084517906E-4</v>
      </c>
      <c r="CR27" s="31">
        <f t="shared" si="27"/>
        <v>8.4050830551802463E-4</v>
      </c>
      <c r="CS27" s="31">
        <f t="shared" si="27"/>
        <v>8.4834108893111048E-5</v>
      </c>
      <c r="CT27" s="31">
        <f t="shared" si="27"/>
        <v>1.357785655578251E-3</v>
      </c>
      <c r="CU27" s="31">
        <f t="shared" ref="CU27:DZ27" si="28">CU11^2</f>
        <v>9.3050106960842897E-4</v>
      </c>
      <c r="CV27" s="31">
        <f t="shared" si="28"/>
        <v>1.6308150330167385E-3</v>
      </c>
      <c r="CW27" s="31">
        <f t="shared" si="28"/>
        <v>8.809623770114191E-5</v>
      </c>
      <c r="CX27" s="31">
        <f t="shared" si="28"/>
        <v>5.9673905700761143E-3</v>
      </c>
      <c r="CY27" s="31">
        <f t="shared" si="28"/>
        <v>6.4934285102214676E-6</v>
      </c>
      <c r="CZ27" s="31">
        <f t="shared" si="28"/>
        <v>5.4553958679762855E-4</v>
      </c>
      <c r="DA27" s="31">
        <f t="shared" si="28"/>
        <v>1.2679764368676608E-3</v>
      </c>
      <c r="DB27" s="31">
        <f t="shared" si="28"/>
        <v>2.0249957666726433E-5</v>
      </c>
      <c r="DC27" s="31">
        <f t="shared" si="28"/>
        <v>1.8851158771020619E-3</v>
      </c>
      <c r="DD27" s="31">
        <f t="shared" si="28"/>
        <v>6.019507847381921E-3</v>
      </c>
      <c r="DE27" s="31">
        <f t="shared" si="28"/>
        <v>2.0746948170583621E-3</v>
      </c>
      <c r="DF27" s="31">
        <f t="shared" si="28"/>
        <v>5.4406906442556616E-3</v>
      </c>
      <c r="DG27" s="31">
        <f t="shared" si="28"/>
        <v>1.9143570377321042E-4</v>
      </c>
      <c r="DH27" s="31">
        <f t="shared" si="28"/>
        <v>1.7283277364271178E-4</v>
      </c>
      <c r="DI27" s="31">
        <f t="shared" si="28"/>
        <v>1.4029015510613837E-2</v>
      </c>
      <c r="DJ27" s="31">
        <f t="shared" si="28"/>
        <v>2.4716568256932104E-3</v>
      </c>
      <c r="DK27" s="31">
        <f t="shared" si="28"/>
        <v>8.3387640549511242E-4</v>
      </c>
      <c r="DL27" s="31">
        <f t="shared" si="28"/>
        <v>1.737526121331807E-4</v>
      </c>
      <c r="DM27" s="31">
        <f t="shared" si="28"/>
        <v>1.89403573255491E-3</v>
      </c>
      <c r="DN27" s="31">
        <f t="shared" si="28"/>
        <v>3.6799363519197273E-3</v>
      </c>
      <c r="DO27" s="31">
        <f t="shared" si="28"/>
        <v>6.8168388978050286E-3</v>
      </c>
      <c r="DP27" s="31">
        <f t="shared" si="28"/>
        <v>9.2190700121279213E-3</v>
      </c>
      <c r="DQ27" s="31">
        <f t="shared" si="28"/>
        <v>3.9384274152525655E-4</v>
      </c>
      <c r="DR27" s="31">
        <f t="shared" si="28"/>
        <v>3.4520279947047156E-4</v>
      </c>
      <c r="DS27" s="31">
        <f t="shared" si="28"/>
        <v>6.6484865577402666E-4</v>
      </c>
      <c r="DT27" s="31">
        <f t="shared" si="28"/>
        <v>1.4131273299836419E-3</v>
      </c>
      <c r="DU27" s="31">
        <f t="shared" si="28"/>
        <v>2.0513579604175191E-3</v>
      </c>
      <c r="DV27" s="31">
        <f t="shared" si="28"/>
        <v>5.0438077988086629E-4</v>
      </c>
      <c r="DW27" s="31">
        <f t="shared" si="28"/>
        <v>7.3792142143569996E-8</v>
      </c>
      <c r="DX27" s="31">
        <f t="shared" si="28"/>
        <v>4.1607646394616529E-3</v>
      </c>
      <c r="DY27" s="31">
        <f t="shared" si="28"/>
        <v>3.6150469403375229E-3</v>
      </c>
      <c r="DZ27" s="31">
        <f t="shared" si="28"/>
        <v>3.3925055356370317E-5</v>
      </c>
      <c r="EA27" s="31">
        <f t="shared" ref="EA27:EF27" si="29">EA11^2</f>
        <v>2.4037075920316242E-4</v>
      </c>
      <c r="EB27" s="31">
        <f t="shared" si="29"/>
        <v>9.5511362034907718E-4</v>
      </c>
      <c r="EC27" s="31">
        <f t="shared" si="29"/>
        <v>1.5850809145450105E-3</v>
      </c>
      <c r="ED27" s="31">
        <f t="shared" si="29"/>
        <v>3.6224111358421139E-5</v>
      </c>
      <c r="EE27" s="31">
        <f t="shared" si="29"/>
        <v>1.591113750128701E-3</v>
      </c>
      <c r="EF27" s="31">
        <f t="shared" si="29"/>
        <v>9.2316261048452156E-3</v>
      </c>
      <c r="EG27" s="4"/>
    </row>
    <row r="28" spans="1:137" ht="16" customHeight="1">
      <c r="A28" s="30"/>
      <c r="B28" s="26" t="s">
        <v>137</v>
      </c>
      <c r="C28" s="31">
        <f t="shared" ref="C28:AH28" si="30">C12^2</f>
        <v>4.3830739180631434E-2</v>
      </c>
      <c r="D28" s="31">
        <f t="shared" si="30"/>
        <v>5.8301099036782662E-2</v>
      </c>
      <c r="E28" s="31">
        <f t="shared" si="30"/>
        <v>7.095082717439341E-2</v>
      </c>
      <c r="F28" s="31">
        <f t="shared" si="30"/>
        <v>0.10905171683529688</v>
      </c>
      <c r="G28" s="31">
        <f t="shared" si="30"/>
        <v>4.1447412921159846E-2</v>
      </c>
      <c r="H28" s="31">
        <f t="shared" si="30"/>
        <v>0.30662153574633394</v>
      </c>
      <c r="I28" s="31">
        <f t="shared" si="30"/>
        <v>0.44862468715901888</v>
      </c>
      <c r="J28" s="31">
        <f t="shared" si="30"/>
        <v>0.37249771464554532</v>
      </c>
      <c r="K28" s="31">
        <f t="shared" si="30"/>
        <v>0.743172367419633</v>
      </c>
      <c r="L28" s="31">
        <f t="shared" si="30"/>
        <v>0.13954555250085254</v>
      </c>
      <c r="M28" s="31">
        <f t="shared" si="30"/>
        <v>0.38715788019824043</v>
      </c>
      <c r="N28" s="31">
        <f t="shared" si="30"/>
        <v>8.6148423679951708E-2</v>
      </c>
      <c r="O28" s="31">
        <f t="shared" si="30"/>
        <v>0.12694035248712693</v>
      </c>
      <c r="P28" s="31">
        <f t="shared" si="30"/>
        <v>3.1708544027118792E-2</v>
      </c>
      <c r="Q28" s="31">
        <f t="shared" si="30"/>
        <v>2.4447673977298121E-2</v>
      </c>
      <c r="R28" s="31">
        <f t="shared" si="30"/>
        <v>5.0548710826470368E-2</v>
      </c>
      <c r="S28" s="31">
        <f t="shared" si="30"/>
        <v>3.335905702910956E-2</v>
      </c>
      <c r="T28" s="31">
        <f t="shared" si="30"/>
        <v>2.3431552375031854E-2</v>
      </c>
      <c r="U28" s="31">
        <f t="shared" si="30"/>
        <v>5.0885044725258448E-2</v>
      </c>
      <c r="V28" s="31">
        <f t="shared" si="30"/>
        <v>8.3869495384565479E-3</v>
      </c>
      <c r="W28" s="31">
        <f t="shared" si="30"/>
        <v>2.4498374202481382E-3</v>
      </c>
      <c r="X28" s="31">
        <f t="shared" si="30"/>
        <v>7.1767765320458587E-2</v>
      </c>
      <c r="Y28" s="31">
        <f t="shared" si="30"/>
        <v>0.13307049851712519</v>
      </c>
      <c r="Z28" s="31">
        <f t="shared" si="30"/>
        <v>0.14281295511624217</v>
      </c>
      <c r="AA28" s="31">
        <f t="shared" si="30"/>
        <v>0.19320846596826294</v>
      </c>
      <c r="AB28" s="31">
        <f t="shared" si="30"/>
        <v>0.17522107810753829</v>
      </c>
      <c r="AC28" s="31">
        <f t="shared" si="30"/>
        <v>0.10122906471344194</v>
      </c>
      <c r="AD28" s="31">
        <f t="shared" si="30"/>
        <v>4.349951307703423E-2</v>
      </c>
      <c r="AE28" s="31">
        <f t="shared" si="30"/>
        <v>1.0478590051857991E-2</v>
      </c>
      <c r="AF28" s="31">
        <f t="shared" si="30"/>
        <v>2.2161861582718628E-2</v>
      </c>
      <c r="AG28" s="31">
        <f t="shared" si="30"/>
        <v>3.48532407548637E-2</v>
      </c>
      <c r="AH28" s="31">
        <f t="shared" si="30"/>
        <v>6.4481843573684958E-2</v>
      </c>
      <c r="AI28" s="31">
        <f t="shared" ref="AI28:BN28" si="31">AI12^2</f>
        <v>2.1826878929646673E-2</v>
      </c>
      <c r="AJ28" s="31">
        <f t="shared" si="31"/>
        <v>1.9814522363226735E-3</v>
      </c>
      <c r="AK28" s="31">
        <f t="shared" si="31"/>
        <v>3.3820763078832865E-3</v>
      </c>
      <c r="AL28" s="31">
        <f t="shared" si="31"/>
        <v>8.4392218871139468E-3</v>
      </c>
      <c r="AM28" s="31">
        <f t="shared" si="31"/>
        <v>2.8312335196841936E-2</v>
      </c>
      <c r="AN28" s="31">
        <f t="shared" si="31"/>
        <v>0.1138637327158907</v>
      </c>
      <c r="AO28" s="31">
        <f t="shared" si="31"/>
        <v>0.13592606952782832</v>
      </c>
      <c r="AP28" s="31">
        <f t="shared" si="31"/>
        <v>8.2322852414103337E-2</v>
      </c>
      <c r="AQ28" s="31">
        <f t="shared" si="31"/>
        <v>9.3170679998561309E-2</v>
      </c>
      <c r="AR28" s="31">
        <f t="shared" si="31"/>
        <v>8.6032984752392933E-2</v>
      </c>
      <c r="AS28" s="31">
        <f t="shared" si="31"/>
        <v>9.1609308617207744E-2</v>
      </c>
      <c r="AT28" s="31">
        <f t="shared" si="31"/>
        <v>7.8655989499887141E-2</v>
      </c>
      <c r="AU28" s="31">
        <f t="shared" si="31"/>
        <v>3.335368834728835E-2</v>
      </c>
      <c r="AV28" s="31">
        <f t="shared" si="31"/>
        <v>1.4716064571650107E-2</v>
      </c>
      <c r="AW28" s="31">
        <f t="shared" si="31"/>
        <v>2.3630217629516722E-2</v>
      </c>
      <c r="AX28" s="31">
        <f t="shared" si="31"/>
        <v>4.6792436902858405E-4</v>
      </c>
      <c r="AY28" s="31">
        <f t="shared" si="31"/>
        <v>1.024586410891495E-2</v>
      </c>
      <c r="AZ28" s="31">
        <f t="shared" si="31"/>
        <v>3.5925983334454098E-2</v>
      </c>
      <c r="BA28" s="31">
        <f t="shared" si="31"/>
        <v>9.0782228273149253E-3</v>
      </c>
      <c r="BB28" s="31">
        <f t="shared" si="31"/>
        <v>1.2388743240652662E-4</v>
      </c>
      <c r="BC28" s="31">
        <f t="shared" si="31"/>
        <v>3.8495669849968377E-2</v>
      </c>
      <c r="BD28" s="31">
        <f t="shared" si="31"/>
        <v>2.3179190007777614E-2</v>
      </c>
      <c r="BE28" s="31">
        <f t="shared" si="31"/>
        <v>4.3824908459607299E-2</v>
      </c>
      <c r="BF28" s="31">
        <f t="shared" si="31"/>
        <v>2.8063797777468584E-2</v>
      </c>
      <c r="BG28" s="31">
        <f t="shared" si="31"/>
        <v>2.8411507265062915E-2</v>
      </c>
      <c r="BH28" s="31">
        <f t="shared" si="31"/>
        <v>5.5111120133917592E-2</v>
      </c>
      <c r="BI28" s="31">
        <f t="shared" si="31"/>
        <v>7.6167039583153323E-2</v>
      </c>
      <c r="BJ28" s="31">
        <f t="shared" si="31"/>
        <v>6.8407855887226643E-2</v>
      </c>
      <c r="BK28" s="31">
        <f t="shared" si="31"/>
        <v>3.7251163512853964E-2</v>
      </c>
      <c r="BL28" s="31">
        <f t="shared" si="31"/>
        <v>1.0404047201649799E-3</v>
      </c>
      <c r="BM28" s="31">
        <f t="shared" si="31"/>
        <v>7.1655714833368349E-3</v>
      </c>
      <c r="BN28" s="31">
        <f t="shared" si="31"/>
        <v>2.46560415965623E-4</v>
      </c>
      <c r="BO28" s="31">
        <f t="shared" ref="BO28:CT28" si="32">BO12^2</f>
        <v>8.7667897977662819E-4</v>
      </c>
      <c r="BP28" s="31">
        <f t="shared" si="32"/>
        <v>6.8269805330622903E-3</v>
      </c>
      <c r="BQ28" s="31">
        <f t="shared" si="32"/>
        <v>6.2933205170866251E-3</v>
      </c>
      <c r="BR28" s="31">
        <f t="shared" si="32"/>
        <v>1.288999960124957E-2</v>
      </c>
      <c r="BS28" s="31">
        <f t="shared" si="32"/>
        <v>2.5744399073911749E-2</v>
      </c>
      <c r="BT28" s="31">
        <f t="shared" si="32"/>
        <v>8.4040000719904587E-4</v>
      </c>
      <c r="BU28" s="31">
        <f t="shared" si="32"/>
        <v>1.4758763412936199E-5</v>
      </c>
      <c r="BV28" s="31">
        <f t="shared" si="32"/>
        <v>3.0327833299653061E-2</v>
      </c>
      <c r="BW28" s="31">
        <f t="shared" si="32"/>
        <v>2.5659758966569968E-3</v>
      </c>
      <c r="BX28" s="31">
        <f t="shared" si="32"/>
        <v>9.4989002193701975E-5</v>
      </c>
      <c r="BY28" s="31">
        <f t="shared" si="32"/>
        <v>1.859223801270272E-3</v>
      </c>
      <c r="BZ28" s="31">
        <f t="shared" si="32"/>
        <v>6.9880755309103329E-3</v>
      </c>
      <c r="CA28" s="31">
        <f t="shared" si="32"/>
        <v>3.5710833571697244E-3</v>
      </c>
      <c r="CB28" s="31">
        <f t="shared" si="32"/>
        <v>5.1323474085624377E-2</v>
      </c>
      <c r="CC28" s="31">
        <f t="shared" si="32"/>
        <v>2.579095458316508E-2</v>
      </c>
      <c r="CD28" s="31">
        <f t="shared" si="32"/>
        <v>1.5570601948634978E-2</v>
      </c>
      <c r="CE28" s="31">
        <f t="shared" si="32"/>
        <v>4.944458976607175E-3</v>
      </c>
      <c r="CF28" s="31">
        <f t="shared" si="32"/>
        <v>1.4278336664955138E-3</v>
      </c>
      <c r="CG28" s="31">
        <f t="shared" si="32"/>
        <v>2.1854106949066456E-2</v>
      </c>
      <c r="CH28" s="31">
        <f t="shared" si="32"/>
        <v>2.607039406642328E-2</v>
      </c>
      <c r="CI28" s="31">
        <f t="shared" si="32"/>
        <v>3.6291694223710542E-2</v>
      </c>
      <c r="CJ28" s="31">
        <f t="shared" si="32"/>
        <v>3.3419970564953151E-3</v>
      </c>
      <c r="CK28" s="31">
        <f t="shared" si="32"/>
        <v>3.2977018381864724E-2</v>
      </c>
      <c r="CL28" s="31">
        <f t="shared" si="32"/>
        <v>2.5586851304034028E-2</v>
      </c>
      <c r="CM28" s="31">
        <f t="shared" si="32"/>
        <v>3.7422473170267402E-2</v>
      </c>
      <c r="CN28" s="31">
        <f t="shared" si="32"/>
        <v>8.5861814548839673E-3</v>
      </c>
      <c r="CO28" s="31">
        <f t="shared" si="32"/>
        <v>3.3930914548665383E-2</v>
      </c>
      <c r="CP28" s="31">
        <f t="shared" si="32"/>
        <v>4.6267743265665781E-2</v>
      </c>
      <c r="CQ28" s="31">
        <f t="shared" si="32"/>
        <v>6.1187063347694672E-3</v>
      </c>
      <c r="CR28" s="31">
        <f t="shared" si="32"/>
        <v>5.4113485026226302E-2</v>
      </c>
      <c r="CS28" s="31">
        <f t="shared" si="32"/>
        <v>1.5529550020481946E-2</v>
      </c>
      <c r="CT28" s="31">
        <f t="shared" si="32"/>
        <v>4.6067794897640686E-2</v>
      </c>
      <c r="CU28" s="31">
        <f t="shared" ref="CU28:DZ28" si="33">CU12^2</f>
        <v>8.6320336778984097E-2</v>
      </c>
      <c r="CV28" s="31">
        <f t="shared" si="33"/>
        <v>2.7088680246026325E-2</v>
      </c>
      <c r="CW28" s="31">
        <f t="shared" si="33"/>
        <v>5.17969954915449E-2</v>
      </c>
      <c r="CX28" s="31">
        <f t="shared" si="33"/>
        <v>9.590117112974722E-2</v>
      </c>
      <c r="CY28" s="31">
        <f t="shared" si="33"/>
        <v>1.0166072869105328E-2</v>
      </c>
      <c r="CZ28" s="31">
        <f t="shared" si="33"/>
        <v>7.5071562941328246E-2</v>
      </c>
      <c r="DA28" s="31">
        <f t="shared" si="33"/>
        <v>8.7696720831575203E-2</v>
      </c>
      <c r="DB28" s="31">
        <f t="shared" si="33"/>
        <v>0.19721928790948032</v>
      </c>
      <c r="DC28" s="31">
        <f t="shared" si="33"/>
        <v>7.6950480734462257E-2</v>
      </c>
      <c r="DD28" s="31">
        <f t="shared" si="33"/>
        <v>4.3456381981692792E-2</v>
      </c>
      <c r="DE28" s="31">
        <f t="shared" si="33"/>
        <v>2.5065668503263094E-3</v>
      </c>
      <c r="DF28" s="31">
        <f t="shared" si="33"/>
        <v>6.2952387726760818E-3</v>
      </c>
      <c r="DG28" s="31">
        <f t="shared" si="33"/>
        <v>1.7026700885505253E-3</v>
      </c>
      <c r="DH28" s="31">
        <f t="shared" si="33"/>
        <v>5.4780783790936472E-5</v>
      </c>
      <c r="DI28" s="31">
        <f t="shared" si="33"/>
        <v>8.4462861727841003E-3</v>
      </c>
      <c r="DJ28" s="31">
        <f t="shared" si="33"/>
        <v>3.5649370526165548E-2</v>
      </c>
      <c r="DK28" s="31">
        <f t="shared" si="33"/>
        <v>2.5347403084230663E-5</v>
      </c>
      <c r="DL28" s="31">
        <f t="shared" si="33"/>
        <v>4.2644472977082211E-3</v>
      </c>
      <c r="DM28" s="31">
        <f t="shared" si="33"/>
        <v>2.8872612876189942E-2</v>
      </c>
      <c r="DN28" s="31">
        <f t="shared" si="33"/>
        <v>2.3382578771409526E-3</v>
      </c>
      <c r="DO28" s="31">
        <f t="shared" si="33"/>
        <v>9.1440525189191324E-2</v>
      </c>
      <c r="DP28" s="31">
        <f t="shared" si="33"/>
        <v>0.16200317095160946</v>
      </c>
      <c r="DQ28" s="31">
        <f t="shared" si="33"/>
        <v>0.17925021078535808</v>
      </c>
      <c r="DR28" s="31">
        <f t="shared" si="33"/>
        <v>0.10213605613425659</v>
      </c>
      <c r="DS28" s="31">
        <f t="shared" si="33"/>
        <v>7.2939221272757579E-2</v>
      </c>
      <c r="DT28" s="31">
        <f t="shared" si="33"/>
        <v>6.029929408725699E-2</v>
      </c>
      <c r="DU28" s="31">
        <f t="shared" si="33"/>
        <v>3.3762304837791704E-2</v>
      </c>
      <c r="DV28" s="31">
        <f t="shared" si="33"/>
        <v>2.8501672818344675E-2</v>
      </c>
      <c r="DW28" s="31">
        <f t="shared" si="33"/>
        <v>4.72440328919424E-2</v>
      </c>
      <c r="DX28" s="31">
        <f t="shared" si="33"/>
        <v>3.502962313735733E-2</v>
      </c>
      <c r="DY28" s="31">
        <f t="shared" si="33"/>
        <v>1.6546393274128331E-2</v>
      </c>
      <c r="DZ28" s="31">
        <f t="shared" si="33"/>
        <v>1.2972212627663376E-2</v>
      </c>
      <c r="EA28" s="31">
        <f t="shared" ref="EA28:EF28" si="34">EA12^2</f>
        <v>4.8842058770262806E-3</v>
      </c>
      <c r="EB28" s="31">
        <f t="shared" si="34"/>
        <v>1.6082579262487864E-2</v>
      </c>
      <c r="EC28" s="31">
        <f t="shared" si="34"/>
        <v>2.4423916648603029E-2</v>
      </c>
      <c r="ED28" s="31">
        <f t="shared" si="34"/>
        <v>0.13446028687101075</v>
      </c>
      <c r="EE28" s="31">
        <f t="shared" si="34"/>
        <v>0.22325700516581848</v>
      </c>
      <c r="EF28" s="31">
        <f t="shared" si="34"/>
        <v>0.53249604053321642</v>
      </c>
      <c r="EG28" s="4"/>
    </row>
    <row r="29" spans="1:137" ht="16" customHeight="1">
      <c r="A29" s="30"/>
      <c r="B29" s="26" t="s">
        <v>138</v>
      </c>
      <c r="C29" s="31">
        <f t="shared" ref="C29:AH29" si="35">C13^2</f>
        <v>2.0047505006893902E-2</v>
      </c>
      <c r="D29" s="31">
        <f t="shared" si="35"/>
        <v>8.5723423958154864E-3</v>
      </c>
      <c r="E29" s="31">
        <f t="shared" si="35"/>
        <v>1.288197568545346E-2</v>
      </c>
      <c r="F29" s="31">
        <f t="shared" si="35"/>
        <v>5.4419799360286685E-5</v>
      </c>
      <c r="G29" s="31">
        <f t="shared" si="35"/>
        <v>0.10153123791112391</v>
      </c>
      <c r="H29" s="31">
        <f t="shared" si="35"/>
        <v>0.17690350998720145</v>
      </c>
      <c r="I29" s="31">
        <f t="shared" si="35"/>
        <v>0.38120220747773892</v>
      </c>
      <c r="J29" s="31">
        <f t="shared" si="35"/>
        <v>0.18802637837535</v>
      </c>
      <c r="K29" s="31">
        <f t="shared" si="35"/>
        <v>6.5673146029726751E-2</v>
      </c>
      <c r="L29" s="31">
        <f t="shared" si="35"/>
        <v>4.4652128555955045E-2</v>
      </c>
      <c r="M29" s="31">
        <f t="shared" si="35"/>
        <v>4.2632346896467263E-2</v>
      </c>
      <c r="N29" s="31">
        <f t="shared" si="35"/>
        <v>0.10752652552803434</v>
      </c>
      <c r="O29" s="31">
        <f t="shared" si="35"/>
        <v>2.4742695736495269E-4</v>
      </c>
      <c r="P29" s="31">
        <f t="shared" si="35"/>
        <v>4.6844024506117075E-3</v>
      </c>
      <c r="Q29" s="31">
        <f t="shared" si="35"/>
        <v>2.7719020230516519E-3</v>
      </c>
      <c r="R29" s="31">
        <f t="shared" si="35"/>
        <v>4.2826701197276612E-4</v>
      </c>
      <c r="S29" s="31">
        <f t="shared" si="35"/>
        <v>6.2296614720390605E-4</v>
      </c>
      <c r="T29" s="31">
        <f t="shared" si="35"/>
        <v>7.5418190557369862E-3</v>
      </c>
      <c r="U29" s="31">
        <f t="shared" si="35"/>
        <v>0.27518914368808794</v>
      </c>
      <c r="V29" s="31">
        <f t="shared" si="35"/>
        <v>0.22964638596160719</v>
      </c>
      <c r="W29" s="31">
        <f t="shared" si="35"/>
        <v>0.13212376872723772</v>
      </c>
      <c r="X29" s="31">
        <f t="shared" si="35"/>
        <v>0.15812272676319264</v>
      </c>
      <c r="Y29" s="31">
        <f t="shared" si="35"/>
        <v>0.22621542849001347</v>
      </c>
      <c r="Z29" s="31">
        <f t="shared" si="35"/>
        <v>8.6436818628566822E-2</v>
      </c>
      <c r="AA29" s="31">
        <f t="shared" si="35"/>
        <v>4.8358010224950593E-2</v>
      </c>
      <c r="AB29" s="31">
        <f t="shared" si="35"/>
        <v>3.3039651081531962E-4</v>
      </c>
      <c r="AC29" s="31">
        <f t="shared" si="35"/>
        <v>6.3984103000309734E-3</v>
      </c>
      <c r="AD29" s="31">
        <f t="shared" si="35"/>
        <v>1.0586965025736412E-2</v>
      </c>
      <c r="AE29" s="31">
        <f t="shared" si="35"/>
        <v>2.0879311696932058E-2</v>
      </c>
      <c r="AF29" s="31">
        <f t="shared" si="35"/>
        <v>8.9528585773376787E-3</v>
      </c>
      <c r="AG29" s="31">
        <f t="shared" si="35"/>
        <v>2.5245423682067017E-2</v>
      </c>
      <c r="AH29" s="31">
        <f t="shared" si="35"/>
        <v>1.4308507100670633E-2</v>
      </c>
      <c r="AI29" s="31">
        <f t="shared" ref="AI29:BN29" si="36">AI13^2</f>
        <v>7.1554771304579406E-2</v>
      </c>
      <c r="AJ29" s="31">
        <f t="shared" si="36"/>
        <v>7.8635478240737147E-2</v>
      </c>
      <c r="AK29" s="31">
        <f t="shared" si="36"/>
        <v>9.4249297676503448E-4</v>
      </c>
      <c r="AL29" s="31">
        <f t="shared" si="36"/>
        <v>2.107601885420753E-3</v>
      </c>
      <c r="AM29" s="31">
        <f t="shared" si="36"/>
        <v>3.0619014152663025E-2</v>
      </c>
      <c r="AN29" s="31">
        <f t="shared" si="36"/>
        <v>1.6167437958556286E-2</v>
      </c>
      <c r="AO29" s="31">
        <f t="shared" si="36"/>
        <v>3.410486311302266E-2</v>
      </c>
      <c r="AP29" s="31">
        <f t="shared" si="36"/>
        <v>7.0920613174141126E-3</v>
      </c>
      <c r="AQ29" s="31">
        <f t="shared" si="36"/>
        <v>3.8394156838161914E-2</v>
      </c>
      <c r="AR29" s="31">
        <f t="shared" si="36"/>
        <v>1.7751174381442095E-2</v>
      </c>
      <c r="AS29" s="31">
        <f t="shared" si="36"/>
        <v>2.7534628608526335E-2</v>
      </c>
      <c r="AT29" s="31">
        <f t="shared" si="36"/>
        <v>4.3252538354924186E-4</v>
      </c>
      <c r="AU29" s="31">
        <f t="shared" si="36"/>
        <v>1.5018775721544988E-4</v>
      </c>
      <c r="AV29" s="31">
        <f t="shared" si="36"/>
        <v>1.7833634936318863E-4</v>
      </c>
      <c r="AW29" s="31">
        <f t="shared" si="36"/>
        <v>2.654171782076872E-2</v>
      </c>
      <c r="AX29" s="31">
        <f t="shared" si="36"/>
        <v>4.5787753559754335E-4</v>
      </c>
      <c r="AY29" s="31">
        <f t="shared" si="36"/>
        <v>0.10139060991702965</v>
      </c>
      <c r="AZ29" s="31">
        <f t="shared" si="36"/>
        <v>5.709246010767096E-2</v>
      </c>
      <c r="BA29" s="31">
        <f t="shared" si="36"/>
        <v>5.2897888479895808E-2</v>
      </c>
      <c r="BB29" s="31">
        <f t="shared" si="36"/>
        <v>5.1156161821735184E-3</v>
      </c>
      <c r="BC29" s="31">
        <f t="shared" si="36"/>
        <v>3.8116342827615196E-2</v>
      </c>
      <c r="BD29" s="31">
        <f t="shared" si="36"/>
        <v>1.8058441659227657E-2</v>
      </c>
      <c r="BE29" s="31">
        <f t="shared" si="36"/>
        <v>0.13285043218373843</v>
      </c>
      <c r="BF29" s="31">
        <f t="shared" si="36"/>
        <v>0.2011365929747925</v>
      </c>
      <c r="BG29" s="31">
        <f t="shared" si="36"/>
        <v>0.18680808550654529</v>
      </c>
      <c r="BH29" s="31">
        <f t="shared" si="36"/>
        <v>7.548864590492281E-2</v>
      </c>
      <c r="BI29" s="31">
        <f t="shared" si="36"/>
        <v>7.6314096561538286E-2</v>
      </c>
      <c r="BJ29" s="31">
        <f t="shared" si="36"/>
        <v>2.4288270582949144E-4</v>
      </c>
      <c r="BK29" s="31">
        <f t="shared" si="36"/>
        <v>1.1194726873527957E-2</v>
      </c>
      <c r="BL29" s="31">
        <f t="shared" si="36"/>
        <v>1.6015156231823788E-2</v>
      </c>
      <c r="BM29" s="31">
        <f t="shared" si="36"/>
        <v>5.220352318453586E-2</v>
      </c>
      <c r="BN29" s="31">
        <f t="shared" si="36"/>
        <v>8.1221992792134767E-2</v>
      </c>
      <c r="BO29" s="31">
        <f t="shared" ref="BO29:CT29" si="37">BO13^2</f>
        <v>1.069904960419674E-2</v>
      </c>
      <c r="BP29" s="31">
        <f t="shared" si="37"/>
        <v>0.14239661114031066</v>
      </c>
      <c r="BQ29" s="31">
        <f t="shared" si="37"/>
        <v>4.0149162361662855E-2</v>
      </c>
      <c r="BR29" s="31">
        <f t="shared" si="37"/>
        <v>5.17001338832224E-2</v>
      </c>
      <c r="BS29" s="31">
        <f t="shared" si="37"/>
        <v>7.840319181133551E-2</v>
      </c>
      <c r="BT29" s="31">
        <f t="shared" si="37"/>
        <v>6.2744449082208914E-2</v>
      </c>
      <c r="BU29" s="31">
        <f t="shared" si="37"/>
        <v>0.16769519350492512</v>
      </c>
      <c r="BV29" s="31">
        <f t="shared" si="37"/>
        <v>7.7921036791955459E-2</v>
      </c>
      <c r="BW29" s="31">
        <f t="shared" si="37"/>
        <v>0.17925639751099526</v>
      </c>
      <c r="BX29" s="31">
        <f t="shared" si="37"/>
        <v>4.277201965344242E-2</v>
      </c>
      <c r="BY29" s="31">
        <f t="shared" si="37"/>
        <v>2.8885233844942328E-2</v>
      </c>
      <c r="BZ29" s="31">
        <f t="shared" si="37"/>
        <v>6.3651005885166062E-2</v>
      </c>
      <c r="CA29" s="31">
        <f t="shared" si="37"/>
        <v>0.10256834409168052</v>
      </c>
      <c r="CB29" s="31">
        <f t="shared" si="37"/>
        <v>0.26485003821099157</v>
      </c>
      <c r="CC29" s="31">
        <f t="shared" si="37"/>
        <v>3.2953167800824516E-2</v>
      </c>
      <c r="CD29" s="31">
        <f t="shared" si="37"/>
        <v>1.4408090259037309E-2</v>
      </c>
      <c r="CE29" s="31">
        <f t="shared" si="37"/>
        <v>6.7305444564119633E-4</v>
      </c>
      <c r="CF29" s="31">
        <f t="shared" si="37"/>
        <v>2.028927335632189E-3</v>
      </c>
      <c r="CG29" s="31">
        <f t="shared" si="37"/>
        <v>0.12563781634920676</v>
      </c>
      <c r="CH29" s="31">
        <f t="shared" si="37"/>
        <v>6.3807994754656677E-2</v>
      </c>
      <c r="CI29" s="31">
        <f t="shared" si="37"/>
        <v>2.072214110580279E-2</v>
      </c>
      <c r="CJ29" s="31">
        <f t="shared" si="37"/>
        <v>7.4565975192821279E-2</v>
      </c>
      <c r="CK29" s="31">
        <f t="shared" si="37"/>
        <v>2.9039042533688818E-4</v>
      </c>
      <c r="CL29" s="31">
        <f t="shared" si="37"/>
        <v>5.8968453509929616E-2</v>
      </c>
      <c r="CM29" s="31">
        <f t="shared" si="37"/>
        <v>3.9169875738940184E-5</v>
      </c>
      <c r="CN29" s="31">
        <f t="shared" si="37"/>
        <v>9.6146573337663618E-2</v>
      </c>
      <c r="CO29" s="31">
        <f t="shared" si="37"/>
        <v>0.23679846411196204</v>
      </c>
      <c r="CP29" s="31">
        <f t="shared" si="37"/>
        <v>0.34295869303310317</v>
      </c>
      <c r="CQ29" s="31">
        <f t="shared" si="37"/>
        <v>4.5593924338772143E-2</v>
      </c>
      <c r="CR29" s="31">
        <f t="shared" si="37"/>
        <v>2.7286455064725736E-2</v>
      </c>
      <c r="CS29" s="31">
        <f t="shared" si="37"/>
        <v>2.5144296091216427E-2</v>
      </c>
      <c r="CT29" s="31">
        <f t="shared" si="37"/>
        <v>8.720403778779684E-2</v>
      </c>
      <c r="CU29" s="31">
        <f t="shared" ref="CU29:DZ29" si="38">CU13^2</f>
        <v>1.5745701708606254E-2</v>
      </c>
      <c r="CV29" s="31">
        <f t="shared" si="38"/>
        <v>2.2747457032733761E-3</v>
      </c>
      <c r="CW29" s="31">
        <f t="shared" si="38"/>
        <v>4.893735438933876E-3</v>
      </c>
      <c r="CX29" s="31">
        <f t="shared" si="38"/>
        <v>8.5484735475938801E-5</v>
      </c>
      <c r="CY29" s="31">
        <f t="shared" si="38"/>
        <v>4.8997171997379788E-4</v>
      </c>
      <c r="CZ29" s="31">
        <f t="shared" si="38"/>
        <v>3.113634539444899E-3</v>
      </c>
      <c r="DA29" s="31">
        <f t="shared" si="38"/>
        <v>2.2000710073179742E-5</v>
      </c>
      <c r="DB29" s="31">
        <f t="shared" si="38"/>
        <v>3.9369318341587703E-2</v>
      </c>
      <c r="DC29" s="31">
        <f t="shared" si="38"/>
        <v>2.1950728260332845E-2</v>
      </c>
      <c r="DD29" s="31">
        <f t="shared" si="38"/>
        <v>6.1542246316697961E-3</v>
      </c>
      <c r="DE29" s="31">
        <f t="shared" si="38"/>
        <v>1.2065779227166886E-3</v>
      </c>
      <c r="DF29" s="31">
        <f t="shared" si="38"/>
        <v>5.4334939543582837E-2</v>
      </c>
      <c r="DG29" s="31">
        <f t="shared" si="38"/>
        <v>1.1125170390702424E-2</v>
      </c>
      <c r="DH29" s="31">
        <f t="shared" si="38"/>
        <v>6.7727774420830847E-2</v>
      </c>
      <c r="DI29" s="31">
        <f t="shared" si="38"/>
        <v>5.9254329318028286E-2</v>
      </c>
      <c r="DJ29" s="31">
        <f t="shared" si="38"/>
        <v>3.7970084568573884E-3</v>
      </c>
      <c r="DK29" s="31">
        <f t="shared" si="38"/>
        <v>7.9459118179054915E-3</v>
      </c>
      <c r="DL29" s="31">
        <f t="shared" si="38"/>
        <v>8.5574935694922966E-4</v>
      </c>
      <c r="DM29" s="31">
        <f t="shared" si="38"/>
        <v>2.0266780475656474E-2</v>
      </c>
      <c r="DN29" s="31">
        <f t="shared" si="38"/>
        <v>2.1360574738261119E-2</v>
      </c>
      <c r="DO29" s="31">
        <f t="shared" si="38"/>
        <v>2.4087703923867444E-3</v>
      </c>
      <c r="DP29" s="31">
        <f t="shared" si="38"/>
        <v>0.16259411154270015</v>
      </c>
      <c r="DQ29" s="31">
        <f t="shared" si="38"/>
        <v>0.21645218366596883</v>
      </c>
      <c r="DR29" s="31">
        <f t="shared" si="38"/>
        <v>6.4981770258599553E-2</v>
      </c>
      <c r="DS29" s="31">
        <f t="shared" si="38"/>
        <v>2.0996486318054133E-2</v>
      </c>
      <c r="DT29" s="31">
        <f t="shared" si="38"/>
        <v>1.2022655123971845E-2</v>
      </c>
      <c r="DU29" s="31">
        <f t="shared" si="38"/>
        <v>2.1505619299634026E-2</v>
      </c>
      <c r="DV29" s="31">
        <f t="shared" si="38"/>
        <v>0.14074000042297641</v>
      </c>
      <c r="DW29" s="31">
        <f t="shared" si="38"/>
        <v>8.8458573449165342E-2</v>
      </c>
      <c r="DX29" s="31">
        <f t="shared" si="38"/>
        <v>3.8197880162395774E-2</v>
      </c>
      <c r="DY29" s="31">
        <f t="shared" si="38"/>
        <v>6.7944190184160702E-3</v>
      </c>
      <c r="DZ29" s="31">
        <f t="shared" si="38"/>
        <v>3.4412106966885073E-3</v>
      </c>
      <c r="EA29" s="31">
        <f t="shared" ref="EA29:EF29" si="39">EA13^2</f>
        <v>2.1882821320586073E-3</v>
      </c>
      <c r="EB29" s="31">
        <f t="shared" si="39"/>
        <v>2.6943004065820148E-2</v>
      </c>
      <c r="EC29" s="31">
        <f t="shared" si="39"/>
        <v>1.4488869174480326E-3</v>
      </c>
      <c r="ED29" s="31">
        <f t="shared" si="39"/>
        <v>3.0600199202275215E-3</v>
      </c>
      <c r="EE29" s="31">
        <f t="shared" si="39"/>
        <v>2.0853883336532895E-3</v>
      </c>
      <c r="EF29" s="31">
        <f t="shared" si="39"/>
        <v>2.2893359865264347E-4</v>
      </c>
      <c r="EG29" s="4"/>
    </row>
    <row r="30" spans="1:137" ht="16" customHeight="1">
      <c r="A30" s="4"/>
      <c r="B30" s="26" t="s">
        <v>139</v>
      </c>
      <c r="C30" s="31">
        <f t="shared" ref="C30:AH30" si="40">C14^2</f>
        <v>3.0567189755982323E-3</v>
      </c>
      <c r="D30" s="31">
        <f t="shared" si="40"/>
        <v>2.0866665537478617E-2</v>
      </c>
      <c r="E30" s="31">
        <f t="shared" si="40"/>
        <v>8.3596828051190047E-3</v>
      </c>
      <c r="F30" s="31">
        <f t="shared" si="40"/>
        <v>0.12599077833640268</v>
      </c>
      <c r="G30" s="31">
        <f t="shared" si="40"/>
        <v>4.8064591113121821E-2</v>
      </c>
      <c r="H30" s="31">
        <f t="shared" si="40"/>
        <v>8.0164973863595668E-2</v>
      </c>
      <c r="I30" s="31">
        <f t="shared" si="40"/>
        <v>0.1379622256580966</v>
      </c>
      <c r="J30" s="31">
        <f t="shared" si="40"/>
        <v>0.16861214347796438</v>
      </c>
      <c r="K30" s="31">
        <f t="shared" si="40"/>
        <v>0.16621875283089982</v>
      </c>
      <c r="L30" s="31">
        <f t="shared" si="40"/>
        <v>5.1260933889684071E-5</v>
      </c>
      <c r="M30" s="31">
        <f t="shared" si="40"/>
        <v>5.424041315599044E-5</v>
      </c>
      <c r="N30" s="31">
        <f t="shared" si="40"/>
        <v>2.6538797259457341E-3</v>
      </c>
      <c r="O30" s="31">
        <f t="shared" si="40"/>
        <v>6.4649214014577669E-2</v>
      </c>
      <c r="P30" s="31">
        <f t="shared" si="40"/>
        <v>6.3398745971291692E-2</v>
      </c>
      <c r="Q30" s="31">
        <f t="shared" si="40"/>
        <v>4.9210776777464993E-2</v>
      </c>
      <c r="R30" s="31">
        <f t="shared" si="40"/>
        <v>6.0341086526951991E-2</v>
      </c>
      <c r="S30" s="31">
        <f t="shared" si="40"/>
        <v>4.753528014606228E-2</v>
      </c>
      <c r="T30" s="31">
        <f t="shared" si="40"/>
        <v>5.2376570573825741E-2</v>
      </c>
      <c r="U30" s="31">
        <f t="shared" si="40"/>
        <v>1.4719419445655549E-3</v>
      </c>
      <c r="V30" s="31">
        <f t="shared" si="40"/>
        <v>6.2168268945775347E-8</v>
      </c>
      <c r="W30" s="31">
        <f t="shared" si="40"/>
        <v>4.8876082354503917E-3</v>
      </c>
      <c r="X30" s="31">
        <f t="shared" si="40"/>
        <v>4.1685735341372909E-3</v>
      </c>
      <c r="Y30" s="31">
        <f t="shared" si="40"/>
        <v>1.7310007539475959E-3</v>
      </c>
      <c r="Z30" s="31">
        <f t="shared" si="40"/>
        <v>3.9204065112333447E-4</v>
      </c>
      <c r="AA30" s="31">
        <f t="shared" si="40"/>
        <v>5.2046544351040955E-3</v>
      </c>
      <c r="AB30" s="31">
        <f t="shared" si="40"/>
        <v>4.685692815821348E-3</v>
      </c>
      <c r="AC30" s="31">
        <f t="shared" si="40"/>
        <v>1.0632336161279872E-3</v>
      </c>
      <c r="AD30" s="31">
        <f t="shared" si="40"/>
        <v>3.0957155141140121E-4</v>
      </c>
      <c r="AE30" s="31">
        <f t="shared" si="40"/>
        <v>8.4211896942732537E-6</v>
      </c>
      <c r="AF30" s="31">
        <f t="shared" si="40"/>
        <v>5.0551072996210814E-6</v>
      </c>
      <c r="AG30" s="31">
        <f t="shared" si="40"/>
        <v>3.1148982041894487E-5</v>
      </c>
      <c r="AH30" s="31">
        <f t="shared" si="40"/>
        <v>4.4677672835415603E-5</v>
      </c>
      <c r="AI30" s="31">
        <f t="shared" ref="AI30:BN30" si="41">AI14^2</f>
        <v>1.9196086195947525E-6</v>
      </c>
      <c r="AJ30" s="31">
        <f t="shared" si="41"/>
        <v>7.4789933581883966E-7</v>
      </c>
      <c r="AK30" s="31">
        <f t="shared" si="41"/>
        <v>3.187970462439843E-3</v>
      </c>
      <c r="AL30" s="31">
        <f t="shared" si="41"/>
        <v>6.1611525495013086E-3</v>
      </c>
      <c r="AM30" s="31">
        <f t="shared" si="41"/>
        <v>1.2604392614756604E-2</v>
      </c>
      <c r="AN30" s="31">
        <f t="shared" si="41"/>
        <v>5.2655754195050204E-2</v>
      </c>
      <c r="AO30" s="31">
        <f t="shared" si="41"/>
        <v>1.9547754843790247E-2</v>
      </c>
      <c r="AP30" s="31">
        <f t="shared" si="41"/>
        <v>1.2166957267971793E-2</v>
      </c>
      <c r="AQ30" s="31">
        <f t="shared" si="41"/>
        <v>2.8430727807880401E-2</v>
      </c>
      <c r="AR30" s="31">
        <f t="shared" si="41"/>
        <v>1.8819187676609533E-2</v>
      </c>
      <c r="AS30" s="31">
        <f t="shared" si="41"/>
        <v>2.7163943428241992E-3</v>
      </c>
      <c r="AT30" s="31">
        <f t="shared" si="41"/>
        <v>2.0262966746829088E-2</v>
      </c>
      <c r="AU30" s="31">
        <f t="shared" si="41"/>
        <v>2.4262006352508081E-2</v>
      </c>
      <c r="AV30" s="31">
        <f t="shared" si="41"/>
        <v>2.1000831788837045E-2</v>
      </c>
      <c r="AW30" s="31">
        <f t="shared" si="41"/>
        <v>3.4366518590693285E-2</v>
      </c>
      <c r="AX30" s="31">
        <f t="shared" si="41"/>
        <v>1.8673864213996624E-2</v>
      </c>
      <c r="AY30" s="31">
        <f t="shared" si="41"/>
        <v>2.1305053993802017E-2</v>
      </c>
      <c r="AZ30" s="31">
        <f t="shared" si="41"/>
        <v>7.0245037588340511E-2</v>
      </c>
      <c r="BA30" s="31">
        <f t="shared" si="41"/>
        <v>2.1540145869672719E-2</v>
      </c>
      <c r="BB30" s="31">
        <f t="shared" si="41"/>
        <v>1.1174457854088864E-5</v>
      </c>
      <c r="BC30" s="31">
        <f t="shared" si="41"/>
        <v>4.9717048722625968E-3</v>
      </c>
      <c r="BD30" s="31">
        <f t="shared" si="41"/>
        <v>1.2454862359893718E-3</v>
      </c>
      <c r="BE30" s="31">
        <f t="shared" si="41"/>
        <v>1.243097999709289E-3</v>
      </c>
      <c r="BF30" s="31">
        <f t="shared" si="41"/>
        <v>1.505472217919147E-3</v>
      </c>
      <c r="BG30" s="31">
        <f t="shared" si="41"/>
        <v>2.865110045903287E-3</v>
      </c>
      <c r="BH30" s="31">
        <f t="shared" si="41"/>
        <v>3.2283563895354139E-2</v>
      </c>
      <c r="BI30" s="31">
        <f t="shared" si="41"/>
        <v>2.3985085912934249E-2</v>
      </c>
      <c r="BJ30" s="31">
        <f t="shared" si="41"/>
        <v>1.4174286973907699E-2</v>
      </c>
      <c r="BK30" s="31">
        <f t="shared" si="41"/>
        <v>1.6985195900348447E-2</v>
      </c>
      <c r="BL30" s="31">
        <f t="shared" si="41"/>
        <v>8.7105892994672994E-3</v>
      </c>
      <c r="BM30" s="31">
        <f t="shared" si="41"/>
        <v>6.4455241899040614E-3</v>
      </c>
      <c r="BN30" s="31">
        <f t="shared" si="41"/>
        <v>4.3102100272182246E-2</v>
      </c>
      <c r="BO30" s="31">
        <f t="shared" ref="BO30:CT30" si="42">BO14^2</f>
        <v>3.522628393376958E-2</v>
      </c>
      <c r="BP30" s="31">
        <f t="shared" si="42"/>
        <v>1.6879521761923786E-2</v>
      </c>
      <c r="BQ30" s="31">
        <f t="shared" si="42"/>
        <v>9.7450569846250796E-3</v>
      </c>
      <c r="BR30" s="31">
        <f t="shared" si="42"/>
        <v>2.0461008732106322E-3</v>
      </c>
      <c r="BS30" s="31">
        <f t="shared" si="42"/>
        <v>1.8984381127691845E-2</v>
      </c>
      <c r="BT30" s="31">
        <f t="shared" si="42"/>
        <v>2.2057107582283018E-3</v>
      </c>
      <c r="BU30" s="31">
        <f t="shared" si="42"/>
        <v>6.167873318218507E-3</v>
      </c>
      <c r="BV30" s="31">
        <f t="shared" si="42"/>
        <v>1.4472220895118994E-2</v>
      </c>
      <c r="BW30" s="31">
        <f t="shared" si="42"/>
        <v>3.5707228045570331E-3</v>
      </c>
      <c r="BX30" s="31">
        <f t="shared" si="42"/>
        <v>4.0384823627630708E-3</v>
      </c>
      <c r="BY30" s="31">
        <f t="shared" si="42"/>
        <v>4.2308664493665993E-5</v>
      </c>
      <c r="BZ30" s="31">
        <f t="shared" si="42"/>
        <v>2.6696175177759558E-3</v>
      </c>
      <c r="CA30" s="31">
        <f t="shared" si="42"/>
        <v>6.270332949033737E-3</v>
      </c>
      <c r="CB30" s="31">
        <f t="shared" si="42"/>
        <v>1.2719572116769549E-2</v>
      </c>
      <c r="CC30" s="31">
        <f t="shared" si="42"/>
        <v>4.4957573782111876E-3</v>
      </c>
      <c r="CD30" s="31">
        <f t="shared" si="42"/>
        <v>4.4605538802302063E-3</v>
      </c>
      <c r="CE30" s="31">
        <f t="shared" si="42"/>
        <v>2.1682910573555497E-3</v>
      </c>
      <c r="CF30" s="31">
        <f t="shared" si="42"/>
        <v>1.4231472185312143E-2</v>
      </c>
      <c r="CG30" s="31">
        <f t="shared" si="42"/>
        <v>2.8252393307370335E-3</v>
      </c>
      <c r="CH30" s="31">
        <f t="shared" si="42"/>
        <v>8.5769099168278035E-3</v>
      </c>
      <c r="CI30" s="31">
        <f t="shared" si="42"/>
        <v>1.1887817982462986E-2</v>
      </c>
      <c r="CJ30" s="31">
        <f t="shared" si="42"/>
        <v>4.3023746632060373E-3</v>
      </c>
      <c r="CK30" s="31">
        <f t="shared" si="42"/>
        <v>7.8671281094014733E-3</v>
      </c>
      <c r="CL30" s="31">
        <f t="shared" si="42"/>
        <v>8.0232644643046438E-3</v>
      </c>
      <c r="CM30" s="31">
        <f t="shared" si="42"/>
        <v>4.2858854928683474E-3</v>
      </c>
      <c r="CN30" s="31">
        <f t="shared" si="42"/>
        <v>8.867447549497084E-4</v>
      </c>
      <c r="CO30" s="31">
        <f t="shared" si="42"/>
        <v>5.2574244988216386E-3</v>
      </c>
      <c r="CP30" s="31">
        <f t="shared" si="42"/>
        <v>1.6987424607269185E-4</v>
      </c>
      <c r="CQ30" s="31">
        <f t="shared" si="42"/>
        <v>9.1575754792564459E-5</v>
      </c>
      <c r="CR30" s="31">
        <f t="shared" si="42"/>
        <v>6.1480954707327277E-4</v>
      </c>
      <c r="CS30" s="31">
        <f t="shared" si="42"/>
        <v>2.3631379504100826E-3</v>
      </c>
      <c r="CT30" s="31">
        <f t="shared" si="42"/>
        <v>3.7079600719229031E-3</v>
      </c>
      <c r="CU30" s="31">
        <f t="shared" ref="CU30:DZ30" si="43">CU14^2</f>
        <v>1.1820956757744719E-3</v>
      </c>
      <c r="CV30" s="31">
        <f t="shared" si="43"/>
        <v>2.883217627112062E-2</v>
      </c>
      <c r="CW30" s="31">
        <f t="shared" si="43"/>
        <v>4.1802903409593965E-2</v>
      </c>
      <c r="CX30" s="31">
        <f t="shared" si="43"/>
        <v>1.3614063303693207E-2</v>
      </c>
      <c r="CY30" s="31">
        <f t="shared" si="43"/>
        <v>4.0232912328214528E-4</v>
      </c>
      <c r="CZ30" s="31">
        <f t="shared" si="43"/>
        <v>2.1912127352918185E-6</v>
      </c>
      <c r="DA30" s="31">
        <f t="shared" si="43"/>
        <v>5.3592782088438158E-4</v>
      </c>
      <c r="DB30" s="31">
        <f t="shared" si="43"/>
        <v>3.6721926104526542E-2</v>
      </c>
      <c r="DC30" s="31">
        <f t="shared" si="43"/>
        <v>7.390338495720887E-2</v>
      </c>
      <c r="DD30" s="31">
        <f t="shared" si="43"/>
        <v>4.5409961094093142E-2</v>
      </c>
      <c r="DE30" s="31">
        <f t="shared" si="43"/>
        <v>2.631504367964544E-2</v>
      </c>
      <c r="DF30" s="31">
        <f t="shared" si="43"/>
        <v>4.0809074089309026E-2</v>
      </c>
      <c r="DG30" s="31">
        <f t="shared" si="43"/>
        <v>3.0081836144071103E-2</v>
      </c>
      <c r="DH30" s="31">
        <f t="shared" si="43"/>
        <v>1.0261176272058079E-6</v>
      </c>
      <c r="DI30" s="31">
        <f t="shared" si="43"/>
        <v>5.8072725902409677E-3</v>
      </c>
      <c r="DJ30" s="31">
        <f t="shared" si="43"/>
        <v>4.6292053175401686E-3</v>
      </c>
      <c r="DK30" s="31">
        <f t="shared" si="43"/>
        <v>3.3677840512988852E-3</v>
      </c>
      <c r="DL30" s="31">
        <f t="shared" si="43"/>
        <v>9.3547555795088302E-5</v>
      </c>
      <c r="DM30" s="31">
        <f t="shared" si="43"/>
        <v>1.700600175580912E-2</v>
      </c>
      <c r="DN30" s="31">
        <f t="shared" si="43"/>
        <v>8.4438310732102326E-2</v>
      </c>
      <c r="DO30" s="31">
        <f t="shared" si="43"/>
        <v>0.1429195069783539</v>
      </c>
      <c r="DP30" s="31">
        <f t="shared" si="43"/>
        <v>0.1494594242008519</v>
      </c>
      <c r="DQ30" s="31">
        <f t="shared" si="43"/>
        <v>0.15098355107024353</v>
      </c>
      <c r="DR30" s="31">
        <f t="shared" si="43"/>
        <v>4.9512293703455043E-2</v>
      </c>
      <c r="DS30" s="31">
        <f t="shared" si="43"/>
        <v>3.1966482606677997E-2</v>
      </c>
      <c r="DT30" s="31">
        <f t="shared" si="43"/>
        <v>2.389644803771912E-2</v>
      </c>
      <c r="DU30" s="31">
        <f t="shared" si="43"/>
        <v>3.7651339292669749E-3</v>
      </c>
      <c r="DV30" s="31">
        <f t="shared" si="43"/>
        <v>7.8276459255495565E-4</v>
      </c>
      <c r="DW30" s="31">
        <f t="shared" si="43"/>
        <v>1.0183535611409478E-3</v>
      </c>
      <c r="DX30" s="31">
        <f t="shared" si="43"/>
        <v>9.9749343632073925E-3</v>
      </c>
      <c r="DY30" s="31">
        <f t="shared" si="43"/>
        <v>1.2134286798545422E-5</v>
      </c>
      <c r="DZ30" s="31">
        <f t="shared" si="43"/>
        <v>7.8847667619022944E-4</v>
      </c>
      <c r="EA30" s="31">
        <f t="shared" ref="EA30:EF30" si="44">EA14^2</f>
        <v>3.1958165065044356E-6</v>
      </c>
      <c r="EB30" s="31">
        <f t="shared" si="44"/>
        <v>8.1516452680744002E-3</v>
      </c>
      <c r="EC30" s="31">
        <f t="shared" si="44"/>
        <v>2.8469722523276476E-3</v>
      </c>
      <c r="ED30" s="31">
        <f t="shared" si="44"/>
        <v>4.2563398478478176E-3</v>
      </c>
      <c r="EE30" s="31">
        <f t="shared" si="44"/>
        <v>1.7240023556872478E-3</v>
      </c>
      <c r="EF30" s="31">
        <f t="shared" si="44"/>
        <v>1.2297590319821929E-3</v>
      </c>
      <c r="EG30" s="4"/>
    </row>
    <row r="31" spans="1:137" ht="18" customHeight="1">
      <c r="B31" s="26" t="s">
        <v>140</v>
      </c>
      <c r="C31" s="31">
        <f t="shared" ref="C31:AH31" si="45">C15^2</f>
        <v>1.0107218740567237E-3</v>
      </c>
      <c r="D31" s="31">
        <f t="shared" si="45"/>
        <v>1.540416948579232E-2</v>
      </c>
      <c r="E31" s="31">
        <f t="shared" si="45"/>
        <v>3.4420454790125191E-2</v>
      </c>
      <c r="F31" s="31">
        <f t="shared" si="45"/>
        <v>0.26781156113945886</v>
      </c>
      <c r="G31" s="31">
        <f t="shared" si="45"/>
        <v>0.22722398835826432</v>
      </c>
      <c r="H31" s="31">
        <f t="shared" si="45"/>
        <v>0.20905705167757771</v>
      </c>
      <c r="I31" s="31">
        <f t="shared" si="45"/>
        <v>0.27925812968053337</v>
      </c>
      <c r="J31" s="31">
        <f t="shared" si="45"/>
        <v>0.18401282128276944</v>
      </c>
      <c r="K31" s="31">
        <f t="shared" si="45"/>
        <v>0.1702538944131316</v>
      </c>
      <c r="L31" s="31">
        <f t="shared" si="45"/>
        <v>1.7337294129925646E-5</v>
      </c>
      <c r="M31" s="31">
        <f t="shared" si="45"/>
        <v>7.1780245295612185E-4</v>
      </c>
      <c r="N31" s="31">
        <f t="shared" si="45"/>
        <v>1.0916759471329109E-2</v>
      </c>
      <c r="O31" s="31">
        <f t="shared" si="45"/>
        <v>1.9546609838398269E-3</v>
      </c>
      <c r="P31" s="31">
        <f t="shared" si="45"/>
        <v>3.3996591296064122E-3</v>
      </c>
      <c r="Q31" s="31">
        <f t="shared" si="45"/>
        <v>4.7105324399250373E-3</v>
      </c>
      <c r="R31" s="31">
        <f t="shared" si="45"/>
        <v>1.5302414390929659E-3</v>
      </c>
      <c r="S31" s="31">
        <f t="shared" si="45"/>
        <v>2.0475252694962805E-4</v>
      </c>
      <c r="T31" s="31">
        <f t="shared" si="45"/>
        <v>2.2500143487146837E-3</v>
      </c>
      <c r="U31" s="31">
        <f t="shared" si="45"/>
        <v>3.4247632604073447E-5</v>
      </c>
      <c r="V31" s="31">
        <f t="shared" si="45"/>
        <v>7.1464744066359444E-3</v>
      </c>
      <c r="W31" s="31">
        <f t="shared" si="45"/>
        <v>4.4229533144573362E-2</v>
      </c>
      <c r="X31" s="31">
        <f t="shared" si="45"/>
        <v>8.9346545565326396E-2</v>
      </c>
      <c r="Y31" s="31">
        <f t="shared" si="45"/>
        <v>8.2367175574303564E-2</v>
      </c>
      <c r="Z31" s="31">
        <f t="shared" si="45"/>
        <v>5.9501532144016774E-2</v>
      </c>
      <c r="AA31" s="31">
        <f t="shared" si="45"/>
        <v>7.1125589942884135E-2</v>
      </c>
      <c r="AB31" s="31">
        <f t="shared" si="45"/>
        <v>7.1019478757556709E-2</v>
      </c>
      <c r="AC31" s="31">
        <f t="shared" si="45"/>
        <v>8.5069913013325962E-3</v>
      </c>
      <c r="AD31" s="31">
        <f t="shared" si="45"/>
        <v>1.317792388598389E-2</v>
      </c>
      <c r="AE31" s="31">
        <f t="shared" si="45"/>
        <v>1.4983694416101194E-2</v>
      </c>
      <c r="AF31" s="31">
        <f t="shared" si="45"/>
        <v>9.0711032285162013E-3</v>
      </c>
      <c r="AG31" s="31">
        <f t="shared" si="45"/>
        <v>6.2044685079414913E-3</v>
      </c>
      <c r="AH31" s="31">
        <f t="shared" si="45"/>
        <v>1.0467380176846668E-2</v>
      </c>
      <c r="AI31" s="31">
        <f t="shared" ref="AI31:BN31" si="46">AI15^2</f>
        <v>3.2789760220348144E-3</v>
      </c>
      <c r="AJ31" s="31">
        <f t="shared" si="46"/>
        <v>1.8923594278143154E-4</v>
      </c>
      <c r="AK31" s="31">
        <f t="shared" si="46"/>
        <v>5.6182180226001296E-3</v>
      </c>
      <c r="AL31" s="31">
        <f t="shared" si="46"/>
        <v>3.4446783624495756E-3</v>
      </c>
      <c r="AM31" s="31">
        <f t="shared" si="46"/>
        <v>2.8701973495734892E-5</v>
      </c>
      <c r="AN31" s="31">
        <f t="shared" si="46"/>
        <v>1.3250792970581553E-4</v>
      </c>
      <c r="AO31" s="31">
        <f t="shared" si="46"/>
        <v>1.9353710433311308E-3</v>
      </c>
      <c r="AP31" s="31">
        <f t="shared" si="46"/>
        <v>1.9225999718590036E-4</v>
      </c>
      <c r="AQ31" s="31">
        <f t="shared" si="46"/>
        <v>1.430851242382929E-3</v>
      </c>
      <c r="AR31" s="31">
        <f t="shared" si="46"/>
        <v>4.1607826003596481E-6</v>
      </c>
      <c r="AS31" s="31">
        <f t="shared" si="46"/>
        <v>1.8428145009084813E-2</v>
      </c>
      <c r="AT31" s="31">
        <f t="shared" si="46"/>
        <v>9.2659925042831697E-3</v>
      </c>
      <c r="AU31" s="31">
        <f t="shared" si="46"/>
        <v>1.2067556019375824E-2</v>
      </c>
      <c r="AV31" s="31">
        <f t="shared" si="46"/>
        <v>2.9213583766447143E-3</v>
      </c>
      <c r="AW31" s="31">
        <f t="shared" si="46"/>
        <v>8.2925711539657172E-3</v>
      </c>
      <c r="AX31" s="31">
        <f t="shared" si="46"/>
        <v>1.15328056607464E-5</v>
      </c>
      <c r="AY31" s="31">
        <f t="shared" si="46"/>
        <v>5.0692938028590066E-3</v>
      </c>
      <c r="AZ31" s="31">
        <f t="shared" si="46"/>
        <v>5.482066501257616E-3</v>
      </c>
      <c r="BA31" s="31">
        <f t="shared" si="46"/>
        <v>1.8157117862741115E-2</v>
      </c>
      <c r="BB31" s="31">
        <f t="shared" si="46"/>
        <v>3.4165707304458927E-2</v>
      </c>
      <c r="BC31" s="31">
        <f t="shared" si="46"/>
        <v>2.9555204800358996E-2</v>
      </c>
      <c r="BD31" s="31">
        <f t="shared" si="46"/>
        <v>3.619934228871223E-2</v>
      </c>
      <c r="BE31" s="31">
        <f t="shared" si="46"/>
        <v>3.3543477886841699E-2</v>
      </c>
      <c r="BF31" s="31">
        <f t="shared" si="46"/>
        <v>1.3667047979837461E-2</v>
      </c>
      <c r="BG31" s="31">
        <f t="shared" si="46"/>
        <v>1.5202964759658004E-2</v>
      </c>
      <c r="BH31" s="31">
        <f t="shared" si="46"/>
        <v>2.359179876742078E-2</v>
      </c>
      <c r="BI31" s="31">
        <f t="shared" si="46"/>
        <v>1.9698498851493169E-2</v>
      </c>
      <c r="BJ31" s="31">
        <f t="shared" si="46"/>
        <v>5.5063860796149389E-2</v>
      </c>
      <c r="BK31" s="31">
        <f t="shared" si="46"/>
        <v>7.4503752035115722E-2</v>
      </c>
      <c r="BL31" s="31">
        <f t="shared" si="46"/>
        <v>8.3831702025629562E-2</v>
      </c>
      <c r="BM31" s="31">
        <f t="shared" si="46"/>
        <v>3.5320215585009206E-3</v>
      </c>
      <c r="BN31" s="31">
        <f t="shared" si="46"/>
        <v>1.571981161598749E-2</v>
      </c>
      <c r="BO31" s="31">
        <f t="shared" ref="BO31:CT31" si="47">BO15^2</f>
        <v>8.9117938655602254E-3</v>
      </c>
      <c r="BP31" s="31">
        <f t="shared" si="47"/>
        <v>4.8943098922276057E-4</v>
      </c>
      <c r="BQ31" s="31">
        <f t="shared" si="47"/>
        <v>1.5200912539908699E-3</v>
      </c>
      <c r="BR31" s="31">
        <f t="shared" si="47"/>
        <v>1.5944596045789244E-3</v>
      </c>
      <c r="BS31" s="31">
        <f t="shared" si="47"/>
        <v>1.8194568184012085E-3</v>
      </c>
      <c r="BT31" s="31">
        <f t="shared" si="47"/>
        <v>1.3540322297754927E-3</v>
      </c>
      <c r="BU31" s="31">
        <f t="shared" si="47"/>
        <v>5.9065343858550872E-3</v>
      </c>
      <c r="BV31" s="31">
        <f t="shared" si="47"/>
        <v>7.5472053435359596E-3</v>
      </c>
      <c r="BW31" s="31">
        <f t="shared" si="47"/>
        <v>2.0578243104668638E-3</v>
      </c>
      <c r="BX31" s="31">
        <f t="shared" si="47"/>
        <v>1.1283282655913372E-3</v>
      </c>
      <c r="BY31" s="31">
        <f t="shared" si="47"/>
        <v>2.5847684350218756E-3</v>
      </c>
      <c r="BZ31" s="31">
        <f t="shared" si="47"/>
        <v>8.1496547640768548E-3</v>
      </c>
      <c r="CA31" s="31">
        <f t="shared" si="47"/>
        <v>9.1592959422478783E-3</v>
      </c>
      <c r="CB31" s="31">
        <f t="shared" si="47"/>
        <v>1.0084923375787341E-2</v>
      </c>
      <c r="CC31" s="31">
        <f t="shared" si="47"/>
        <v>1.8001183661768793E-2</v>
      </c>
      <c r="CD31" s="31">
        <f t="shared" si="47"/>
        <v>4.8741735341212809E-3</v>
      </c>
      <c r="CE31" s="31">
        <f t="shared" si="47"/>
        <v>2.8643698738699081E-3</v>
      </c>
      <c r="CF31" s="31">
        <f t="shared" si="47"/>
        <v>1.900747380858692E-2</v>
      </c>
      <c r="CG31" s="31">
        <f t="shared" si="47"/>
        <v>3.7454330309016348E-2</v>
      </c>
      <c r="CH31" s="31">
        <f t="shared" si="47"/>
        <v>6.8784755691751742E-2</v>
      </c>
      <c r="CI31" s="31">
        <f t="shared" si="47"/>
        <v>0.13115985964946891</v>
      </c>
      <c r="CJ31" s="31">
        <f t="shared" si="47"/>
        <v>2.9716990715045907E-2</v>
      </c>
      <c r="CK31" s="31">
        <f t="shared" si="47"/>
        <v>5.78379275112497E-2</v>
      </c>
      <c r="CL31" s="31">
        <f t="shared" si="47"/>
        <v>8.9016678917862725E-4</v>
      </c>
      <c r="CM31" s="31">
        <f t="shared" si="47"/>
        <v>2.3497181906612483E-3</v>
      </c>
      <c r="CN31" s="31">
        <f t="shared" si="47"/>
        <v>1.5481658792773313E-3</v>
      </c>
      <c r="CO31" s="31">
        <f t="shared" si="47"/>
        <v>1.3550812929448335E-2</v>
      </c>
      <c r="CP31" s="31">
        <f t="shared" si="47"/>
        <v>7.8146368272808179E-4</v>
      </c>
      <c r="CQ31" s="31">
        <f t="shared" si="47"/>
        <v>1.3800985222624471E-2</v>
      </c>
      <c r="CR31" s="31">
        <f t="shared" si="47"/>
        <v>8.7296016706973434E-4</v>
      </c>
      <c r="CS31" s="31">
        <f t="shared" si="47"/>
        <v>1.1559783965691165E-4</v>
      </c>
      <c r="CT31" s="31">
        <f t="shared" si="47"/>
        <v>2.611145956278716E-3</v>
      </c>
      <c r="CU31" s="31">
        <f t="shared" ref="CU31:DZ31" si="48">CU15^2</f>
        <v>1.1714638075554973E-2</v>
      </c>
      <c r="CV31" s="31">
        <f t="shared" si="48"/>
        <v>1.0021030032856079E-2</v>
      </c>
      <c r="CW31" s="31">
        <f t="shared" si="48"/>
        <v>6.7956708149962686E-3</v>
      </c>
      <c r="CX31" s="31">
        <f t="shared" si="48"/>
        <v>2.087057282343216E-2</v>
      </c>
      <c r="CY31" s="31">
        <f t="shared" si="48"/>
        <v>2.3823838623751684E-4</v>
      </c>
      <c r="CZ31" s="31">
        <f t="shared" si="48"/>
        <v>4.6834781421329266E-3</v>
      </c>
      <c r="DA31" s="31">
        <f t="shared" si="48"/>
        <v>1.671595293304563E-3</v>
      </c>
      <c r="DB31" s="31">
        <f t="shared" si="48"/>
        <v>8.1432851424950801E-3</v>
      </c>
      <c r="DC31" s="31">
        <f t="shared" si="48"/>
        <v>5.3158881109708145E-3</v>
      </c>
      <c r="DD31" s="31">
        <f t="shared" si="48"/>
        <v>5.491035847583068E-3</v>
      </c>
      <c r="DE31" s="31">
        <f t="shared" si="48"/>
        <v>1.4574201464018102E-3</v>
      </c>
      <c r="DF31" s="31">
        <f t="shared" si="48"/>
        <v>6.4587568532861166E-3</v>
      </c>
      <c r="DG31" s="31">
        <f t="shared" si="48"/>
        <v>7.1847359589927891E-3</v>
      </c>
      <c r="DH31" s="31">
        <f t="shared" si="48"/>
        <v>2.075879966695328E-3</v>
      </c>
      <c r="DI31" s="31">
        <f t="shared" si="48"/>
        <v>2.3359849150452681E-4</v>
      </c>
      <c r="DJ31" s="31">
        <f t="shared" si="48"/>
        <v>7.4594318265129239E-3</v>
      </c>
      <c r="DK31" s="31">
        <f t="shared" si="48"/>
        <v>6.9363899816193087E-3</v>
      </c>
      <c r="DL31" s="31">
        <f t="shared" si="48"/>
        <v>9.6539397134265834E-2</v>
      </c>
      <c r="DM31" s="31">
        <f t="shared" si="48"/>
        <v>0.23927342619351294</v>
      </c>
      <c r="DN31" s="31">
        <f t="shared" si="48"/>
        <v>0.38085872043722291</v>
      </c>
      <c r="DO31" s="31">
        <f t="shared" si="48"/>
        <v>0.4127017702113619</v>
      </c>
      <c r="DP31" s="31">
        <f t="shared" si="48"/>
        <v>0.26638733939188863</v>
      </c>
      <c r="DQ31" s="31">
        <f t="shared" si="48"/>
        <v>0.28655687730496221</v>
      </c>
      <c r="DR31" s="31">
        <f t="shared" si="48"/>
        <v>4.2606151359050763E-2</v>
      </c>
      <c r="DS31" s="31">
        <f t="shared" si="48"/>
        <v>1.3517121665540105E-3</v>
      </c>
      <c r="DT31" s="31">
        <f t="shared" si="48"/>
        <v>4.4843821505494917E-4</v>
      </c>
      <c r="DU31" s="31">
        <f t="shared" si="48"/>
        <v>1.2097599479109317E-2</v>
      </c>
      <c r="DV31" s="31">
        <f t="shared" si="48"/>
        <v>7.0335467043561497E-3</v>
      </c>
      <c r="DW31" s="31">
        <f t="shared" si="48"/>
        <v>3.1054993267371586E-2</v>
      </c>
      <c r="DX31" s="31">
        <f t="shared" si="48"/>
        <v>6.2718855947567473E-2</v>
      </c>
      <c r="DY31" s="31">
        <f t="shared" si="48"/>
        <v>2.2919783184943601E-2</v>
      </c>
      <c r="DZ31" s="31">
        <f t="shared" si="48"/>
        <v>1.3418395252430172E-2</v>
      </c>
      <c r="EA31" s="31">
        <f t="shared" ref="EA31:EF31" si="49">EA15^2</f>
        <v>3.2090232004291716E-3</v>
      </c>
      <c r="EB31" s="31">
        <f t="shared" si="49"/>
        <v>1.1734174856421395E-3</v>
      </c>
      <c r="EC31" s="31">
        <f t="shared" si="49"/>
        <v>3.026086740151943E-4</v>
      </c>
      <c r="ED31" s="31">
        <f t="shared" si="49"/>
        <v>1.6482462597483167E-3</v>
      </c>
      <c r="EE31" s="31">
        <f t="shared" si="49"/>
        <v>2.489638114141868E-3</v>
      </c>
      <c r="EF31" s="31">
        <f t="shared" si="49"/>
        <v>1.7352811925157672E-3</v>
      </c>
      <c r="EG31" s="4"/>
    </row>
    <row r="32" spans="1:137" ht="16" customHeight="1">
      <c r="A32" s="4"/>
    </row>
    <row r="33" spans="1:2" ht="16" customHeight="1">
      <c r="A33" s="45"/>
      <c r="B33" s="33">
        <f>1-SUM(C19:EF23)/SUM(C27:EF31)</f>
        <v>-4.5980607220388547E-2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預測IC</vt:lpstr>
      <vt:lpstr>工作表1</vt:lpstr>
      <vt:lpstr>預測ＧＢＲＴ勝率</vt:lpstr>
      <vt:lpstr>預測ＧＢＲＴ累積報酬 </vt:lpstr>
      <vt:lpstr>ＧＢＲＴ再投資累積報酬</vt:lpstr>
      <vt:lpstr>預測ＧＢＲＴ夏普比率</vt:lpstr>
      <vt:lpstr>ＧＢＲＴ樣本外R2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柏郡 黃</dc:creator>
  <cp:lastModifiedBy>黃柏郡</cp:lastModifiedBy>
  <dcterms:created xsi:type="dcterms:W3CDTF">2025-03-19T13:51:22Z</dcterms:created>
  <dcterms:modified xsi:type="dcterms:W3CDTF">2025-12-07T17:16:42Z</dcterms:modified>
</cp:coreProperties>
</file>