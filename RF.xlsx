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3"/>
  <workbookPr/>
  <mc:AlternateContent xmlns:mc="http://schemas.openxmlformats.org/markup-compatibility/2006">
    <mc:Choice Requires="x15">
      <x15ac:absPath xmlns:x15ac="http://schemas.microsoft.com/office/spreadsheetml/2010/11/ac" url="/Users/Brian/Documents/Brian/大專生計畫/"/>
    </mc:Choice>
  </mc:AlternateContent>
  <xr:revisionPtr revIDLastSave="0" documentId="13_ncr:1_{2594E9B5-D392-EA4E-8188-9079AC26F4C9}" xr6:coauthVersionLast="47" xr6:coauthVersionMax="47" xr10:uidLastSave="{00000000-0000-0000-0000-000000000000}"/>
  <bookViews>
    <workbookView xWindow="0" yWindow="760" windowWidth="29400" windowHeight="16660" activeTab="2" xr2:uid="{00000000-000D-0000-FFFF-FFFF00000000}"/>
  </bookViews>
  <sheets>
    <sheet name="預測IC" sheetId="1" r:id="rId1"/>
    <sheet name="RF勝率" sheetId="2" r:id="rId2"/>
    <sheet name="RF累積報酬" sheetId="3" r:id="rId3"/>
    <sheet name="RF再投資累積報酬" sheetId="4" r:id="rId4"/>
    <sheet name="RF夏普比率" sheetId="5" r:id="rId5"/>
    <sheet name="RF樣本外R2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6" l="1"/>
  <c r="EF31" i="6"/>
  <c r="EE31" i="6"/>
  <c r="ED31" i="6"/>
  <c r="EC31" i="6"/>
  <c r="EB31" i="6"/>
  <c r="EA31" i="6"/>
  <c r="DZ31" i="6"/>
  <c r="DY31" i="6"/>
  <c r="DX31" i="6"/>
  <c r="DW31" i="6"/>
  <c r="DV31" i="6"/>
  <c r="DU31" i="6"/>
  <c r="DT31" i="6"/>
  <c r="DS31" i="6"/>
  <c r="DR31" i="6"/>
  <c r="DQ31" i="6"/>
  <c r="DP31" i="6"/>
  <c r="DO31" i="6"/>
  <c r="DN31" i="6"/>
  <c r="DM31" i="6"/>
  <c r="DL31" i="6"/>
  <c r="DK31" i="6"/>
  <c r="DJ31" i="6"/>
  <c r="DI31" i="6"/>
  <c r="DH31" i="6"/>
  <c r="DG31" i="6"/>
  <c r="DF31" i="6"/>
  <c r="DE31" i="6"/>
  <c r="DD31" i="6"/>
  <c r="DC31" i="6"/>
  <c r="DB31" i="6"/>
  <c r="DA31" i="6"/>
  <c r="CZ31" i="6"/>
  <c r="CY31" i="6"/>
  <c r="CX31" i="6"/>
  <c r="CW31" i="6"/>
  <c r="CV31" i="6"/>
  <c r="CU31" i="6"/>
  <c r="CT31" i="6"/>
  <c r="CS31" i="6"/>
  <c r="CR31" i="6"/>
  <c r="CQ31" i="6"/>
  <c r="CP31" i="6"/>
  <c r="CO31" i="6"/>
  <c r="CN31" i="6"/>
  <c r="CM31" i="6"/>
  <c r="CL31" i="6"/>
  <c r="CK31" i="6"/>
  <c r="CJ31" i="6"/>
  <c r="CI31" i="6"/>
  <c r="CH31" i="6"/>
  <c r="CG31" i="6"/>
  <c r="CF31" i="6"/>
  <c r="CE31" i="6"/>
  <c r="CD31" i="6"/>
  <c r="CC31" i="6"/>
  <c r="CB31" i="6"/>
  <c r="CA31" i="6"/>
  <c r="BZ31" i="6"/>
  <c r="BY31" i="6"/>
  <c r="BX31" i="6"/>
  <c r="BW31" i="6"/>
  <c r="BV31" i="6"/>
  <c r="BU31" i="6"/>
  <c r="BT31" i="6"/>
  <c r="BS31" i="6"/>
  <c r="BR31" i="6"/>
  <c r="BQ31" i="6"/>
  <c r="BP31" i="6"/>
  <c r="BO31" i="6"/>
  <c r="BN31" i="6"/>
  <c r="BM31" i="6"/>
  <c r="BL31" i="6"/>
  <c r="BK31" i="6"/>
  <c r="BJ31" i="6"/>
  <c r="BI31" i="6"/>
  <c r="BH31" i="6"/>
  <c r="BG31" i="6"/>
  <c r="BF31" i="6"/>
  <c r="BE31" i="6"/>
  <c r="BD31" i="6"/>
  <c r="BC31" i="6"/>
  <c r="BB31" i="6"/>
  <c r="BA31" i="6"/>
  <c r="AZ31" i="6"/>
  <c r="AY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K31" i="6"/>
  <c r="AJ31" i="6"/>
  <c r="AI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EF30" i="6"/>
  <c r="EE30" i="6"/>
  <c r="ED30" i="6"/>
  <c r="EC30" i="6"/>
  <c r="EB30" i="6"/>
  <c r="EA30" i="6"/>
  <c r="DZ30" i="6"/>
  <c r="DY30" i="6"/>
  <c r="DX30" i="6"/>
  <c r="DW30" i="6"/>
  <c r="DV30" i="6"/>
  <c r="DU30" i="6"/>
  <c r="DT30" i="6"/>
  <c r="DS30" i="6"/>
  <c r="DR30" i="6"/>
  <c r="DQ30" i="6"/>
  <c r="DP30" i="6"/>
  <c r="DO30" i="6"/>
  <c r="DN30" i="6"/>
  <c r="DM30" i="6"/>
  <c r="DL30" i="6"/>
  <c r="DK30" i="6"/>
  <c r="DJ30" i="6"/>
  <c r="DI30" i="6"/>
  <c r="DH30" i="6"/>
  <c r="DG30" i="6"/>
  <c r="DF30" i="6"/>
  <c r="DE30" i="6"/>
  <c r="DD30" i="6"/>
  <c r="DC30" i="6"/>
  <c r="DB30" i="6"/>
  <c r="DA30" i="6"/>
  <c r="CZ30" i="6"/>
  <c r="CY30" i="6"/>
  <c r="CX30" i="6"/>
  <c r="CW30" i="6"/>
  <c r="CV30" i="6"/>
  <c r="CU30" i="6"/>
  <c r="CT30" i="6"/>
  <c r="CS30" i="6"/>
  <c r="CR30" i="6"/>
  <c r="CQ30" i="6"/>
  <c r="CP30" i="6"/>
  <c r="CO30" i="6"/>
  <c r="CN30" i="6"/>
  <c r="CM30" i="6"/>
  <c r="CL30" i="6"/>
  <c r="CK30" i="6"/>
  <c r="CJ30" i="6"/>
  <c r="CI30" i="6"/>
  <c r="CH30" i="6"/>
  <c r="CG30" i="6"/>
  <c r="CF30" i="6"/>
  <c r="CE30" i="6"/>
  <c r="CD30" i="6"/>
  <c r="CC30" i="6"/>
  <c r="CB30" i="6"/>
  <c r="CA30" i="6"/>
  <c r="BZ30" i="6"/>
  <c r="BY30" i="6"/>
  <c r="BX30" i="6"/>
  <c r="BW30" i="6"/>
  <c r="BV30" i="6"/>
  <c r="BU30" i="6"/>
  <c r="BT30" i="6"/>
  <c r="BS30" i="6"/>
  <c r="BR30" i="6"/>
  <c r="BQ30" i="6"/>
  <c r="BP30" i="6"/>
  <c r="BO30" i="6"/>
  <c r="BN30" i="6"/>
  <c r="BM30" i="6"/>
  <c r="BL30" i="6"/>
  <c r="BK30" i="6"/>
  <c r="BJ30" i="6"/>
  <c r="BI30" i="6"/>
  <c r="BH30" i="6"/>
  <c r="BG30" i="6"/>
  <c r="BF30" i="6"/>
  <c r="BE30" i="6"/>
  <c r="BD30" i="6"/>
  <c r="BC30" i="6"/>
  <c r="BB30" i="6"/>
  <c r="BA30" i="6"/>
  <c r="AZ30" i="6"/>
  <c r="AY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K30" i="6"/>
  <c r="AJ30" i="6"/>
  <c r="AI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EF29" i="6"/>
  <c r="EE29" i="6"/>
  <c r="ED29" i="6"/>
  <c r="EC29" i="6"/>
  <c r="EB29" i="6"/>
  <c r="EA29" i="6"/>
  <c r="DZ29" i="6"/>
  <c r="DY29" i="6"/>
  <c r="DX29" i="6"/>
  <c r="DW29" i="6"/>
  <c r="DV29" i="6"/>
  <c r="DU29" i="6"/>
  <c r="DT29" i="6"/>
  <c r="DS29" i="6"/>
  <c r="DR29" i="6"/>
  <c r="DQ29" i="6"/>
  <c r="DP29" i="6"/>
  <c r="DO29" i="6"/>
  <c r="DN29" i="6"/>
  <c r="DM29" i="6"/>
  <c r="DL29" i="6"/>
  <c r="DK29" i="6"/>
  <c r="DJ29" i="6"/>
  <c r="DI29" i="6"/>
  <c r="DH29" i="6"/>
  <c r="DG29" i="6"/>
  <c r="DF29" i="6"/>
  <c r="DE29" i="6"/>
  <c r="DD29" i="6"/>
  <c r="DC29" i="6"/>
  <c r="DB29" i="6"/>
  <c r="DA29" i="6"/>
  <c r="CZ29" i="6"/>
  <c r="CY29" i="6"/>
  <c r="CX29" i="6"/>
  <c r="CW29" i="6"/>
  <c r="CV29" i="6"/>
  <c r="CU29" i="6"/>
  <c r="CT29" i="6"/>
  <c r="CS29" i="6"/>
  <c r="CR29" i="6"/>
  <c r="CQ29" i="6"/>
  <c r="CP29" i="6"/>
  <c r="CO29" i="6"/>
  <c r="CN29" i="6"/>
  <c r="CM29" i="6"/>
  <c r="CL29" i="6"/>
  <c r="CK29" i="6"/>
  <c r="CJ29" i="6"/>
  <c r="CI29" i="6"/>
  <c r="CH29" i="6"/>
  <c r="CG29" i="6"/>
  <c r="CF29" i="6"/>
  <c r="CE29" i="6"/>
  <c r="CD29" i="6"/>
  <c r="CC29" i="6"/>
  <c r="CB29" i="6"/>
  <c r="CA29" i="6"/>
  <c r="BZ29" i="6"/>
  <c r="BY29" i="6"/>
  <c r="BX29" i="6"/>
  <c r="BW29" i="6"/>
  <c r="BV29" i="6"/>
  <c r="BU29" i="6"/>
  <c r="BT29" i="6"/>
  <c r="BS29" i="6"/>
  <c r="BR29" i="6"/>
  <c r="BQ29" i="6"/>
  <c r="BP29" i="6"/>
  <c r="BO29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E29" i="6"/>
  <c r="D29" i="6"/>
  <c r="C29" i="6"/>
  <c r="EF28" i="6"/>
  <c r="EE28" i="6"/>
  <c r="ED28" i="6"/>
  <c r="EC28" i="6"/>
  <c r="EB28" i="6"/>
  <c r="EA28" i="6"/>
  <c r="DZ28" i="6"/>
  <c r="DY28" i="6"/>
  <c r="DX28" i="6"/>
  <c r="DW28" i="6"/>
  <c r="DV28" i="6"/>
  <c r="DU28" i="6"/>
  <c r="DT28" i="6"/>
  <c r="DS28" i="6"/>
  <c r="DR28" i="6"/>
  <c r="DQ28" i="6"/>
  <c r="DP28" i="6"/>
  <c r="DO28" i="6"/>
  <c r="DN28" i="6"/>
  <c r="DM28" i="6"/>
  <c r="DL28" i="6"/>
  <c r="DK28" i="6"/>
  <c r="DJ28" i="6"/>
  <c r="DI28" i="6"/>
  <c r="DH28" i="6"/>
  <c r="DG28" i="6"/>
  <c r="DF28" i="6"/>
  <c r="DE28" i="6"/>
  <c r="DD28" i="6"/>
  <c r="DC28" i="6"/>
  <c r="DB28" i="6"/>
  <c r="DA28" i="6"/>
  <c r="CZ28" i="6"/>
  <c r="CY28" i="6"/>
  <c r="CX28" i="6"/>
  <c r="CW28" i="6"/>
  <c r="CV28" i="6"/>
  <c r="CU28" i="6"/>
  <c r="CT28" i="6"/>
  <c r="CS28" i="6"/>
  <c r="CR28" i="6"/>
  <c r="CQ28" i="6"/>
  <c r="CP28" i="6"/>
  <c r="CO28" i="6"/>
  <c r="CN28" i="6"/>
  <c r="CM28" i="6"/>
  <c r="CL28" i="6"/>
  <c r="CK28" i="6"/>
  <c r="CJ28" i="6"/>
  <c r="CI28" i="6"/>
  <c r="CH28" i="6"/>
  <c r="CG28" i="6"/>
  <c r="CF28" i="6"/>
  <c r="CE28" i="6"/>
  <c r="CD28" i="6"/>
  <c r="CC28" i="6"/>
  <c r="CB28" i="6"/>
  <c r="CA28" i="6"/>
  <c r="BZ28" i="6"/>
  <c r="BY28" i="6"/>
  <c r="BX28" i="6"/>
  <c r="BW28" i="6"/>
  <c r="BV28" i="6"/>
  <c r="BU28" i="6"/>
  <c r="BT28" i="6"/>
  <c r="BS28" i="6"/>
  <c r="BR28" i="6"/>
  <c r="BQ28" i="6"/>
  <c r="BP28" i="6"/>
  <c r="BO28" i="6"/>
  <c r="BN28" i="6"/>
  <c r="BM28" i="6"/>
  <c r="BL28" i="6"/>
  <c r="BK28" i="6"/>
  <c r="BJ28" i="6"/>
  <c r="BI28" i="6"/>
  <c r="BH28" i="6"/>
  <c r="BG28" i="6"/>
  <c r="BF28" i="6"/>
  <c r="BE28" i="6"/>
  <c r="BD28" i="6"/>
  <c r="BC28" i="6"/>
  <c r="BB28" i="6"/>
  <c r="BA28" i="6"/>
  <c r="AZ28" i="6"/>
  <c r="AY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K28" i="6"/>
  <c r="AJ28" i="6"/>
  <c r="AI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S28" i="6"/>
  <c r="R28" i="6"/>
  <c r="Q28" i="6"/>
  <c r="P28" i="6"/>
  <c r="O28" i="6"/>
  <c r="N28" i="6"/>
  <c r="M28" i="6"/>
  <c r="L28" i="6"/>
  <c r="K28" i="6"/>
  <c r="J28" i="6"/>
  <c r="I28" i="6"/>
  <c r="H28" i="6"/>
  <c r="G28" i="6"/>
  <c r="F28" i="6"/>
  <c r="E28" i="6"/>
  <c r="D28" i="6"/>
  <c r="C28" i="6"/>
  <c r="EF27" i="6"/>
  <c r="EE27" i="6"/>
  <c r="ED27" i="6"/>
  <c r="EC27" i="6"/>
  <c r="EB27" i="6"/>
  <c r="EA27" i="6"/>
  <c r="DZ27" i="6"/>
  <c r="DY27" i="6"/>
  <c r="DX27" i="6"/>
  <c r="DW27" i="6"/>
  <c r="DV27" i="6"/>
  <c r="DU27" i="6"/>
  <c r="DT27" i="6"/>
  <c r="DS27" i="6"/>
  <c r="DR27" i="6"/>
  <c r="DQ27" i="6"/>
  <c r="DP27" i="6"/>
  <c r="DO27" i="6"/>
  <c r="DN27" i="6"/>
  <c r="DM27" i="6"/>
  <c r="DL27" i="6"/>
  <c r="DK27" i="6"/>
  <c r="DJ27" i="6"/>
  <c r="DI27" i="6"/>
  <c r="DH27" i="6"/>
  <c r="DG27" i="6"/>
  <c r="DF27" i="6"/>
  <c r="DE27" i="6"/>
  <c r="DD27" i="6"/>
  <c r="DC27" i="6"/>
  <c r="DB27" i="6"/>
  <c r="DA27" i="6"/>
  <c r="CZ27" i="6"/>
  <c r="CY27" i="6"/>
  <c r="CX27" i="6"/>
  <c r="CW27" i="6"/>
  <c r="CV27" i="6"/>
  <c r="CU27" i="6"/>
  <c r="CT27" i="6"/>
  <c r="CS27" i="6"/>
  <c r="CR27" i="6"/>
  <c r="CQ27" i="6"/>
  <c r="CP27" i="6"/>
  <c r="CO27" i="6"/>
  <c r="CN27" i="6"/>
  <c r="CM27" i="6"/>
  <c r="CL27" i="6"/>
  <c r="CK27" i="6"/>
  <c r="CJ27" i="6"/>
  <c r="CI27" i="6"/>
  <c r="CH27" i="6"/>
  <c r="CG27" i="6"/>
  <c r="CF27" i="6"/>
  <c r="CE27" i="6"/>
  <c r="CD27" i="6"/>
  <c r="CC27" i="6"/>
  <c r="CB27" i="6"/>
  <c r="CA27" i="6"/>
  <c r="BZ27" i="6"/>
  <c r="BY27" i="6"/>
  <c r="BX27" i="6"/>
  <c r="BW27" i="6"/>
  <c r="BV27" i="6"/>
  <c r="BU27" i="6"/>
  <c r="BT27" i="6"/>
  <c r="BS27" i="6"/>
  <c r="BR27" i="6"/>
  <c r="BQ27" i="6"/>
  <c r="BP27" i="6"/>
  <c r="BO27" i="6"/>
  <c r="BN27" i="6"/>
  <c r="BM27" i="6"/>
  <c r="BL27" i="6"/>
  <c r="BK27" i="6"/>
  <c r="BJ27" i="6"/>
  <c r="BI27" i="6"/>
  <c r="BH27" i="6"/>
  <c r="BG27" i="6"/>
  <c r="BF27" i="6"/>
  <c r="BE27" i="6"/>
  <c r="BD27" i="6"/>
  <c r="BC27" i="6"/>
  <c r="BB27" i="6"/>
  <c r="BA27" i="6"/>
  <c r="AZ27" i="6"/>
  <c r="AY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K27" i="6"/>
  <c r="AJ27" i="6"/>
  <c r="AI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EF23" i="6"/>
  <c r="EE23" i="6"/>
  <c r="ED23" i="6"/>
  <c r="EC23" i="6"/>
  <c r="EB23" i="6"/>
  <c r="EA23" i="6"/>
  <c r="DZ23" i="6"/>
  <c r="DY23" i="6"/>
  <c r="DX23" i="6"/>
  <c r="DW23" i="6"/>
  <c r="DV23" i="6"/>
  <c r="DU23" i="6"/>
  <c r="DT23" i="6"/>
  <c r="DS23" i="6"/>
  <c r="DR23" i="6"/>
  <c r="DQ23" i="6"/>
  <c r="DP23" i="6"/>
  <c r="DO23" i="6"/>
  <c r="DN23" i="6"/>
  <c r="DM23" i="6"/>
  <c r="DL23" i="6"/>
  <c r="DK23" i="6"/>
  <c r="DJ23" i="6"/>
  <c r="DI23" i="6"/>
  <c r="DH23" i="6"/>
  <c r="DG23" i="6"/>
  <c r="DF23" i="6"/>
  <c r="DE23" i="6"/>
  <c r="DD23" i="6"/>
  <c r="DC23" i="6"/>
  <c r="DB23" i="6"/>
  <c r="DA23" i="6"/>
  <c r="CZ23" i="6"/>
  <c r="CY23" i="6"/>
  <c r="CX23" i="6"/>
  <c r="CW23" i="6"/>
  <c r="CV23" i="6"/>
  <c r="CU23" i="6"/>
  <c r="CT23" i="6"/>
  <c r="CS23" i="6"/>
  <c r="CR23" i="6"/>
  <c r="CQ23" i="6"/>
  <c r="CP23" i="6"/>
  <c r="CO23" i="6"/>
  <c r="CN23" i="6"/>
  <c r="CM23" i="6"/>
  <c r="CL23" i="6"/>
  <c r="CK23" i="6"/>
  <c r="CJ23" i="6"/>
  <c r="CI23" i="6"/>
  <c r="CH23" i="6"/>
  <c r="CG23" i="6"/>
  <c r="CF23" i="6"/>
  <c r="CE23" i="6"/>
  <c r="CD23" i="6"/>
  <c r="CC23" i="6"/>
  <c r="CB23" i="6"/>
  <c r="CA23" i="6"/>
  <c r="BZ23" i="6"/>
  <c r="BY23" i="6"/>
  <c r="BX23" i="6"/>
  <c r="BW23" i="6"/>
  <c r="BV23" i="6"/>
  <c r="BU23" i="6"/>
  <c r="BT23" i="6"/>
  <c r="BS23" i="6"/>
  <c r="BR23" i="6"/>
  <c r="BQ23" i="6"/>
  <c r="BP23" i="6"/>
  <c r="BO23" i="6"/>
  <c r="BN23" i="6"/>
  <c r="BM23" i="6"/>
  <c r="BL23" i="6"/>
  <c r="BK23" i="6"/>
  <c r="BJ23" i="6"/>
  <c r="BI23" i="6"/>
  <c r="BH23" i="6"/>
  <c r="BG23" i="6"/>
  <c r="BF23" i="6"/>
  <c r="BE23" i="6"/>
  <c r="BD23" i="6"/>
  <c r="BC23" i="6"/>
  <c r="BB23" i="6"/>
  <c r="BA23" i="6"/>
  <c r="AZ23" i="6"/>
  <c r="AY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Q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C22" i="6"/>
  <c r="EF21" i="6"/>
  <c r="EE21" i="6"/>
  <c r="ED21" i="6"/>
  <c r="EC21" i="6"/>
  <c r="EB21" i="6"/>
  <c r="EA21" i="6"/>
  <c r="DZ21" i="6"/>
  <c r="DY21" i="6"/>
  <c r="DX21" i="6"/>
  <c r="DW21" i="6"/>
  <c r="DV21" i="6"/>
  <c r="DU21" i="6"/>
  <c r="DT21" i="6"/>
  <c r="DS21" i="6"/>
  <c r="DR21" i="6"/>
  <c r="DQ21" i="6"/>
  <c r="DP21" i="6"/>
  <c r="DO21" i="6"/>
  <c r="DN21" i="6"/>
  <c r="DM21" i="6"/>
  <c r="DL21" i="6"/>
  <c r="DK21" i="6"/>
  <c r="DJ21" i="6"/>
  <c r="DI21" i="6"/>
  <c r="DH21" i="6"/>
  <c r="DG21" i="6"/>
  <c r="DF21" i="6"/>
  <c r="DE21" i="6"/>
  <c r="DD21" i="6"/>
  <c r="DC21" i="6"/>
  <c r="DB21" i="6"/>
  <c r="DA21" i="6"/>
  <c r="CZ21" i="6"/>
  <c r="CY21" i="6"/>
  <c r="CX21" i="6"/>
  <c r="CW21" i="6"/>
  <c r="CV21" i="6"/>
  <c r="CU21" i="6"/>
  <c r="CT21" i="6"/>
  <c r="CS21" i="6"/>
  <c r="CR21" i="6"/>
  <c r="CQ21" i="6"/>
  <c r="CP21" i="6"/>
  <c r="CO21" i="6"/>
  <c r="CN21" i="6"/>
  <c r="CM21" i="6"/>
  <c r="CL21" i="6"/>
  <c r="CK21" i="6"/>
  <c r="CJ21" i="6"/>
  <c r="CI21" i="6"/>
  <c r="CH21" i="6"/>
  <c r="CG21" i="6"/>
  <c r="CF21" i="6"/>
  <c r="CE21" i="6"/>
  <c r="CD21" i="6"/>
  <c r="CC21" i="6"/>
  <c r="CB21" i="6"/>
  <c r="CA21" i="6"/>
  <c r="BZ21" i="6"/>
  <c r="BY21" i="6"/>
  <c r="BX21" i="6"/>
  <c r="BW21" i="6"/>
  <c r="BV21" i="6"/>
  <c r="BU21" i="6"/>
  <c r="BT21" i="6"/>
  <c r="BS21" i="6"/>
  <c r="BR21" i="6"/>
  <c r="BQ21" i="6"/>
  <c r="BP21" i="6"/>
  <c r="BO21" i="6"/>
  <c r="BN21" i="6"/>
  <c r="BM21" i="6"/>
  <c r="BL21" i="6"/>
  <c r="BK21" i="6"/>
  <c r="BJ21" i="6"/>
  <c r="BI21" i="6"/>
  <c r="BH21" i="6"/>
  <c r="BG21" i="6"/>
  <c r="BF21" i="6"/>
  <c r="BE21" i="6"/>
  <c r="BD21" i="6"/>
  <c r="BC21" i="6"/>
  <c r="BB21" i="6"/>
  <c r="BA21" i="6"/>
  <c r="AZ21" i="6"/>
  <c r="AY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H21" i="6"/>
  <c r="G21" i="6"/>
  <c r="F21" i="6"/>
  <c r="E21" i="6"/>
  <c r="D21" i="6"/>
  <c r="C21" i="6"/>
  <c r="EF20" i="6"/>
  <c r="EE20" i="6"/>
  <c r="ED20" i="6"/>
  <c r="EC20" i="6"/>
  <c r="EB20" i="6"/>
  <c r="EA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EH29" i="5"/>
  <c r="EG29" i="5"/>
  <c r="EI29" i="5" s="1"/>
  <c r="EH28" i="5"/>
  <c r="EG28" i="5"/>
  <c r="EI28" i="5" s="1"/>
  <c r="EH27" i="5"/>
  <c r="EG27" i="5"/>
  <c r="EI27" i="5" s="1"/>
  <c r="EH26" i="5"/>
  <c r="EG26" i="5"/>
  <c r="EH25" i="5"/>
  <c r="EG25" i="5"/>
  <c r="EH24" i="5"/>
  <c r="EG24" i="5"/>
  <c r="EH23" i="5"/>
  <c r="EG23" i="5"/>
  <c r="EH22" i="5"/>
  <c r="EG22" i="5"/>
  <c r="EH21" i="5"/>
  <c r="EG21" i="5"/>
  <c r="EH20" i="5"/>
  <c r="EG20" i="5"/>
  <c r="EH19" i="5"/>
  <c r="EG19" i="5"/>
  <c r="EH18" i="5"/>
  <c r="EG18" i="5"/>
  <c r="EI18" i="5" s="1"/>
  <c r="EH17" i="5"/>
  <c r="EG17" i="5"/>
  <c r="EH16" i="5"/>
  <c r="EG16" i="5"/>
  <c r="EG18" i="4" a="1"/>
  <c r="EG18" i="4" s="1"/>
  <c r="EF18" i="4" a="1"/>
  <c r="EF18" i="4" s="1"/>
  <c r="EE18" i="4" a="1"/>
  <c r="EE18" i="4" s="1"/>
  <c r="ED18" i="4" a="1"/>
  <c r="ED18" i="4" s="1"/>
  <c r="EC18" i="4" a="1"/>
  <c r="EC18" i="4" s="1"/>
  <c r="EB18" i="4" a="1"/>
  <c r="EB18" i="4" s="1"/>
  <c r="EA18" i="4" a="1"/>
  <c r="EA18" i="4" s="1"/>
  <c r="DZ18" i="4" a="1"/>
  <c r="DZ18" i="4" s="1"/>
  <c r="DY18" i="4" a="1"/>
  <c r="DY18" i="4" s="1"/>
  <c r="DX18" i="4" a="1"/>
  <c r="DX18" i="4" s="1"/>
  <c r="DW18" i="4" a="1"/>
  <c r="DW18" i="4" s="1"/>
  <c r="DV18" i="4" a="1"/>
  <c r="DV18" i="4" s="1"/>
  <c r="DU18" i="4" a="1"/>
  <c r="DU18" i="4" s="1"/>
  <c r="DT18" i="4" a="1"/>
  <c r="DT18" i="4" s="1"/>
  <c r="DS18" i="4" a="1"/>
  <c r="DS18" i="4" s="1"/>
  <c r="DR18" i="4" a="1"/>
  <c r="DR18" i="4" s="1"/>
  <c r="DQ18" i="4" a="1"/>
  <c r="DQ18" i="4" s="1"/>
  <c r="DP18" i="4" a="1"/>
  <c r="DP18" i="4" s="1"/>
  <c r="DO18" i="4" a="1"/>
  <c r="DO18" i="4" s="1"/>
  <c r="DN18" i="4" a="1"/>
  <c r="DN18" i="4" s="1"/>
  <c r="DM18" i="4" a="1"/>
  <c r="DM18" i="4" s="1"/>
  <c r="DL18" i="4" a="1"/>
  <c r="DL18" i="4" s="1"/>
  <c r="DK18" i="4" a="1"/>
  <c r="DK18" i="4" s="1"/>
  <c r="DJ18" i="4" a="1"/>
  <c r="DJ18" i="4" s="1"/>
  <c r="DI18" i="4" a="1"/>
  <c r="DI18" i="4" s="1"/>
  <c r="DH18" i="4" a="1"/>
  <c r="DH18" i="4" s="1"/>
  <c r="DG18" i="4" a="1"/>
  <c r="DG18" i="4" s="1"/>
  <c r="DF18" i="4" a="1"/>
  <c r="DF18" i="4" s="1"/>
  <c r="DE18" i="4" a="1"/>
  <c r="DE18" i="4" s="1"/>
  <c r="DD18" i="4" a="1"/>
  <c r="DD18" i="4" s="1"/>
  <c r="DC18" i="4" a="1"/>
  <c r="DC18" i="4" s="1"/>
  <c r="DB18" i="4" a="1"/>
  <c r="DB18" i="4" s="1"/>
  <c r="DA18" i="4" a="1"/>
  <c r="DA18" i="4" s="1"/>
  <c r="CZ18" i="4" a="1"/>
  <c r="CZ18" i="4" s="1"/>
  <c r="CY18" i="4" a="1"/>
  <c r="CY18" i="4" s="1"/>
  <c r="CX18" i="4" a="1"/>
  <c r="CX18" i="4" s="1"/>
  <c r="CW18" i="4" a="1"/>
  <c r="CW18" i="4" s="1"/>
  <c r="CV18" i="4" a="1"/>
  <c r="CV18" i="4" s="1"/>
  <c r="CU18" i="4" a="1"/>
  <c r="CU18" i="4" s="1"/>
  <c r="CT18" i="4" a="1"/>
  <c r="CT18" i="4" s="1"/>
  <c r="CS18" i="4" a="1"/>
  <c r="CS18" i="4" s="1"/>
  <c r="CR18" i="4" a="1"/>
  <c r="CR18" i="4" s="1"/>
  <c r="CQ18" i="4" a="1"/>
  <c r="CQ18" i="4" s="1"/>
  <c r="CP18" i="4" a="1"/>
  <c r="CP18" i="4" s="1"/>
  <c r="CO18" i="4" a="1"/>
  <c r="CO18" i="4" s="1"/>
  <c r="CN18" i="4" a="1"/>
  <c r="CN18" i="4" s="1"/>
  <c r="CM18" i="4" a="1"/>
  <c r="CM18" i="4" s="1"/>
  <c r="CL18" i="4" a="1"/>
  <c r="CL18" i="4" s="1"/>
  <c r="CK18" i="4" a="1"/>
  <c r="CK18" i="4" s="1"/>
  <c r="CJ18" i="4" a="1"/>
  <c r="CJ18" i="4" s="1"/>
  <c r="CI18" i="4" a="1"/>
  <c r="CI18" i="4" s="1"/>
  <c r="CH18" i="4" a="1"/>
  <c r="CH18" i="4" s="1"/>
  <c r="CG18" i="4" a="1"/>
  <c r="CG18" i="4" s="1"/>
  <c r="CF18" i="4" a="1"/>
  <c r="CF18" i="4" s="1"/>
  <c r="CE18" i="4" a="1"/>
  <c r="CE18" i="4" s="1"/>
  <c r="CD18" i="4" a="1"/>
  <c r="CD18" i="4" s="1"/>
  <c r="CC18" i="4" a="1"/>
  <c r="CC18" i="4" s="1"/>
  <c r="CB18" i="4" a="1"/>
  <c r="CB18" i="4" s="1"/>
  <c r="CA18" i="4" a="1"/>
  <c r="CA18" i="4" s="1"/>
  <c r="BZ18" i="4" a="1"/>
  <c r="BZ18" i="4" s="1"/>
  <c r="BY18" i="4" a="1"/>
  <c r="BY18" i="4" s="1"/>
  <c r="BX18" i="4" a="1"/>
  <c r="BX18" i="4" s="1"/>
  <c r="BW18" i="4" a="1"/>
  <c r="BW18" i="4" s="1"/>
  <c r="BV18" i="4" a="1"/>
  <c r="BV18" i="4" s="1"/>
  <c r="BU18" i="4" a="1"/>
  <c r="BU18" i="4" s="1"/>
  <c r="BT18" i="4" a="1"/>
  <c r="BT18" i="4" s="1"/>
  <c r="BS18" i="4" a="1"/>
  <c r="BS18" i="4" s="1"/>
  <c r="BR18" i="4" a="1"/>
  <c r="BR18" i="4" s="1"/>
  <c r="BQ18" i="4" a="1"/>
  <c r="BQ18" i="4" s="1"/>
  <c r="BP18" i="4" a="1"/>
  <c r="BP18" i="4" s="1"/>
  <c r="BO18" i="4" a="1"/>
  <c r="BO18" i="4" s="1"/>
  <c r="BN18" i="4" a="1"/>
  <c r="BN18" i="4" s="1"/>
  <c r="BM18" i="4" a="1"/>
  <c r="BM18" i="4" s="1"/>
  <c r="BL18" i="4" a="1"/>
  <c r="BL18" i="4" s="1"/>
  <c r="BK18" i="4" a="1"/>
  <c r="BK18" i="4" s="1"/>
  <c r="BJ18" i="4" a="1"/>
  <c r="BJ18" i="4" s="1"/>
  <c r="BI18" i="4" a="1"/>
  <c r="BI18" i="4" s="1"/>
  <c r="BH18" i="4" a="1"/>
  <c r="BH18" i="4" s="1"/>
  <c r="BG18" i="4" a="1"/>
  <c r="BG18" i="4" s="1"/>
  <c r="BF18" i="4" a="1"/>
  <c r="BF18" i="4" s="1"/>
  <c r="BE18" i="4" a="1"/>
  <c r="BE18" i="4" s="1"/>
  <c r="BD18" i="4" a="1"/>
  <c r="BD18" i="4" s="1"/>
  <c r="BC18" i="4" a="1"/>
  <c r="BC18" i="4" s="1"/>
  <c r="BB18" i="4" a="1"/>
  <c r="BB18" i="4" s="1"/>
  <c r="BA18" i="4" a="1"/>
  <c r="BA18" i="4" s="1"/>
  <c r="AZ18" i="4" a="1"/>
  <c r="AZ18" i="4" s="1"/>
  <c r="AY18" i="4" a="1"/>
  <c r="AY18" i="4" s="1"/>
  <c r="AX18" i="4" a="1"/>
  <c r="AX18" i="4" s="1"/>
  <c r="AW18" i="4" a="1"/>
  <c r="AW18" i="4" s="1"/>
  <c r="AV18" i="4" a="1"/>
  <c r="AV18" i="4" s="1"/>
  <c r="AU18" i="4" a="1"/>
  <c r="AU18" i="4" s="1"/>
  <c r="AT18" i="4" a="1"/>
  <c r="AT18" i="4" s="1"/>
  <c r="AS18" i="4" a="1"/>
  <c r="AS18" i="4" s="1"/>
  <c r="AR18" i="4" a="1"/>
  <c r="AR18" i="4" s="1"/>
  <c r="AQ18" i="4" a="1"/>
  <c r="AQ18" i="4" s="1"/>
  <c r="AP18" i="4" a="1"/>
  <c r="AP18" i="4" s="1"/>
  <c r="AO18" i="4" a="1"/>
  <c r="AO18" i="4" s="1"/>
  <c r="AN18" i="4" a="1"/>
  <c r="AN18" i="4" s="1"/>
  <c r="AM18" i="4" a="1"/>
  <c r="AM18" i="4" s="1"/>
  <c r="AL18" i="4" a="1"/>
  <c r="AL18" i="4" s="1"/>
  <c r="AK18" i="4" a="1"/>
  <c r="AK18" i="4" s="1"/>
  <c r="AJ18" i="4" a="1"/>
  <c r="AJ18" i="4" s="1"/>
  <c r="AI18" i="4" a="1"/>
  <c r="AI18" i="4" s="1"/>
  <c r="AH18" i="4" a="1"/>
  <c r="AH18" i="4" s="1"/>
  <c r="AG18" i="4" a="1"/>
  <c r="AG18" i="4" s="1"/>
  <c r="AF18" i="4" a="1"/>
  <c r="AF18" i="4" s="1"/>
  <c r="AE18" i="4" a="1"/>
  <c r="AE18" i="4" s="1"/>
  <c r="AD18" i="4" a="1"/>
  <c r="AD18" i="4" s="1"/>
  <c r="AC18" i="4" a="1"/>
  <c r="AC18" i="4" s="1"/>
  <c r="AB18" i="4" a="1"/>
  <c r="AB18" i="4" s="1"/>
  <c r="AA18" i="4" a="1"/>
  <c r="AA18" i="4" s="1"/>
  <c r="Z18" i="4" a="1"/>
  <c r="Z18" i="4" s="1"/>
  <c r="Y18" i="4" a="1"/>
  <c r="Y18" i="4" s="1"/>
  <c r="X18" i="4" a="1"/>
  <c r="X18" i="4" s="1"/>
  <c r="W18" i="4" a="1"/>
  <c r="W18" i="4" s="1"/>
  <c r="V18" i="4" a="1"/>
  <c r="V18" i="4" s="1"/>
  <c r="U18" i="4" a="1"/>
  <c r="U18" i="4" s="1"/>
  <c r="T18" i="4" a="1"/>
  <c r="T18" i="4" s="1"/>
  <c r="S18" i="4" a="1"/>
  <c r="S18" i="4" s="1"/>
  <c r="R18" i="4" a="1"/>
  <c r="R18" i="4" s="1"/>
  <c r="Q18" i="4" a="1"/>
  <c r="Q18" i="4" s="1"/>
  <c r="P18" i="4" a="1"/>
  <c r="P18" i="4" s="1"/>
  <c r="O18" i="4" a="1"/>
  <c r="O18" i="4" s="1"/>
  <c r="N18" i="4" a="1"/>
  <c r="N18" i="4" s="1"/>
  <c r="M18" i="4" a="1"/>
  <c r="M18" i="4" s="1"/>
  <c r="L18" i="4" a="1"/>
  <c r="L18" i="4" s="1"/>
  <c r="K18" i="4" a="1"/>
  <c r="K18" i="4" s="1"/>
  <c r="J18" i="4" a="1"/>
  <c r="J18" i="4" s="1"/>
  <c r="I18" i="4" a="1"/>
  <c r="I18" i="4" s="1"/>
  <c r="H18" i="4" a="1"/>
  <c r="H18" i="4" s="1"/>
  <c r="G18" i="4" a="1"/>
  <c r="G18" i="4" s="1"/>
  <c r="F18" i="4" a="1"/>
  <c r="F18" i="4" s="1"/>
  <c r="E18" i="4" a="1"/>
  <c r="E18" i="4" s="1"/>
  <c r="D18" i="4" a="1"/>
  <c r="D18" i="4" s="1"/>
  <c r="EG17" i="4" a="1"/>
  <c r="EG17" i="4" s="1"/>
  <c r="EF17" i="4" a="1"/>
  <c r="EF17" i="4" s="1"/>
  <c r="EE17" i="4" a="1"/>
  <c r="EE17" i="4" s="1"/>
  <c r="ED17" i="4" a="1"/>
  <c r="ED17" i="4" s="1"/>
  <c r="EC17" i="4" a="1"/>
  <c r="EC17" i="4" s="1"/>
  <c r="EB17" i="4" a="1"/>
  <c r="EB17" i="4" s="1"/>
  <c r="EA17" i="4" a="1"/>
  <c r="EA17" i="4" s="1"/>
  <c r="DZ17" i="4" a="1"/>
  <c r="DZ17" i="4" s="1"/>
  <c r="DY17" i="4" a="1"/>
  <c r="DY17" i="4" s="1"/>
  <c r="DX17" i="4" a="1"/>
  <c r="DX17" i="4" s="1"/>
  <c r="DW17" i="4" a="1"/>
  <c r="DW17" i="4" s="1"/>
  <c r="DV17" i="4" a="1"/>
  <c r="DV17" i="4" s="1"/>
  <c r="DU17" i="4" a="1"/>
  <c r="DU17" i="4" s="1"/>
  <c r="DT17" i="4" a="1"/>
  <c r="DT17" i="4" s="1"/>
  <c r="DS17" i="4" a="1"/>
  <c r="DS17" i="4" s="1"/>
  <c r="DR17" i="4" a="1"/>
  <c r="DR17" i="4" s="1"/>
  <c r="DQ17" i="4" a="1"/>
  <c r="DQ17" i="4" s="1"/>
  <c r="DP17" i="4" a="1"/>
  <c r="DP17" i="4" s="1"/>
  <c r="DO17" i="4" a="1"/>
  <c r="DO17" i="4" s="1"/>
  <c r="DN17" i="4" a="1"/>
  <c r="DN17" i="4" s="1"/>
  <c r="DM17" i="4" a="1"/>
  <c r="DM17" i="4" s="1"/>
  <c r="DL17" i="4" a="1"/>
  <c r="DL17" i="4" s="1"/>
  <c r="DK17" i="4" a="1"/>
  <c r="DK17" i="4" s="1"/>
  <c r="DJ17" i="4" a="1"/>
  <c r="DJ17" i="4" s="1"/>
  <c r="DI17" i="4" a="1"/>
  <c r="DI17" i="4" s="1"/>
  <c r="DH17" i="4" a="1"/>
  <c r="DH17" i="4" s="1"/>
  <c r="DG17" i="4" a="1"/>
  <c r="DG17" i="4" s="1"/>
  <c r="DF17" i="4" a="1"/>
  <c r="DF17" i="4" s="1"/>
  <c r="DE17" i="4" a="1"/>
  <c r="DE17" i="4" s="1"/>
  <c r="DD17" i="4" a="1"/>
  <c r="DD17" i="4" s="1"/>
  <c r="DC17" i="4" a="1"/>
  <c r="DC17" i="4" s="1"/>
  <c r="DB17" i="4" a="1"/>
  <c r="DB17" i="4" s="1"/>
  <c r="DA17" i="4" a="1"/>
  <c r="DA17" i="4" s="1"/>
  <c r="CZ17" i="4" a="1"/>
  <c r="CZ17" i="4" s="1"/>
  <c r="CY17" i="4" a="1"/>
  <c r="CY17" i="4" s="1"/>
  <c r="CX17" i="4" a="1"/>
  <c r="CX17" i="4" s="1"/>
  <c r="CW17" i="4" a="1"/>
  <c r="CW17" i="4" s="1"/>
  <c r="CV17" i="4" a="1"/>
  <c r="CV17" i="4" s="1"/>
  <c r="CU17" i="4" a="1"/>
  <c r="CU17" i="4" s="1"/>
  <c r="CT17" i="4" a="1"/>
  <c r="CT17" i="4" s="1"/>
  <c r="CS17" i="4" a="1"/>
  <c r="CS17" i="4" s="1"/>
  <c r="CR17" i="4" a="1"/>
  <c r="CR17" i="4" s="1"/>
  <c r="CQ17" i="4" a="1"/>
  <c r="CQ17" i="4" s="1"/>
  <c r="CP17" i="4" a="1"/>
  <c r="CP17" i="4" s="1"/>
  <c r="CO17" i="4" a="1"/>
  <c r="CO17" i="4" s="1"/>
  <c r="CN17" i="4" a="1"/>
  <c r="CN17" i="4" s="1"/>
  <c r="CM17" i="4" a="1"/>
  <c r="CM17" i="4" s="1"/>
  <c r="CL17" i="4" a="1"/>
  <c r="CL17" i="4" s="1"/>
  <c r="CK17" i="4" a="1"/>
  <c r="CK17" i="4" s="1"/>
  <c r="CJ17" i="4" a="1"/>
  <c r="CJ17" i="4" s="1"/>
  <c r="CI17" i="4" a="1"/>
  <c r="CI17" i="4" s="1"/>
  <c r="CH17" i="4" a="1"/>
  <c r="CH17" i="4" s="1"/>
  <c r="CG17" i="4" a="1"/>
  <c r="CG17" i="4" s="1"/>
  <c r="CF17" i="4" a="1"/>
  <c r="CF17" i="4" s="1"/>
  <c r="CE17" i="4" a="1"/>
  <c r="CE17" i="4" s="1"/>
  <c r="CD17" i="4" a="1"/>
  <c r="CD17" i="4" s="1"/>
  <c r="CC17" i="4" a="1"/>
  <c r="CC17" i="4" s="1"/>
  <c r="CB17" i="4" a="1"/>
  <c r="CB17" i="4" s="1"/>
  <c r="CA17" i="4" a="1"/>
  <c r="CA17" i="4" s="1"/>
  <c r="BZ17" i="4" a="1"/>
  <c r="BZ17" i="4" s="1"/>
  <c r="BY17" i="4" a="1"/>
  <c r="BY17" i="4" s="1"/>
  <c r="BX17" i="4" a="1"/>
  <c r="BX17" i="4" s="1"/>
  <c r="BW17" i="4" a="1"/>
  <c r="BW17" i="4" s="1"/>
  <c r="BV17" i="4" a="1"/>
  <c r="BV17" i="4" s="1"/>
  <c r="BU17" i="4" a="1"/>
  <c r="BU17" i="4" s="1"/>
  <c r="BT17" i="4" a="1"/>
  <c r="BT17" i="4" s="1"/>
  <c r="BS17" i="4" a="1"/>
  <c r="BS17" i="4" s="1"/>
  <c r="BR17" i="4" a="1"/>
  <c r="BR17" i="4" s="1"/>
  <c r="BQ17" i="4" a="1"/>
  <c r="BQ17" i="4" s="1"/>
  <c r="BP17" i="4" a="1"/>
  <c r="BP17" i="4" s="1"/>
  <c r="BO17" i="4" a="1"/>
  <c r="BO17" i="4" s="1"/>
  <c r="BN17" i="4" a="1"/>
  <c r="BN17" i="4" s="1"/>
  <c r="BM17" i="4" a="1"/>
  <c r="BM17" i="4" s="1"/>
  <c r="BL17" i="4" a="1"/>
  <c r="BL17" i="4" s="1"/>
  <c r="BK17" i="4" a="1"/>
  <c r="BK17" i="4" s="1"/>
  <c r="BJ17" i="4" a="1"/>
  <c r="BJ17" i="4" s="1"/>
  <c r="BI17" i="4" a="1"/>
  <c r="BI17" i="4" s="1"/>
  <c r="BH17" i="4" a="1"/>
  <c r="BH17" i="4" s="1"/>
  <c r="BG17" i="4" a="1"/>
  <c r="BG17" i="4" s="1"/>
  <c r="BF17" i="4" a="1"/>
  <c r="BF17" i="4" s="1"/>
  <c r="BE17" i="4" a="1"/>
  <c r="BE17" i="4" s="1"/>
  <c r="BD17" i="4" a="1"/>
  <c r="BD17" i="4" s="1"/>
  <c r="BC17" i="4" a="1"/>
  <c r="BC17" i="4" s="1"/>
  <c r="BB17" i="4" a="1"/>
  <c r="BB17" i="4" s="1"/>
  <c r="BA17" i="4" a="1"/>
  <c r="BA17" i="4" s="1"/>
  <c r="AZ17" i="4" a="1"/>
  <c r="AZ17" i="4" s="1"/>
  <c r="AY17" i="4" a="1"/>
  <c r="AY17" i="4" s="1"/>
  <c r="AX17" i="4" a="1"/>
  <c r="AX17" i="4" s="1"/>
  <c r="AW17" i="4" a="1"/>
  <c r="AW17" i="4" s="1"/>
  <c r="AV17" i="4" a="1"/>
  <c r="AV17" i="4" s="1"/>
  <c r="AU17" i="4" a="1"/>
  <c r="AU17" i="4"/>
  <c r="AT17" i="4" a="1"/>
  <c r="AT17" i="4"/>
  <c r="AS17" i="4" a="1"/>
  <c r="AS17" i="4"/>
  <c r="AR17" i="4" a="1"/>
  <c r="AR17" i="4"/>
  <c r="AQ17" i="4" a="1"/>
  <c r="AQ17" i="4"/>
  <c r="AP17" i="4" a="1"/>
  <c r="AP17" i="4"/>
  <c r="AO17" i="4" a="1"/>
  <c r="AO17" i="4"/>
  <c r="AN17" i="4" a="1"/>
  <c r="AN17" i="4"/>
  <c r="AM17" i="4" a="1"/>
  <c r="AM17" i="4"/>
  <c r="AL17" i="4" a="1"/>
  <c r="AL17" i="4"/>
  <c r="AK17" i="4" a="1"/>
  <c r="AK17" i="4"/>
  <c r="AJ17" i="4" a="1"/>
  <c r="AJ17" i="4"/>
  <c r="AI17" i="4" a="1"/>
  <c r="AI17" i="4"/>
  <c r="AH17" i="4" a="1"/>
  <c r="AH17" i="4"/>
  <c r="AG17" i="4" a="1"/>
  <c r="AG17" i="4"/>
  <c r="AF17" i="4" a="1"/>
  <c r="AF17" i="4"/>
  <c r="AE17" i="4" a="1"/>
  <c r="AE17" i="4"/>
  <c r="AD17" i="4" a="1"/>
  <c r="AD17" i="4"/>
  <c r="AC17" i="4" a="1"/>
  <c r="AC17" i="4"/>
  <c r="AB17" i="4" a="1"/>
  <c r="AB17" i="4"/>
  <c r="AA17" i="4" a="1"/>
  <c r="AA17" i="4"/>
  <c r="Z17" i="4" a="1"/>
  <c r="Z17" i="4"/>
  <c r="Y17" i="4" a="1"/>
  <c r="Y17" i="4"/>
  <c r="X17" i="4" a="1"/>
  <c r="X17" i="4"/>
  <c r="W17" i="4" a="1"/>
  <c r="W17" i="4"/>
  <c r="V17" i="4" a="1"/>
  <c r="V17" i="4"/>
  <c r="U17" i="4" a="1"/>
  <c r="U17" i="4"/>
  <c r="T17" i="4" a="1"/>
  <c r="T17" i="4"/>
  <c r="S17" i="4" a="1"/>
  <c r="S17" i="4"/>
  <c r="R17" i="4" a="1"/>
  <c r="R17" i="4"/>
  <c r="Q17" i="4" a="1"/>
  <c r="Q17" i="4"/>
  <c r="P17" i="4" a="1"/>
  <c r="P17" i="4"/>
  <c r="O17" i="4" a="1"/>
  <c r="O17" i="4"/>
  <c r="N17" i="4" a="1"/>
  <c r="N17" i="4"/>
  <c r="M17" i="4" a="1"/>
  <c r="M17" i="4"/>
  <c r="L17" i="4" a="1"/>
  <c r="L17" i="4"/>
  <c r="K17" i="4" a="1"/>
  <c r="K17" i="4"/>
  <c r="J17" i="4" a="1"/>
  <c r="J17" i="4"/>
  <c r="I17" i="4" a="1"/>
  <c r="I17" i="4"/>
  <c r="H17" i="4" a="1"/>
  <c r="H17" i="4"/>
  <c r="G17" i="4" a="1"/>
  <c r="G17" i="4"/>
  <c r="F17" i="4" a="1"/>
  <c r="F17" i="4"/>
  <c r="E17" i="4" a="1"/>
  <c r="E17" i="4"/>
  <c r="D17" i="4" a="1"/>
  <c r="D17" i="4"/>
  <c r="EG16" i="4" a="1"/>
  <c r="EG16" i="4"/>
  <c r="EF16" i="4" a="1"/>
  <c r="EF16" i="4"/>
  <c r="EE16" i="4" a="1"/>
  <c r="EE16" i="4"/>
  <c r="ED16" i="4" a="1"/>
  <c r="ED16" i="4"/>
  <c r="EC16" i="4" a="1"/>
  <c r="EC16" i="4"/>
  <c r="EB16" i="4" a="1"/>
  <c r="EB16" i="4"/>
  <c r="EA16" i="4" a="1"/>
  <c r="EA16" i="4"/>
  <c r="DZ16" i="4" a="1"/>
  <c r="DZ16" i="4"/>
  <c r="DY16" i="4" a="1"/>
  <c r="DY16" i="4"/>
  <c r="DX16" i="4" a="1"/>
  <c r="DX16" i="4"/>
  <c r="DW16" i="4" a="1"/>
  <c r="DW16" i="4"/>
  <c r="DV16" i="4" a="1"/>
  <c r="DV16" i="4"/>
  <c r="DU16" i="4" a="1"/>
  <c r="DU16" i="4"/>
  <c r="DT16" i="4" a="1"/>
  <c r="DT16" i="4"/>
  <c r="DS16" i="4" a="1"/>
  <c r="DS16" i="4"/>
  <c r="DR16" i="4" a="1"/>
  <c r="DR16" i="4"/>
  <c r="DQ16" i="4" a="1"/>
  <c r="DQ16" i="4"/>
  <c r="DP16" i="4" a="1"/>
  <c r="DP16" i="4"/>
  <c r="DO16" i="4" a="1"/>
  <c r="DO16" i="4"/>
  <c r="DN16" i="4" a="1"/>
  <c r="DN16" i="4"/>
  <c r="DM16" i="4" a="1"/>
  <c r="DM16" i="4"/>
  <c r="DL16" i="4" a="1"/>
  <c r="DL16" i="4"/>
  <c r="DK16" i="4" a="1"/>
  <c r="DK16" i="4"/>
  <c r="DJ16" i="4" a="1"/>
  <c r="DJ16" i="4"/>
  <c r="DI16" i="4" a="1"/>
  <c r="DI16" i="4"/>
  <c r="DH16" i="4" a="1"/>
  <c r="DH16" i="4"/>
  <c r="DG16" i="4" a="1"/>
  <c r="DG16" i="4"/>
  <c r="DF16" i="4" a="1"/>
  <c r="DF16" i="4"/>
  <c r="DE16" i="4" a="1"/>
  <c r="DE16" i="4"/>
  <c r="DD16" i="4" a="1"/>
  <c r="DD16" i="4"/>
  <c r="DC16" i="4" a="1"/>
  <c r="DC16" i="4"/>
  <c r="DB16" i="4" a="1"/>
  <c r="DB16" i="4"/>
  <c r="DA16" i="4" a="1"/>
  <c r="DA16" i="4"/>
  <c r="CZ16" i="4" a="1"/>
  <c r="CZ16" i="4"/>
  <c r="CY16" i="4" a="1"/>
  <c r="CY16" i="4"/>
  <c r="CX16" i="4" a="1"/>
  <c r="CX16" i="4"/>
  <c r="CW16" i="4" a="1"/>
  <c r="CW16" i="4"/>
  <c r="CV16" i="4" a="1"/>
  <c r="CV16" i="4"/>
  <c r="CU16" i="4" a="1"/>
  <c r="CU16" i="4"/>
  <c r="CT16" i="4" a="1"/>
  <c r="CT16" i="4"/>
  <c r="CS16" i="4" a="1"/>
  <c r="CS16" i="4"/>
  <c r="CR16" i="4" a="1"/>
  <c r="CR16" i="4"/>
  <c r="CQ16" i="4" a="1"/>
  <c r="CQ16" i="4"/>
  <c r="CP16" i="4" a="1"/>
  <c r="CP16" i="4"/>
  <c r="CO16" i="4" a="1"/>
  <c r="CO16" i="4"/>
  <c r="CN16" i="4" a="1"/>
  <c r="CN16" i="4"/>
  <c r="CM16" i="4" a="1"/>
  <c r="CM16" i="4"/>
  <c r="CL16" i="4" a="1"/>
  <c r="CL16" i="4"/>
  <c r="CK16" i="4" a="1"/>
  <c r="CK16" i="4"/>
  <c r="CJ16" i="4" a="1"/>
  <c r="CJ16" i="4"/>
  <c r="CI16" i="4" a="1"/>
  <c r="CI16" i="4"/>
  <c r="CH16" i="4" a="1"/>
  <c r="CH16" i="4"/>
  <c r="CG16" i="4" a="1"/>
  <c r="CG16" i="4"/>
  <c r="CF16" i="4" a="1"/>
  <c r="CF16" i="4"/>
  <c r="CE16" i="4" a="1"/>
  <c r="CE16" i="4"/>
  <c r="CD16" i="4" a="1"/>
  <c r="CD16" i="4"/>
  <c r="CC16" i="4" a="1"/>
  <c r="CC16" i="4"/>
  <c r="CB16" i="4" a="1"/>
  <c r="CB16" i="4"/>
  <c r="CA16" i="4" a="1"/>
  <c r="CA16" i="4"/>
  <c r="BZ16" i="4" a="1"/>
  <c r="BZ16" i="4"/>
  <c r="BY16" i="4" a="1"/>
  <c r="BY16" i="4"/>
  <c r="BX16" i="4" a="1"/>
  <c r="BX16" i="4"/>
  <c r="BW16" i="4" a="1"/>
  <c r="BW16" i="4"/>
  <c r="BV16" i="4" a="1"/>
  <c r="BV16" i="4"/>
  <c r="BU16" i="4" a="1"/>
  <c r="BU16" i="4"/>
  <c r="BT16" i="4" a="1"/>
  <c r="BT16" i="4"/>
  <c r="BS16" i="4" a="1"/>
  <c r="BS16" i="4"/>
  <c r="BR16" i="4" a="1"/>
  <c r="BR16" i="4"/>
  <c r="BQ16" i="4" a="1"/>
  <c r="BQ16" i="4"/>
  <c r="BP16" i="4" a="1"/>
  <c r="BP16" i="4"/>
  <c r="BO16" i="4" a="1"/>
  <c r="BO16" i="4"/>
  <c r="BN16" i="4" a="1"/>
  <c r="BN16" i="4"/>
  <c r="BM16" i="4" a="1"/>
  <c r="BM16" i="4"/>
  <c r="BL16" i="4" a="1"/>
  <c r="BL16" i="4"/>
  <c r="BK16" i="4" a="1"/>
  <c r="BK16" i="4"/>
  <c r="BJ16" i="4" a="1"/>
  <c r="BJ16" i="4"/>
  <c r="BI16" i="4" a="1"/>
  <c r="BI16" i="4"/>
  <c r="BH16" i="4" a="1"/>
  <c r="BH16" i="4"/>
  <c r="BG16" i="4" a="1"/>
  <c r="BG16" i="4"/>
  <c r="BF16" i="4" a="1"/>
  <c r="BF16" i="4"/>
  <c r="BE16" i="4" a="1"/>
  <c r="BE16" i="4"/>
  <c r="BD16" i="4" a="1"/>
  <c r="BD16" i="4"/>
  <c r="BC16" i="4" a="1"/>
  <c r="BC16" i="4"/>
  <c r="BB16" i="4" a="1"/>
  <c r="BB16" i="4"/>
  <c r="BA16" i="4" a="1"/>
  <c r="BA16" i="4"/>
  <c r="AZ16" i="4" a="1"/>
  <c r="AZ16" i="4"/>
  <c r="AY16" i="4" a="1"/>
  <c r="AY16" i="4"/>
  <c r="AX16" i="4" a="1"/>
  <c r="AX16" i="4"/>
  <c r="AW16" i="4" a="1"/>
  <c r="AW16" i="4"/>
  <c r="AV16" i="4" a="1"/>
  <c r="AV16" i="4"/>
  <c r="AU16" i="4" a="1"/>
  <c r="AU16" i="4"/>
  <c r="AT16" i="4" a="1"/>
  <c r="AT16" i="4"/>
  <c r="AS16" i="4" a="1"/>
  <c r="AS16" i="4"/>
  <c r="AR16" i="4" a="1"/>
  <c r="AR16" i="4"/>
  <c r="AQ16" i="4" a="1"/>
  <c r="AQ16" i="4"/>
  <c r="AP16" i="4" a="1"/>
  <c r="AP16" i="4"/>
  <c r="AO16" i="4" a="1"/>
  <c r="AO16" i="4"/>
  <c r="AN16" i="4" a="1"/>
  <c r="AN16" i="4"/>
  <c r="AM16" i="4" a="1"/>
  <c r="AM16" i="4"/>
  <c r="AL16" i="4" a="1"/>
  <c r="AL16" i="4"/>
  <c r="AK16" i="4" a="1"/>
  <c r="AK16" i="4"/>
  <c r="AJ16" i="4" a="1"/>
  <c r="AJ16" i="4"/>
  <c r="AI16" i="4" a="1"/>
  <c r="AI16" i="4"/>
  <c r="AH16" i="4" a="1"/>
  <c r="AH16" i="4"/>
  <c r="AG16" i="4" a="1"/>
  <c r="AG16" i="4"/>
  <c r="AF16" i="4" a="1"/>
  <c r="AF16" i="4"/>
  <c r="AE16" i="4" a="1"/>
  <c r="AE16" i="4"/>
  <c r="AD16" i="4" a="1"/>
  <c r="AD16" i="4"/>
  <c r="AC16" i="4" a="1"/>
  <c r="AC16" i="4"/>
  <c r="AB16" i="4" a="1"/>
  <c r="AB16" i="4"/>
  <c r="AA16" i="4" a="1"/>
  <c r="AA16" i="4"/>
  <c r="Z16" i="4" a="1"/>
  <c r="Z16" i="4"/>
  <c r="Y16" i="4" a="1"/>
  <c r="Y16" i="4"/>
  <c r="X16" i="4" a="1"/>
  <c r="X16" i="4"/>
  <c r="W16" i="4" a="1"/>
  <c r="W16" i="4"/>
  <c r="V16" i="4" a="1"/>
  <c r="V16" i="4"/>
  <c r="U16" i="4" a="1"/>
  <c r="U16" i="4"/>
  <c r="T16" i="4" a="1"/>
  <c r="T16" i="4"/>
  <c r="S16" i="4" a="1"/>
  <c r="S16" i="4"/>
  <c r="R16" i="4" a="1"/>
  <c r="R16" i="4"/>
  <c r="Q16" i="4" a="1"/>
  <c r="Q16" i="4"/>
  <c r="P16" i="4" a="1"/>
  <c r="P16" i="4"/>
  <c r="O16" i="4" a="1"/>
  <c r="O16" i="4"/>
  <c r="N16" i="4" a="1"/>
  <c r="N16" i="4"/>
  <c r="M16" i="4" a="1"/>
  <c r="M16" i="4"/>
  <c r="L16" i="4" a="1"/>
  <c r="L16" i="4"/>
  <c r="K16" i="4" a="1"/>
  <c r="K16" i="4"/>
  <c r="J16" i="4" a="1"/>
  <c r="J16" i="4"/>
  <c r="I16" i="4" a="1"/>
  <c r="I16" i="4"/>
  <c r="H16" i="4" a="1"/>
  <c r="H16" i="4"/>
  <c r="G16" i="4" a="1"/>
  <c r="G16" i="4"/>
  <c r="F16" i="4" a="1"/>
  <c r="F16" i="4"/>
  <c r="E16" i="4" a="1"/>
  <c r="E16" i="4"/>
  <c r="D16" i="4" a="1"/>
  <c r="D16" i="4"/>
  <c r="EG15" i="4" a="1"/>
  <c r="EG15" i="4"/>
  <c r="EF15" i="4" a="1"/>
  <c r="EF15" i="4"/>
  <c r="EE15" i="4" a="1"/>
  <c r="EE15" i="4"/>
  <c r="ED15" i="4" a="1"/>
  <c r="ED15" i="4"/>
  <c r="EC15" i="4" a="1"/>
  <c r="EC15" i="4"/>
  <c r="EB15" i="4" a="1"/>
  <c r="EB15" i="4"/>
  <c r="EA15" i="4" a="1"/>
  <c r="EA15" i="4"/>
  <c r="DZ15" i="4" a="1"/>
  <c r="DZ15" i="4"/>
  <c r="DY15" i="4" a="1"/>
  <c r="DY15" i="4"/>
  <c r="DX15" i="4" a="1"/>
  <c r="DX15" i="4"/>
  <c r="DW15" i="4" a="1"/>
  <c r="DW15" i="4"/>
  <c r="DV15" i="4" a="1"/>
  <c r="DV15" i="4"/>
  <c r="DU15" i="4" a="1"/>
  <c r="DU15" i="4"/>
  <c r="DT15" i="4" a="1"/>
  <c r="DT15" i="4"/>
  <c r="DS15" i="4" a="1"/>
  <c r="DS15" i="4"/>
  <c r="DR15" i="4" a="1"/>
  <c r="DR15" i="4"/>
  <c r="DQ15" i="4" a="1"/>
  <c r="DQ15" i="4"/>
  <c r="DP15" i="4" a="1"/>
  <c r="DP15" i="4"/>
  <c r="DO15" i="4" a="1"/>
  <c r="DO15" i="4"/>
  <c r="DN15" i="4" a="1"/>
  <c r="DN15" i="4"/>
  <c r="DM15" i="4" a="1"/>
  <c r="DM15" i="4"/>
  <c r="DL15" i="4" a="1"/>
  <c r="DL15" i="4"/>
  <c r="DK15" i="4" a="1"/>
  <c r="DK15" i="4"/>
  <c r="DJ15" i="4" a="1"/>
  <c r="DJ15" i="4"/>
  <c r="DI15" i="4" a="1"/>
  <c r="DI15" i="4"/>
  <c r="DH15" i="4" a="1"/>
  <c r="DH15" i="4"/>
  <c r="DG15" i="4" a="1"/>
  <c r="DG15" i="4"/>
  <c r="DF15" i="4" a="1"/>
  <c r="DF15" i="4"/>
  <c r="DE15" i="4" a="1"/>
  <c r="DE15" i="4"/>
  <c r="DD15" i="4" a="1"/>
  <c r="DD15" i="4"/>
  <c r="DC15" i="4" a="1"/>
  <c r="DC15" i="4"/>
  <c r="DB15" i="4" a="1"/>
  <c r="DB15" i="4"/>
  <c r="DA15" i="4" a="1"/>
  <c r="DA15" i="4"/>
  <c r="CZ15" i="4" a="1"/>
  <c r="CZ15" i="4"/>
  <c r="CY15" i="4" a="1"/>
  <c r="CY15" i="4"/>
  <c r="CX15" i="4" a="1"/>
  <c r="CX15" i="4"/>
  <c r="CW15" i="4" a="1"/>
  <c r="CW15" i="4"/>
  <c r="CV15" i="4" a="1"/>
  <c r="CV15" i="4"/>
  <c r="CU15" i="4" a="1"/>
  <c r="CU15" i="4"/>
  <c r="CT15" i="4" a="1"/>
  <c r="CT15" i="4"/>
  <c r="CS15" i="4" a="1"/>
  <c r="CS15" i="4"/>
  <c r="CR15" i="4" a="1"/>
  <c r="CR15" i="4"/>
  <c r="CQ15" i="4" a="1"/>
  <c r="CQ15" i="4"/>
  <c r="CP15" i="4" a="1"/>
  <c r="CP15" i="4"/>
  <c r="CO15" i="4" a="1"/>
  <c r="CO15" i="4"/>
  <c r="CN15" i="4" a="1"/>
  <c r="CN15" i="4"/>
  <c r="CM15" i="4" a="1"/>
  <c r="CM15" i="4"/>
  <c r="CL15" i="4" a="1"/>
  <c r="CL15" i="4"/>
  <c r="CK15" i="4" a="1"/>
  <c r="CK15" i="4"/>
  <c r="CJ15" i="4" a="1"/>
  <c r="CJ15" i="4"/>
  <c r="CI15" i="4" a="1"/>
  <c r="CI15" i="4"/>
  <c r="CH15" i="4" a="1"/>
  <c r="CH15" i="4"/>
  <c r="CG15" i="4" a="1"/>
  <c r="CG15" i="4"/>
  <c r="CF15" i="4" a="1"/>
  <c r="CF15" i="4"/>
  <c r="CE15" i="4" a="1"/>
  <c r="CE15" i="4"/>
  <c r="CD15" i="4" a="1"/>
  <c r="CD15" i="4"/>
  <c r="CC15" i="4" a="1"/>
  <c r="CC15" i="4"/>
  <c r="CB15" i="4" a="1"/>
  <c r="CB15" i="4"/>
  <c r="CA15" i="4" a="1"/>
  <c r="CA15" i="4"/>
  <c r="BZ15" i="4" a="1"/>
  <c r="BZ15" i="4"/>
  <c r="BY15" i="4" a="1"/>
  <c r="BY15" i="4"/>
  <c r="BX15" i="4" a="1"/>
  <c r="BX15" i="4"/>
  <c r="BW15" i="4" a="1"/>
  <c r="BW15" i="4"/>
  <c r="BV15" i="4" a="1"/>
  <c r="BV15" i="4"/>
  <c r="BU15" i="4" a="1"/>
  <c r="BU15" i="4"/>
  <c r="BT15" i="4" a="1"/>
  <c r="BT15" i="4"/>
  <c r="BS15" i="4" a="1"/>
  <c r="BS15" i="4"/>
  <c r="BR15" i="4" a="1"/>
  <c r="BR15" i="4" s="1"/>
  <c r="BQ15" i="4" a="1"/>
  <c r="BQ15" i="4" s="1"/>
  <c r="BP15" i="4" a="1"/>
  <c r="BP15" i="4" s="1"/>
  <c r="BO15" i="4" a="1"/>
  <c r="BO15" i="4" s="1"/>
  <c r="BN15" i="4" a="1"/>
  <c r="BN15" i="4" s="1"/>
  <c r="BM15" i="4" a="1"/>
  <c r="BM15" i="4" s="1"/>
  <c r="BL15" i="4" a="1"/>
  <c r="BL15" i="4" s="1"/>
  <c r="BK15" i="4" a="1"/>
  <c r="BK15" i="4" s="1"/>
  <c r="BJ15" i="4" a="1"/>
  <c r="BJ15" i="4" s="1"/>
  <c r="BI15" i="4" a="1"/>
  <c r="BI15" i="4" s="1"/>
  <c r="BH15" i="4" a="1"/>
  <c r="BH15" i="4" s="1"/>
  <c r="BG15" i="4" a="1"/>
  <c r="BG15" i="4"/>
  <c r="BF15" i="4" a="1"/>
  <c r="BF15" i="4" s="1"/>
  <c r="BE15" i="4" a="1"/>
  <c r="BE15" i="4" s="1"/>
  <c r="BD15" i="4" a="1"/>
  <c r="BD15" i="4" s="1"/>
  <c r="BC15" i="4" a="1"/>
  <c r="BC15" i="4" s="1"/>
  <c r="BB15" i="4" a="1"/>
  <c r="BB15" i="4" s="1"/>
  <c r="BA15" i="4" a="1"/>
  <c r="BA15" i="4" s="1"/>
  <c r="AZ15" i="4" a="1"/>
  <c r="AZ15" i="4" s="1"/>
  <c r="AY15" i="4" a="1"/>
  <c r="AY15" i="4" s="1"/>
  <c r="AX15" i="4" a="1"/>
  <c r="AX15" i="4" s="1"/>
  <c r="AW15" i="4" a="1"/>
  <c r="AW15" i="4" s="1"/>
  <c r="AV15" i="4" a="1"/>
  <c r="AV15" i="4" s="1"/>
  <c r="AU15" i="4" a="1"/>
  <c r="AU15" i="4" s="1"/>
  <c r="AT15" i="4" a="1"/>
  <c r="AT15" i="4" s="1"/>
  <c r="AS15" i="4" a="1"/>
  <c r="AS15" i="4" s="1"/>
  <c r="AR15" i="4" a="1"/>
  <c r="AR15" i="4" s="1"/>
  <c r="AQ15" i="4" a="1"/>
  <c r="AQ15" i="4" s="1"/>
  <c r="AP15" i="4" a="1"/>
  <c r="AP15" i="4" s="1"/>
  <c r="AO15" i="4" a="1"/>
  <c r="AO15" i="4" s="1"/>
  <c r="AN15" i="4" a="1"/>
  <c r="AN15" i="4" s="1"/>
  <c r="AM15" i="4" a="1"/>
  <c r="AM15" i="4" s="1"/>
  <c r="AL15" i="4" a="1"/>
  <c r="AL15" i="4" s="1"/>
  <c r="AK15" i="4" a="1"/>
  <c r="AK15" i="4" s="1"/>
  <c r="AJ15" i="4" a="1"/>
  <c r="AJ15" i="4" s="1"/>
  <c r="AI15" i="4" a="1"/>
  <c r="AI15" i="4" s="1"/>
  <c r="AH15" i="4" a="1"/>
  <c r="AH15" i="4" s="1"/>
  <c r="AG15" i="4" a="1"/>
  <c r="AG15" i="4" s="1"/>
  <c r="AF15" i="4" a="1"/>
  <c r="AF15" i="4" s="1"/>
  <c r="AE15" i="4" a="1"/>
  <c r="AE15" i="4" s="1"/>
  <c r="AD15" i="4" a="1"/>
  <c r="AD15" i="4" s="1"/>
  <c r="AC15" i="4" a="1"/>
  <c r="AC15" i="4" s="1"/>
  <c r="AB15" i="4" a="1"/>
  <c r="AB15" i="4" s="1"/>
  <c r="AA15" i="4" a="1"/>
  <c r="AA15" i="4" s="1"/>
  <c r="Z15" i="4" a="1"/>
  <c r="Z15" i="4" s="1"/>
  <c r="Y15" i="4" a="1"/>
  <c r="Y15" i="4" s="1"/>
  <c r="X15" i="4" a="1"/>
  <c r="X15" i="4" s="1"/>
  <c r="W15" i="4" a="1"/>
  <c r="W15" i="4" s="1"/>
  <c r="V15" i="4" a="1"/>
  <c r="V15" i="4" s="1"/>
  <c r="U15" i="4" a="1"/>
  <c r="U15" i="4" s="1"/>
  <c r="T15" i="4" a="1"/>
  <c r="T15" i="4" s="1"/>
  <c r="S15" i="4" a="1"/>
  <c r="S15" i="4" s="1"/>
  <c r="R15" i="4" a="1"/>
  <c r="R15" i="4" s="1"/>
  <c r="Q15" i="4" a="1"/>
  <c r="Q15" i="4" s="1"/>
  <c r="P15" i="4" a="1"/>
  <c r="P15" i="4" s="1"/>
  <c r="O15" i="4" a="1"/>
  <c r="O15" i="4" s="1"/>
  <c r="N15" i="4" a="1"/>
  <c r="N15" i="4" s="1"/>
  <c r="M15" i="4" a="1"/>
  <c r="M15" i="4" s="1"/>
  <c r="L15" i="4" a="1"/>
  <c r="L15" i="4" s="1"/>
  <c r="K15" i="4" a="1"/>
  <c r="K15" i="4" s="1"/>
  <c r="J15" i="4" a="1"/>
  <c r="J15" i="4" s="1"/>
  <c r="I15" i="4" a="1"/>
  <c r="I15" i="4" s="1"/>
  <c r="H15" i="4" a="1"/>
  <c r="H15" i="4" s="1"/>
  <c r="G15" i="4" a="1"/>
  <c r="G15" i="4" s="1"/>
  <c r="F15" i="4" a="1"/>
  <c r="F15" i="4" s="1"/>
  <c r="E15" i="4" a="1"/>
  <c r="E15" i="4" s="1"/>
  <c r="D15" i="4" a="1"/>
  <c r="D15" i="4" s="1"/>
  <c r="EG14" i="4" a="1"/>
  <c r="EG14" i="4" s="1"/>
  <c r="EF14" i="4" a="1"/>
  <c r="EF14" i="4" s="1"/>
  <c r="EE14" i="4" a="1"/>
  <c r="EE14" i="4" s="1"/>
  <c r="ED14" i="4" a="1"/>
  <c r="ED14" i="4" s="1"/>
  <c r="EC14" i="4" a="1"/>
  <c r="EC14" i="4" s="1"/>
  <c r="EB14" i="4" a="1"/>
  <c r="EB14" i="4" s="1"/>
  <c r="EA14" i="4" a="1"/>
  <c r="EA14" i="4" s="1"/>
  <c r="DZ14" i="4" a="1"/>
  <c r="DZ14" i="4" s="1"/>
  <c r="DY14" i="4" a="1"/>
  <c r="DY14" i="4" s="1"/>
  <c r="DX14" i="4" a="1"/>
  <c r="DX14" i="4" s="1"/>
  <c r="DW14" i="4" a="1"/>
  <c r="DW14" i="4" s="1"/>
  <c r="DV14" i="4" a="1"/>
  <c r="DV14" i="4" s="1"/>
  <c r="DU14" i="4" a="1"/>
  <c r="DU14" i="4" s="1"/>
  <c r="DT14" i="4" a="1"/>
  <c r="DT14" i="4" s="1"/>
  <c r="DS14" i="4" a="1"/>
  <c r="DS14" i="4" s="1"/>
  <c r="DR14" i="4" a="1"/>
  <c r="DR14" i="4" s="1"/>
  <c r="DQ14" i="4" a="1"/>
  <c r="DQ14" i="4" s="1"/>
  <c r="DP14" i="4" a="1"/>
  <c r="DP14" i="4" s="1"/>
  <c r="DO14" i="4" a="1"/>
  <c r="DO14" i="4" s="1"/>
  <c r="DN14" i="4" a="1"/>
  <c r="DN14" i="4" s="1"/>
  <c r="DM14" i="4" a="1"/>
  <c r="DM14" i="4" s="1"/>
  <c r="DL14" i="4" a="1"/>
  <c r="DL14" i="4" s="1"/>
  <c r="DK14" i="4" a="1"/>
  <c r="DK14" i="4" s="1"/>
  <c r="DJ14" i="4" a="1"/>
  <c r="DJ14" i="4" s="1"/>
  <c r="DI14" i="4" a="1"/>
  <c r="DI14" i="4" s="1"/>
  <c r="DH14" i="4" a="1"/>
  <c r="DH14" i="4" s="1"/>
  <c r="DG14" i="4" a="1"/>
  <c r="DG14" i="4" s="1"/>
  <c r="DF14" i="4" a="1"/>
  <c r="DF14" i="4" s="1"/>
  <c r="DE14" i="4" a="1"/>
  <c r="DE14" i="4" s="1"/>
  <c r="DD14" i="4" a="1"/>
  <c r="DD14" i="4" s="1"/>
  <c r="DC14" i="4" a="1"/>
  <c r="DC14" i="4" s="1"/>
  <c r="DB14" i="4" a="1"/>
  <c r="DB14" i="4" s="1"/>
  <c r="DA14" i="4" a="1"/>
  <c r="DA14" i="4" s="1"/>
  <c r="CZ14" i="4" a="1"/>
  <c r="CZ14" i="4" s="1"/>
  <c r="CY14" i="4" a="1"/>
  <c r="CY14" i="4" s="1"/>
  <c r="CX14" i="4" a="1"/>
  <c r="CX14" i="4" s="1"/>
  <c r="CW14" i="4" a="1"/>
  <c r="CW14" i="4" s="1"/>
  <c r="CV14" i="4" a="1"/>
  <c r="CV14" i="4" s="1"/>
  <c r="CU14" i="4" a="1"/>
  <c r="CU14" i="4" s="1"/>
  <c r="CT14" i="4" a="1"/>
  <c r="CT14" i="4" s="1"/>
  <c r="CS14" i="4" a="1"/>
  <c r="CS14" i="4" s="1"/>
  <c r="CR14" i="4" a="1"/>
  <c r="CR14" i="4" s="1"/>
  <c r="CQ14" i="4" a="1"/>
  <c r="CQ14" i="4" s="1"/>
  <c r="CP14" i="4" a="1"/>
  <c r="CP14" i="4" s="1"/>
  <c r="CO14" i="4" a="1"/>
  <c r="CO14" i="4" s="1"/>
  <c r="CN14" i="4" a="1"/>
  <c r="CN14" i="4" s="1"/>
  <c r="CM14" i="4" a="1"/>
  <c r="CM14" i="4" s="1"/>
  <c r="CL14" i="4" a="1"/>
  <c r="CL14" i="4" s="1"/>
  <c r="CK14" i="4" a="1"/>
  <c r="CK14" i="4" s="1"/>
  <c r="CJ14" i="4" a="1"/>
  <c r="CJ14" i="4" s="1"/>
  <c r="CI14" i="4" a="1"/>
  <c r="CI14" i="4" s="1"/>
  <c r="CH14" i="4" a="1"/>
  <c r="CH14" i="4" s="1"/>
  <c r="CG14" i="4" a="1"/>
  <c r="CG14" i="4" s="1"/>
  <c r="CF14" i="4" a="1"/>
  <c r="CF14" i="4" s="1"/>
  <c r="CE14" i="4" a="1"/>
  <c r="CE14" i="4" s="1"/>
  <c r="CD14" i="4" a="1"/>
  <c r="CD14" i="4" s="1"/>
  <c r="CC14" i="4" a="1"/>
  <c r="CC14" i="4" s="1"/>
  <c r="CB14" i="4" a="1"/>
  <c r="CB14" i="4" s="1"/>
  <c r="CA14" i="4" a="1"/>
  <c r="CA14" i="4" s="1"/>
  <c r="BZ14" i="4" a="1"/>
  <c r="BZ14" i="4" s="1"/>
  <c r="BY14" i="4" a="1"/>
  <c r="BY14" i="4" s="1"/>
  <c r="BX14" i="4" a="1"/>
  <c r="BX14" i="4" s="1"/>
  <c r="BW14" i="4" a="1"/>
  <c r="BW14" i="4" s="1"/>
  <c r="BV14" i="4" a="1"/>
  <c r="BV14" i="4" s="1"/>
  <c r="BU14" i="4" a="1"/>
  <c r="BU14" i="4" s="1"/>
  <c r="BT14" i="4" a="1"/>
  <c r="BT14" i="4" s="1"/>
  <c r="BS14" i="4" a="1"/>
  <c r="BS14" i="4" s="1"/>
  <c r="BR14" i="4" a="1"/>
  <c r="BR14" i="4" s="1"/>
  <c r="BQ14" i="4" a="1"/>
  <c r="BQ14" i="4" s="1"/>
  <c r="BP14" i="4" a="1"/>
  <c r="BP14" i="4" s="1"/>
  <c r="BO14" i="4" a="1"/>
  <c r="BO14" i="4" s="1"/>
  <c r="BN14" i="4" a="1"/>
  <c r="BN14" i="4" s="1"/>
  <c r="BM14" i="4" a="1"/>
  <c r="BM14" i="4" s="1"/>
  <c r="BL14" i="4" a="1"/>
  <c r="BL14" i="4" s="1"/>
  <c r="BK14" i="4" a="1"/>
  <c r="BK14" i="4" s="1"/>
  <c r="BJ14" i="4" a="1"/>
  <c r="BJ14" i="4" s="1"/>
  <c r="BI14" i="4" a="1"/>
  <c r="BI14" i="4" s="1"/>
  <c r="BH14" i="4" a="1"/>
  <c r="BH14" i="4" s="1"/>
  <c r="BG14" i="4" a="1"/>
  <c r="BG14" i="4" s="1"/>
  <c r="BF14" i="4" a="1"/>
  <c r="BF14" i="4" s="1"/>
  <c r="BE14" i="4" a="1"/>
  <c r="BE14" i="4" s="1"/>
  <c r="BD14" i="4" a="1"/>
  <c r="BD14" i="4" s="1"/>
  <c r="BC14" i="4" a="1"/>
  <c r="BC14" i="4" s="1"/>
  <c r="BB14" i="4" a="1"/>
  <c r="BB14" i="4" s="1"/>
  <c r="BA14" i="4" a="1"/>
  <c r="BA14" i="4" s="1"/>
  <c r="AZ14" i="4" a="1"/>
  <c r="AZ14" i="4" s="1"/>
  <c r="AY14" i="4" a="1"/>
  <c r="AY14" i="4" s="1"/>
  <c r="AX14" i="4" a="1"/>
  <c r="AX14" i="4" s="1"/>
  <c r="AW14" i="4" a="1"/>
  <c r="AW14" i="4" s="1"/>
  <c r="AV14" i="4" a="1"/>
  <c r="AV14" i="4" s="1"/>
  <c r="AU14" i="4" a="1"/>
  <c r="AU14" i="4" s="1"/>
  <c r="AT14" i="4" a="1"/>
  <c r="AT14" i="4" s="1"/>
  <c r="AS14" i="4" a="1"/>
  <c r="AS14" i="4" s="1"/>
  <c r="AR14" i="4" a="1"/>
  <c r="AR14" i="4" s="1"/>
  <c r="AQ14" i="4" a="1"/>
  <c r="AQ14" i="4" s="1"/>
  <c r="AP14" i="4" a="1"/>
  <c r="AP14" i="4" s="1"/>
  <c r="AO14" i="4" a="1"/>
  <c r="AO14" i="4" s="1"/>
  <c r="AN14" i="4" a="1"/>
  <c r="AN14" i="4" s="1"/>
  <c r="AM14" i="4" a="1"/>
  <c r="AM14" i="4" s="1"/>
  <c r="AL14" i="4" a="1"/>
  <c r="AL14" i="4" s="1"/>
  <c r="AK14" i="4" a="1"/>
  <c r="AK14" i="4" s="1"/>
  <c r="AJ14" i="4" a="1"/>
  <c r="AJ14" i="4" s="1"/>
  <c r="AI14" i="4" a="1"/>
  <c r="AI14" i="4" s="1"/>
  <c r="AH14" i="4" a="1"/>
  <c r="AH14" i="4" s="1"/>
  <c r="AG14" i="4" a="1"/>
  <c r="AG14" i="4" s="1"/>
  <c r="AF14" i="4" a="1"/>
  <c r="AF14" i="4" s="1"/>
  <c r="AE14" i="4" a="1"/>
  <c r="AE14" i="4" s="1"/>
  <c r="AD14" i="4" a="1"/>
  <c r="AD14" i="4" s="1"/>
  <c r="AC14" i="4" a="1"/>
  <c r="AC14" i="4" s="1"/>
  <c r="AB14" i="4" a="1"/>
  <c r="AB14" i="4" s="1"/>
  <c r="AA14" i="4" a="1"/>
  <c r="Z14" i="4" a="1"/>
  <c r="Z14" i="4" s="1"/>
  <c r="Y14" i="4" a="1"/>
  <c r="Y14" i="4" s="1"/>
  <c r="X14" i="4" a="1"/>
  <c r="X14" i="4" s="1"/>
  <c r="W14" i="4" a="1"/>
  <c r="W14" i="4" s="1"/>
  <c r="V14" i="4" a="1"/>
  <c r="V14" i="4" s="1"/>
  <c r="U14" i="4" a="1"/>
  <c r="U14" i="4" s="1"/>
  <c r="T14" i="4" a="1"/>
  <c r="T14" i="4" s="1"/>
  <c r="S14" i="4" a="1"/>
  <c r="S14" i="4" s="1"/>
  <c r="R14" i="4" a="1"/>
  <c r="R14" i="4" s="1"/>
  <c r="Q14" i="4" a="1"/>
  <c r="Q14" i="4" s="1"/>
  <c r="P14" i="4" a="1"/>
  <c r="P14" i="4" s="1"/>
  <c r="O14" i="4" a="1"/>
  <c r="O14" i="4" s="1"/>
  <c r="N14" i="4" a="1"/>
  <c r="N14" i="4" s="1"/>
  <c r="M14" i="4" a="1"/>
  <c r="M14" i="4" s="1"/>
  <c r="L14" i="4" a="1"/>
  <c r="L14" i="4" s="1"/>
  <c r="K14" i="4" a="1"/>
  <c r="K14" i="4" s="1"/>
  <c r="J14" i="4" a="1"/>
  <c r="J14" i="4" s="1"/>
  <c r="I14" i="4" a="1"/>
  <c r="I14" i="4" s="1"/>
  <c r="H14" i="4" a="1"/>
  <c r="H14" i="4" s="1"/>
  <c r="G14" i="4" a="1"/>
  <c r="G14" i="4" s="1"/>
  <c r="F14" i="4" a="1"/>
  <c r="F14" i="4" s="1"/>
  <c r="E14" i="4" a="1"/>
  <c r="E14" i="4" s="1"/>
  <c r="D14" i="4" a="1"/>
  <c r="D14" i="4" s="1"/>
  <c r="EG13" i="4" a="1"/>
  <c r="EG13" i="4" s="1"/>
  <c r="EF13" i="4" a="1"/>
  <c r="EF13" i="4" s="1"/>
  <c r="EE13" i="4" a="1"/>
  <c r="EE13" i="4" s="1"/>
  <c r="ED13" i="4" a="1"/>
  <c r="ED13" i="4" s="1"/>
  <c r="EC13" i="4" a="1"/>
  <c r="EC13" i="4" s="1"/>
  <c r="EB13" i="4" a="1"/>
  <c r="EB13" i="4" s="1"/>
  <c r="EA13" i="4" a="1"/>
  <c r="EA13" i="4" s="1"/>
  <c r="DZ13" i="4" a="1"/>
  <c r="DZ13" i="4" s="1"/>
  <c r="DY13" i="4" a="1"/>
  <c r="DY13" i="4" s="1"/>
  <c r="DX13" i="4" a="1"/>
  <c r="DX13" i="4" s="1"/>
  <c r="DW13" i="4" a="1"/>
  <c r="DW13" i="4" s="1"/>
  <c r="DV13" i="4" a="1"/>
  <c r="DV13" i="4" s="1"/>
  <c r="DU13" i="4" a="1"/>
  <c r="DU13" i="4" s="1"/>
  <c r="DT13" i="4" a="1"/>
  <c r="DT13" i="4" s="1"/>
  <c r="DS13" i="4" a="1"/>
  <c r="DS13" i="4" s="1"/>
  <c r="DR13" i="4" a="1"/>
  <c r="DR13" i="4" s="1"/>
  <c r="DQ13" i="4" a="1"/>
  <c r="DQ13" i="4" s="1"/>
  <c r="DP13" i="4" a="1"/>
  <c r="DP13" i="4" s="1"/>
  <c r="DO13" i="4" a="1"/>
  <c r="DO13" i="4" s="1"/>
  <c r="DN13" i="4" a="1"/>
  <c r="DN13" i="4" s="1"/>
  <c r="DM13" i="4" a="1"/>
  <c r="DM13" i="4" s="1"/>
  <c r="DL13" i="4" a="1"/>
  <c r="DL13" i="4" s="1"/>
  <c r="DK13" i="4" a="1"/>
  <c r="DK13" i="4" s="1"/>
  <c r="DJ13" i="4" a="1"/>
  <c r="DJ13" i="4" s="1"/>
  <c r="DI13" i="4" a="1"/>
  <c r="DI13" i="4" s="1"/>
  <c r="DH13" i="4" a="1"/>
  <c r="DH13" i="4" s="1"/>
  <c r="DG13" i="4" a="1"/>
  <c r="DG13" i="4" s="1"/>
  <c r="DF13" i="4" a="1"/>
  <c r="DF13" i="4" s="1"/>
  <c r="DE13" i="4" a="1"/>
  <c r="DE13" i="4" s="1"/>
  <c r="DD13" i="4" a="1"/>
  <c r="DD13" i="4" s="1"/>
  <c r="DC13" i="4" a="1"/>
  <c r="DC13" i="4" s="1"/>
  <c r="DB13" i="4" a="1"/>
  <c r="DB13" i="4" s="1"/>
  <c r="DA13" i="4" a="1"/>
  <c r="DA13" i="4" s="1"/>
  <c r="CZ13" i="4" a="1"/>
  <c r="CZ13" i="4" s="1"/>
  <c r="CY13" i="4" a="1"/>
  <c r="CY13" i="4" s="1"/>
  <c r="CX13" i="4" a="1"/>
  <c r="CX13" i="4" s="1"/>
  <c r="CW13" i="4" a="1"/>
  <c r="CW13" i="4" s="1"/>
  <c r="CV13" i="4" a="1"/>
  <c r="CV13" i="4" s="1"/>
  <c r="CU13" i="4" a="1"/>
  <c r="CU13" i="4" s="1"/>
  <c r="CT13" i="4" a="1"/>
  <c r="CT13" i="4" s="1"/>
  <c r="CS13" i="4" a="1"/>
  <c r="CS13" i="4" s="1"/>
  <c r="CR13" i="4" a="1"/>
  <c r="CR13" i="4" s="1"/>
  <c r="CQ13" i="4" a="1"/>
  <c r="CQ13" i="4" s="1"/>
  <c r="CP13" i="4" a="1"/>
  <c r="CP13" i="4" s="1"/>
  <c r="CO13" i="4" a="1"/>
  <c r="CO13" i="4" s="1"/>
  <c r="CN13" i="4" a="1"/>
  <c r="CN13" i="4" s="1"/>
  <c r="CM13" i="4" a="1"/>
  <c r="CM13" i="4" s="1"/>
  <c r="CL13" i="4" a="1"/>
  <c r="CL13" i="4" s="1"/>
  <c r="CK13" i="4" a="1"/>
  <c r="CK13" i="4" s="1"/>
  <c r="CJ13" i="4" a="1"/>
  <c r="CJ13" i="4" s="1"/>
  <c r="CI13" i="4" a="1"/>
  <c r="CI13" i="4" s="1"/>
  <c r="CH13" i="4" a="1"/>
  <c r="CH13" i="4" s="1"/>
  <c r="CG13" i="4" a="1"/>
  <c r="CG13" i="4" s="1"/>
  <c r="CF13" i="4" a="1"/>
  <c r="CF13" i="4" s="1"/>
  <c r="CE13" i="4" a="1"/>
  <c r="CE13" i="4" s="1"/>
  <c r="CD13" i="4" a="1"/>
  <c r="CD13" i="4" s="1"/>
  <c r="CC13" i="4" a="1"/>
  <c r="CC13" i="4" s="1"/>
  <c r="CB13" i="4" a="1"/>
  <c r="CB13" i="4" s="1"/>
  <c r="CA13" i="4" a="1"/>
  <c r="CA13" i="4" s="1"/>
  <c r="BZ13" i="4" a="1"/>
  <c r="BZ13" i="4" s="1"/>
  <c r="BY13" i="4" a="1"/>
  <c r="BY13" i="4" s="1"/>
  <c r="BX13" i="4" a="1"/>
  <c r="BX13" i="4" s="1"/>
  <c r="BW13" i="4" a="1"/>
  <c r="BW13" i="4" s="1"/>
  <c r="BV13" i="4" a="1"/>
  <c r="BV13" i="4" s="1"/>
  <c r="BU13" i="4" a="1"/>
  <c r="BU13" i="4" s="1"/>
  <c r="BT13" i="4" a="1"/>
  <c r="BT13" i="4" s="1"/>
  <c r="BS13" i="4" a="1"/>
  <c r="BS13" i="4" s="1"/>
  <c r="BR13" i="4" a="1"/>
  <c r="BR13" i="4" s="1"/>
  <c r="BQ13" i="4" a="1"/>
  <c r="BQ13" i="4" s="1"/>
  <c r="BP13" i="4" a="1"/>
  <c r="BP13" i="4" s="1"/>
  <c r="BO13" i="4" a="1"/>
  <c r="BO13" i="4" s="1"/>
  <c r="BN13" i="4" a="1"/>
  <c r="BN13" i="4" s="1"/>
  <c r="BM13" i="4" a="1"/>
  <c r="BM13" i="4" s="1"/>
  <c r="BL13" i="4" a="1"/>
  <c r="BL13" i="4" s="1"/>
  <c r="BK13" i="4" a="1"/>
  <c r="BK13" i="4" s="1"/>
  <c r="BJ13" i="4" a="1"/>
  <c r="BJ13" i="4" s="1"/>
  <c r="BI13" i="4" a="1"/>
  <c r="BI13" i="4" s="1"/>
  <c r="BH13" i="4" a="1"/>
  <c r="BH13" i="4" s="1"/>
  <c r="BG13" i="4" a="1"/>
  <c r="BG13" i="4" s="1"/>
  <c r="BF13" i="4" a="1"/>
  <c r="BF13" i="4" s="1"/>
  <c r="BE13" i="4" a="1"/>
  <c r="BE13" i="4" s="1"/>
  <c r="BD13" i="4" a="1"/>
  <c r="BD13" i="4" s="1"/>
  <c r="BC13" i="4" a="1"/>
  <c r="BC13" i="4" s="1"/>
  <c r="BB13" i="4" a="1"/>
  <c r="BB13" i="4" s="1"/>
  <c r="BA13" i="4" a="1"/>
  <c r="BA13" i="4" s="1"/>
  <c r="AZ13" i="4" a="1"/>
  <c r="AZ13" i="4" s="1"/>
  <c r="AY13" i="4" a="1"/>
  <c r="AY13" i="4" s="1"/>
  <c r="AX13" i="4" a="1"/>
  <c r="AX13" i="4" s="1"/>
  <c r="AW13" i="4" a="1"/>
  <c r="AW13" i="4" s="1"/>
  <c r="AV13" i="4" a="1"/>
  <c r="AV13" i="4" s="1"/>
  <c r="AU13" i="4" a="1"/>
  <c r="AU13" i="4" s="1"/>
  <c r="AT13" i="4" a="1"/>
  <c r="AT13" i="4" s="1"/>
  <c r="AS13" i="4" a="1"/>
  <c r="AS13" i="4" s="1"/>
  <c r="AR13" i="4" a="1"/>
  <c r="AR13" i="4" s="1"/>
  <c r="AQ13" i="4" a="1"/>
  <c r="AQ13" i="4" s="1"/>
  <c r="AP13" i="4" a="1"/>
  <c r="AP13" i="4" s="1"/>
  <c r="AO13" i="4" a="1"/>
  <c r="AO13" i="4" s="1"/>
  <c r="AN13" i="4" a="1"/>
  <c r="AN13" i="4" s="1"/>
  <c r="AM13" i="4" a="1"/>
  <c r="AM13" i="4" s="1"/>
  <c r="AL13" i="4" a="1"/>
  <c r="AL13" i="4" s="1"/>
  <c r="AK13" i="4" a="1"/>
  <c r="AK13" i="4" s="1"/>
  <c r="AJ13" i="4" a="1"/>
  <c r="AJ13" i="4" s="1"/>
  <c r="AI13" i="4" a="1"/>
  <c r="AI13" i="4" s="1"/>
  <c r="AH13" i="4" a="1"/>
  <c r="AH13" i="4" s="1"/>
  <c r="AG13" i="4" a="1"/>
  <c r="AG13" i="4" s="1"/>
  <c r="AF13" i="4" a="1"/>
  <c r="AF13" i="4" s="1"/>
  <c r="AE13" i="4" a="1"/>
  <c r="AE13" i="4" s="1"/>
  <c r="AD13" i="4" a="1"/>
  <c r="AD13" i="4" s="1"/>
  <c r="AC13" i="4" a="1"/>
  <c r="AC13" i="4" s="1"/>
  <c r="AB13" i="4" a="1"/>
  <c r="AB13" i="4" s="1"/>
  <c r="AA13" i="4" a="1"/>
  <c r="AA13" i="4" s="1"/>
  <c r="Z13" i="4" a="1"/>
  <c r="Z13" i="4" s="1"/>
  <c r="Y13" i="4" a="1"/>
  <c r="Y13" i="4" s="1"/>
  <c r="X13" i="4" a="1"/>
  <c r="X13" i="4" s="1"/>
  <c r="W13" i="4" a="1"/>
  <c r="W13" i="4" s="1"/>
  <c r="V13" i="4" a="1"/>
  <c r="V13" i="4" s="1"/>
  <c r="U13" i="4" a="1"/>
  <c r="U13" i="4" s="1"/>
  <c r="T13" i="4" a="1"/>
  <c r="T13" i="4" s="1"/>
  <c r="S13" i="4" a="1"/>
  <c r="S13" i="4" s="1"/>
  <c r="R13" i="4" a="1"/>
  <c r="R13" i="4" s="1"/>
  <c r="Q13" i="4" a="1"/>
  <c r="Q13" i="4" s="1"/>
  <c r="P13" i="4" a="1"/>
  <c r="P13" i="4" s="1"/>
  <c r="O13" i="4" a="1"/>
  <c r="O13" i="4" s="1"/>
  <c r="N13" i="4" a="1"/>
  <c r="N13" i="4" s="1"/>
  <c r="M13" i="4" a="1"/>
  <c r="M13" i="4" s="1"/>
  <c r="L13" i="4" a="1"/>
  <c r="L13" i="4" s="1"/>
  <c r="K13" i="4" a="1"/>
  <c r="K13" i="4" s="1"/>
  <c r="J13" i="4" a="1"/>
  <c r="J13" i="4" s="1"/>
  <c r="I13" i="4" a="1"/>
  <c r="I13" i="4" s="1"/>
  <c r="H13" i="4" a="1"/>
  <c r="H13" i="4" s="1"/>
  <c r="G13" i="4" a="1"/>
  <c r="G13" i="4" s="1"/>
  <c r="F13" i="4" a="1"/>
  <c r="F13" i="4" s="1"/>
  <c r="E13" i="4" a="1"/>
  <c r="E13" i="4" s="1"/>
  <c r="D13" i="4" a="1"/>
  <c r="D13" i="4" s="1"/>
  <c r="EG12" i="4" a="1"/>
  <c r="EG12" i="4" s="1"/>
  <c r="EF12" i="4" a="1"/>
  <c r="EF12" i="4" s="1"/>
  <c r="EE12" i="4" a="1"/>
  <c r="EE12" i="4" s="1"/>
  <c r="ED12" i="4" a="1"/>
  <c r="ED12" i="4" s="1"/>
  <c r="EC12" i="4" a="1"/>
  <c r="EC12" i="4" s="1"/>
  <c r="EB12" i="4" a="1"/>
  <c r="EB12" i="4" s="1"/>
  <c r="EA12" i="4" a="1"/>
  <c r="EA12" i="4" s="1"/>
  <c r="DZ12" i="4" a="1"/>
  <c r="DZ12" i="4" s="1"/>
  <c r="DY12" i="4" a="1"/>
  <c r="DY12" i="4" s="1"/>
  <c r="DX12" i="4" a="1"/>
  <c r="DX12" i="4" s="1"/>
  <c r="DW12" i="4" a="1"/>
  <c r="DW12" i="4" s="1"/>
  <c r="DV12" i="4" a="1"/>
  <c r="DV12" i="4" s="1"/>
  <c r="DU12" i="4" a="1"/>
  <c r="DU12" i="4" s="1"/>
  <c r="DT12" i="4" a="1"/>
  <c r="DT12" i="4" s="1"/>
  <c r="DS12" i="4" a="1"/>
  <c r="DS12" i="4" s="1"/>
  <c r="DR12" i="4" a="1"/>
  <c r="DR12" i="4" s="1"/>
  <c r="DQ12" i="4" a="1"/>
  <c r="DQ12" i="4"/>
  <c r="DP12" i="4" a="1"/>
  <c r="DP12" i="4" s="1"/>
  <c r="DO12" i="4" a="1"/>
  <c r="DO12" i="4" s="1"/>
  <c r="DN12" i="4" a="1"/>
  <c r="DN12" i="4" s="1"/>
  <c r="DM12" i="4" a="1"/>
  <c r="DM12" i="4" s="1"/>
  <c r="DL12" i="4" a="1"/>
  <c r="DL12" i="4" s="1"/>
  <c r="DK12" i="4" a="1"/>
  <c r="DK12" i="4" s="1"/>
  <c r="DJ12" i="4" a="1"/>
  <c r="DJ12" i="4" s="1"/>
  <c r="DI12" i="4" a="1"/>
  <c r="DI12" i="4" s="1"/>
  <c r="DH12" i="4" a="1"/>
  <c r="DH12" i="4" s="1"/>
  <c r="DG12" i="4" a="1"/>
  <c r="DG12" i="4" s="1"/>
  <c r="DF12" i="4" a="1"/>
  <c r="DF12" i="4" s="1"/>
  <c r="DE12" i="4" a="1"/>
  <c r="DE12" i="4" s="1"/>
  <c r="DD12" i="4" a="1"/>
  <c r="DD12" i="4" s="1"/>
  <c r="DC12" i="4" a="1"/>
  <c r="DC12" i="4" s="1"/>
  <c r="DB12" i="4" a="1"/>
  <c r="DB12" i="4" s="1"/>
  <c r="DA12" i="4" a="1"/>
  <c r="DA12" i="4" s="1"/>
  <c r="CZ12" i="4" a="1"/>
  <c r="CZ12" i="4" s="1"/>
  <c r="CY12" i="4" a="1"/>
  <c r="CY12" i="4" s="1"/>
  <c r="CX12" i="4" a="1"/>
  <c r="CX12" i="4" s="1"/>
  <c r="CW12" i="4" a="1"/>
  <c r="CW12" i="4" s="1"/>
  <c r="CV12" i="4" a="1"/>
  <c r="CV12" i="4" s="1"/>
  <c r="CU12" i="4" a="1"/>
  <c r="CU12" i="4" s="1"/>
  <c r="CT12" i="4" a="1"/>
  <c r="CT12" i="4" s="1"/>
  <c r="CS12" i="4" a="1"/>
  <c r="CS12" i="4" s="1"/>
  <c r="CR12" i="4" a="1"/>
  <c r="CR12" i="4" s="1"/>
  <c r="CQ12" i="4" a="1"/>
  <c r="CQ12" i="4" s="1"/>
  <c r="CP12" i="4" a="1"/>
  <c r="CP12" i="4" s="1"/>
  <c r="CO12" i="4" a="1"/>
  <c r="CO12" i="4" s="1"/>
  <c r="CN12" i="4" a="1"/>
  <c r="CN12" i="4" s="1"/>
  <c r="CM12" i="4" a="1"/>
  <c r="CM12" i="4" s="1"/>
  <c r="CL12" i="4" a="1"/>
  <c r="CL12" i="4" s="1"/>
  <c r="CK12" i="4" a="1"/>
  <c r="CK12" i="4" s="1"/>
  <c r="CJ12" i="4" a="1"/>
  <c r="CJ12" i="4" s="1"/>
  <c r="CI12" i="4" a="1"/>
  <c r="CI12" i="4" s="1"/>
  <c r="CH12" i="4" a="1"/>
  <c r="CH12" i="4" s="1"/>
  <c r="CG12" i="4" a="1"/>
  <c r="CG12" i="4" s="1"/>
  <c r="CF12" i="4" a="1"/>
  <c r="CF12" i="4" s="1"/>
  <c r="CE12" i="4" a="1"/>
  <c r="CE12" i="4" s="1"/>
  <c r="CD12" i="4" a="1"/>
  <c r="CD12" i="4" s="1"/>
  <c r="CC12" i="4" a="1"/>
  <c r="CC12" i="4" s="1"/>
  <c r="CB12" i="4" a="1"/>
  <c r="CB12" i="4" s="1"/>
  <c r="CA12" i="4" a="1"/>
  <c r="CA12" i="4" s="1"/>
  <c r="BZ12" i="4" a="1"/>
  <c r="BZ12" i="4" s="1"/>
  <c r="BY12" i="4" a="1"/>
  <c r="BY12" i="4" s="1"/>
  <c r="BX12" i="4" a="1"/>
  <c r="BX12" i="4" s="1"/>
  <c r="BW12" i="4" a="1"/>
  <c r="BW12" i="4" s="1"/>
  <c r="BV12" i="4" a="1"/>
  <c r="BV12" i="4" s="1"/>
  <c r="BU12" i="4" a="1"/>
  <c r="BU12" i="4" s="1"/>
  <c r="BT12" i="4" a="1"/>
  <c r="BT12" i="4" s="1"/>
  <c r="BS12" i="4" a="1"/>
  <c r="BS12" i="4" s="1"/>
  <c r="BR12" i="4" a="1"/>
  <c r="BR12" i="4" s="1"/>
  <c r="BQ12" i="4" a="1"/>
  <c r="BQ12" i="4" s="1"/>
  <c r="BP12" i="4" a="1"/>
  <c r="BP12" i="4" s="1"/>
  <c r="BO12" i="4" a="1"/>
  <c r="BO12" i="4" s="1"/>
  <c r="BN12" i="4" a="1"/>
  <c r="BN12" i="4" s="1"/>
  <c r="BM12" i="4" a="1"/>
  <c r="BM12" i="4" s="1"/>
  <c r="BL12" i="4" a="1"/>
  <c r="BL12" i="4" s="1"/>
  <c r="BK12" i="4" a="1"/>
  <c r="BK12" i="4" s="1"/>
  <c r="BJ12" i="4" a="1"/>
  <c r="BJ12" i="4" s="1"/>
  <c r="BI12" i="4" a="1"/>
  <c r="BI12" i="4" s="1"/>
  <c r="BH12" i="4" a="1"/>
  <c r="BH12" i="4" s="1"/>
  <c r="BG12" i="4" a="1"/>
  <c r="BG12" i="4" s="1"/>
  <c r="BF12" i="4" a="1"/>
  <c r="BF12" i="4" s="1"/>
  <c r="BE12" i="4" a="1"/>
  <c r="BE12" i="4" s="1"/>
  <c r="BD12" i="4" a="1"/>
  <c r="BD12" i="4" s="1"/>
  <c r="BC12" i="4" a="1"/>
  <c r="BC12" i="4" s="1"/>
  <c r="BB12" i="4" a="1"/>
  <c r="BB12" i="4" s="1"/>
  <c r="BA12" i="4" a="1"/>
  <c r="BA12" i="4" s="1"/>
  <c r="AZ12" i="4" a="1"/>
  <c r="AZ12" i="4" s="1"/>
  <c r="AY12" i="4" a="1"/>
  <c r="AY12" i="4" s="1"/>
  <c r="AX12" i="4" a="1"/>
  <c r="AX12" i="4" s="1"/>
  <c r="AW12" i="4" a="1"/>
  <c r="AW12" i="4" s="1"/>
  <c r="AV12" i="4" a="1"/>
  <c r="AV12" i="4" s="1"/>
  <c r="AU12" i="4" a="1"/>
  <c r="AU12" i="4" s="1"/>
  <c r="AT12" i="4" a="1"/>
  <c r="AT12" i="4" s="1"/>
  <c r="AS12" i="4" a="1"/>
  <c r="AS12" i="4" s="1"/>
  <c r="AR12" i="4" a="1"/>
  <c r="AR12" i="4" s="1"/>
  <c r="AQ12" i="4" a="1"/>
  <c r="AQ12" i="4" s="1"/>
  <c r="AP12" i="4" a="1"/>
  <c r="AP12" i="4" s="1"/>
  <c r="AO12" i="4" a="1"/>
  <c r="AO12" i="4" s="1"/>
  <c r="AN12" i="4" a="1"/>
  <c r="AN12" i="4" s="1"/>
  <c r="AM12" i="4" a="1"/>
  <c r="AM12" i="4" s="1"/>
  <c r="AL12" i="4" a="1"/>
  <c r="AL12" i="4" s="1"/>
  <c r="AK12" i="4" a="1"/>
  <c r="AK12" i="4" s="1"/>
  <c r="AJ12" i="4" a="1"/>
  <c r="AJ12" i="4" s="1"/>
  <c r="AI12" i="4" a="1"/>
  <c r="AI12" i="4" s="1"/>
  <c r="AH12" i="4" a="1"/>
  <c r="AH12" i="4" s="1"/>
  <c r="AG12" i="4" a="1"/>
  <c r="AG12" i="4"/>
  <c r="AF12" i="4" a="1"/>
  <c r="AF12" i="4" s="1"/>
  <c r="AE12" i="4" a="1"/>
  <c r="AE12" i="4" s="1"/>
  <c r="AD12" i="4" a="1"/>
  <c r="AD12" i="4" s="1"/>
  <c r="AC12" i="4" a="1"/>
  <c r="AC12" i="4" s="1"/>
  <c r="AB12" i="4" a="1"/>
  <c r="AB12" i="4" s="1"/>
  <c r="AA12" i="4" a="1"/>
  <c r="AA12" i="4" s="1"/>
  <c r="Z12" i="4" a="1"/>
  <c r="Z12" i="4" s="1"/>
  <c r="Y12" i="4" a="1"/>
  <c r="Y12" i="4" s="1"/>
  <c r="X12" i="4" a="1"/>
  <c r="X12" i="4" s="1"/>
  <c r="W12" i="4" a="1"/>
  <c r="W12" i="4" s="1"/>
  <c r="V12" i="4" a="1"/>
  <c r="V12" i="4" s="1"/>
  <c r="U12" i="4" a="1"/>
  <c r="U12" i="4" s="1"/>
  <c r="T12" i="4" a="1"/>
  <c r="T12" i="4" s="1"/>
  <c r="S12" i="4" a="1"/>
  <c r="S12" i="4" s="1"/>
  <c r="R12" i="4" a="1"/>
  <c r="R12" i="4" s="1"/>
  <c r="Q12" i="4" a="1"/>
  <c r="Q12" i="4" s="1"/>
  <c r="P12" i="4" a="1"/>
  <c r="P12" i="4" s="1"/>
  <c r="O12" i="4" a="1"/>
  <c r="O12" i="4" s="1"/>
  <c r="N12" i="4" a="1"/>
  <c r="N12" i="4" s="1"/>
  <c r="M12" i="4" a="1"/>
  <c r="M12" i="4" s="1"/>
  <c r="L12" i="4" a="1"/>
  <c r="L12" i="4" s="1"/>
  <c r="K12" i="4" a="1"/>
  <c r="K12" i="4" s="1"/>
  <c r="J12" i="4" a="1"/>
  <c r="J12" i="4" s="1"/>
  <c r="I12" i="4" a="1"/>
  <c r="I12" i="4" s="1"/>
  <c r="H12" i="4" a="1"/>
  <c r="H12" i="4" s="1"/>
  <c r="G12" i="4" a="1"/>
  <c r="G12" i="4" s="1"/>
  <c r="F12" i="4" a="1"/>
  <c r="F12" i="4" s="1"/>
  <c r="E12" i="4" a="1"/>
  <c r="E12" i="4" s="1"/>
  <c r="D12" i="4" a="1"/>
  <c r="D12" i="4" s="1"/>
  <c r="EG11" i="4" a="1"/>
  <c r="EG11" i="4" s="1"/>
  <c r="EF11" i="4" a="1"/>
  <c r="EF11" i="4" s="1"/>
  <c r="EE11" i="4" a="1"/>
  <c r="EE11" i="4" s="1"/>
  <c r="ED11" i="4" a="1"/>
  <c r="ED11" i="4" s="1"/>
  <c r="EC11" i="4" a="1"/>
  <c r="EC11" i="4" s="1"/>
  <c r="EB11" i="4" a="1"/>
  <c r="EB11" i="4" s="1"/>
  <c r="EA11" i="4" a="1"/>
  <c r="EA11" i="4" s="1"/>
  <c r="DZ11" i="4" a="1"/>
  <c r="DZ11" i="4" s="1"/>
  <c r="DY11" i="4" a="1"/>
  <c r="DY11" i="4" s="1"/>
  <c r="DX11" i="4" a="1"/>
  <c r="DX11" i="4" s="1"/>
  <c r="DW11" i="4" a="1"/>
  <c r="DW11" i="4" s="1"/>
  <c r="DV11" i="4" a="1"/>
  <c r="DV11" i="4" s="1"/>
  <c r="DU11" i="4" a="1"/>
  <c r="DU11" i="4" s="1"/>
  <c r="DT11" i="4" a="1"/>
  <c r="DT11" i="4" s="1"/>
  <c r="DS11" i="4" a="1"/>
  <c r="DS11" i="4" s="1"/>
  <c r="DR11" i="4" a="1"/>
  <c r="DR11" i="4" s="1"/>
  <c r="DQ11" i="4" a="1"/>
  <c r="DQ11" i="4" s="1"/>
  <c r="DP11" i="4" a="1"/>
  <c r="DP11" i="4" s="1"/>
  <c r="DO11" i="4" a="1"/>
  <c r="DO11" i="4" s="1"/>
  <c r="DN11" i="4" a="1"/>
  <c r="DN11" i="4" s="1"/>
  <c r="DM11" i="4" a="1"/>
  <c r="DM11" i="4" s="1"/>
  <c r="DL11" i="4" a="1"/>
  <c r="DL11" i="4" s="1"/>
  <c r="DK11" i="4" a="1"/>
  <c r="DK11" i="4" s="1"/>
  <c r="DJ11" i="4" a="1"/>
  <c r="DJ11" i="4" s="1"/>
  <c r="DI11" i="4" a="1"/>
  <c r="DI11" i="4" s="1"/>
  <c r="DH11" i="4" a="1"/>
  <c r="DH11" i="4" s="1"/>
  <c r="DG11" i="4" a="1"/>
  <c r="DG11" i="4" s="1"/>
  <c r="DF11" i="4" a="1"/>
  <c r="DF11" i="4" s="1"/>
  <c r="DE11" i="4" a="1"/>
  <c r="DE11" i="4" s="1"/>
  <c r="DD11" i="4" a="1"/>
  <c r="DD11" i="4" s="1"/>
  <c r="DC11" i="4" a="1"/>
  <c r="DC11" i="4" s="1"/>
  <c r="DB11" i="4" a="1"/>
  <c r="DB11" i="4" s="1"/>
  <c r="DA11" i="4" a="1"/>
  <c r="DA11" i="4" s="1"/>
  <c r="CZ11" i="4" a="1"/>
  <c r="CZ11" i="4" s="1"/>
  <c r="CY11" i="4" a="1"/>
  <c r="CY11" i="4" s="1"/>
  <c r="CX11" i="4" a="1"/>
  <c r="CX11" i="4" s="1"/>
  <c r="CW11" i="4" a="1"/>
  <c r="CW11" i="4" s="1"/>
  <c r="CV11" i="4" a="1"/>
  <c r="CV11" i="4" s="1"/>
  <c r="CU11" i="4" a="1"/>
  <c r="CU11" i="4" s="1"/>
  <c r="CT11" i="4" a="1"/>
  <c r="CT11" i="4" s="1"/>
  <c r="CS11" i="4" a="1"/>
  <c r="CS11" i="4" s="1"/>
  <c r="CR11" i="4" a="1"/>
  <c r="CR11" i="4" s="1"/>
  <c r="CQ11" i="4" a="1"/>
  <c r="CQ11" i="4" s="1"/>
  <c r="CP11" i="4" a="1"/>
  <c r="CP11" i="4" s="1"/>
  <c r="CO11" i="4" a="1"/>
  <c r="CO11" i="4" s="1"/>
  <c r="CN11" i="4" a="1"/>
  <c r="CN11" i="4" s="1"/>
  <c r="CM11" i="4" a="1"/>
  <c r="CM11" i="4" s="1"/>
  <c r="CL11" i="4" a="1"/>
  <c r="CL11" i="4" s="1"/>
  <c r="CK11" i="4" a="1"/>
  <c r="CK11" i="4" s="1"/>
  <c r="CJ11" i="4" a="1"/>
  <c r="CJ11" i="4" s="1"/>
  <c r="CI11" i="4" a="1"/>
  <c r="CI11" i="4" s="1"/>
  <c r="CH11" i="4" a="1"/>
  <c r="CH11" i="4" s="1"/>
  <c r="CG11" i="4" a="1"/>
  <c r="CG11" i="4" s="1"/>
  <c r="CF11" i="4" a="1"/>
  <c r="CF11" i="4" s="1"/>
  <c r="CE11" i="4" a="1"/>
  <c r="CE11" i="4" s="1"/>
  <c r="CD11" i="4" a="1"/>
  <c r="CD11" i="4" s="1"/>
  <c r="CC11" i="4" a="1"/>
  <c r="CC11" i="4" s="1"/>
  <c r="CB11" i="4" a="1"/>
  <c r="CB11" i="4" s="1"/>
  <c r="CA11" i="4" a="1"/>
  <c r="CA11" i="4" s="1"/>
  <c r="BZ11" i="4" a="1"/>
  <c r="BZ11" i="4" s="1"/>
  <c r="BY11" i="4" a="1"/>
  <c r="BY11" i="4" s="1"/>
  <c r="BX11" i="4" a="1"/>
  <c r="BX11" i="4" s="1"/>
  <c r="BW11" i="4" a="1"/>
  <c r="BW11" i="4" s="1"/>
  <c r="BV11" i="4" a="1"/>
  <c r="BV11" i="4" s="1"/>
  <c r="BU11" i="4" a="1"/>
  <c r="BU11" i="4" s="1"/>
  <c r="BT11" i="4" a="1"/>
  <c r="BT11" i="4" s="1"/>
  <c r="BS11" i="4" a="1"/>
  <c r="BS11" i="4" s="1"/>
  <c r="BR11" i="4" a="1"/>
  <c r="BR11" i="4" s="1"/>
  <c r="BQ11" i="4" a="1"/>
  <c r="BQ11" i="4" s="1"/>
  <c r="BP11" i="4" a="1"/>
  <c r="BP11" i="4" s="1"/>
  <c r="BO11" i="4" a="1"/>
  <c r="BO11" i="4" s="1"/>
  <c r="BN11" i="4" a="1"/>
  <c r="BN11" i="4" s="1"/>
  <c r="BM11" i="4" a="1"/>
  <c r="BM11" i="4" s="1"/>
  <c r="BL11" i="4" a="1"/>
  <c r="BL11" i="4" s="1"/>
  <c r="BK11" i="4" a="1"/>
  <c r="BK11" i="4" s="1"/>
  <c r="BJ11" i="4" a="1"/>
  <c r="BJ11" i="4" s="1"/>
  <c r="BI11" i="4" a="1"/>
  <c r="BI11" i="4" s="1"/>
  <c r="BH11" i="4" a="1"/>
  <c r="BH11" i="4" s="1"/>
  <c r="BG11" i="4" a="1"/>
  <c r="BG11" i="4" s="1"/>
  <c r="BF11" i="4" a="1"/>
  <c r="BF11" i="4" s="1"/>
  <c r="BE11" i="4" a="1"/>
  <c r="BE11" i="4" s="1"/>
  <c r="BD11" i="4" a="1"/>
  <c r="BD11" i="4" s="1"/>
  <c r="BC11" i="4" a="1"/>
  <c r="BC11" i="4" s="1"/>
  <c r="BB11" i="4" a="1"/>
  <c r="BB11" i="4" s="1"/>
  <c r="BA11" i="4" a="1"/>
  <c r="BA11" i="4" s="1"/>
  <c r="AZ11" i="4" a="1"/>
  <c r="AZ11" i="4" s="1"/>
  <c r="AY11" i="4" a="1"/>
  <c r="AY11" i="4" s="1"/>
  <c r="AX11" i="4" a="1"/>
  <c r="AX11" i="4" s="1"/>
  <c r="AW11" i="4" a="1"/>
  <c r="AW11" i="4" s="1"/>
  <c r="AV11" i="4" a="1"/>
  <c r="AV11" i="4" s="1"/>
  <c r="AU11" i="4" a="1"/>
  <c r="AU11" i="4" s="1"/>
  <c r="AT11" i="4" a="1"/>
  <c r="AT11" i="4" s="1"/>
  <c r="AS11" i="4" a="1"/>
  <c r="AS11" i="4" s="1"/>
  <c r="AR11" i="4" a="1"/>
  <c r="AR11" i="4" s="1"/>
  <c r="AQ11" i="4" a="1"/>
  <c r="AQ11" i="4" s="1"/>
  <c r="AP11" i="4" a="1"/>
  <c r="AP11" i="4" s="1"/>
  <c r="AO11" i="4" a="1"/>
  <c r="AO11" i="4" s="1"/>
  <c r="AN11" i="4" a="1"/>
  <c r="AN11" i="4" s="1"/>
  <c r="AM11" i="4" a="1"/>
  <c r="AM11" i="4" s="1"/>
  <c r="AL11" i="4" a="1"/>
  <c r="AL11" i="4" s="1"/>
  <c r="AK11" i="4" a="1"/>
  <c r="AK11" i="4" s="1"/>
  <c r="AJ11" i="4" a="1"/>
  <c r="AJ11" i="4" s="1"/>
  <c r="AI11" i="4" a="1"/>
  <c r="AI11" i="4" s="1"/>
  <c r="AH11" i="4" a="1"/>
  <c r="AH11" i="4" s="1"/>
  <c r="AG11" i="4" a="1"/>
  <c r="AG11" i="4" s="1"/>
  <c r="AF11" i="4" a="1"/>
  <c r="AF11" i="4" s="1"/>
  <c r="AE11" i="4" a="1"/>
  <c r="AE11" i="4" s="1"/>
  <c r="AD11" i="4" a="1"/>
  <c r="AD11" i="4" s="1"/>
  <c r="AC11" i="4" a="1"/>
  <c r="AC11" i="4" s="1"/>
  <c r="AB11" i="4" a="1"/>
  <c r="AB11" i="4" s="1"/>
  <c r="AA11" i="4" a="1"/>
  <c r="AA11" i="4" s="1"/>
  <c r="Z11" i="4" a="1"/>
  <c r="Z11" i="4" s="1"/>
  <c r="Y11" i="4" a="1"/>
  <c r="Y11" i="4" s="1"/>
  <c r="X11" i="4" a="1"/>
  <c r="X11" i="4" s="1"/>
  <c r="W11" i="4" a="1"/>
  <c r="W11" i="4" s="1"/>
  <c r="V11" i="4" a="1"/>
  <c r="V11" i="4" s="1"/>
  <c r="U11" i="4" a="1"/>
  <c r="U11" i="4" s="1"/>
  <c r="T11" i="4" a="1"/>
  <c r="T11" i="4" s="1"/>
  <c r="S11" i="4" a="1"/>
  <c r="S11" i="4" s="1"/>
  <c r="R11" i="4" a="1"/>
  <c r="R11" i="4" s="1"/>
  <c r="Q11" i="4" a="1"/>
  <c r="Q11" i="4" s="1"/>
  <c r="P11" i="4" a="1"/>
  <c r="P11" i="4" s="1"/>
  <c r="O11" i="4" a="1"/>
  <c r="O11" i="4" s="1"/>
  <c r="N11" i="4" a="1"/>
  <c r="N11" i="4" s="1"/>
  <c r="M11" i="4" a="1"/>
  <c r="M11" i="4" s="1"/>
  <c r="L11" i="4" a="1"/>
  <c r="L11" i="4" s="1"/>
  <c r="K11" i="4" a="1"/>
  <c r="K11" i="4" s="1"/>
  <c r="J11" i="4" a="1"/>
  <c r="J11" i="4" s="1"/>
  <c r="I11" i="4" a="1"/>
  <c r="I11" i="4" s="1"/>
  <c r="H11" i="4" a="1"/>
  <c r="H11" i="4" s="1"/>
  <c r="G11" i="4" a="1"/>
  <c r="G11" i="4" s="1"/>
  <c r="F11" i="4" a="1"/>
  <c r="F11" i="4" s="1"/>
  <c r="E11" i="4" a="1"/>
  <c r="E11" i="4" s="1"/>
  <c r="D11" i="4" a="1"/>
  <c r="D11" i="4" s="1"/>
  <c r="EG10" i="4" a="1"/>
  <c r="EG10" i="4" s="1"/>
  <c r="EF10" i="4" a="1"/>
  <c r="EF10" i="4" s="1"/>
  <c r="EE10" i="4" a="1"/>
  <c r="EE10" i="4" s="1"/>
  <c r="ED10" i="4" a="1"/>
  <c r="ED10" i="4" s="1"/>
  <c r="EC10" i="4" a="1"/>
  <c r="EC10" i="4" s="1"/>
  <c r="EB10" i="4" a="1"/>
  <c r="EB10" i="4" s="1"/>
  <c r="EA10" i="4" a="1"/>
  <c r="EA10" i="4" s="1"/>
  <c r="DZ10" i="4" a="1"/>
  <c r="DZ10" i="4" s="1"/>
  <c r="DY10" i="4" a="1"/>
  <c r="DY10" i="4" s="1"/>
  <c r="DX10" i="4" a="1"/>
  <c r="DX10" i="4" s="1"/>
  <c r="DW10" i="4" a="1"/>
  <c r="DW10" i="4" s="1"/>
  <c r="DV10" i="4" a="1"/>
  <c r="DV10" i="4" s="1"/>
  <c r="DU10" i="4" a="1"/>
  <c r="DU10" i="4" s="1"/>
  <c r="DT10" i="4" a="1"/>
  <c r="DT10" i="4" s="1"/>
  <c r="DS10" i="4" a="1"/>
  <c r="DS10" i="4" s="1"/>
  <c r="DR10" i="4" a="1"/>
  <c r="DR10" i="4" s="1"/>
  <c r="DQ10" i="4" a="1"/>
  <c r="DQ10" i="4" s="1"/>
  <c r="DP10" i="4" a="1"/>
  <c r="DP10" i="4" s="1"/>
  <c r="DO10" i="4" a="1"/>
  <c r="DO10" i="4" s="1"/>
  <c r="DN10" i="4" a="1"/>
  <c r="DN10" i="4" s="1"/>
  <c r="DM10" i="4" a="1"/>
  <c r="DM10" i="4" s="1"/>
  <c r="DL10" i="4" a="1"/>
  <c r="DL10" i="4" s="1"/>
  <c r="DK10" i="4" a="1"/>
  <c r="DK10" i="4" s="1"/>
  <c r="DJ10" i="4" a="1"/>
  <c r="DJ10" i="4" s="1"/>
  <c r="DI10" i="4" a="1"/>
  <c r="DI10" i="4" s="1"/>
  <c r="DH10" i="4" a="1"/>
  <c r="DH10" i="4" s="1"/>
  <c r="DG10" i="4" a="1"/>
  <c r="DG10" i="4" s="1"/>
  <c r="DF10" i="4" a="1"/>
  <c r="DF10" i="4" s="1"/>
  <c r="DE10" i="4" a="1"/>
  <c r="DE10" i="4" s="1"/>
  <c r="DD10" i="4" a="1"/>
  <c r="DD10" i="4" s="1"/>
  <c r="DC10" i="4" a="1"/>
  <c r="DC10" i="4" s="1"/>
  <c r="DB10" i="4" a="1"/>
  <c r="DB10" i="4" s="1"/>
  <c r="DA10" i="4" a="1"/>
  <c r="DA10" i="4" s="1"/>
  <c r="CZ10" i="4" a="1"/>
  <c r="CZ10" i="4" s="1"/>
  <c r="CY10" i="4" a="1"/>
  <c r="CY10" i="4" s="1"/>
  <c r="CX10" i="4" a="1"/>
  <c r="CX10" i="4" s="1"/>
  <c r="CW10" i="4" a="1"/>
  <c r="CW10" i="4" s="1"/>
  <c r="CV10" i="4" a="1"/>
  <c r="CV10" i="4" s="1"/>
  <c r="CU10" i="4" a="1"/>
  <c r="CU10" i="4" s="1"/>
  <c r="CT10" i="4" a="1"/>
  <c r="CT10" i="4" s="1"/>
  <c r="CS10" i="4" a="1"/>
  <c r="CS10" i="4" s="1"/>
  <c r="CR10" i="4" a="1"/>
  <c r="CR10" i="4" s="1"/>
  <c r="CQ10" i="4" a="1"/>
  <c r="CQ10" i="4" s="1"/>
  <c r="CP10" i="4" a="1"/>
  <c r="CP10" i="4" s="1"/>
  <c r="CO10" i="4" a="1"/>
  <c r="CO10" i="4" s="1"/>
  <c r="CN10" i="4" a="1"/>
  <c r="CN10" i="4" s="1"/>
  <c r="CM10" i="4" a="1"/>
  <c r="CM10" i="4" s="1"/>
  <c r="CL10" i="4" a="1"/>
  <c r="CL10" i="4" s="1"/>
  <c r="CK10" i="4" a="1"/>
  <c r="CK10" i="4" s="1"/>
  <c r="CJ10" i="4" a="1"/>
  <c r="CJ10" i="4" s="1"/>
  <c r="CI10" i="4" a="1"/>
  <c r="CI10" i="4" s="1"/>
  <c r="CH10" i="4" a="1"/>
  <c r="CH10" i="4" s="1"/>
  <c r="CG10" i="4" a="1"/>
  <c r="CG10" i="4" s="1"/>
  <c r="CF10" i="4" a="1"/>
  <c r="CF10" i="4" s="1"/>
  <c r="CE10" i="4" a="1"/>
  <c r="CE10" i="4" s="1"/>
  <c r="CD10" i="4" a="1"/>
  <c r="CD10" i="4" s="1"/>
  <c r="CC10" i="4" a="1"/>
  <c r="CC10" i="4" s="1"/>
  <c r="CB10" i="4" a="1"/>
  <c r="CB10" i="4" s="1"/>
  <c r="CA10" i="4" a="1"/>
  <c r="CA10" i="4" s="1"/>
  <c r="BZ10" i="4" a="1"/>
  <c r="BZ10" i="4" s="1"/>
  <c r="BY10" i="4" a="1"/>
  <c r="BY10" i="4" s="1"/>
  <c r="BX10" i="4" a="1"/>
  <c r="BX10" i="4" s="1"/>
  <c r="BW10" i="4" a="1"/>
  <c r="BW10" i="4" s="1"/>
  <c r="BV10" i="4" a="1"/>
  <c r="BV10" i="4" s="1"/>
  <c r="BU10" i="4" a="1"/>
  <c r="BU10" i="4" s="1"/>
  <c r="BT10" i="4" a="1"/>
  <c r="BT10" i="4" s="1"/>
  <c r="BS10" i="4" a="1"/>
  <c r="BS10" i="4" s="1"/>
  <c r="BR10" i="4" a="1"/>
  <c r="BR10" i="4" s="1"/>
  <c r="BQ10" i="4" a="1"/>
  <c r="BQ10" i="4"/>
  <c r="BP10" i="4" a="1"/>
  <c r="BP10" i="4"/>
  <c r="BO10" i="4" a="1"/>
  <c r="BO10" i="4"/>
  <c r="BN10" i="4" a="1"/>
  <c r="BN10" i="4"/>
  <c r="BM10" i="4" a="1"/>
  <c r="BM10" i="4"/>
  <c r="BL10" i="4" a="1"/>
  <c r="BL10" i="4"/>
  <c r="BK10" i="4" a="1"/>
  <c r="BK10" i="4"/>
  <c r="BJ10" i="4" a="1"/>
  <c r="BJ10" i="4"/>
  <c r="BI10" i="4" a="1"/>
  <c r="BI10" i="4"/>
  <c r="BH10" i="4" a="1"/>
  <c r="BH10" i="4"/>
  <c r="BG10" i="4" a="1"/>
  <c r="BG10" i="4"/>
  <c r="BF10" i="4" a="1"/>
  <c r="BF10" i="4"/>
  <c r="BE10" i="4" a="1"/>
  <c r="BE10" i="4"/>
  <c r="BD10" i="4" a="1"/>
  <c r="BD10" i="4"/>
  <c r="BC10" i="4" a="1"/>
  <c r="BC10" i="4"/>
  <c r="BB10" i="4" a="1"/>
  <c r="BB10" i="4"/>
  <c r="BA10" i="4" a="1"/>
  <c r="BA10" i="4"/>
  <c r="AZ10" i="4" a="1"/>
  <c r="AZ10" i="4"/>
  <c r="AY10" i="4" a="1"/>
  <c r="AY10" i="4"/>
  <c r="AX10" i="4" a="1"/>
  <c r="AX10" i="4"/>
  <c r="AW10" i="4" a="1"/>
  <c r="AW10" i="4"/>
  <c r="AV10" i="4" a="1"/>
  <c r="AV10" i="4"/>
  <c r="AU10" i="4" a="1"/>
  <c r="AU10" i="4"/>
  <c r="AT10" i="4" a="1"/>
  <c r="AT10" i="4"/>
  <c r="AS10" i="4" a="1"/>
  <c r="AS10" i="4"/>
  <c r="AR10" i="4" a="1"/>
  <c r="AR10" i="4"/>
  <c r="AQ10" i="4" a="1"/>
  <c r="AQ10" i="4"/>
  <c r="AP10" i="4" a="1"/>
  <c r="AP10" i="4"/>
  <c r="AO10" i="4" a="1"/>
  <c r="AO10" i="4"/>
  <c r="AN10" i="4" a="1"/>
  <c r="AN10" i="4"/>
  <c r="AM10" i="4" a="1"/>
  <c r="AM10" i="4"/>
  <c r="AL10" i="4" a="1"/>
  <c r="AL10" i="4"/>
  <c r="AK10" i="4" a="1"/>
  <c r="AK10" i="4"/>
  <c r="AJ10" i="4" a="1"/>
  <c r="AJ10" i="4"/>
  <c r="AI10" i="4" a="1"/>
  <c r="AI10" i="4"/>
  <c r="AH10" i="4" a="1"/>
  <c r="AH10" i="4"/>
  <c r="AG10" i="4" a="1"/>
  <c r="AG10" i="4"/>
  <c r="AF10" i="4" a="1"/>
  <c r="AF10" i="4"/>
  <c r="AE10" i="4" a="1"/>
  <c r="AE10" i="4"/>
  <c r="AD10" i="4" a="1"/>
  <c r="AD10" i="4"/>
  <c r="AC10" i="4" a="1"/>
  <c r="AC10" i="4"/>
  <c r="AB10" i="4" a="1"/>
  <c r="AB10" i="4"/>
  <c r="AA10" i="4" a="1"/>
  <c r="AA10" i="4"/>
  <c r="Z10" i="4" a="1"/>
  <c r="Z10" i="4"/>
  <c r="Y10" i="4" a="1"/>
  <c r="Y10" i="4"/>
  <c r="X10" i="4" a="1"/>
  <c r="X10" i="4"/>
  <c r="W10" i="4" a="1"/>
  <c r="W10" i="4"/>
  <c r="V10" i="4" a="1"/>
  <c r="V10" i="4"/>
  <c r="U10" i="4" a="1"/>
  <c r="U10" i="4"/>
  <c r="T10" i="4" a="1"/>
  <c r="T10" i="4"/>
  <c r="S10" i="4" a="1"/>
  <c r="S10" i="4"/>
  <c r="R10" i="4" a="1"/>
  <c r="R10" i="4"/>
  <c r="Q10" i="4" a="1"/>
  <c r="Q10" i="4"/>
  <c r="P10" i="4" a="1"/>
  <c r="P10" i="4"/>
  <c r="O10" i="4" a="1"/>
  <c r="O10" i="4"/>
  <c r="N10" i="4" a="1"/>
  <c r="N10" i="4"/>
  <c r="M10" i="4" a="1"/>
  <c r="M10" i="4"/>
  <c r="L10" i="4" a="1"/>
  <c r="L10" i="4"/>
  <c r="K10" i="4" a="1"/>
  <c r="K10" i="4"/>
  <c r="J10" i="4" a="1"/>
  <c r="J10" i="4"/>
  <c r="I10" i="4" a="1"/>
  <c r="I10" i="4"/>
  <c r="H10" i="4" a="1"/>
  <c r="H10" i="4"/>
  <c r="G10" i="4" a="1"/>
  <c r="G10" i="4"/>
  <c r="F10" i="4" a="1"/>
  <c r="F10" i="4"/>
  <c r="E10" i="4" a="1"/>
  <c r="E10" i="4"/>
  <c r="D10" i="4" a="1"/>
  <c r="D10" i="4"/>
  <c r="EG9" i="4" a="1"/>
  <c r="EG9" i="4"/>
  <c r="EF9" i="4" a="1"/>
  <c r="EF9" i="4"/>
  <c r="EE9" i="4" a="1"/>
  <c r="EE9" i="4"/>
  <c r="ED9" i="4" a="1"/>
  <c r="ED9" i="4"/>
  <c r="EC9" i="4" a="1"/>
  <c r="EC9" i="4"/>
  <c r="EB9" i="4" a="1"/>
  <c r="EB9" i="4"/>
  <c r="EA9" i="4" a="1"/>
  <c r="EA9" i="4"/>
  <c r="DZ9" i="4" a="1"/>
  <c r="DZ9" i="4"/>
  <c r="DY9" i="4" a="1"/>
  <c r="DY9" i="4"/>
  <c r="DX9" i="4" a="1"/>
  <c r="DX9" i="4"/>
  <c r="DW9" i="4" a="1"/>
  <c r="DW9" i="4"/>
  <c r="DV9" i="4" a="1"/>
  <c r="DV9" i="4"/>
  <c r="DU9" i="4" a="1"/>
  <c r="DU9" i="4"/>
  <c r="DT9" i="4" a="1"/>
  <c r="DT9" i="4"/>
  <c r="DS9" i="4" a="1"/>
  <c r="DS9" i="4"/>
  <c r="DR9" i="4" a="1"/>
  <c r="DR9" i="4"/>
  <c r="DQ9" i="4" a="1"/>
  <c r="DQ9" i="4"/>
  <c r="DP9" i="4" a="1"/>
  <c r="DP9" i="4"/>
  <c r="DO9" i="4" a="1"/>
  <c r="DO9" i="4"/>
  <c r="DN9" i="4" a="1"/>
  <c r="DN9" i="4"/>
  <c r="DM9" i="4" a="1"/>
  <c r="DM9" i="4"/>
  <c r="DL9" i="4" a="1"/>
  <c r="DL9" i="4"/>
  <c r="DK9" i="4" a="1"/>
  <c r="DK9" i="4"/>
  <c r="DJ9" i="4" a="1"/>
  <c r="DJ9" i="4"/>
  <c r="DI9" i="4" a="1"/>
  <c r="DI9" i="4"/>
  <c r="DH9" i="4" a="1"/>
  <c r="DH9" i="4"/>
  <c r="DG9" i="4" a="1"/>
  <c r="DG9" i="4"/>
  <c r="DF9" i="4" a="1"/>
  <c r="DF9" i="4"/>
  <c r="DE9" i="4" a="1"/>
  <c r="DE9" i="4"/>
  <c r="DD9" i="4" a="1"/>
  <c r="DD9" i="4"/>
  <c r="DC9" i="4" a="1"/>
  <c r="DC9" i="4"/>
  <c r="DB9" i="4" a="1"/>
  <c r="DB9" i="4"/>
  <c r="DA9" i="4" a="1"/>
  <c r="DA9" i="4"/>
  <c r="CZ9" i="4" a="1"/>
  <c r="CZ9" i="4"/>
  <c r="CY9" i="4" a="1"/>
  <c r="CY9" i="4"/>
  <c r="CX9" i="4" a="1"/>
  <c r="CX9" i="4"/>
  <c r="CW9" i="4" a="1"/>
  <c r="CW9" i="4"/>
  <c r="CV9" i="4" a="1"/>
  <c r="CV9" i="4"/>
  <c r="CU9" i="4" a="1"/>
  <c r="CU9" i="4"/>
  <c r="CT9" i="4" a="1"/>
  <c r="CT9" i="4"/>
  <c r="CS9" i="4" a="1"/>
  <c r="CS9" i="4"/>
  <c r="CR9" i="4" a="1"/>
  <c r="CR9" i="4"/>
  <c r="CQ9" i="4" a="1"/>
  <c r="CQ9" i="4"/>
  <c r="CP9" i="4" a="1"/>
  <c r="CP9" i="4"/>
  <c r="CO9" i="4" a="1"/>
  <c r="CO9" i="4"/>
  <c r="CN9" i="4" a="1"/>
  <c r="CN9" i="4"/>
  <c r="CM9" i="4" a="1"/>
  <c r="CM9" i="4"/>
  <c r="CL9" i="4" a="1"/>
  <c r="CL9" i="4"/>
  <c r="CK9" i="4" a="1"/>
  <c r="CK9" i="4"/>
  <c r="CJ9" i="4" a="1"/>
  <c r="CJ9" i="4"/>
  <c r="CI9" i="4" a="1"/>
  <c r="CI9" i="4"/>
  <c r="CH9" i="4" a="1"/>
  <c r="CH9" i="4"/>
  <c r="CG9" i="4" a="1"/>
  <c r="CG9" i="4"/>
  <c r="CF9" i="4" a="1"/>
  <c r="CF9" i="4"/>
  <c r="CE9" i="4" a="1"/>
  <c r="CE9" i="4"/>
  <c r="CD9" i="4" a="1"/>
  <c r="CD9" i="4"/>
  <c r="CC9" i="4" a="1"/>
  <c r="CC9" i="4"/>
  <c r="CB9" i="4" a="1"/>
  <c r="CB9" i="4"/>
  <c r="CA9" i="4" a="1"/>
  <c r="CA9" i="4"/>
  <c r="BZ9" i="4" a="1"/>
  <c r="BZ9" i="4"/>
  <c r="BY9" i="4" a="1"/>
  <c r="BY9" i="4"/>
  <c r="BX9" i="4" a="1"/>
  <c r="BX9" i="4"/>
  <c r="BW9" i="4" a="1"/>
  <c r="BW9" i="4"/>
  <c r="BV9" i="4" a="1"/>
  <c r="BV9" i="4"/>
  <c r="BU9" i="4" a="1"/>
  <c r="BU9" i="4"/>
  <c r="BT9" i="4" a="1"/>
  <c r="BT9" i="4"/>
  <c r="BS9" i="4" a="1"/>
  <c r="BS9" i="4"/>
  <c r="BR9" i="4" a="1"/>
  <c r="BR9" i="4"/>
  <c r="BQ9" i="4" a="1"/>
  <c r="BQ9" i="4"/>
  <c r="BP9" i="4" a="1"/>
  <c r="BP9" i="4"/>
  <c r="BO9" i="4" a="1"/>
  <c r="BO9" i="4"/>
  <c r="BN9" i="4" a="1"/>
  <c r="BN9" i="4"/>
  <c r="BM9" i="4" a="1"/>
  <c r="BM9" i="4"/>
  <c r="BL9" i="4" a="1"/>
  <c r="BL9" i="4"/>
  <c r="BK9" i="4" a="1"/>
  <c r="BK9" i="4"/>
  <c r="BJ9" i="4" a="1"/>
  <c r="BJ9" i="4"/>
  <c r="BI9" i="4" a="1"/>
  <c r="BI9" i="4"/>
  <c r="BH9" i="4" a="1"/>
  <c r="BH9" i="4"/>
  <c r="BG9" i="4" a="1"/>
  <c r="BG9" i="4"/>
  <c r="BF9" i="4" a="1"/>
  <c r="BF9" i="4"/>
  <c r="BE9" i="4" a="1"/>
  <c r="BE9" i="4"/>
  <c r="BD9" i="4" a="1"/>
  <c r="BD9" i="4"/>
  <c r="BC9" i="4" a="1"/>
  <c r="BC9" i="4"/>
  <c r="BB9" i="4" a="1"/>
  <c r="BB9" i="4"/>
  <c r="BA9" i="4" a="1"/>
  <c r="BA9" i="4"/>
  <c r="AZ9" i="4" a="1"/>
  <c r="AZ9" i="4"/>
  <c r="AY9" i="4" a="1"/>
  <c r="AY9" i="4"/>
  <c r="AX9" i="4" a="1"/>
  <c r="AX9" i="4"/>
  <c r="AW9" i="4" a="1"/>
  <c r="AW9" i="4"/>
  <c r="AV9" i="4" a="1"/>
  <c r="AV9" i="4"/>
  <c r="AU9" i="4" a="1"/>
  <c r="AU9" i="4"/>
  <c r="AT9" i="4" a="1"/>
  <c r="AT9" i="4"/>
  <c r="AS9" i="4" a="1"/>
  <c r="AS9" i="4"/>
  <c r="AR9" i="4" a="1"/>
  <c r="AR9" i="4"/>
  <c r="AQ9" i="4" a="1"/>
  <c r="AQ9" i="4"/>
  <c r="AP9" i="4" a="1"/>
  <c r="AP9" i="4"/>
  <c r="AO9" i="4" a="1"/>
  <c r="AO9" i="4"/>
  <c r="AN9" i="4" a="1"/>
  <c r="AN9" i="4"/>
  <c r="AM9" i="4" a="1"/>
  <c r="AM9" i="4"/>
  <c r="AL9" i="4" a="1"/>
  <c r="AL9" i="4"/>
  <c r="AK9" i="4" a="1"/>
  <c r="AK9" i="4"/>
  <c r="AJ9" i="4" a="1"/>
  <c r="AJ9" i="4"/>
  <c r="AI9" i="4" a="1"/>
  <c r="AI9" i="4"/>
  <c r="AH9" i="4" a="1"/>
  <c r="AH9" i="4"/>
  <c r="AG9" i="4" a="1"/>
  <c r="AG9" i="4"/>
  <c r="AF9" i="4" a="1"/>
  <c r="AF9" i="4"/>
  <c r="AE9" i="4" a="1"/>
  <c r="AE9" i="4"/>
  <c r="AD9" i="4" a="1"/>
  <c r="AD9" i="4"/>
  <c r="AC9" i="4" a="1"/>
  <c r="AC9" i="4"/>
  <c r="AB9" i="4" a="1"/>
  <c r="AB9" i="4"/>
  <c r="AA9" i="4" a="1"/>
  <c r="AA9" i="4"/>
  <c r="Z9" i="4" a="1"/>
  <c r="Z9" i="4"/>
  <c r="Y9" i="4" a="1"/>
  <c r="Y9" i="4"/>
  <c r="X9" i="4" a="1"/>
  <c r="X9" i="4"/>
  <c r="W9" i="4" a="1"/>
  <c r="W9" i="4"/>
  <c r="V9" i="4" a="1"/>
  <c r="V9" i="4"/>
  <c r="U9" i="4" a="1"/>
  <c r="U9" i="4"/>
  <c r="T9" i="4" a="1"/>
  <c r="T9" i="4"/>
  <c r="S9" i="4" a="1"/>
  <c r="S9" i="4"/>
  <c r="R9" i="4" a="1"/>
  <c r="R9" i="4"/>
  <c r="Q9" i="4" a="1"/>
  <c r="Q9" i="4"/>
  <c r="P9" i="4" a="1"/>
  <c r="P9" i="4"/>
  <c r="O9" i="4" a="1"/>
  <c r="O9" i="4"/>
  <c r="N9" i="4" a="1"/>
  <c r="N9" i="4"/>
  <c r="M9" i="4" a="1"/>
  <c r="M9" i="4"/>
  <c r="L9" i="4" a="1"/>
  <c r="L9" i="4"/>
  <c r="K9" i="4" a="1"/>
  <c r="K9" i="4"/>
  <c r="J9" i="4" a="1"/>
  <c r="J9" i="4"/>
  <c r="I9" i="4" a="1"/>
  <c r="I9" i="4"/>
  <c r="H9" i="4" a="1"/>
  <c r="H9" i="4"/>
  <c r="G9" i="4" a="1"/>
  <c r="G9" i="4"/>
  <c r="F9" i="4" a="1"/>
  <c r="F9" i="4"/>
  <c r="E9" i="4" a="1"/>
  <c r="E9" i="4"/>
  <c r="D9" i="4" a="1"/>
  <c r="D9" i="4"/>
  <c r="EG8" i="4" a="1"/>
  <c r="EG8" i="4"/>
  <c r="EF8" i="4" a="1"/>
  <c r="EF8" i="4"/>
  <c r="EE8" i="4" a="1"/>
  <c r="EE8" i="4"/>
  <c r="ED8" i="4" a="1"/>
  <c r="ED8" i="4"/>
  <c r="EC8" i="4" a="1"/>
  <c r="EC8" i="4"/>
  <c r="EB8" i="4" a="1"/>
  <c r="EB8" i="4"/>
  <c r="EA8" i="4" a="1"/>
  <c r="EA8" i="4"/>
  <c r="DZ8" i="4" a="1"/>
  <c r="DZ8" i="4"/>
  <c r="DY8" i="4" a="1"/>
  <c r="DY8" i="4"/>
  <c r="DX8" i="4" a="1"/>
  <c r="DX8" i="4"/>
  <c r="DW8" i="4" a="1"/>
  <c r="DW8" i="4"/>
  <c r="DV8" i="4" a="1"/>
  <c r="DV8" i="4"/>
  <c r="DU8" i="4" a="1"/>
  <c r="DU8" i="4"/>
  <c r="DT8" i="4" a="1"/>
  <c r="DT8" i="4"/>
  <c r="DS8" i="4" a="1"/>
  <c r="DS8" i="4"/>
  <c r="DR8" i="4" a="1"/>
  <c r="DR8" i="4"/>
  <c r="DQ8" i="4" a="1"/>
  <c r="DQ8" i="4"/>
  <c r="DP8" i="4" a="1"/>
  <c r="DP8" i="4"/>
  <c r="DO8" i="4" a="1"/>
  <c r="DO8" i="4"/>
  <c r="DN8" i="4" a="1"/>
  <c r="DN8" i="4"/>
  <c r="DM8" i="4" a="1"/>
  <c r="DM8" i="4"/>
  <c r="DL8" i="4" a="1"/>
  <c r="DL8" i="4"/>
  <c r="DK8" i="4" a="1"/>
  <c r="DK8" i="4"/>
  <c r="DJ8" i="4" a="1"/>
  <c r="DJ8" i="4"/>
  <c r="DI8" i="4" a="1"/>
  <c r="DI8" i="4"/>
  <c r="DH8" i="4" a="1"/>
  <c r="DH8" i="4"/>
  <c r="DG8" i="4" a="1"/>
  <c r="DG8" i="4"/>
  <c r="DF8" i="4" a="1"/>
  <c r="DF8" i="4"/>
  <c r="DE8" i="4" a="1"/>
  <c r="DE8" i="4"/>
  <c r="DD8" i="4" a="1"/>
  <c r="DD8" i="4"/>
  <c r="DC8" i="4" a="1"/>
  <c r="DC8" i="4"/>
  <c r="DB8" i="4" a="1"/>
  <c r="DB8" i="4"/>
  <c r="DA8" i="4" a="1"/>
  <c r="DA8" i="4"/>
  <c r="CZ8" i="4" a="1"/>
  <c r="CZ8" i="4"/>
  <c r="CY8" i="4" a="1"/>
  <c r="CY8" i="4"/>
  <c r="CX8" i="4" a="1"/>
  <c r="CX8" i="4"/>
  <c r="CW8" i="4" a="1"/>
  <c r="CW8" i="4"/>
  <c r="CV8" i="4" a="1"/>
  <c r="CV8" i="4"/>
  <c r="CU8" i="4" a="1"/>
  <c r="CU8" i="4"/>
  <c r="CT8" i="4" a="1"/>
  <c r="CT8" i="4"/>
  <c r="CS8" i="4" a="1"/>
  <c r="CS8" i="4"/>
  <c r="CR8" i="4" a="1"/>
  <c r="CR8" i="4"/>
  <c r="CQ8" i="4" a="1"/>
  <c r="CQ8" i="4"/>
  <c r="CP8" i="4" a="1"/>
  <c r="CP8" i="4"/>
  <c r="CO8" i="4" a="1"/>
  <c r="CO8" i="4"/>
  <c r="CN8" i="4" a="1"/>
  <c r="CN8" i="4"/>
  <c r="CM8" i="4" a="1"/>
  <c r="CM8" i="4"/>
  <c r="CL8" i="4" a="1"/>
  <c r="CL8" i="4"/>
  <c r="CK8" i="4" a="1"/>
  <c r="CK8" i="4"/>
  <c r="CJ8" i="4" a="1"/>
  <c r="CJ8" i="4"/>
  <c r="CI8" i="4" a="1"/>
  <c r="CI8" i="4"/>
  <c r="CH8" i="4" a="1"/>
  <c r="CH8" i="4"/>
  <c r="CG8" i="4" a="1"/>
  <c r="CG8" i="4"/>
  <c r="CF8" i="4" a="1"/>
  <c r="CF8" i="4"/>
  <c r="CE8" i="4" a="1"/>
  <c r="CE8" i="4"/>
  <c r="CD8" i="4" a="1"/>
  <c r="CD8" i="4"/>
  <c r="CC8" i="4" a="1"/>
  <c r="CC8" i="4"/>
  <c r="CB8" i="4" a="1"/>
  <c r="CB8" i="4"/>
  <c r="CA8" i="4" a="1"/>
  <c r="CA8" i="4"/>
  <c r="BZ8" i="4" a="1"/>
  <c r="BZ8" i="4"/>
  <c r="BY8" i="4" a="1"/>
  <c r="BY8" i="4"/>
  <c r="BX8" i="4" a="1"/>
  <c r="BX8" i="4"/>
  <c r="BW8" i="4" a="1"/>
  <c r="BW8" i="4"/>
  <c r="BV8" i="4" a="1"/>
  <c r="BV8" i="4"/>
  <c r="BU8" i="4" a="1"/>
  <c r="BU8" i="4"/>
  <c r="BT8" i="4" a="1"/>
  <c r="BT8" i="4"/>
  <c r="BS8" i="4" a="1"/>
  <c r="BS8" i="4"/>
  <c r="BR8" i="4" a="1"/>
  <c r="BR8" i="4"/>
  <c r="BQ8" i="4" a="1"/>
  <c r="BQ8" i="4"/>
  <c r="BP8" i="4" a="1"/>
  <c r="BP8" i="4"/>
  <c r="BO8" i="4" a="1"/>
  <c r="BO8" i="4"/>
  <c r="BN8" i="4" a="1"/>
  <c r="BN8" i="4"/>
  <c r="BM8" i="4" a="1"/>
  <c r="BM8" i="4"/>
  <c r="BL8" i="4" a="1"/>
  <c r="BL8" i="4"/>
  <c r="BK8" i="4" a="1"/>
  <c r="BK8" i="4"/>
  <c r="BJ8" i="4" a="1"/>
  <c r="BJ8" i="4"/>
  <c r="BI8" i="4" a="1"/>
  <c r="BI8" i="4"/>
  <c r="BH8" i="4" a="1"/>
  <c r="BH8" i="4"/>
  <c r="BG8" i="4" a="1"/>
  <c r="BG8" i="4"/>
  <c r="BF8" i="4" a="1"/>
  <c r="BF8" i="4"/>
  <c r="BE8" i="4" a="1"/>
  <c r="BE8" i="4"/>
  <c r="BD8" i="4" a="1"/>
  <c r="BD8" i="4"/>
  <c r="BC8" i="4" a="1"/>
  <c r="BC8" i="4"/>
  <c r="BB8" i="4" a="1"/>
  <c r="BB8" i="4"/>
  <c r="BA8" i="4" a="1"/>
  <c r="BA8" i="4"/>
  <c r="AZ8" i="4" a="1"/>
  <c r="AZ8" i="4"/>
  <c r="AY8" i="4" a="1"/>
  <c r="AY8" i="4"/>
  <c r="AX8" i="4" a="1"/>
  <c r="AX8" i="4"/>
  <c r="AW8" i="4" a="1"/>
  <c r="AW8" i="4"/>
  <c r="AV8" i="4" a="1"/>
  <c r="AV8" i="4"/>
  <c r="AU8" i="4" a="1"/>
  <c r="AU8" i="4"/>
  <c r="AT8" i="4" a="1"/>
  <c r="AT8" i="4"/>
  <c r="AS8" i="4" a="1"/>
  <c r="AS8" i="4"/>
  <c r="AR8" i="4" a="1"/>
  <c r="AR8" i="4"/>
  <c r="AQ8" i="4" a="1"/>
  <c r="AQ8" i="4"/>
  <c r="AP8" i="4" a="1"/>
  <c r="AP8" i="4"/>
  <c r="AO8" i="4" a="1"/>
  <c r="AO8" i="4"/>
  <c r="AN8" i="4" a="1"/>
  <c r="AN8" i="4"/>
  <c r="AM8" i="4" a="1"/>
  <c r="AM8" i="4"/>
  <c r="AL8" i="4" a="1"/>
  <c r="AL8" i="4"/>
  <c r="AK8" i="4" a="1"/>
  <c r="AK8" i="4"/>
  <c r="AJ8" i="4" a="1"/>
  <c r="AJ8" i="4"/>
  <c r="AI8" i="4" a="1"/>
  <c r="AI8" i="4"/>
  <c r="AH8" i="4" a="1"/>
  <c r="AH8" i="4"/>
  <c r="AG8" i="4" a="1"/>
  <c r="AG8" i="4"/>
  <c r="AF8" i="4" a="1"/>
  <c r="AF8" i="4"/>
  <c r="AE8" i="4" a="1"/>
  <c r="AE8" i="4"/>
  <c r="AD8" i="4" a="1"/>
  <c r="AD8" i="4"/>
  <c r="AC8" i="4" a="1"/>
  <c r="AC8" i="4"/>
  <c r="AB8" i="4" a="1"/>
  <c r="AB8" i="4"/>
  <c r="AA8" i="4" a="1"/>
  <c r="AA8" i="4"/>
  <c r="Z8" i="4" a="1"/>
  <c r="Z8" i="4"/>
  <c r="Y8" i="4" a="1"/>
  <c r="Y8" i="4"/>
  <c r="X8" i="4" a="1"/>
  <c r="X8" i="4"/>
  <c r="W8" i="4" a="1"/>
  <c r="W8" i="4"/>
  <c r="V8" i="4" a="1"/>
  <c r="V8" i="4"/>
  <c r="U8" i="4" a="1"/>
  <c r="U8" i="4"/>
  <c r="T8" i="4" a="1"/>
  <c r="T8" i="4"/>
  <c r="S8" i="4" a="1"/>
  <c r="S8" i="4"/>
  <c r="R8" i="4" a="1"/>
  <c r="R8" i="4"/>
  <c r="Q8" i="4" a="1"/>
  <c r="Q8" i="4"/>
  <c r="P8" i="4" a="1"/>
  <c r="P8" i="4"/>
  <c r="O8" i="4" a="1"/>
  <c r="O8" i="4"/>
  <c r="N8" i="4" a="1"/>
  <c r="N8" i="4"/>
  <c r="M8" i="4" a="1"/>
  <c r="M8" i="4"/>
  <c r="L8" i="4" a="1"/>
  <c r="L8" i="4"/>
  <c r="K8" i="4" a="1"/>
  <c r="K8" i="4"/>
  <c r="J8" i="4" a="1"/>
  <c r="J8" i="4"/>
  <c r="I8" i="4" a="1"/>
  <c r="I8" i="4"/>
  <c r="H8" i="4" a="1"/>
  <c r="H8" i="4"/>
  <c r="G8" i="4" a="1"/>
  <c r="G8" i="4"/>
  <c r="F8" i="4" a="1"/>
  <c r="F8" i="4"/>
  <c r="E8" i="4" a="1"/>
  <c r="E8" i="4"/>
  <c r="D8" i="4" a="1"/>
  <c r="D8" i="4"/>
  <c r="EG7" i="4" a="1"/>
  <c r="EG7" i="4"/>
  <c r="EF7" i="4" a="1"/>
  <c r="EF7" i="4"/>
  <c r="EE7" i="4" a="1"/>
  <c r="EE7" i="4"/>
  <c r="ED7" i="4" a="1"/>
  <c r="ED7" i="4"/>
  <c r="EC7" i="4" a="1"/>
  <c r="EC7" i="4"/>
  <c r="EB7" i="4" a="1"/>
  <c r="EB7" i="4"/>
  <c r="EA7" i="4" a="1"/>
  <c r="EA7" i="4"/>
  <c r="DZ7" i="4" a="1"/>
  <c r="DZ7" i="4"/>
  <c r="DY7" i="4" a="1"/>
  <c r="DY7" i="4"/>
  <c r="DX7" i="4" a="1"/>
  <c r="DX7" i="4"/>
  <c r="DW7" i="4" a="1"/>
  <c r="DW7" i="4"/>
  <c r="DV7" i="4" a="1"/>
  <c r="DV7" i="4"/>
  <c r="DU7" i="4" a="1"/>
  <c r="DU7" i="4"/>
  <c r="DT7" i="4" a="1"/>
  <c r="DT7" i="4"/>
  <c r="DS7" i="4" a="1"/>
  <c r="DS7" i="4"/>
  <c r="DR7" i="4" a="1"/>
  <c r="DR7" i="4"/>
  <c r="DQ7" i="4" a="1"/>
  <c r="DQ7" i="4"/>
  <c r="DP7" i="4" a="1"/>
  <c r="DP7" i="4"/>
  <c r="DO7" i="4" a="1"/>
  <c r="DO7" i="4"/>
  <c r="DN7" i="4" a="1"/>
  <c r="DN7" i="4"/>
  <c r="DM7" i="4" a="1"/>
  <c r="DM7" i="4"/>
  <c r="DL7" i="4" a="1"/>
  <c r="DL7" i="4"/>
  <c r="DK7" i="4" a="1"/>
  <c r="DK7" i="4"/>
  <c r="DJ7" i="4" a="1"/>
  <c r="DJ7" i="4"/>
  <c r="DI7" i="4" a="1"/>
  <c r="DI7" i="4"/>
  <c r="DH7" i="4" a="1"/>
  <c r="DH7" i="4"/>
  <c r="DG7" i="4" a="1"/>
  <c r="DG7" i="4"/>
  <c r="DF7" i="4" a="1"/>
  <c r="DF7" i="4"/>
  <c r="DE7" i="4" a="1"/>
  <c r="DE7" i="4"/>
  <c r="DD7" i="4" a="1"/>
  <c r="DD7" i="4"/>
  <c r="DC7" i="4" a="1"/>
  <c r="DC7" i="4"/>
  <c r="DB7" i="4" a="1"/>
  <c r="DB7" i="4"/>
  <c r="DA7" i="4" a="1"/>
  <c r="DA7" i="4"/>
  <c r="CZ7" i="4" a="1"/>
  <c r="CZ7" i="4"/>
  <c r="CY7" i="4" a="1"/>
  <c r="CY7" i="4"/>
  <c r="CX7" i="4" a="1"/>
  <c r="CX7" i="4"/>
  <c r="CW7" i="4" a="1"/>
  <c r="CW7" i="4"/>
  <c r="CV7" i="4" a="1"/>
  <c r="CV7" i="4"/>
  <c r="CU7" i="4" a="1"/>
  <c r="CU7" i="4"/>
  <c r="CT7" i="4" a="1"/>
  <c r="CT7" i="4"/>
  <c r="CS7" i="4" a="1"/>
  <c r="CS7" i="4"/>
  <c r="CR7" i="4" a="1"/>
  <c r="CR7" i="4"/>
  <c r="CQ7" i="4" a="1"/>
  <c r="CQ7" i="4"/>
  <c r="CP7" i="4" a="1"/>
  <c r="CP7" i="4"/>
  <c r="CO7" i="4" a="1"/>
  <c r="CO7" i="4"/>
  <c r="CN7" i="4" a="1"/>
  <c r="CN7" i="4"/>
  <c r="CM7" i="4" a="1"/>
  <c r="CM7" i="4"/>
  <c r="CL7" i="4" a="1"/>
  <c r="CL7" i="4"/>
  <c r="CK7" i="4" a="1"/>
  <c r="CK7" i="4"/>
  <c r="CJ7" i="4" a="1"/>
  <c r="CJ7" i="4"/>
  <c r="CI7" i="4" a="1"/>
  <c r="CI7" i="4"/>
  <c r="CH7" i="4" a="1"/>
  <c r="CH7" i="4"/>
  <c r="CG7" i="4" a="1"/>
  <c r="CG7" i="4"/>
  <c r="CF7" i="4" a="1"/>
  <c r="CF7" i="4"/>
  <c r="CE7" i="4" a="1"/>
  <c r="CE7" i="4"/>
  <c r="CD7" i="4" a="1"/>
  <c r="CD7" i="4"/>
  <c r="CC7" i="4" a="1"/>
  <c r="CC7" i="4"/>
  <c r="CB7" i="4" a="1"/>
  <c r="CB7" i="4"/>
  <c r="CA7" i="4" a="1"/>
  <c r="CA7" i="4"/>
  <c r="BZ7" i="4" a="1"/>
  <c r="BZ7" i="4"/>
  <c r="BY7" i="4" a="1"/>
  <c r="BY7" i="4"/>
  <c r="BX7" i="4" a="1"/>
  <c r="BX7" i="4"/>
  <c r="BW7" i="4" a="1"/>
  <c r="BW7" i="4"/>
  <c r="BV7" i="4" a="1"/>
  <c r="BV7" i="4"/>
  <c r="BU7" i="4" a="1"/>
  <c r="BU7" i="4"/>
  <c r="BT7" i="4" a="1"/>
  <c r="BT7" i="4"/>
  <c r="BS7" i="4" a="1"/>
  <c r="BS7" i="4"/>
  <c r="BR7" i="4" a="1"/>
  <c r="BR7" i="4"/>
  <c r="BQ7" i="4" a="1"/>
  <c r="BQ7" i="4"/>
  <c r="BP7" i="4" a="1"/>
  <c r="BP7" i="4"/>
  <c r="BO7" i="4" a="1"/>
  <c r="BO7" i="4"/>
  <c r="BN7" i="4" a="1"/>
  <c r="BN7" i="4"/>
  <c r="BM7" i="4" a="1"/>
  <c r="BM7" i="4"/>
  <c r="BL7" i="4" a="1"/>
  <c r="BL7" i="4"/>
  <c r="BK7" i="4" a="1"/>
  <c r="BK7" i="4"/>
  <c r="BJ7" i="4" a="1"/>
  <c r="BJ7" i="4"/>
  <c r="BI7" i="4" a="1"/>
  <c r="BI7" i="4"/>
  <c r="BH7" i="4" a="1"/>
  <c r="BH7" i="4"/>
  <c r="BG7" i="4" a="1"/>
  <c r="BG7" i="4"/>
  <c r="BF7" i="4" a="1"/>
  <c r="BF7" i="4"/>
  <c r="BE7" i="4" a="1"/>
  <c r="BE7" i="4"/>
  <c r="BD7" i="4" a="1"/>
  <c r="BD7" i="4"/>
  <c r="BC7" i="4" a="1"/>
  <c r="BC7" i="4"/>
  <c r="BB7" i="4" a="1"/>
  <c r="BB7" i="4"/>
  <c r="BA7" i="4" a="1"/>
  <c r="BA7" i="4"/>
  <c r="AZ7" i="4" a="1"/>
  <c r="AZ7" i="4"/>
  <c r="AY7" i="4" a="1"/>
  <c r="AY7" i="4"/>
  <c r="AX7" i="4" a="1"/>
  <c r="AX7" i="4" s="1"/>
  <c r="AW7" i="4" a="1"/>
  <c r="AW7" i="4" s="1"/>
  <c r="AV7" i="4" a="1"/>
  <c r="AV7" i="4" s="1"/>
  <c r="AU7" i="4" a="1"/>
  <c r="AU7" i="4" s="1"/>
  <c r="AT7" i="4" a="1"/>
  <c r="AT7" i="4" s="1"/>
  <c r="AS7" i="4" a="1"/>
  <c r="AS7" i="4" s="1"/>
  <c r="AR7" i="4" a="1"/>
  <c r="AR7" i="4" s="1"/>
  <c r="AQ7" i="4" a="1"/>
  <c r="AQ7" i="4" s="1"/>
  <c r="AP7" i="4" a="1"/>
  <c r="AP7" i="4" s="1"/>
  <c r="AO7" i="4" a="1"/>
  <c r="AO7" i="4" s="1"/>
  <c r="AN7" i="4" a="1"/>
  <c r="AN7" i="4" s="1"/>
  <c r="AM7" i="4" a="1"/>
  <c r="AM7" i="4" s="1"/>
  <c r="AL7" i="4" a="1"/>
  <c r="AL7" i="4" s="1"/>
  <c r="AK7" i="4" a="1"/>
  <c r="AK7" i="4" s="1"/>
  <c r="AJ7" i="4" a="1"/>
  <c r="AJ7" i="4" s="1"/>
  <c r="AI7" i="4" a="1"/>
  <c r="AI7" i="4" s="1"/>
  <c r="AH7" i="4" a="1"/>
  <c r="AH7" i="4" s="1"/>
  <c r="AG7" i="4" a="1"/>
  <c r="AG7" i="4" s="1"/>
  <c r="AF7" i="4" a="1"/>
  <c r="AF7" i="4" s="1"/>
  <c r="AE7" i="4" a="1"/>
  <c r="AE7" i="4" s="1"/>
  <c r="AD7" i="4" a="1"/>
  <c r="AD7" i="4" s="1"/>
  <c r="AC7" i="4" a="1"/>
  <c r="AC7" i="4" s="1"/>
  <c r="AB7" i="4" a="1"/>
  <c r="AB7" i="4" s="1"/>
  <c r="AA7" i="4" a="1"/>
  <c r="AA7" i="4" s="1"/>
  <c r="Z7" i="4" a="1"/>
  <c r="Z7" i="4" s="1"/>
  <c r="Y7" i="4" a="1"/>
  <c r="Y7" i="4" s="1"/>
  <c r="X7" i="4" a="1"/>
  <c r="X7" i="4" s="1"/>
  <c r="W7" i="4" a="1"/>
  <c r="W7" i="4" s="1"/>
  <c r="V7" i="4" a="1"/>
  <c r="V7" i="4" s="1"/>
  <c r="U7" i="4" a="1"/>
  <c r="U7" i="4" s="1"/>
  <c r="T7" i="4" a="1"/>
  <c r="T7" i="4" s="1"/>
  <c r="S7" i="4" a="1"/>
  <c r="S7" i="4" s="1"/>
  <c r="R7" i="4" a="1"/>
  <c r="R7" i="4" s="1"/>
  <c r="Q7" i="4" a="1"/>
  <c r="Q7" i="4" s="1"/>
  <c r="P7" i="4" a="1"/>
  <c r="P7" i="4" s="1"/>
  <c r="O7" i="4" a="1"/>
  <c r="O7" i="4" s="1"/>
  <c r="N7" i="4" a="1"/>
  <c r="N7" i="4" s="1"/>
  <c r="M7" i="4" a="1"/>
  <c r="M7" i="4" s="1"/>
  <c r="L7" i="4" a="1"/>
  <c r="L7" i="4" s="1"/>
  <c r="K7" i="4" a="1"/>
  <c r="K7" i="4" s="1"/>
  <c r="J7" i="4" a="1"/>
  <c r="J7" i="4" s="1"/>
  <c r="I7" i="4" a="1"/>
  <c r="I7" i="4" s="1"/>
  <c r="H7" i="4" a="1"/>
  <c r="H7" i="4" s="1"/>
  <c r="G7" i="4" a="1"/>
  <c r="G7" i="4" s="1"/>
  <c r="F7" i="4" a="1"/>
  <c r="F7" i="4" s="1"/>
  <c r="E7" i="4" a="1"/>
  <c r="E7" i="4" s="1"/>
  <c r="D7" i="4" a="1"/>
  <c r="D7" i="4" s="1"/>
  <c r="EG6" i="4" a="1"/>
  <c r="EG6" i="4" s="1"/>
  <c r="EF6" i="4" a="1"/>
  <c r="EF6" i="4" s="1"/>
  <c r="EE6" i="4" a="1"/>
  <c r="EE6" i="4" s="1"/>
  <c r="ED6" i="4" a="1"/>
  <c r="ED6" i="4" s="1"/>
  <c r="EC6" i="4" a="1"/>
  <c r="EC6" i="4" s="1"/>
  <c r="EB6" i="4" a="1"/>
  <c r="EB6" i="4" s="1"/>
  <c r="EA6" i="4" a="1"/>
  <c r="EA6" i="4" s="1"/>
  <c r="DZ6" i="4" a="1"/>
  <c r="DZ6" i="4" s="1"/>
  <c r="DY6" i="4" a="1"/>
  <c r="DY6" i="4" s="1"/>
  <c r="DX6" i="4" a="1"/>
  <c r="DX6" i="4" s="1"/>
  <c r="DW6" i="4" a="1"/>
  <c r="DW6" i="4" s="1"/>
  <c r="DV6" i="4" a="1"/>
  <c r="DV6" i="4" s="1"/>
  <c r="DU6" i="4" a="1"/>
  <c r="DU6" i="4" s="1"/>
  <c r="DT6" i="4" a="1"/>
  <c r="DT6" i="4" s="1"/>
  <c r="DS6" i="4" a="1"/>
  <c r="DS6" i="4" s="1"/>
  <c r="DR6" i="4" a="1"/>
  <c r="DR6" i="4" s="1"/>
  <c r="DQ6" i="4" a="1"/>
  <c r="DQ6" i="4" s="1"/>
  <c r="DP6" i="4" a="1"/>
  <c r="DP6" i="4" s="1"/>
  <c r="DO6" i="4" a="1"/>
  <c r="DO6" i="4" s="1"/>
  <c r="DN6" i="4" a="1"/>
  <c r="DN6" i="4" s="1"/>
  <c r="DM6" i="4" a="1"/>
  <c r="DM6" i="4" s="1"/>
  <c r="DL6" i="4" a="1"/>
  <c r="DL6" i="4" s="1"/>
  <c r="DK6" i="4" a="1"/>
  <c r="DK6" i="4" s="1"/>
  <c r="DJ6" i="4" a="1"/>
  <c r="DJ6" i="4" s="1"/>
  <c r="DI6" i="4" a="1"/>
  <c r="DI6" i="4" s="1"/>
  <c r="DH6" i="4" a="1"/>
  <c r="DH6" i="4" s="1"/>
  <c r="DG6" i="4" a="1"/>
  <c r="DG6" i="4" s="1"/>
  <c r="DF6" i="4" a="1"/>
  <c r="DF6" i="4" s="1"/>
  <c r="DE6" i="4" a="1"/>
  <c r="DE6" i="4" s="1"/>
  <c r="DD6" i="4" a="1"/>
  <c r="DD6" i="4" s="1"/>
  <c r="DC6" i="4" a="1"/>
  <c r="DC6" i="4" s="1"/>
  <c r="DB6" i="4" a="1"/>
  <c r="DB6" i="4" s="1"/>
  <c r="DA6" i="4" a="1"/>
  <c r="DA6" i="4" s="1"/>
  <c r="CZ6" i="4" a="1"/>
  <c r="CZ6" i="4" s="1"/>
  <c r="CY6" i="4" a="1"/>
  <c r="CY6" i="4" s="1"/>
  <c r="CX6" i="4" a="1"/>
  <c r="CX6" i="4" s="1"/>
  <c r="CW6" i="4" a="1"/>
  <c r="CW6" i="4" s="1"/>
  <c r="CV6" i="4" a="1"/>
  <c r="CV6" i="4" s="1"/>
  <c r="CU6" i="4" a="1"/>
  <c r="CU6" i="4" s="1"/>
  <c r="CT6" i="4" a="1"/>
  <c r="CT6" i="4" s="1"/>
  <c r="CS6" i="4" a="1"/>
  <c r="CS6" i="4" s="1"/>
  <c r="CR6" i="4" a="1"/>
  <c r="CR6" i="4" s="1"/>
  <c r="CQ6" i="4" a="1"/>
  <c r="CQ6" i="4" s="1"/>
  <c r="CP6" i="4" a="1"/>
  <c r="CP6" i="4" s="1"/>
  <c r="CO6" i="4" a="1"/>
  <c r="CO6" i="4" s="1"/>
  <c r="CN6" i="4" a="1"/>
  <c r="CN6" i="4" s="1"/>
  <c r="CM6" i="4" a="1"/>
  <c r="CM6" i="4" s="1"/>
  <c r="CL6" i="4" a="1"/>
  <c r="CL6" i="4" s="1"/>
  <c r="CK6" i="4" a="1"/>
  <c r="CK6" i="4" s="1"/>
  <c r="CJ6" i="4" a="1"/>
  <c r="CJ6" i="4" s="1"/>
  <c r="CI6" i="4" a="1"/>
  <c r="CI6" i="4" s="1"/>
  <c r="CH6" i="4" a="1"/>
  <c r="CH6" i="4" s="1"/>
  <c r="CG6" i="4" a="1"/>
  <c r="CG6" i="4" s="1"/>
  <c r="CF6" i="4" a="1"/>
  <c r="CF6" i="4" s="1"/>
  <c r="CE6" i="4" a="1"/>
  <c r="CE6" i="4" s="1"/>
  <c r="CD6" i="4" a="1"/>
  <c r="CD6" i="4" s="1"/>
  <c r="CC6" i="4" a="1"/>
  <c r="CC6" i="4" s="1"/>
  <c r="CB6" i="4" a="1"/>
  <c r="CB6" i="4" s="1"/>
  <c r="CA6" i="4" a="1"/>
  <c r="CA6" i="4" s="1"/>
  <c r="BZ6" i="4" a="1"/>
  <c r="BZ6" i="4" s="1"/>
  <c r="BY6" i="4" a="1"/>
  <c r="BY6" i="4" s="1"/>
  <c r="BX6" i="4" a="1"/>
  <c r="BX6" i="4" s="1"/>
  <c r="BW6" i="4" a="1"/>
  <c r="BW6" i="4" s="1"/>
  <c r="BV6" i="4" a="1"/>
  <c r="BV6" i="4" s="1"/>
  <c r="BU6" i="4" a="1"/>
  <c r="BU6" i="4" s="1"/>
  <c r="BT6" i="4" a="1"/>
  <c r="BT6" i="4" s="1"/>
  <c r="BS6" i="4" a="1"/>
  <c r="BS6" i="4" s="1"/>
  <c r="BR6" i="4" a="1"/>
  <c r="BR6" i="4" s="1"/>
  <c r="BQ6" i="4" a="1"/>
  <c r="BQ6" i="4" s="1"/>
  <c r="BP6" i="4" a="1"/>
  <c r="BP6" i="4" s="1"/>
  <c r="BO6" i="4" a="1"/>
  <c r="BO6" i="4" s="1"/>
  <c r="BN6" i="4" a="1"/>
  <c r="BN6" i="4" s="1"/>
  <c r="BM6" i="4" a="1"/>
  <c r="BM6" i="4" s="1"/>
  <c r="BL6" i="4" a="1"/>
  <c r="BL6" i="4" s="1"/>
  <c r="BK6" i="4" a="1"/>
  <c r="BK6" i="4" s="1"/>
  <c r="BJ6" i="4" a="1"/>
  <c r="BJ6" i="4" s="1"/>
  <c r="BI6" i="4" a="1"/>
  <c r="BI6" i="4" s="1"/>
  <c r="BH6" i="4" a="1"/>
  <c r="BH6" i="4" s="1"/>
  <c r="BG6" i="4" a="1"/>
  <c r="BG6" i="4" s="1"/>
  <c r="BF6" i="4" a="1"/>
  <c r="BF6" i="4" s="1"/>
  <c r="BE6" i="4" a="1"/>
  <c r="BE6" i="4" s="1"/>
  <c r="BD6" i="4" a="1"/>
  <c r="BD6" i="4" s="1"/>
  <c r="BC6" i="4" a="1"/>
  <c r="BC6" i="4" s="1"/>
  <c r="BB6" i="4" a="1"/>
  <c r="BB6" i="4" s="1"/>
  <c r="BA6" i="4" a="1"/>
  <c r="BA6" i="4" s="1"/>
  <c r="AZ6" i="4" a="1"/>
  <c r="AZ6" i="4" s="1"/>
  <c r="AY6" i="4" a="1"/>
  <c r="AY6" i="4" s="1"/>
  <c r="AX6" i="4" a="1"/>
  <c r="AX6" i="4" s="1"/>
  <c r="AW6" i="4" a="1"/>
  <c r="AW6" i="4" s="1"/>
  <c r="AV6" i="4" a="1"/>
  <c r="AV6" i="4" s="1"/>
  <c r="AU6" i="4" a="1"/>
  <c r="AU6" i="4" s="1"/>
  <c r="AT6" i="4" a="1"/>
  <c r="AT6" i="4" s="1"/>
  <c r="AS6" i="4" a="1"/>
  <c r="AS6" i="4" s="1"/>
  <c r="AR6" i="4" a="1"/>
  <c r="AR6" i="4" s="1"/>
  <c r="AQ6" i="4" a="1"/>
  <c r="AQ6" i="4" s="1"/>
  <c r="AP6" i="4" a="1"/>
  <c r="AP6" i="4" s="1"/>
  <c r="AO6" i="4" a="1"/>
  <c r="AO6" i="4" s="1"/>
  <c r="AN6" i="4" a="1"/>
  <c r="AN6" i="4" s="1"/>
  <c r="AM6" i="4" a="1"/>
  <c r="AM6" i="4" s="1"/>
  <c r="AL6" i="4" a="1"/>
  <c r="AL6" i="4" s="1"/>
  <c r="AK6" i="4" a="1"/>
  <c r="AK6" i="4" s="1"/>
  <c r="AJ6" i="4" a="1"/>
  <c r="AJ6" i="4" s="1"/>
  <c r="AI6" i="4" a="1"/>
  <c r="AI6" i="4" s="1"/>
  <c r="AH6" i="4" a="1"/>
  <c r="AH6" i="4" s="1"/>
  <c r="AG6" i="4" a="1"/>
  <c r="AG6" i="4" s="1"/>
  <c r="AF6" i="4" a="1"/>
  <c r="AF6" i="4" s="1"/>
  <c r="AE6" i="4" a="1"/>
  <c r="AE6" i="4" s="1"/>
  <c r="AD6" i="4" a="1"/>
  <c r="AD6" i="4" s="1"/>
  <c r="AC6" i="4" a="1"/>
  <c r="AC6" i="4" s="1"/>
  <c r="AB6" i="4" a="1"/>
  <c r="AB6" i="4" s="1"/>
  <c r="AA6" i="4" a="1"/>
  <c r="AA6" i="4" s="1"/>
  <c r="Z6" i="4" a="1"/>
  <c r="Z6" i="4" s="1"/>
  <c r="Y6" i="4" a="1"/>
  <c r="Y6" i="4" s="1"/>
  <c r="X6" i="4" a="1"/>
  <c r="X6" i="4" s="1"/>
  <c r="W6" i="4" a="1"/>
  <c r="W6" i="4" s="1"/>
  <c r="V6" i="4" a="1"/>
  <c r="V6" i="4" s="1"/>
  <c r="U6" i="4" a="1"/>
  <c r="U6" i="4" s="1"/>
  <c r="T6" i="4" a="1"/>
  <c r="T6" i="4" s="1"/>
  <c r="S6" i="4" a="1"/>
  <c r="S6" i="4" s="1"/>
  <c r="R6" i="4" a="1"/>
  <c r="R6" i="4" s="1"/>
  <c r="Q6" i="4" a="1"/>
  <c r="Q6" i="4" s="1"/>
  <c r="P6" i="4" a="1"/>
  <c r="P6" i="4" s="1"/>
  <c r="O6" i="4" a="1"/>
  <c r="O6" i="4" s="1"/>
  <c r="N6" i="4" a="1"/>
  <c r="N6" i="4" s="1"/>
  <c r="M6" i="4" a="1"/>
  <c r="M6" i="4" s="1"/>
  <c r="L6" i="4" a="1"/>
  <c r="L6" i="4" s="1"/>
  <c r="K6" i="4" a="1"/>
  <c r="K6" i="4" s="1"/>
  <c r="J6" i="4" a="1"/>
  <c r="J6" i="4" s="1"/>
  <c r="I6" i="4" a="1"/>
  <c r="I6" i="4" s="1"/>
  <c r="H6" i="4" a="1"/>
  <c r="H6" i="4" s="1"/>
  <c r="G6" i="4" a="1"/>
  <c r="G6" i="4" s="1"/>
  <c r="F6" i="4" a="1"/>
  <c r="F6" i="4" s="1"/>
  <c r="E6" i="4" a="1"/>
  <c r="E6" i="4" s="1"/>
  <c r="D6" i="4" a="1"/>
  <c r="D6" i="4" s="1"/>
  <c r="EG5" i="4" a="1"/>
  <c r="EG5" i="4" s="1"/>
  <c r="EF5" i="4" a="1"/>
  <c r="EF5" i="4" s="1"/>
  <c r="EE5" i="4" a="1"/>
  <c r="EE5" i="4" s="1"/>
  <c r="ED5" i="4" a="1"/>
  <c r="ED5" i="4" s="1"/>
  <c r="EC5" i="4" a="1"/>
  <c r="EC5" i="4" s="1"/>
  <c r="EB5" i="4" a="1"/>
  <c r="EB5" i="4" s="1"/>
  <c r="EA5" i="4" a="1"/>
  <c r="EA5" i="4" s="1"/>
  <c r="DZ5" i="4" a="1"/>
  <c r="DZ5" i="4" s="1"/>
  <c r="DY5" i="4" a="1"/>
  <c r="DY5" i="4" s="1"/>
  <c r="DX5" i="4" a="1"/>
  <c r="DX5" i="4" s="1"/>
  <c r="DW5" i="4" a="1"/>
  <c r="DW5" i="4" s="1"/>
  <c r="DV5" i="4" a="1"/>
  <c r="DV5" i="4" s="1"/>
  <c r="DU5" i="4" a="1"/>
  <c r="DU5" i="4" s="1"/>
  <c r="DT5" i="4" a="1"/>
  <c r="DT5" i="4" s="1"/>
  <c r="DS5" i="4" a="1"/>
  <c r="DS5" i="4" s="1"/>
  <c r="DR5" i="4" a="1"/>
  <c r="DR5" i="4" s="1"/>
  <c r="DQ5" i="4" a="1"/>
  <c r="DQ5" i="4" s="1"/>
  <c r="DP5" i="4" a="1"/>
  <c r="DP5" i="4" s="1"/>
  <c r="DO5" i="4" a="1"/>
  <c r="DO5" i="4" s="1"/>
  <c r="DN5" i="4" a="1"/>
  <c r="DN5" i="4" s="1"/>
  <c r="DM5" i="4" a="1"/>
  <c r="DM5" i="4" s="1"/>
  <c r="DL5" i="4" a="1"/>
  <c r="DL5" i="4" s="1"/>
  <c r="DK5" i="4" a="1"/>
  <c r="DK5" i="4" s="1"/>
  <c r="DJ5" i="4" a="1"/>
  <c r="DJ5" i="4" s="1"/>
  <c r="DI5" i="4" a="1"/>
  <c r="DI5" i="4" s="1"/>
  <c r="DH5" i="4" a="1"/>
  <c r="DH5" i="4" s="1"/>
  <c r="DG5" i="4" a="1"/>
  <c r="DG5" i="4" s="1"/>
  <c r="DF5" i="4" a="1"/>
  <c r="DF5" i="4" s="1"/>
  <c r="DE5" i="4" a="1"/>
  <c r="DE5" i="4" s="1"/>
  <c r="DD5" i="4" a="1"/>
  <c r="DD5" i="4" s="1"/>
  <c r="DC5" i="4" a="1"/>
  <c r="DC5" i="4" s="1"/>
  <c r="DB5" i="4" a="1"/>
  <c r="DB5" i="4" s="1"/>
  <c r="DA5" i="4" a="1"/>
  <c r="DA5" i="4" s="1"/>
  <c r="CZ5" i="4" a="1"/>
  <c r="CZ5" i="4" s="1"/>
  <c r="CY5" i="4" a="1"/>
  <c r="CY5" i="4" s="1"/>
  <c r="CX5" i="4" a="1"/>
  <c r="CX5" i="4" s="1"/>
  <c r="CW5" i="4" a="1"/>
  <c r="CW5" i="4" s="1"/>
  <c r="CV5" i="4" a="1"/>
  <c r="CV5" i="4" s="1"/>
  <c r="CU5" i="4" a="1"/>
  <c r="CU5" i="4" s="1"/>
  <c r="CT5" i="4" a="1"/>
  <c r="CT5" i="4" s="1"/>
  <c r="CS5" i="4" a="1"/>
  <c r="CS5" i="4" s="1"/>
  <c r="CR5" i="4" a="1"/>
  <c r="CR5" i="4" s="1"/>
  <c r="CQ5" i="4" a="1"/>
  <c r="CQ5" i="4" s="1"/>
  <c r="CP5" i="4" a="1"/>
  <c r="CP5" i="4" s="1"/>
  <c r="CO5" i="4" a="1"/>
  <c r="CO5" i="4" s="1"/>
  <c r="CN5" i="4" a="1"/>
  <c r="CN5" i="4" s="1"/>
  <c r="CM5" i="4" a="1"/>
  <c r="CM5" i="4" s="1"/>
  <c r="CL5" i="4" a="1"/>
  <c r="CL5" i="4" s="1"/>
  <c r="CK5" i="4" a="1"/>
  <c r="CK5" i="4" s="1"/>
  <c r="CJ5" i="4" a="1"/>
  <c r="CJ5" i="4" s="1"/>
  <c r="CI5" i="4" a="1"/>
  <c r="CI5" i="4" s="1"/>
  <c r="CH5" i="4" a="1"/>
  <c r="CH5" i="4" s="1"/>
  <c r="CG5" i="4" a="1"/>
  <c r="CG5" i="4" s="1"/>
  <c r="CF5" i="4" a="1"/>
  <c r="CF5" i="4" s="1"/>
  <c r="CE5" i="4" a="1"/>
  <c r="CE5" i="4" s="1"/>
  <c r="CD5" i="4" a="1"/>
  <c r="CD5" i="4" s="1"/>
  <c r="CC5" i="4" a="1"/>
  <c r="CC5" i="4" s="1"/>
  <c r="CB5" i="4" a="1"/>
  <c r="CB5" i="4" s="1"/>
  <c r="CA5" i="4" a="1"/>
  <c r="CA5" i="4" s="1"/>
  <c r="BZ5" i="4" a="1"/>
  <c r="BZ5" i="4" s="1"/>
  <c r="BY5" i="4" a="1"/>
  <c r="BY5" i="4" s="1"/>
  <c r="BX5" i="4" a="1"/>
  <c r="BX5" i="4" s="1"/>
  <c r="BW5" i="4" a="1"/>
  <c r="BW5" i="4" s="1"/>
  <c r="BV5" i="4" a="1"/>
  <c r="BV5" i="4" s="1"/>
  <c r="BU5" i="4" a="1"/>
  <c r="BU5" i="4" s="1"/>
  <c r="BT5" i="4" a="1"/>
  <c r="BT5" i="4" s="1"/>
  <c r="BS5" i="4" a="1"/>
  <c r="BS5" i="4" s="1"/>
  <c r="BR5" i="4" a="1"/>
  <c r="BR5" i="4" s="1"/>
  <c r="BQ5" i="4" a="1"/>
  <c r="BQ5" i="4" s="1"/>
  <c r="BP5" i="4" a="1"/>
  <c r="BP5" i="4" s="1"/>
  <c r="BO5" i="4" a="1"/>
  <c r="BO5" i="4" s="1"/>
  <c r="BN5" i="4" a="1"/>
  <c r="BN5" i="4" s="1"/>
  <c r="BM5" i="4" a="1"/>
  <c r="BM5" i="4" s="1"/>
  <c r="BL5" i="4" a="1"/>
  <c r="BL5" i="4" s="1"/>
  <c r="BK5" i="4" a="1"/>
  <c r="BK5" i="4" s="1"/>
  <c r="BJ5" i="4" a="1"/>
  <c r="BJ5" i="4" s="1"/>
  <c r="BI5" i="4" a="1"/>
  <c r="BI5" i="4" s="1"/>
  <c r="BH5" i="4" a="1"/>
  <c r="BH5" i="4" s="1"/>
  <c r="BG5" i="4" a="1"/>
  <c r="BG5" i="4" s="1"/>
  <c r="BF5" i="4" a="1"/>
  <c r="BF5" i="4" s="1"/>
  <c r="BE5" i="4" a="1"/>
  <c r="BE5" i="4" s="1"/>
  <c r="BD5" i="4" a="1"/>
  <c r="BD5" i="4" s="1"/>
  <c r="BC5" i="4" a="1"/>
  <c r="BC5" i="4" s="1"/>
  <c r="BB5" i="4" a="1"/>
  <c r="BB5" i="4" s="1"/>
  <c r="BA5" i="4" a="1"/>
  <c r="BA5" i="4" s="1"/>
  <c r="AZ5" i="4" a="1"/>
  <c r="AZ5" i="4" s="1"/>
  <c r="AY5" i="4" a="1"/>
  <c r="AY5" i="4" s="1"/>
  <c r="AX5" i="4" a="1"/>
  <c r="AX5" i="4" s="1"/>
  <c r="AW5" i="4" a="1"/>
  <c r="AW5" i="4" s="1"/>
  <c r="AV5" i="4" a="1"/>
  <c r="AV5" i="4" s="1"/>
  <c r="AU5" i="4" a="1"/>
  <c r="AU5" i="4" s="1"/>
  <c r="AT5" i="4" a="1"/>
  <c r="AT5" i="4" s="1"/>
  <c r="AS5" i="4" a="1"/>
  <c r="AS5" i="4" s="1"/>
  <c r="AR5" i="4" a="1"/>
  <c r="AR5" i="4" s="1"/>
  <c r="AQ5" i="4" a="1"/>
  <c r="AQ5" i="4" s="1"/>
  <c r="AP5" i="4" a="1"/>
  <c r="AP5" i="4" s="1"/>
  <c r="AO5" i="4" a="1"/>
  <c r="AO5" i="4" s="1"/>
  <c r="AN5" i="4" a="1"/>
  <c r="AN5" i="4" s="1"/>
  <c r="AM5" i="4" a="1"/>
  <c r="AM5" i="4" s="1"/>
  <c r="AL5" i="4" a="1"/>
  <c r="AL5" i="4" s="1"/>
  <c r="AK5" i="4" a="1"/>
  <c r="AK5" i="4" s="1"/>
  <c r="AJ5" i="4" a="1"/>
  <c r="AJ5" i="4" s="1"/>
  <c r="AI5" i="4" a="1"/>
  <c r="AI5" i="4" s="1"/>
  <c r="AH5" i="4" a="1"/>
  <c r="AH5" i="4" s="1"/>
  <c r="AG5" i="4" a="1"/>
  <c r="AG5" i="4" s="1"/>
  <c r="AF5" i="4" a="1"/>
  <c r="AF5" i="4" s="1"/>
  <c r="AE5" i="4" a="1"/>
  <c r="AE5" i="4" s="1"/>
  <c r="AD5" i="4" a="1"/>
  <c r="AD5" i="4" s="1"/>
  <c r="AC5" i="4" a="1"/>
  <c r="AC5" i="4" s="1"/>
  <c r="AB5" i="4" a="1"/>
  <c r="AB5" i="4" s="1"/>
  <c r="AA5" i="4" a="1"/>
  <c r="AA5" i="4" s="1"/>
  <c r="Z5" i="4" a="1"/>
  <c r="Z5" i="4" s="1"/>
  <c r="Y5" i="4" a="1"/>
  <c r="Y5" i="4" s="1"/>
  <c r="X5" i="4" a="1"/>
  <c r="X5" i="4" s="1"/>
  <c r="W5" i="4" a="1"/>
  <c r="W5" i="4" s="1"/>
  <c r="V5" i="4" a="1"/>
  <c r="V5" i="4" s="1"/>
  <c r="U5" i="4" a="1"/>
  <c r="U5" i="4" s="1"/>
  <c r="T5" i="4" a="1"/>
  <c r="T5" i="4" s="1"/>
  <c r="S5" i="4" a="1"/>
  <c r="S5" i="4" s="1"/>
  <c r="R5" i="4" a="1"/>
  <c r="R5" i="4" s="1"/>
  <c r="Q5" i="4" a="1"/>
  <c r="Q5" i="4" s="1"/>
  <c r="P5" i="4" a="1"/>
  <c r="P5" i="4" s="1"/>
  <c r="O5" i="4" a="1"/>
  <c r="O5" i="4" s="1"/>
  <c r="N5" i="4" a="1"/>
  <c r="N5" i="4" s="1"/>
  <c r="M5" i="4" a="1"/>
  <c r="M5" i="4" s="1"/>
  <c r="L5" i="4" a="1"/>
  <c r="L5" i="4" s="1"/>
  <c r="K5" i="4" a="1"/>
  <c r="K5" i="4" s="1"/>
  <c r="J5" i="4" a="1"/>
  <c r="J5" i="4" s="1"/>
  <c r="I5" i="4" a="1"/>
  <c r="I5" i="4" s="1"/>
  <c r="H5" i="4" a="1"/>
  <c r="H5" i="4" s="1"/>
  <c r="G5" i="4" a="1"/>
  <c r="G5" i="4" s="1"/>
  <c r="F5" i="4" a="1"/>
  <c r="F5" i="4" s="1"/>
  <c r="E5" i="4" a="1"/>
  <c r="E5" i="4" s="1"/>
  <c r="D5" i="4" a="1"/>
  <c r="D5" i="4" s="1"/>
  <c r="C26" i="3"/>
  <c r="D26" i="3" s="1"/>
  <c r="E26" i="3" s="1"/>
  <c r="F26" i="3" s="1"/>
  <c r="G26" i="3" s="1"/>
  <c r="H26" i="3" s="1"/>
  <c r="I26" i="3" s="1"/>
  <c r="J26" i="3" s="1"/>
  <c r="K26" i="3" s="1"/>
  <c r="L26" i="3" s="1"/>
  <c r="M26" i="3" s="1"/>
  <c r="N26" i="3" s="1"/>
  <c r="O26" i="3" s="1"/>
  <c r="P26" i="3" s="1"/>
  <c r="Q26" i="3" s="1"/>
  <c r="R26" i="3" s="1"/>
  <c r="S26" i="3" s="1"/>
  <c r="T26" i="3" s="1"/>
  <c r="U26" i="3" s="1"/>
  <c r="V26" i="3" s="1"/>
  <c r="W26" i="3" s="1"/>
  <c r="X26" i="3" s="1"/>
  <c r="Y26" i="3" s="1"/>
  <c r="Z26" i="3" s="1"/>
  <c r="AA26" i="3" s="1"/>
  <c r="AB26" i="3" s="1"/>
  <c r="AC26" i="3" s="1"/>
  <c r="AD26" i="3" s="1"/>
  <c r="AE26" i="3" s="1"/>
  <c r="AF26" i="3" s="1"/>
  <c r="AG26" i="3" s="1"/>
  <c r="AH26" i="3" s="1"/>
  <c r="AI26" i="3" s="1"/>
  <c r="AJ26" i="3" s="1"/>
  <c r="AK26" i="3" s="1"/>
  <c r="AL26" i="3" s="1"/>
  <c r="AM26" i="3" s="1"/>
  <c r="AN26" i="3" s="1"/>
  <c r="AO26" i="3" s="1"/>
  <c r="AP26" i="3" s="1"/>
  <c r="AQ26" i="3" s="1"/>
  <c r="AR26" i="3" s="1"/>
  <c r="AS26" i="3" s="1"/>
  <c r="AT26" i="3" s="1"/>
  <c r="AU26" i="3" s="1"/>
  <c r="AV26" i="3" s="1"/>
  <c r="AW26" i="3" s="1"/>
  <c r="AX26" i="3" s="1"/>
  <c r="AY26" i="3" s="1"/>
  <c r="AZ26" i="3" s="1"/>
  <c r="BA26" i="3" s="1"/>
  <c r="BB26" i="3" s="1"/>
  <c r="BC26" i="3" s="1"/>
  <c r="BD26" i="3" s="1"/>
  <c r="BE26" i="3" s="1"/>
  <c r="BF26" i="3" s="1"/>
  <c r="BG26" i="3" s="1"/>
  <c r="BH26" i="3" s="1"/>
  <c r="BI26" i="3" s="1"/>
  <c r="BJ26" i="3" s="1"/>
  <c r="BK26" i="3" s="1"/>
  <c r="BL26" i="3" s="1"/>
  <c r="BM26" i="3" s="1"/>
  <c r="BN26" i="3" s="1"/>
  <c r="BO26" i="3" s="1"/>
  <c r="BP26" i="3" s="1"/>
  <c r="BQ26" i="3" s="1"/>
  <c r="BR26" i="3" s="1"/>
  <c r="BS26" i="3" s="1"/>
  <c r="BT26" i="3" s="1"/>
  <c r="BU26" i="3" s="1"/>
  <c r="BV26" i="3" s="1"/>
  <c r="BW26" i="3" s="1"/>
  <c r="BX26" i="3" s="1"/>
  <c r="BY26" i="3" s="1"/>
  <c r="BZ26" i="3" s="1"/>
  <c r="CA26" i="3" s="1"/>
  <c r="CB26" i="3" s="1"/>
  <c r="CC26" i="3" s="1"/>
  <c r="CD26" i="3" s="1"/>
  <c r="CE26" i="3" s="1"/>
  <c r="CF26" i="3" s="1"/>
  <c r="CG26" i="3" s="1"/>
  <c r="CH26" i="3" s="1"/>
  <c r="CI26" i="3" s="1"/>
  <c r="CJ26" i="3" s="1"/>
  <c r="CK26" i="3" s="1"/>
  <c r="CL26" i="3" s="1"/>
  <c r="CM26" i="3" s="1"/>
  <c r="CN26" i="3" s="1"/>
  <c r="CO26" i="3" s="1"/>
  <c r="CP26" i="3" s="1"/>
  <c r="CQ26" i="3" s="1"/>
  <c r="CR26" i="3" s="1"/>
  <c r="CS26" i="3" s="1"/>
  <c r="CT26" i="3" s="1"/>
  <c r="CU26" i="3" s="1"/>
  <c r="CV26" i="3" s="1"/>
  <c r="CW26" i="3" s="1"/>
  <c r="CX26" i="3" s="1"/>
  <c r="CY26" i="3" s="1"/>
  <c r="CZ26" i="3" s="1"/>
  <c r="DA26" i="3" s="1"/>
  <c r="DB26" i="3" s="1"/>
  <c r="DC26" i="3" s="1"/>
  <c r="DD26" i="3" s="1"/>
  <c r="DE26" i="3" s="1"/>
  <c r="DF26" i="3" s="1"/>
  <c r="DG26" i="3" s="1"/>
  <c r="DH26" i="3" s="1"/>
  <c r="DI26" i="3" s="1"/>
  <c r="DJ26" i="3" s="1"/>
  <c r="DK26" i="3" s="1"/>
  <c r="DL26" i="3" s="1"/>
  <c r="DM26" i="3" s="1"/>
  <c r="DN26" i="3" s="1"/>
  <c r="DO26" i="3" s="1"/>
  <c r="DP26" i="3" s="1"/>
  <c r="DQ26" i="3" s="1"/>
  <c r="DR26" i="3" s="1"/>
  <c r="DS26" i="3" s="1"/>
  <c r="DT26" i="3" s="1"/>
  <c r="DU26" i="3" s="1"/>
  <c r="DV26" i="3" s="1"/>
  <c r="DW26" i="3" s="1"/>
  <c r="DX26" i="3" s="1"/>
  <c r="DY26" i="3" s="1"/>
  <c r="DZ26" i="3" s="1"/>
  <c r="EA26" i="3" s="1"/>
  <c r="EB26" i="3" s="1"/>
  <c r="EC26" i="3" s="1"/>
  <c r="ED26" i="3" s="1"/>
  <c r="EE26" i="3" s="1"/>
  <c r="C25" i="3"/>
  <c r="D25" i="3" s="1"/>
  <c r="E25" i="3" s="1"/>
  <c r="F25" i="3" s="1"/>
  <c r="G25" i="3" s="1"/>
  <c r="H25" i="3" s="1"/>
  <c r="I25" i="3" s="1"/>
  <c r="J25" i="3" s="1"/>
  <c r="K25" i="3" s="1"/>
  <c r="L25" i="3" s="1"/>
  <c r="M25" i="3" s="1"/>
  <c r="N25" i="3" s="1"/>
  <c r="O25" i="3" s="1"/>
  <c r="P25" i="3" s="1"/>
  <c r="Q25" i="3" s="1"/>
  <c r="R25" i="3" s="1"/>
  <c r="S25" i="3" s="1"/>
  <c r="T25" i="3" s="1"/>
  <c r="U25" i="3" s="1"/>
  <c r="V25" i="3" s="1"/>
  <c r="W25" i="3" s="1"/>
  <c r="X25" i="3" s="1"/>
  <c r="Y25" i="3" s="1"/>
  <c r="Z25" i="3" s="1"/>
  <c r="AA25" i="3" s="1"/>
  <c r="AB25" i="3" s="1"/>
  <c r="AC25" i="3" s="1"/>
  <c r="AD25" i="3" s="1"/>
  <c r="AE25" i="3" s="1"/>
  <c r="AF25" i="3" s="1"/>
  <c r="AG25" i="3" s="1"/>
  <c r="AH25" i="3" s="1"/>
  <c r="AI25" i="3" s="1"/>
  <c r="AJ25" i="3" s="1"/>
  <c r="AK25" i="3" s="1"/>
  <c r="AL25" i="3" s="1"/>
  <c r="AM25" i="3" s="1"/>
  <c r="AN25" i="3" s="1"/>
  <c r="AO25" i="3" s="1"/>
  <c r="AP25" i="3" s="1"/>
  <c r="AQ25" i="3" s="1"/>
  <c r="AR25" i="3" s="1"/>
  <c r="AS25" i="3" s="1"/>
  <c r="AT25" i="3" s="1"/>
  <c r="AU25" i="3" s="1"/>
  <c r="AV25" i="3" s="1"/>
  <c r="AW25" i="3" s="1"/>
  <c r="AX25" i="3" s="1"/>
  <c r="AY25" i="3" s="1"/>
  <c r="AZ25" i="3" s="1"/>
  <c r="BA25" i="3" s="1"/>
  <c r="BB25" i="3" s="1"/>
  <c r="BC25" i="3" s="1"/>
  <c r="BD25" i="3" s="1"/>
  <c r="BE25" i="3" s="1"/>
  <c r="BF25" i="3" s="1"/>
  <c r="BG25" i="3" s="1"/>
  <c r="BH25" i="3" s="1"/>
  <c r="BI25" i="3" s="1"/>
  <c r="BJ25" i="3" s="1"/>
  <c r="BK25" i="3" s="1"/>
  <c r="BL25" i="3" s="1"/>
  <c r="BM25" i="3" s="1"/>
  <c r="BN25" i="3" s="1"/>
  <c r="BO25" i="3" s="1"/>
  <c r="BP25" i="3" s="1"/>
  <c r="BQ25" i="3" s="1"/>
  <c r="BR25" i="3" s="1"/>
  <c r="BS25" i="3" s="1"/>
  <c r="BT25" i="3" s="1"/>
  <c r="BU25" i="3" s="1"/>
  <c r="BV25" i="3" s="1"/>
  <c r="BW25" i="3" s="1"/>
  <c r="BX25" i="3" s="1"/>
  <c r="BY25" i="3" s="1"/>
  <c r="BZ25" i="3" s="1"/>
  <c r="CA25" i="3" s="1"/>
  <c r="CB25" i="3" s="1"/>
  <c r="CC25" i="3" s="1"/>
  <c r="CD25" i="3" s="1"/>
  <c r="CE25" i="3" s="1"/>
  <c r="CF25" i="3" s="1"/>
  <c r="CG25" i="3" s="1"/>
  <c r="CH25" i="3" s="1"/>
  <c r="CI25" i="3" s="1"/>
  <c r="CJ25" i="3" s="1"/>
  <c r="CK25" i="3" s="1"/>
  <c r="CL25" i="3" s="1"/>
  <c r="CM25" i="3" s="1"/>
  <c r="CN25" i="3" s="1"/>
  <c r="CO25" i="3" s="1"/>
  <c r="CP25" i="3" s="1"/>
  <c r="CQ25" i="3" s="1"/>
  <c r="CR25" i="3" s="1"/>
  <c r="CS25" i="3" s="1"/>
  <c r="CT25" i="3" s="1"/>
  <c r="CU25" i="3" s="1"/>
  <c r="CV25" i="3" s="1"/>
  <c r="CW25" i="3" s="1"/>
  <c r="CX25" i="3" s="1"/>
  <c r="CY25" i="3" s="1"/>
  <c r="CZ25" i="3" s="1"/>
  <c r="DA25" i="3" s="1"/>
  <c r="DB25" i="3" s="1"/>
  <c r="DC25" i="3" s="1"/>
  <c r="DD25" i="3" s="1"/>
  <c r="DE25" i="3" s="1"/>
  <c r="DF25" i="3" s="1"/>
  <c r="DG25" i="3" s="1"/>
  <c r="DH25" i="3" s="1"/>
  <c r="DI25" i="3" s="1"/>
  <c r="DJ25" i="3" s="1"/>
  <c r="DK25" i="3" s="1"/>
  <c r="DL25" i="3" s="1"/>
  <c r="DM25" i="3" s="1"/>
  <c r="DN25" i="3" s="1"/>
  <c r="DO25" i="3" s="1"/>
  <c r="DP25" i="3" s="1"/>
  <c r="DQ25" i="3" s="1"/>
  <c r="DR25" i="3" s="1"/>
  <c r="DS25" i="3" s="1"/>
  <c r="DT25" i="3" s="1"/>
  <c r="DU25" i="3" s="1"/>
  <c r="DV25" i="3" s="1"/>
  <c r="DW25" i="3" s="1"/>
  <c r="DX25" i="3" s="1"/>
  <c r="DY25" i="3" s="1"/>
  <c r="DZ25" i="3" s="1"/>
  <c r="EA25" i="3" s="1"/>
  <c r="EB25" i="3" s="1"/>
  <c r="EC25" i="3" s="1"/>
  <c r="ED25" i="3" s="1"/>
  <c r="EE25" i="3" s="1"/>
  <c r="C24" i="3"/>
  <c r="D24" i="3" s="1"/>
  <c r="E24" i="3" s="1"/>
  <c r="F24" i="3" s="1"/>
  <c r="G24" i="3" s="1"/>
  <c r="H24" i="3" s="1"/>
  <c r="I24" i="3" s="1"/>
  <c r="J24" i="3" s="1"/>
  <c r="K24" i="3" s="1"/>
  <c r="L24" i="3" s="1"/>
  <c r="M24" i="3" s="1"/>
  <c r="N24" i="3" s="1"/>
  <c r="O24" i="3" s="1"/>
  <c r="P24" i="3" s="1"/>
  <c r="Q24" i="3" s="1"/>
  <c r="R24" i="3" s="1"/>
  <c r="S24" i="3" s="1"/>
  <c r="T24" i="3" s="1"/>
  <c r="U24" i="3" s="1"/>
  <c r="V24" i="3" s="1"/>
  <c r="W24" i="3" s="1"/>
  <c r="X24" i="3" s="1"/>
  <c r="Y24" i="3" s="1"/>
  <c r="Z24" i="3" s="1"/>
  <c r="AA24" i="3" s="1"/>
  <c r="AB24" i="3" s="1"/>
  <c r="AC24" i="3" s="1"/>
  <c r="AD24" i="3" s="1"/>
  <c r="AE24" i="3" s="1"/>
  <c r="AF24" i="3" s="1"/>
  <c r="AG24" i="3" s="1"/>
  <c r="AH24" i="3" s="1"/>
  <c r="AI24" i="3" s="1"/>
  <c r="AJ24" i="3" s="1"/>
  <c r="AK24" i="3" s="1"/>
  <c r="AL24" i="3" s="1"/>
  <c r="AM24" i="3" s="1"/>
  <c r="AN24" i="3" s="1"/>
  <c r="AO24" i="3" s="1"/>
  <c r="AP24" i="3" s="1"/>
  <c r="AQ24" i="3" s="1"/>
  <c r="AR24" i="3" s="1"/>
  <c r="AS24" i="3" s="1"/>
  <c r="AT24" i="3" s="1"/>
  <c r="AU24" i="3" s="1"/>
  <c r="AV24" i="3" s="1"/>
  <c r="AW24" i="3" s="1"/>
  <c r="AX24" i="3" s="1"/>
  <c r="AY24" i="3" s="1"/>
  <c r="AZ24" i="3" s="1"/>
  <c r="BA24" i="3" s="1"/>
  <c r="BB24" i="3" s="1"/>
  <c r="BC24" i="3" s="1"/>
  <c r="BD24" i="3" s="1"/>
  <c r="BE24" i="3" s="1"/>
  <c r="BF24" i="3" s="1"/>
  <c r="BG24" i="3" s="1"/>
  <c r="BH24" i="3" s="1"/>
  <c r="BI24" i="3" s="1"/>
  <c r="BJ24" i="3" s="1"/>
  <c r="BK24" i="3" s="1"/>
  <c r="BL24" i="3" s="1"/>
  <c r="BM24" i="3" s="1"/>
  <c r="BN24" i="3" s="1"/>
  <c r="BO24" i="3" s="1"/>
  <c r="BP24" i="3" s="1"/>
  <c r="BQ24" i="3" s="1"/>
  <c r="BR24" i="3" s="1"/>
  <c r="BS24" i="3" s="1"/>
  <c r="BT24" i="3" s="1"/>
  <c r="BU24" i="3" s="1"/>
  <c r="BV24" i="3" s="1"/>
  <c r="BW24" i="3" s="1"/>
  <c r="BX24" i="3" s="1"/>
  <c r="BY24" i="3" s="1"/>
  <c r="BZ24" i="3" s="1"/>
  <c r="CA24" i="3" s="1"/>
  <c r="CB24" i="3" s="1"/>
  <c r="CC24" i="3" s="1"/>
  <c r="CD24" i="3" s="1"/>
  <c r="CE24" i="3" s="1"/>
  <c r="CF24" i="3" s="1"/>
  <c r="CG24" i="3" s="1"/>
  <c r="CH24" i="3" s="1"/>
  <c r="CI24" i="3" s="1"/>
  <c r="CJ24" i="3" s="1"/>
  <c r="CK24" i="3" s="1"/>
  <c r="CL24" i="3" s="1"/>
  <c r="CM24" i="3" s="1"/>
  <c r="CN24" i="3" s="1"/>
  <c r="CO24" i="3" s="1"/>
  <c r="CP24" i="3" s="1"/>
  <c r="CQ24" i="3" s="1"/>
  <c r="CR24" i="3" s="1"/>
  <c r="CS24" i="3" s="1"/>
  <c r="CT24" i="3" s="1"/>
  <c r="CU24" i="3" s="1"/>
  <c r="CV24" i="3" s="1"/>
  <c r="CW24" i="3" s="1"/>
  <c r="CX24" i="3" s="1"/>
  <c r="CY24" i="3" s="1"/>
  <c r="CZ24" i="3" s="1"/>
  <c r="DA24" i="3" s="1"/>
  <c r="DB24" i="3" s="1"/>
  <c r="DC24" i="3" s="1"/>
  <c r="DD24" i="3" s="1"/>
  <c r="DE24" i="3" s="1"/>
  <c r="DF24" i="3" s="1"/>
  <c r="DG24" i="3" s="1"/>
  <c r="DH24" i="3" s="1"/>
  <c r="DI24" i="3" s="1"/>
  <c r="DJ24" i="3" s="1"/>
  <c r="DK24" i="3" s="1"/>
  <c r="DL24" i="3" s="1"/>
  <c r="DM24" i="3" s="1"/>
  <c r="DN24" i="3" s="1"/>
  <c r="DO24" i="3" s="1"/>
  <c r="DP24" i="3" s="1"/>
  <c r="DQ24" i="3" s="1"/>
  <c r="DR24" i="3" s="1"/>
  <c r="DS24" i="3" s="1"/>
  <c r="DT24" i="3" s="1"/>
  <c r="DU24" i="3" s="1"/>
  <c r="DV24" i="3" s="1"/>
  <c r="DW24" i="3" s="1"/>
  <c r="DX24" i="3" s="1"/>
  <c r="DY24" i="3" s="1"/>
  <c r="DZ24" i="3" s="1"/>
  <c r="EA24" i="3" s="1"/>
  <c r="EB24" i="3" s="1"/>
  <c r="EC24" i="3" s="1"/>
  <c r="ED24" i="3" s="1"/>
  <c r="EE24" i="3" s="1"/>
  <c r="C23" i="3"/>
  <c r="D23" i="3" s="1"/>
  <c r="E23" i="3" s="1"/>
  <c r="F23" i="3" s="1"/>
  <c r="G23" i="3" s="1"/>
  <c r="H23" i="3" s="1"/>
  <c r="I23" i="3" s="1"/>
  <c r="J23" i="3" s="1"/>
  <c r="K23" i="3" s="1"/>
  <c r="L23" i="3" s="1"/>
  <c r="M23" i="3" s="1"/>
  <c r="N23" i="3" s="1"/>
  <c r="O23" i="3" s="1"/>
  <c r="P23" i="3" s="1"/>
  <c r="Q23" i="3" s="1"/>
  <c r="R23" i="3" s="1"/>
  <c r="S23" i="3" s="1"/>
  <c r="T23" i="3" s="1"/>
  <c r="U23" i="3" s="1"/>
  <c r="V23" i="3" s="1"/>
  <c r="W23" i="3" s="1"/>
  <c r="X23" i="3" s="1"/>
  <c r="Y23" i="3" s="1"/>
  <c r="Z23" i="3" s="1"/>
  <c r="AA23" i="3" s="1"/>
  <c r="AB23" i="3" s="1"/>
  <c r="AC23" i="3" s="1"/>
  <c r="AD23" i="3" s="1"/>
  <c r="AE23" i="3" s="1"/>
  <c r="AF23" i="3" s="1"/>
  <c r="AG23" i="3" s="1"/>
  <c r="AH23" i="3" s="1"/>
  <c r="AI23" i="3" s="1"/>
  <c r="AJ23" i="3" s="1"/>
  <c r="AK23" i="3" s="1"/>
  <c r="AL23" i="3" s="1"/>
  <c r="AM23" i="3" s="1"/>
  <c r="AN23" i="3" s="1"/>
  <c r="AO23" i="3" s="1"/>
  <c r="AP23" i="3" s="1"/>
  <c r="AQ23" i="3" s="1"/>
  <c r="AR23" i="3" s="1"/>
  <c r="AS23" i="3" s="1"/>
  <c r="AT23" i="3" s="1"/>
  <c r="AU23" i="3" s="1"/>
  <c r="AV23" i="3" s="1"/>
  <c r="AW23" i="3" s="1"/>
  <c r="AX23" i="3" s="1"/>
  <c r="AY23" i="3" s="1"/>
  <c r="AZ23" i="3" s="1"/>
  <c r="BA23" i="3" s="1"/>
  <c r="BB23" i="3" s="1"/>
  <c r="BC23" i="3" s="1"/>
  <c r="BD23" i="3" s="1"/>
  <c r="BE23" i="3" s="1"/>
  <c r="BF23" i="3" s="1"/>
  <c r="BG23" i="3" s="1"/>
  <c r="BH23" i="3" s="1"/>
  <c r="BI23" i="3" s="1"/>
  <c r="BJ23" i="3" s="1"/>
  <c r="BK23" i="3" s="1"/>
  <c r="BL23" i="3" s="1"/>
  <c r="BM23" i="3" s="1"/>
  <c r="BN23" i="3" s="1"/>
  <c r="BO23" i="3" s="1"/>
  <c r="BP23" i="3" s="1"/>
  <c r="BQ23" i="3" s="1"/>
  <c r="BR23" i="3" s="1"/>
  <c r="BS23" i="3" s="1"/>
  <c r="BT23" i="3" s="1"/>
  <c r="BU23" i="3" s="1"/>
  <c r="BV23" i="3" s="1"/>
  <c r="BW23" i="3" s="1"/>
  <c r="BX23" i="3" s="1"/>
  <c r="BY23" i="3" s="1"/>
  <c r="BZ23" i="3" s="1"/>
  <c r="CA23" i="3" s="1"/>
  <c r="CB23" i="3" s="1"/>
  <c r="CC23" i="3" s="1"/>
  <c r="CD23" i="3" s="1"/>
  <c r="CE23" i="3" s="1"/>
  <c r="CF23" i="3" s="1"/>
  <c r="CG23" i="3" s="1"/>
  <c r="CH23" i="3" s="1"/>
  <c r="CI23" i="3" s="1"/>
  <c r="CJ23" i="3" s="1"/>
  <c r="CK23" i="3" s="1"/>
  <c r="CL23" i="3" s="1"/>
  <c r="CM23" i="3" s="1"/>
  <c r="CN23" i="3" s="1"/>
  <c r="CO23" i="3" s="1"/>
  <c r="CP23" i="3" s="1"/>
  <c r="CQ23" i="3" s="1"/>
  <c r="CR23" i="3" s="1"/>
  <c r="CS23" i="3" s="1"/>
  <c r="CT23" i="3" s="1"/>
  <c r="CU23" i="3" s="1"/>
  <c r="CV23" i="3" s="1"/>
  <c r="CW23" i="3" s="1"/>
  <c r="CX23" i="3" s="1"/>
  <c r="CY23" i="3" s="1"/>
  <c r="CZ23" i="3" s="1"/>
  <c r="DA23" i="3" s="1"/>
  <c r="DB23" i="3" s="1"/>
  <c r="DC23" i="3" s="1"/>
  <c r="DD23" i="3" s="1"/>
  <c r="DE23" i="3" s="1"/>
  <c r="DF23" i="3" s="1"/>
  <c r="DG23" i="3" s="1"/>
  <c r="DH23" i="3" s="1"/>
  <c r="DI23" i="3" s="1"/>
  <c r="DJ23" i="3" s="1"/>
  <c r="DK23" i="3" s="1"/>
  <c r="DL23" i="3" s="1"/>
  <c r="DM23" i="3" s="1"/>
  <c r="DN23" i="3" s="1"/>
  <c r="DO23" i="3" s="1"/>
  <c r="DP23" i="3" s="1"/>
  <c r="DQ23" i="3" s="1"/>
  <c r="DR23" i="3" s="1"/>
  <c r="DS23" i="3" s="1"/>
  <c r="DT23" i="3" s="1"/>
  <c r="DU23" i="3" s="1"/>
  <c r="DV23" i="3" s="1"/>
  <c r="DW23" i="3" s="1"/>
  <c r="DX23" i="3" s="1"/>
  <c r="DY23" i="3" s="1"/>
  <c r="DZ23" i="3" s="1"/>
  <c r="EA23" i="3" s="1"/>
  <c r="EB23" i="3" s="1"/>
  <c r="EC23" i="3" s="1"/>
  <c r="ED23" i="3" s="1"/>
  <c r="EE23" i="3" s="1"/>
  <c r="C22" i="3"/>
  <c r="D22" i="3" s="1"/>
  <c r="E22" i="3" s="1"/>
  <c r="F22" i="3" s="1"/>
  <c r="G22" i="3" s="1"/>
  <c r="H22" i="3" s="1"/>
  <c r="I22" i="3" s="1"/>
  <c r="J22" i="3" s="1"/>
  <c r="K22" i="3" s="1"/>
  <c r="L22" i="3" s="1"/>
  <c r="M22" i="3" s="1"/>
  <c r="N22" i="3" s="1"/>
  <c r="O22" i="3" s="1"/>
  <c r="P22" i="3" s="1"/>
  <c r="Q22" i="3" s="1"/>
  <c r="R22" i="3" s="1"/>
  <c r="S22" i="3" s="1"/>
  <c r="T22" i="3" s="1"/>
  <c r="U22" i="3" s="1"/>
  <c r="V22" i="3" s="1"/>
  <c r="W22" i="3" s="1"/>
  <c r="X22" i="3" s="1"/>
  <c r="Y22" i="3" s="1"/>
  <c r="Z22" i="3" s="1"/>
  <c r="AA22" i="3" s="1"/>
  <c r="AB22" i="3" s="1"/>
  <c r="AC22" i="3" s="1"/>
  <c r="AD22" i="3" s="1"/>
  <c r="AE22" i="3" s="1"/>
  <c r="AF22" i="3" s="1"/>
  <c r="AG22" i="3" s="1"/>
  <c r="AH22" i="3" s="1"/>
  <c r="AI22" i="3" s="1"/>
  <c r="AJ22" i="3" s="1"/>
  <c r="AK22" i="3" s="1"/>
  <c r="AL22" i="3" s="1"/>
  <c r="AM22" i="3" s="1"/>
  <c r="AN22" i="3" s="1"/>
  <c r="AO22" i="3" s="1"/>
  <c r="AP22" i="3" s="1"/>
  <c r="AQ22" i="3" s="1"/>
  <c r="AR22" i="3" s="1"/>
  <c r="AS22" i="3" s="1"/>
  <c r="AT22" i="3" s="1"/>
  <c r="AU22" i="3" s="1"/>
  <c r="AV22" i="3" s="1"/>
  <c r="AW22" i="3" s="1"/>
  <c r="AX22" i="3" s="1"/>
  <c r="AY22" i="3" s="1"/>
  <c r="AZ22" i="3" s="1"/>
  <c r="BA22" i="3" s="1"/>
  <c r="BB22" i="3" s="1"/>
  <c r="BC22" i="3" s="1"/>
  <c r="BD22" i="3" s="1"/>
  <c r="BE22" i="3" s="1"/>
  <c r="BF22" i="3" s="1"/>
  <c r="BG22" i="3" s="1"/>
  <c r="BH22" i="3" s="1"/>
  <c r="BI22" i="3" s="1"/>
  <c r="BJ22" i="3" s="1"/>
  <c r="BK22" i="3" s="1"/>
  <c r="BL22" i="3" s="1"/>
  <c r="BM22" i="3" s="1"/>
  <c r="BN22" i="3" s="1"/>
  <c r="BO22" i="3" s="1"/>
  <c r="BP22" i="3" s="1"/>
  <c r="BQ22" i="3" s="1"/>
  <c r="BR22" i="3" s="1"/>
  <c r="BS22" i="3" s="1"/>
  <c r="BT22" i="3" s="1"/>
  <c r="BU22" i="3" s="1"/>
  <c r="BV22" i="3" s="1"/>
  <c r="BW22" i="3" s="1"/>
  <c r="BX22" i="3" s="1"/>
  <c r="BY22" i="3" s="1"/>
  <c r="BZ22" i="3" s="1"/>
  <c r="CA22" i="3" s="1"/>
  <c r="CB22" i="3" s="1"/>
  <c r="CC22" i="3" s="1"/>
  <c r="CD22" i="3" s="1"/>
  <c r="CE22" i="3" s="1"/>
  <c r="CF22" i="3" s="1"/>
  <c r="CG22" i="3" s="1"/>
  <c r="CH22" i="3" s="1"/>
  <c r="CI22" i="3" s="1"/>
  <c r="CJ22" i="3" s="1"/>
  <c r="CK22" i="3" s="1"/>
  <c r="CL22" i="3" s="1"/>
  <c r="CM22" i="3" s="1"/>
  <c r="CN22" i="3" s="1"/>
  <c r="CO22" i="3" s="1"/>
  <c r="CP22" i="3" s="1"/>
  <c r="CQ22" i="3" s="1"/>
  <c r="CR22" i="3" s="1"/>
  <c r="CS22" i="3" s="1"/>
  <c r="CT22" i="3" s="1"/>
  <c r="CU22" i="3" s="1"/>
  <c r="CV22" i="3" s="1"/>
  <c r="CW22" i="3" s="1"/>
  <c r="CX22" i="3" s="1"/>
  <c r="CY22" i="3" s="1"/>
  <c r="CZ22" i="3" s="1"/>
  <c r="DA22" i="3" s="1"/>
  <c r="DB22" i="3" s="1"/>
  <c r="DC22" i="3" s="1"/>
  <c r="DD22" i="3" s="1"/>
  <c r="DE22" i="3" s="1"/>
  <c r="DF22" i="3" s="1"/>
  <c r="DG22" i="3" s="1"/>
  <c r="DH22" i="3" s="1"/>
  <c r="DI22" i="3" s="1"/>
  <c r="DJ22" i="3" s="1"/>
  <c r="DK22" i="3" s="1"/>
  <c r="DL22" i="3" s="1"/>
  <c r="DM22" i="3" s="1"/>
  <c r="DN22" i="3" s="1"/>
  <c r="DO22" i="3" s="1"/>
  <c r="DP22" i="3" s="1"/>
  <c r="DQ22" i="3" s="1"/>
  <c r="DR22" i="3" s="1"/>
  <c r="DS22" i="3" s="1"/>
  <c r="DT22" i="3" s="1"/>
  <c r="DU22" i="3" s="1"/>
  <c r="DV22" i="3" s="1"/>
  <c r="DW22" i="3" s="1"/>
  <c r="DX22" i="3" s="1"/>
  <c r="DY22" i="3" s="1"/>
  <c r="DZ22" i="3" s="1"/>
  <c r="EA22" i="3" s="1"/>
  <c r="EB22" i="3" s="1"/>
  <c r="EC22" i="3" s="1"/>
  <c r="ED22" i="3" s="1"/>
  <c r="EE22" i="3" s="1"/>
  <c r="C21" i="3"/>
  <c r="D21" i="3" s="1"/>
  <c r="E21" i="3" s="1"/>
  <c r="F21" i="3" s="1"/>
  <c r="G21" i="3" s="1"/>
  <c r="H21" i="3" s="1"/>
  <c r="I21" i="3" s="1"/>
  <c r="J21" i="3" s="1"/>
  <c r="K21" i="3" s="1"/>
  <c r="L21" i="3" s="1"/>
  <c r="M21" i="3" s="1"/>
  <c r="N21" i="3" s="1"/>
  <c r="O21" i="3" s="1"/>
  <c r="P21" i="3" s="1"/>
  <c r="Q21" i="3" s="1"/>
  <c r="R21" i="3" s="1"/>
  <c r="S21" i="3" s="1"/>
  <c r="T21" i="3" s="1"/>
  <c r="U21" i="3" s="1"/>
  <c r="V21" i="3" s="1"/>
  <c r="W21" i="3" s="1"/>
  <c r="X21" i="3" s="1"/>
  <c r="Y21" i="3" s="1"/>
  <c r="Z21" i="3" s="1"/>
  <c r="AA21" i="3" s="1"/>
  <c r="AB21" i="3" s="1"/>
  <c r="AC21" i="3" s="1"/>
  <c r="AD21" i="3" s="1"/>
  <c r="AE21" i="3" s="1"/>
  <c r="AF21" i="3" s="1"/>
  <c r="AG21" i="3" s="1"/>
  <c r="AH21" i="3" s="1"/>
  <c r="AI21" i="3" s="1"/>
  <c r="AJ21" i="3" s="1"/>
  <c r="AK21" i="3" s="1"/>
  <c r="AL21" i="3" s="1"/>
  <c r="AM21" i="3" s="1"/>
  <c r="AN21" i="3" s="1"/>
  <c r="AO21" i="3" s="1"/>
  <c r="AP21" i="3" s="1"/>
  <c r="AQ21" i="3" s="1"/>
  <c r="AR21" i="3" s="1"/>
  <c r="AS21" i="3" s="1"/>
  <c r="AT21" i="3" s="1"/>
  <c r="AU21" i="3" s="1"/>
  <c r="AV21" i="3" s="1"/>
  <c r="AW21" i="3" s="1"/>
  <c r="AX21" i="3" s="1"/>
  <c r="AY21" i="3" s="1"/>
  <c r="AZ21" i="3" s="1"/>
  <c r="BA21" i="3" s="1"/>
  <c r="BB21" i="3" s="1"/>
  <c r="BC21" i="3" s="1"/>
  <c r="BD21" i="3" s="1"/>
  <c r="BE21" i="3" s="1"/>
  <c r="BF21" i="3" s="1"/>
  <c r="BG21" i="3" s="1"/>
  <c r="BH21" i="3" s="1"/>
  <c r="BI21" i="3" s="1"/>
  <c r="BJ21" i="3" s="1"/>
  <c r="BK21" i="3" s="1"/>
  <c r="BL21" i="3" s="1"/>
  <c r="BM21" i="3" s="1"/>
  <c r="BN21" i="3" s="1"/>
  <c r="BO21" i="3" s="1"/>
  <c r="BP21" i="3" s="1"/>
  <c r="BQ21" i="3" s="1"/>
  <c r="BR21" i="3" s="1"/>
  <c r="BS21" i="3" s="1"/>
  <c r="BT21" i="3" s="1"/>
  <c r="BU21" i="3" s="1"/>
  <c r="BV21" i="3" s="1"/>
  <c r="BW21" i="3" s="1"/>
  <c r="BX21" i="3" s="1"/>
  <c r="BY21" i="3" s="1"/>
  <c r="BZ21" i="3" s="1"/>
  <c r="CA21" i="3" s="1"/>
  <c r="CB21" i="3" s="1"/>
  <c r="CC21" i="3" s="1"/>
  <c r="CD21" i="3" s="1"/>
  <c r="CE21" i="3" s="1"/>
  <c r="CF21" i="3" s="1"/>
  <c r="CG21" i="3" s="1"/>
  <c r="CH21" i="3" s="1"/>
  <c r="CI21" i="3" s="1"/>
  <c r="CJ21" i="3" s="1"/>
  <c r="CK21" i="3" s="1"/>
  <c r="CL21" i="3" s="1"/>
  <c r="CM21" i="3" s="1"/>
  <c r="CN21" i="3" s="1"/>
  <c r="CO21" i="3" s="1"/>
  <c r="CP21" i="3" s="1"/>
  <c r="CQ21" i="3" s="1"/>
  <c r="CR21" i="3" s="1"/>
  <c r="CS21" i="3" s="1"/>
  <c r="CT21" i="3" s="1"/>
  <c r="CU21" i="3" s="1"/>
  <c r="CV21" i="3" s="1"/>
  <c r="CW21" i="3" s="1"/>
  <c r="CX21" i="3" s="1"/>
  <c r="CY21" i="3" s="1"/>
  <c r="CZ21" i="3" s="1"/>
  <c r="DA21" i="3" s="1"/>
  <c r="DB21" i="3" s="1"/>
  <c r="DC21" i="3" s="1"/>
  <c r="DD21" i="3" s="1"/>
  <c r="DE21" i="3" s="1"/>
  <c r="DF21" i="3" s="1"/>
  <c r="DG21" i="3" s="1"/>
  <c r="DH21" i="3" s="1"/>
  <c r="DI21" i="3" s="1"/>
  <c r="DJ21" i="3" s="1"/>
  <c r="DK21" i="3" s="1"/>
  <c r="DL21" i="3" s="1"/>
  <c r="DM21" i="3" s="1"/>
  <c r="DN21" i="3" s="1"/>
  <c r="DO21" i="3" s="1"/>
  <c r="DP21" i="3" s="1"/>
  <c r="DQ21" i="3" s="1"/>
  <c r="DR21" i="3" s="1"/>
  <c r="DS21" i="3" s="1"/>
  <c r="DT21" i="3" s="1"/>
  <c r="DU21" i="3" s="1"/>
  <c r="DV21" i="3" s="1"/>
  <c r="DW21" i="3" s="1"/>
  <c r="DX21" i="3" s="1"/>
  <c r="DY21" i="3" s="1"/>
  <c r="DZ21" i="3" s="1"/>
  <c r="EA21" i="3" s="1"/>
  <c r="EB21" i="3" s="1"/>
  <c r="EC21" i="3" s="1"/>
  <c r="ED21" i="3" s="1"/>
  <c r="EE21" i="3" s="1"/>
  <c r="C20" i="3"/>
  <c r="D20" i="3" s="1"/>
  <c r="E20" i="3" s="1"/>
  <c r="F20" i="3" s="1"/>
  <c r="G20" i="3" s="1"/>
  <c r="H20" i="3" s="1"/>
  <c r="I20" i="3" s="1"/>
  <c r="J20" i="3" s="1"/>
  <c r="K20" i="3" s="1"/>
  <c r="L20" i="3" s="1"/>
  <c r="M20" i="3" s="1"/>
  <c r="N20" i="3" s="1"/>
  <c r="O20" i="3" s="1"/>
  <c r="P20" i="3" s="1"/>
  <c r="Q20" i="3" s="1"/>
  <c r="R20" i="3" s="1"/>
  <c r="S20" i="3" s="1"/>
  <c r="T20" i="3" s="1"/>
  <c r="U20" i="3" s="1"/>
  <c r="V20" i="3" s="1"/>
  <c r="W20" i="3" s="1"/>
  <c r="X20" i="3" s="1"/>
  <c r="Y20" i="3" s="1"/>
  <c r="Z20" i="3" s="1"/>
  <c r="AA20" i="3" s="1"/>
  <c r="AB20" i="3" s="1"/>
  <c r="AC20" i="3" s="1"/>
  <c r="AD20" i="3" s="1"/>
  <c r="AE20" i="3" s="1"/>
  <c r="AF20" i="3" s="1"/>
  <c r="AG20" i="3" s="1"/>
  <c r="AH20" i="3" s="1"/>
  <c r="AI20" i="3" s="1"/>
  <c r="AJ20" i="3" s="1"/>
  <c r="AK20" i="3" s="1"/>
  <c r="AL20" i="3" s="1"/>
  <c r="AM20" i="3" s="1"/>
  <c r="AN20" i="3" s="1"/>
  <c r="AO20" i="3" s="1"/>
  <c r="AP20" i="3" s="1"/>
  <c r="AQ20" i="3" s="1"/>
  <c r="AR20" i="3" s="1"/>
  <c r="AS20" i="3" s="1"/>
  <c r="AT20" i="3" s="1"/>
  <c r="AU20" i="3" s="1"/>
  <c r="AV20" i="3" s="1"/>
  <c r="AW20" i="3" s="1"/>
  <c r="AX20" i="3" s="1"/>
  <c r="AY20" i="3" s="1"/>
  <c r="AZ20" i="3" s="1"/>
  <c r="BA20" i="3" s="1"/>
  <c r="BB20" i="3" s="1"/>
  <c r="BC20" i="3" s="1"/>
  <c r="BD20" i="3" s="1"/>
  <c r="BE20" i="3" s="1"/>
  <c r="BF20" i="3" s="1"/>
  <c r="BG20" i="3" s="1"/>
  <c r="BH20" i="3" s="1"/>
  <c r="BI20" i="3" s="1"/>
  <c r="BJ20" i="3" s="1"/>
  <c r="BK20" i="3" s="1"/>
  <c r="BL20" i="3" s="1"/>
  <c r="BM20" i="3" s="1"/>
  <c r="BN20" i="3" s="1"/>
  <c r="BO20" i="3" s="1"/>
  <c r="BP20" i="3" s="1"/>
  <c r="BQ20" i="3" s="1"/>
  <c r="BR20" i="3" s="1"/>
  <c r="BS20" i="3" s="1"/>
  <c r="BT20" i="3" s="1"/>
  <c r="BU20" i="3" s="1"/>
  <c r="BV20" i="3" s="1"/>
  <c r="BW20" i="3" s="1"/>
  <c r="BX20" i="3" s="1"/>
  <c r="BY20" i="3" s="1"/>
  <c r="BZ20" i="3" s="1"/>
  <c r="CA20" i="3" s="1"/>
  <c r="CB20" i="3" s="1"/>
  <c r="CC20" i="3" s="1"/>
  <c r="CD20" i="3" s="1"/>
  <c r="CE20" i="3" s="1"/>
  <c r="CF20" i="3" s="1"/>
  <c r="CG20" i="3" s="1"/>
  <c r="CH20" i="3" s="1"/>
  <c r="CI20" i="3" s="1"/>
  <c r="CJ20" i="3" s="1"/>
  <c r="CK20" i="3" s="1"/>
  <c r="CL20" i="3" s="1"/>
  <c r="CM20" i="3" s="1"/>
  <c r="CN20" i="3" s="1"/>
  <c r="CO20" i="3" s="1"/>
  <c r="CP20" i="3" s="1"/>
  <c r="CQ20" i="3" s="1"/>
  <c r="CR20" i="3" s="1"/>
  <c r="CS20" i="3" s="1"/>
  <c r="CT20" i="3" s="1"/>
  <c r="CU20" i="3" s="1"/>
  <c r="CV20" i="3" s="1"/>
  <c r="CW20" i="3" s="1"/>
  <c r="CX20" i="3" s="1"/>
  <c r="CY20" i="3" s="1"/>
  <c r="CZ20" i="3" s="1"/>
  <c r="DA20" i="3" s="1"/>
  <c r="DB20" i="3" s="1"/>
  <c r="DC20" i="3" s="1"/>
  <c r="DD20" i="3" s="1"/>
  <c r="DE20" i="3" s="1"/>
  <c r="DF20" i="3" s="1"/>
  <c r="DG20" i="3" s="1"/>
  <c r="DH20" i="3" s="1"/>
  <c r="DI20" i="3" s="1"/>
  <c r="DJ20" i="3" s="1"/>
  <c r="DK20" i="3" s="1"/>
  <c r="DL20" i="3" s="1"/>
  <c r="DM20" i="3" s="1"/>
  <c r="DN20" i="3" s="1"/>
  <c r="DO20" i="3" s="1"/>
  <c r="DP20" i="3" s="1"/>
  <c r="DQ20" i="3" s="1"/>
  <c r="DR20" i="3" s="1"/>
  <c r="DS20" i="3" s="1"/>
  <c r="DT20" i="3" s="1"/>
  <c r="DU20" i="3" s="1"/>
  <c r="DV20" i="3" s="1"/>
  <c r="DW20" i="3" s="1"/>
  <c r="DX20" i="3" s="1"/>
  <c r="DY20" i="3" s="1"/>
  <c r="DZ20" i="3" s="1"/>
  <c r="EA20" i="3" s="1"/>
  <c r="EB20" i="3" s="1"/>
  <c r="EC20" i="3" s="1"/>
  <c r="ED20" i="3" s="1"/>
  <c r="EE20" i="3" s="1"/>
  <c r="C19" i="3"/>
  <c r="D19" i="3" s="1"/>
  <c r="E19" i="3" s="1"/>
  <c r="F19" i="3" s="1"/>
  <c r="G19" i="3" s="1"/>
  <c r="H19" i="3" s="1"/>
  <c r="I19" i="3" s="1"/>
  <c r="J19" i="3" s="1"/>
  <c r="K19" i="3" s="1"/>
  <c r="L19" i="3" s="1"/>
  <c r="M19" i="3" s="1"/>
  <c r="N19" i="3" s="1"/>
  <c r="O19" i="3" s="1"/>
  <c r="P19" i="3" s="1"/>
  <c r="Q19" i="3" s="1"/>
  <c r="R19" i="3" s="1"/>
  <c r="S19" i="3" s="1"/>
  <c r="T19" i="3" s="1"/>
  <c r="U19" i="3" s="1"/>
  <c r="V19" i="3" s="1"/>
  <c r="W19" i="3" s="1"/>
  <c r="X19" i="3" s="1"/>
  <c r="Y19" i="3" s="1"/>
  <c r="Z19" i="3" s="1"/>
  <c r="AA19" i="3" s="1"/>
  <c r="AB19" i="3" s="1"/>
  <c r="AC19" i="3" s="1"/>
  <c r="AD19" i="3" s="1"/>
  <c r="AE19" i="3" s="1"/>
  <c r="AF19" i="3" s="1"/>
  <c r="AG19" i="3" s="1"/>
  <c r="AH19" i="3" s="1"/>
  <c r="AI19" i="3" s="1"/>
  <c r="AJ19" i="3" s="1"/>
  <c r="AK19" i="3" s="1"/>
  <c r="AL19" i="3" s="1"/>
  <c r="AM19" i="3" s="1"/>
  <c r="AN19" i="3" s="1"/>
  <c r="AO19" i="3" s="1"/>
  <c r="AP19" i="3" s="1"/>
  <c r="AQ19" i="3" s="1"/>
  <c r="AR19" i="3" s="1"/>
  <c r="AS19" i="3" s="1"/>
  <c r="AT19" i="3" s="1"/>
  <c r="AU19" i="3" s="1"/>
  <c r="AV19" i="3" s="1"/>
  <c r="AW19" i="3" s="1"/>
  <c r="AX19" i="3" s="1"/>
  <c r="AY19" i="3" s="1"/>
  <c r="AZ19" i="3" s="1"/>
  <c r="BA19" i="3" s="1"/>
  <c r="BB19" i="3" s="1"/>
  <c r="BC19" i="3" s="1"/>
  <c r="BD19" i="3" s="1"/>
  <c r="BE19" i="3" s="1"/>
  <c r="BF19" i="3" s="1"/>
  <c r="BG19" i="3" s="1"/>
  <c r="BH19" i="3" s="1"/>
  <c r="BI19" i="3" s="1"/>
  <c r="BJ19" i="3" s="1"/>
  <c r="BK19" i="3" s="1"/>
  <c r="BL19" i="3" s="1"/>
  <c r="BM19" i="3" s="1"/>
  <c r="BN19" i="3" s="1"/>
  <c r="BO19" i="3" s="1"/>
  <c r="BP19" i="3" s="1"/>
  <c r="BQ19" i="3" s="1"/>
  <c r="BR19" i="3" s="1"/>
  <c r="BS19" i="3" s="1"/>
  <c r="BT19" i="3" s="1"/>
  <c r="BU19" i="3" s="1"/>
  <c r="BV19" i="3" s="1"/>
  <c r="BW19" i="3" s="1"/>
  <c r="BX19" i="3" s="1"/>
  <c r="BY19" i="3" s="1"/>
  <c r="BZ19" i="3" s="1"/>
  <c r="CA19" i="3" s="1"/>
  <c r="CB19" i="3" s="1"/>
  <c r="CC19" i="3" s="1"/>
  <c r="CD19" i="3" s="1"/>
  <c r="CE19" i="3" s="1"/>
  <c r="CF19" i="3" s="1"/>
  <c r="CG19" i="3" s="1"/>
  <c r="CH19" i="3" s="1"/>
  <c r="CI19" i="3" s="1"/>
  <c r="CJ19" i="3" s="1"/>
  <c r="CK19" i="3" s="1"/>
  <c r="CL19" i="3" s="1"/>
  <c r="CM19" i="3" s="1"/>
  <c r="CN19" i="3" s="1"/>
  <c r="CO19" i="3" s="1"/>
  <c r="CP19" i="3" s="1"/>
  <c r="CQ19" i="3" s="1"/>
  <c r="CR19" i="3" s="1"/>
  <c r="CS19" i="3" s="1"/>
  <c r="CT19" i="3" s="1"/>
  <c r="CU19" i="3" s="1"/>
  <c r="CV19" i="3" s="1"/>
  <c r="CW19" i="3" s="1"/>
  <c r="CX19" i="3" s="1"/>
  <c r="CY19" i="3" s="1"/>
  <c r="CZ19" i="3" s="1"/>
  <c r="DA19" i="3" s="1"/>
  <c r="DB19" i="3" s="1"/>
  <c r="DC19" i="3" s="1"/>
  <c r="DD19" i="3" s="1"/>
  <c r="DE19" i="3" s="1"/>
  <c r="DF19" i="3" s="1"/>
  <c r="DG19" i="3" s="1"/>
  <c r="DH19" i="3" s="1"/>
  <c r="DI19" i="3" s="1"/>
  <c r="DJ19" i="3" s="1"/>
  <c r="DK19" i="3" s="1"/>
  <c r="DL19" i="3" s="1"/>
  <c r="DM19" i="3" s="1"/>
  <c r="DN19" i="3" s="1"/>
  <c r="DO19" i="3" s="1"/>
  <c r="DP19" i="3" s="1"/>
  <c r="DQ19" i="3" s="1"/>
  <c r="DR19" i="3" s="1"/>
  <c r="DS19" i="3" s="1"/>
  <c r="DT19" i="3" s="1"/>
  <c r="DU19" i="3" s="1"/>
  <c r="DV19" i="3" s="1"/>
  <c r="DW19" i="3" s="1"/>
  <c r="DX19" i="3" s="1"/>
  <c r="DY19" i="3" s="1"/>
  <c r="DZ19" i="3" s="1"/>
  <c r="EA19" i="3" s="1"/>
  <c r="EB19" i="3" s="1"/>
  <c r="EC19" i="3" s="1"/>
  <c r="ED19" i="3" s="1"/>
  <c r="EE19" i="3" s="1"/>
  <c r="C18" i="3"/>
  <c r="D18" i="3" s="1"/>
  <c r="E18" i="3" s="1"/>
  <c r="F18" i="3" s="1"/>
  <c r="G18" i="3" s="1"/>
  <c r="H18" i="3" s="1"/>
  <c r="I18" i="3" s="1"/>
  <c r="J18" i="3" s="1"/>
  <c r="K18" i="3" s="1"/>
  <c r="L18" i="3" s="1"/>
  <c r="M18" i="3" s="1"/>
  <c r="N18" i="3" s="1"/>
  <c r="O18" i="3" s="1"/>
  <c r="P18" i="3" s="1"/>
  <c r="Q18" i="3" s="1"/>
  <c r="R18" i="3" s="1"/>
  <c r="S18" i="3" s="1"/>
  <c r="T18" i="3" s="1"/>
  <c r="U18" i="3" s="1"/>
  <c r="V18" i="3" s="1"/>
  <c r="W18" i="3" s="1"/>
  <c r="X18" i="3" s="1"/>
  <c r="Y18" i="3" s="1"/>
  <c r="Z18" i="3" s="1"/>
  <c r="AA18" i="3" s="1"/>
  <c r="AB18" i="3" s="1"/>
  <c r="AC18" i="3" s="1"/>
  <c r="AD18" i="3" s="1"/>
  <c r="AE18" i="3" s="1"/>
  <c r="AF18" i="3" s="1"/>
  <c r="AG18" i="3" s="1"/>
  <c r="AH18" i="3" s="1"/>
  <c r="AI18" i="3" s="1"/>
  <c r="AJ18" i="3" s="1"/>
  <c r="AK18" i="3" s="1"/>
  <c r="AL18" i="3" s="1"/>
  <c r="AM18" i="3" s="1"/>
  <c r="AN18" i="3" s="1"/>
  <c r="AO18" i="3" s="1"/>
  <c r="AP18" i="3" s="1"/>
  <c r="AQ18" i="3" s="1"/>
  <c r="AR18" i="3" s="1"/>
  <c r="AS18" i="3" s="1"/>
  <c r="AT18" i="3" s="1"/>
  <c r="AU18" i="3" s="1"/>
  <c r="AV18" i="3" s="1"/>
  <c r="AW18" i="3" s="1"/>
  <c r="AX18" i="3" s="1"/>
  <c r="AY18" i="3" s="1"/>
  <c r="AZ18" i="3" s="1"/>
  <c r="BA18" i="3" s="1"/>
  <c r="BB18" i="3" s="1"/>
  <c r="BC18" i="3" s="1"/>
  <c r="BD18" i="3" s="1"/>
  <c r="BE18" i="3" s="1"/>
  <c r="BF18" i="3" s="1"/>
  <c r="BG18" i="3" s="1"/>
  <c r="BH18" i="3" s="1"/>
  <c r="BI18" i="3" s="1"/>
  <c r="BJ18" i="3" s="1"/>
  <c r="BK18" i="3" s="1"/>
  <c r="BL18" i="3" s="1"/>
  <c r="BM18" i="3" s="1"/>
  <c r="BN18" i="3" s="1"/>
  <c r="BO18" i="3" s="1"/>
  <c r="BP18" i="3" s="1"/>
  <c r="BQ18" i="3" s="1"/>
  <c r="BR18" i="3" s="1"/>
  <c r="BS18" i="3" s="1"/>
  <c r="BT18" i="3" s="1"/>
  <c r="BU18" i="3" s="1"/>
  <c r="BV18" i="3" s="1"/>
  <c r="BW18" i="3" s="1"/>
  <c r="BX18" i="3" s="1"/>
  <c r="BY18" i="3" s="1"/>
  <c r="BZ18" i="3" s="1"/>
  <c r="CA18" i="3" s="1"/>
  <c r="CB18" i="3" s="1"/>
  <c r="CC18" i="3" s="1"/>
  <c r="CD18" i="3" s="1"/>
  <c r="CE18" i="3" s="1"/>
  <c r="CF18" i="3" s="1"/>
  <c r="CG18" i="3" s="1"/>
  <c r="CH18" i="3" s="1"/>
  <c r="CI18" i="3" s="1"/>
  <c r="CJ18" i="3" s="1"/>
  <c r="CK18" i="3" s="1"/>
  <c r="CL18" i="3" s="1"/>
  <c r="CM18" i="3" s="1"/>
  <c r="CN18" i="3" s="1"/>
  <c r="CO18" i="3" s="1"/>
  <c r="CP18" i="3" s="1"/>
  <c r="CQ18" i="3" s="1"/>
  <c r="CR18" i="3" s="1"/>
  <c r="CS18" i="3" s="1"/>
  <c r="CT18" i="3" s="1"/>
  <c r="CU18" i="3" s="1"/>
  <c r="CV18" i="3" s="1"/>
  <c r="CW18" i="3" s="1"/>
  <c r="CX18" i="3" s="1"/>
  <c r="CY18" i="3" s="1"/>
  <c r="CZ18" i="3" s="1"/>
  <c r="DA18" i="3" s="1"/>
  <c r="DB18" i="3" s="1"/>
  <c r="DC18" i="3" s="1"/>
  <c r="DD18" i="3" s="1"/>
  <c r="DE18" i="3" s="1"/>
  <c r="DF18" i="3" s="1"/>
  <c r="DG18" i="3" s="1"/>
  <c r="DH18" i="3" s="1"/>
  <c r="DI18" i="3" s="1"/>
  <c r="DJ18" i="3" s="1"/>
  <c r="DK18" i="3" s="1"/>
  <c r="DL18" i="3" s="1"/>
  <c r="DM18" i="3" s="1"/>
  <c r="DN18" i="3" s="1"/>
  <c r="DO18" i="3" s="1"/>
  <c r="DP18" i="3" s="1"/>
  <c r="DQ18" i="3" s="1"/>
  <c r="DR18" i="3" s="1"/>
  <c r="DS18" i="3" s="1"/>
  <c r="DT18" i="3" s="1"/>
  <c r="DU18" i="3" s="1"/>
  <c r="DV18" i="3" s="1"/>
  <c r="DW18" i="3" s="1"/>
  <c r="DX18" i="3" s="1"/>
  <c r="DY18" i="3" s="1"/>
  <c r="DZ18" i="3" s="1"/>
  <c r="EA18" i="3" s="1"/>
  <c r="EB18" i="3" s="1"/>
  <c r="EC18" i="3" s="1"/>
  <c r="ED18" i="3" s="1"/>
  <c r="EE18" i="3" s="1"/>
  <c r="C17" i="3"/>
  <c r="D17" i="3" s="1"/>
  <c r="E17" i="3" s="1"/>
  <c r="F17" i="3" s="1"/>
  <c r="G17" i="3" s="1"/>
  <c r="H17" i="3" s="1"/>
  <c r="I17" i="3" s="1"/>
  <c r="J17" i="3" s="1"/>
  <c r="K17" i="3" s="1"/>
  <c r="L17" i="3" s="1"/>
  <c r="M17" i="3" s="1"/>
  <c r="N17" i="3" s="1"/>
  <c r="O17" i="3" s="1"/>
  <c r="P17" i="3" s="1"/>
  <c r="Q17" i="3" s="1"/>
  <c r="R17" i="3" s="1"/>
  <c r="S17" i="3" s="1"/>
  <c r="T17" i="3" s="1"/>
  <c r="U17" i="3" s="1"/>
  <c r="V17" i="3" s="1"/>
  <c r="W17" i="3" s="1"/>
  <c r="X17" i="3" s="1"/>
  <c r="Y17" i="3" s="1"/>
  <c r="Z17" i="3" s="1"/>
  <c r="AA17" i="3" s="1"/>
  <c r="AB17" i="3" s="1"/>
  <c r="AC17" i="3" s="1"/>
  <c r="AD17" i="3" s="1"/>
  <c r="AE17" i="3" s="1"/>
  <c r="AF17" i="3" s="1"/>
  <c r="AG17" i="3" s="1"/>
  <c r="AH17" i="3" s="1"/>
  <c r="AI17" i="3" s="1"/>
  <c r="AJ17" i="3" s="1"/>
  <c r="AK17" i="3" s="1"/>
  <c r="AL17" i="3" s="1"/>
  <c r="AM17" i="3" s="1"/>
  <c r="AN17" i="3" s="1"/>
  <c r="AO17" i="3" s="1"/>
  <c r="AP17" i="3" s="1"/>
  <c r="AQ17" i="3" s="1"/>
  <c r="AR17" i="3" s="1"/>
  <c r="AS17" i="3" s="1"/>
  <c r="AT17" i="3" s="1"/>
  <c r="AU17" i="3" s="1"/>
  <c r="AV17" i="3" s="1"/>
  <c r="AW17" i="3" s="1"/>
  <c r="AX17" i="3" s="1"/>
  <c r="AY17" i="3" s="1"/>
  <c r="AZ17" i="3" s="1"/>
  <c r="BA17" i="3" s="1"/>
  <c r="BB17" i="3" s="1"/>
  <c r="BC17" i="3" s="1"/>
  <c r="BD17" i="3" s="1"/>
  <c r="BE17" i="3" s="1"/>
  <c r="BF17" i="3" s="1"/>
  <c r="BG17" i="3" s="1"/>
  <c r="BH17" i="3" s="1"/>
  <c r="BI17" i="3" s="1"/>
  <c r="BJ17" i="3" s="1"/>
  <c r="BK17" i="3" s="1"/>
  <c r="BL17" i="3" s="1"/>
  <c r="BM17" i="3" s="1"/>
  <c r="BN17" i="3" s="1"/>
  <c r="BO17" i="3" s="1"/>
  <c r="BP17" i="3" s="1"/>
  <c r="BQ17" i="3" s="1"/>
  <c r="BR17" i="3" s="1"/>
  <c r="BS17" i="3" s="1"/>
  <c r="BT17" i="3" s="1"/>
  <c r="BU17" i="3" s="1"/>
  <c r="BV17" i="3" s="1"/>
  <c r="BW17" i="3" s="1"/>
  <c r="BX17" i="3" s="1"/>
  <c r="BY17" i="3" s="1"/>
  <c r="BZ17" i="3" s="1"/>
  <c r="CA17" i="3" s="1"/>
  <c r="CB17" i="3" s="1"/>
  <c r="CC17" i="3" s="1"/>
  <c r="CD17" i="3" s="1"/>
  <c r="CE17" i="3" s="1"/>
  <c r="CF17" i="3" s="1"/>
  <c r="CG17" i="3" s="1"/>
  <c r="CH17" i="3" s="1"/>
  <c r="CI17" i="3" s="1"/>
  <c r="CJ17" i="3" s="1"/>
  <c r="CK17" i="3" s="1"/>
  <c r="CL17" i="3" s="1"/>
  <c r="CM17" i="3" s="1"/>
  <c r="CN17" i="3" s="1"/>
  <c r="CO17" i="3" s="1"/>
  <c r="CP17" i="3" s="1"/>
  <c r="CQ17" i="3" s="1"/>
  <c r="CR17" i="3" s="1"/>
  <c r="CS17" i="3" s="1"/>
  <c r="CT17" i="3" s="1"/>
  <c r="CU17" i="3" s="1"/>
  <c r="CV17" i="3" s="1"/>
  <c r="CW17" i="3" s="1"/>
  <c r="CX17" i="3" s="1"/>
  <c r="CY17" i="3" s="1"/>
  <c r="CZ17" i="3" s="1"/>
  <c r="DA17" i="3" s="1"/>
  <c r="DB17" i="3" s="1"/>
  <c r="DC17" i="3" s="1"/>
  <c r="DD17" i="3" s="1"/>
  <c r="DE17" i="3" s="1"/>
  <c r="DF17" i="3" s="1"/>
  <c r="DG17" i="3" s="1"/>
  <c r="DH17" i="3" s="1"/>
  <c r="DI17" i="3" s="1"/>
  <c r="DJ17" i="3" s="1"/>
  <c r="DK17" i="3" s="1"/>
  <c r="DL17" i="3" s="1"/>
  <c r="DM17" i="3" s="1"/>
  <c r="DN17" i="3" s="1"/>
  <c r="DO17" i="3" s="1"/>
  <c r="DP17" i="3" s="1"/>
  <c r="DQ17" i="3" s="1"/>
  <c r="DR17" i="3" s="1"/>
  <c r="DS17" i="3" s="1"/>
  <c r="DT17" i="3" s="1"/>
  <c r="DU17" i="3" s="1"/>
  <c r="DV17" i="3" s="1"/>
  <c r="DW17" i="3" s="1"/>
  <c r="DX17" i="3" s="1"/>
  <c r="DY17" i="3" s="1"/>
  <c r="DZ17" i="3" s="1"/>
  <c r="EA17" i="3" s="1"/>
  <c r="EB17" i="3" s="1"/>
  <c r="EC17" i="3" s="1"/>
  <c r="ED17" i="3" s="1"/>
  <c r="EE17" i="3" s="1"/>
  <c r="C16" i="3"/>
  <c r="D16" i="3" s="1"/>
  <c r="E16" i="3" s="1"/>
  <c r="F16" i="3" s="1"/>
  <c r="G16" i="3" s="1"/>
  <c r="H16" i="3" s="1"/>
  <c r="I16" i="3" s="1"/>
  <c r="J16" i="3" s="1"/>
  <c r="K16" i="3" s="1"/>
  <c r="L16" i="3" s="1"/>
  <c r="M16" i="3" s="1"/>
  <c r="N16" i="3" s="1"/>
  <c r="O16" i="3" s="1"/>
  <c r="P16" i="3" s="1"/>
  <c r="Q16" i="3" s="1"/>
  <c r="R16" i="3" s="1"/>
  <c r="S16" i="3" s="1"/>
  <c r="T16" i="3" s="1"/>
  <c r="U16" i="3" s="1"/>
  <c r="V16" i="3" s="1"/>
  <c r="W16" i="3" s="1"/>
  <c r="X16" i="3" s="1"/>
  <c r="Y16" i="3" s="1"/>
  <c r="Z16" i="3" s="1"/>
  <c r="AA16" i="3" s="1"/>
  <c r="AB16" i="3" s="1"/>
  <c r="AC16" i="3" s="1"/>
  <c r="AD16" i="3" s="1"/>
  <c r="AE16" i="3" s="1"/>
  <c r="AF16" i="3" s="1"/>
  <c r="AG16" i="3" s="1"/>
  <c r="AH16" i="3" s="1"/>
  <c r="AI16" i="3" s="1"/>
  <c r="AJ16" i="3" s="1"/>
  <c r="AK16" i="3" s="1"/>
  <c r="AL16" i="3" s="1"/>
  <c r="AM16" i="3" s="1"/>
  <c r="AN16" i="3" s="1"/>
  <c r="AO16" i="3" s="1"/>
  <c r="AP16" i="3" s="1"/>
  <c r="AQ16" i="3" s="1"/>
  <c r="AR16" i="3" s="1"/>
  <c r="AS16" i="3" s="1"/>
  <c r="AT16" i="3" s="1"/>
  <c r="AU16" i="3" s="1"/>
  <c r="AV16" i="3" s="1"/>
  <c r="AW16" i="3" s="1"/>
  <c r="AX16" i="3" s="1"/>
  <c r="AY16" i="3" s="1"/>
  <c r="AZ16" i="3" s="1"/>
  <c r="BA16" i="3" s="1"/>
  <c r="BB16" i="3" s="1"/>
  <c r="BC16" i="3" s="1"/>
  <c r="BD16" i="3" s="1"/>
  <c r="BE16" i="3" s="1"/>
  <c r="BF16" i="3" s="1"/>
  <c r="BG16" i="3" s="1"/>
  <c r="BH16" i="3" s="1"/>
  <c r="BI16" i="3" s="1"/>
  <c r="BJ16" i="3" s="1"/>
  <c r="BK16" i="3" s="1"/>
  <c r="BL16" i="3" s="1"/>
  <c r="BM16" i="3" s="1"/>
  <c r="BN16" i="3" s="1"/>
  <c r="BO16" i="3" s="1"/>
  <c r="BP16" i="3" s="1"/>
  <c r="BQ16" i="3" s="1"/>
  <c r="BR16" i="3" s="1"/>
  <c r="BS16" i="3" s="1"/>
  <c r="BT16" i="3" s="1"/>
  <c r="BU16" i="3" s="1"/>
  <c r="BV16" i="3" s="1"/>
  <c r="BW16" i="3" s="1"/>
  <c r="BX16" i="3" s="1"/>
  <c r="BY16" i="3" s="1"/>
  <c r="BZ16" i="3" s="1"/>
  <c r="CA16" i="3" s="1"/>
  <c r="CB16" i="3" s="1"/>
  <c r="CC16" i="3" s="1"/>
  <c r="CD16" i="3" s="1"/>
  <c r="CE16" i="3" s="1"/>
  <c r="CF16" i="3" s="1"/>
  <c r="CG16" i="3" s="1"/>
  <c r="CH16" i="3" s="1"/>
  <c r="CI16" i="3" s="1"/>
  <c r="CJ16" i="3" s="1"/>
  <c r="CK16" i="3" s="1"/>
  <c r="CL16" i="3" s="1"/>
  <c r="CM16" i="3" s="1"/>
  <c r="CN16" i="3" s="1"/>
  <c r="CO16" i="3" s="1"/>
  <c r="CP16" i="3" s="1"/>
  <c r="CQ16" i="3" s="1"/>
  <c r="CR16" i="3" s="1"/>
  <c r="CS16" i="3" s="1"/>
  <c r="CT16" i="3" s="1"/>
  <c r="CU16" i="3" s="1"/>
  <c r="CV16" i="3" s="1"/>
  <c r="CW16" i="3" s="1"/>
  <c r="CX16" i="3" s="1"/>
  <c r="CY16" i="3" s="1"/>
  <c r="CZ16" i="3" s="1"/>
  <c r="DA16" i="3" s="1"/>
  <c r="DB16" i="3" s="1"/>
  <c r="DC16" i="3" s="1"/>
  <c r="DD16" i="3" s="1"/>
  <c r="DE16" i="3" s="1"/>
  <c r="DF16" i="3" s="1"/>
  <c r="DG16" i="3" s="1"/>
  <c r="DH16" i="3" s="1"/>
  <c r="DI16" i="3" s="1"/>
  <c r="DJ16" i="3" s="1"/>
  <c r="DK16" i="3" s="1"/>
  <c r="DL16" i="3" s="1"/>
  <c r="DM16" i="3" s="1"/>
  <c r="DN16" i="3" s="1"/>
  <c r="DO16" i="3" s="1"/>
  <c r="DP16" i="3" s="1"/>
  <c r="DQ16" i="3" s="1"/>
  <c r="DR16" i="3" s="1"/>
  <c r="DS16" i="3" s="1"/>
  <c r="DT16" i="3" s="1"/>
  <c r="DU16" i="3" s="1"/>
  <c r="DV16" i="3" s="1"/>
  <c r="DW16" i="3" s="1"/>
  <c r="DX16" i="3" s="1"/>
  <c r="DY16" i="3" s="1"/>
  <c r="DZ16" i="3" s="1"/>
  <c r="EA16" i="3" s="1"/>
  <c r="EB16" i="3" s="1"/>
  <c r="EC16" i="3" s="1"/>
  <c r="ED16" i="3" s="1"/>
  <c r="EE16" i="3" s="1"/>
  <c r="C15" i="3"/>
  <c r="D15" i="3" s="1"/>
  <c r="E15" i="3" s="1"/>
  <c r="F15" i="3" s="1"/>
  <c r="G15" i="3" s="1"/>
  <c r="H15" i="3" s="1"/>
  <c r="I15" i="3" s="1"/>
  <c r="J15" i="3" s="1"/>
  <c r="K15" i="3" s="1"/>
  <c r="L15" i="3" s="1"/>
  <c r="M15" i="3" s="1"/>
  <c r="N15" i="3" s="1"/>
  <c r="O15" i="3" s="1"/>
  <c r="P15" i="3" s="1"/>
  <c r="Q15" i="3" s="1"/>
  <c r="R15" i="3" s="1"/>
  <c r="S15" i="3" s="1"/>
  <c r="T15" i="3" s="1"/>
  <c r="U15" i="3" s="1"/>
  <c r="V15" i="3" s="1"/>
  <c r="W15" i="3" s="1"/>
  <c r="X15" i="3" s="1"/>
  <c r="Y15" i="3" s="1"/>
  <c r="Z15" i="3" s="1"/>
  <c r="AA15" i="3" s="1"/>
  <c r="AB15" i="3" s="1"/>
  <c r="AC15" i="3" s="1"/>
  <c r="AD15" i="3" s="1"/>
  <c r="AE15" i="3" s="1"/>
  <c r="AF15" i="3" s="1"/>
  <c r="AG15" i="3" s="1"/>
  <c r="AH15" i="3" s="1"/>
  <c r="AI15" i="3" s="1"/>
  <c r="AJ15" i="3" s="1"/>
  <c r="AK15" i="3" s="1"/>
  <c r="AL15" i="3" s="1"/>
  <c r="AM15" i="3" s="1"/>
  <c r="AN15" i="3" s="1"/>
  <c r="AO15" i="3" s="1"/>
  <c r="AP15" i="3" s="1"/>
  <c r="AQ15" i="3" s="1"/>
  <c r="AR15" i="3" s="1"/>
  <c r="AS15" i="3" s="1"/>
  <c r="AT15" i="3" s="1"/>
  <c r="AU15" i="3" s="1"/>
  <c r="AV15" i="3" s="1"/>
  <c r="AW15" i="3" s="1"/>
  <c r="AX15" i="3" s="1"/>
  <c r="AY15" i="3" s="1"/>
  <c r="AZ15" i="3" s="1"/>
  <c r="BA15" i="3" s="1"/>
  <c r="BB15" i="3" s="1"/>
  <c r="BC15" i="3" s="1"/>
  <c r="BD15" i="3" s="1"/>
  <c r="BE15" i="3" s="1"/>
  <c r="BF15" i="3" s="1"/>
  <c r="BG15" i="3" s="1"/>
  <c r="BH15" i="3" s="1"/>
  <c r="BI15" i="3" s="1"/>
  <c r="BJ15" i="3" s="1"/>
  <c r="BK15" i="3" s="1"/>
  <c r="BL15" i="3" s="1"/>
  <c r="BM15" i="3" s="1"/>
  <c r="BN15" i="3" s="1"/>
  <c r="BO15" i="3" s="1"/>
  <c r="BP15" i="3" s="1"/>
  <c r="BQ15" i="3" s="1"/>
  <c r="BR15" i="3" s="1"/>
  <c r="BS15" i="3" s="1"/>
  <c r="BT15" i="3" s="1"/>
  <c r="BU15" i="3" s="1"/>
  <c r="BV15" i="3" s="1"/>
  <c r="BW15" i="3" s="1"/>
  <c r="BX15" i="3" s="1"/>
  <c r="BY15" i="3" s="1"/>
  <c r="BZ15" i="3" s="1"/>
  <c r="CA15" i="3" s="1"/>
  <c r="CB15" i="3" s="1"/>
  <c r="CC15" i="3" s="1"/>
  <c r="CD15" i="3" s="1"/>
  <c r="CE15" i="3" s="1"/>
  <c r="CF15" i="3" s="1"/>
  <c r="CG15" i="3" s="1"/>
  <c r="CH15" i="3" s="1"/>
  <c r="CI15" i="3" s="1"/>
  <c r="CJ15" i="3" s="1"/>
  <c r="CK15" i="3" s="1"/>
  <c r="CL15" i="3" s="1"/>
  <c r="CM15" i="3" s="1"/>
  <c r="CN15" i="3" s="1"/>
  <c r="CO15" i="3" s="1"/>
  <c r="CP15" i="3" s="1"/>
  <c r="CQ15" i="3" s="1"/>
  <c r="CR15" i="3" s="1"/>
  <c r="CS15" i="3" s="1"/>
  <c r="CT15" i="3" s="1"/>
  <c r="CU15" i="3" s="1"/>
  <c r="CV15" i="3" s="1"/>
  <c r="CW15" i="3" s="1"/>
  <c r="CX15" i="3" s="1"/>
  <c r="CY15" i="3" s="1"/>
  <c r="CZ15" i="3" s="1"/>
  <c r="DA15" i="3" s="1"/>
  <c r="DB15" i="3" s="1"/>
  <c r="DC15" i="3" s="1"/>
  <c r="DD15" i="3" s="1"/>
  <c r="DE15" i="3" s="1"/>
  <c r="DF15" i="3" s="1"/>
  <c r="DG15" i="3" s="1"/>
  <c r="DH15" i="3" s="1"/>
  <c r="DI15" i="3" s="1"/>
  <c r="DJ15" i="3" s="1"/>
  <c r="DK15" i="3" s="1"/>
  <c r="DL15" i="3" s="1"/>
  <c r="DM15" i="3" s="1"/>
  <c r="DN15" i="3" s="1"/>
  <c r="DO15" i="3" s="1"/>
  <c r="DP15" i="3" s="1"/>
  <c r="DQ15" i="3" s="1"/>
  <c r="DR15" i="3" s="1"/>
  <c r="DS15" i="3" s="1"/>
  <c r="DT15" i="3" s="1"/>
  <c r="DU15" i="3" s="1"/>
  <c r="DV15" i="3" s="1"/>
  <c r="DW15" i="3" s="1"/>
  <c r="DX15" i="3" s="1"/>
  <c r="DY15" i="3" s="1"/>
  <c r="DZ15" i="3" s="1"/>
  <c r="EA15" i="3" s="1"/>
  <c r="EB15" i="3" s="1"/>
  <c r="EC15" i="3" s="1"/>
  <c r="ED15" i="3" s="1"/>
  <c r="EE15" i="3" s="1"/>
  <c r="C14" i="3"/>
  <c r="D14" i="3" s="1"/>
  <c r="E14" i="3" s="1"/>
  <c r="F14" i="3" s="1"/>
  <c r="G14" i="3" s="1"/>
  <c r="H14" i="3" s="1"/>
  <c r="I14" i="3" s="1"/>
  <c r="J14" i="3" s="1"/>
  <c r="K14" i="3" s="1"/>
  <c r="L14" i="3" s="1"/>
  <c r="M14" i="3" s="1"/>
  <c r="N14" i="3" s="1"/>
  <c r="O14" i="3" s="1"/>
  <c r="P14" i="3" s="1"/>
  <c r="Q14" i="3" s="1"/>
  <c r="R14" i="3" s="1"/>
  <c r="S14" i="3" s="1"/>
  <c r="T14" i="3" s="1"/>
  <c r="U14" i="3" s="1"/>
  <c r="V14" i="3" s="1"/>
  <c r="W14" i="3" s="1"/>
  <c r="X14" i="3" s="1"/>
  <c r="Y14" i="3" s="1"/>
  <c r="Z14" i="3" s="1"/>
  <c r="AA14" i="3" s="1"/>
  <c r="AB14" i="3" s="1"/>
  <c r="AC14" i="3" s="1"/>
  <c r="AD14" i="3" s="1"/>
  <c r="AE14" i="3" s="1"/>
  <c r="AF14" i="3" s="1"/>
  <c r="AG14" i="3" s="1"/>
  <c r="AH14" i="3" s="1"/>
  <c r="AI14" i="3" s="1"/>
  <c r="AJ14" i="3" s="1"/>
  <c r="AK14" i="3" s="1"/>
  <c r="AL14" i="3" s="1"/>
  <c r="AM14" i="3" s="1"/>
  <c r="AN14" i="3" s="1"/>
  <c r="AO14" i="3" s="1"/>
  <c r="AP14" i="3" s="1"/>
  <c r="AQ14" i="3" s="1"/>
  <c r="AR14" i="3" s="1"/>
  <c r="AS14" i="3" s="1"/>
  <c r="AT14" i="3" s="1"/>
  <c r="AU14" i="3" s="1"/>
  <c r="AV14" i="3" s="1"/>
  <c r="AW14" i="3" s="1"/>
  <c r="AX14" i="3" s="1"/>
  <c r="AY14" i="3" s="1"/>
  <c r="AZ14" i="3" s="1"/>
  <c r="BA14" i="3" s="1"/>
  <c r="BB14" i="3" s="1"/>
  <c r="BC14" i="3" s="1"/>
  <c r="BD14" i="3" s="1"/>
  <c r="BE14" i="3" s="1"/>
  <c r="BF14" i="3" s="1"/>
  <c r="BG14" i="3" s="1"/>
  <c r="BH14" i="3" s="1"/>
  <c r="BI14" i="3" s="1"/>
  <c r="BJ14" i="3" s="1"/>
  <c r="BK14" i="3" s="1"/>
  <c r="BL14" i="3" s="1"/>
  <c r="BM14" i="3" s="1"/>
  <c r="BN14" i="3" s="1"/>
  <c r="BO14" i="3" s="1"/>
  <c r="BP14" i="3" s="1"/>
  <c r="BQ14" i="3" s="1"/>
  <c r="BR14" i="3" s="1"/>
  <c r="BS14" i="3" s="1"/>
  <c r="BT14" i="3" s="1"/>
  <c r="BU14" i="3" s="1"/>
  <c r="BV14" i="3" s="1"/>
  <c r="BW14" i="3" s="1"/>
  <c r="BX14" i="3" s="1"/>
  <c r="BY14" i="3" s="1"/>
  <c r="BZ14" i="3" s="1"/>
  <c r="CA14" i="3" s="1"/>
  <c r="CB14" i="3" s="1"/>
  <c r="CC14" i="3" s="1"/>
  <c r="CD14" i="3" s="1"/>
  <c r="CE14" i="3" s="1"/>
  <c r="CF14" i="3" s="1"/>
  <c r="CG14" i="3" s="1"/>
  <c r="CH14" i="3" s="1"/>
  <c r="CI14" i="3" s="1"/>
  <c r="CJ14" i="3" s="1"/>
  <c r="CK14" i="3" s="1"/>
  <c r="CL14" i="3" s="1"/>
  <c r="CM14" i="3" s="1"/>
  <c r="CN14" i="3" s="1"/>
  <c r="CO14" i="3" s="1"/>
  <c r="CP14" i="3" s="1"/>
  <c r="CQ14" i="3" s="1"/>
  <c r="CR14" i="3" s="1"/>
  <c r="CS14" i="3" s="1"/>
  <c r="CT14" i="3" s="1"/>
  <c r="CU14" i="3" s="1"/>
  <c r="CV14" i="3" s="1"/>
  <c r="CW14" i="3" s="1"/>
  <c r="CX14" i="3" s="1"/>
  <c r="CY14" i="3" s="1"/>
  <c r="CZ14" i="3" s="1"/>
  <c r="DA14" i="3" s="1"/>
  <c r="DB14" i="3" s="1"/>
  <c r="DC14" i="3" s="1"/>
  <c r="DD14" i="3" s="1"/>
  <c r="DE14" i="3" s="1"/>
  <c r="DF14" i="3" s="1"/>
  <c r="DG14" i="3" s="1"/>
  <c r="DH14" i="3" s="1"/>
  <c r="DI14" i="3" s="1"/>
  <c r="DJ14" i="3" s="1"/>
  <c r="DK14" i="3" s="1"/>
  <c r="DL14" i="3" s="1"/>
  <c r="DM14" i="3" s="1"/>
  <c r="DN14" i="3" s="1"/>
  <c r="DO14" i="3" s="1"/>
  <c r="DP14" i="3" s="1"/>
  <c r="DQ14" i="3" s="1"/>
  <c r="DR14" i="3" s="1"/>
  <c r="DS14" i="3" s="1"/>
  <c r="DT14" i="3" s="1"/>
  <c r="DU14" i="3" s="1"/>
  <c r="DV14" i="3" s="1"/>
  <c r="DW14" i="3" s="1"/>
  <c r="DX14" i="3" s="1"/>
  <c r="DY14" i="3" s="1"/>
  <c r="DZ14" i="3" s="1"/>
  <c r="EA14" i="3" s="1"/>
  <c r="EB14" i="3" s="1"/>
  <c r="EC14" i="3" s="1"/>
  <c r="ED14" i="3" s="1"/>
  <c r="EE14" i="3" s="1"/>
  <c r="C13" i="3"/>
  <c r="D13" i="3" s="1"/>
  <c r="E13" i="3" s="1"/>
  <c r="F13" i="3" s="1"/>
  <c r="G13" i="3" s="1"/>
  <c r="H13" i="3" s="1"/>
  <c r="I13" i="3" s="1"/>
  <c r="J13" i="3" s="1"/>
  <c r="K13" i="3" s="1"/>
  <c r="L13" i="3" s="1"/>
  <c r="M13" i="3" s="1"/>
  <c r="N13" i="3" s="1"/>
  <c r="O13" i="3" s="1"/>
  <c r="P13" i="3" s="1"/>
  <c r="Q13" i="3" s="1"/>
  <c r="R13" i="3" s="1"/>
  <c r="S13" i="3" s="1"/>
  <c r="T13" i="3" s="1"/>
  <c r="U13" i="3" s="1"/>
  <c r="V13" i="3" s="1"/>
  <c r="W13" i="3" s="1"/>
  <c r="X13" i="3" s="1"/>
  <c r="Y13" i="3" s="1"/>
  <c r="Z13" i="3" s="1"/>
  <c r="AA13" i="3" s="1"/>
  <c r="AB13" i="3" s="1"/>
  <c r="AC13" i="3" s="1"/>
  <c r="AD13" i="3" s="1"/>
  <c r="AE13" i="3" s="1"/>
  <c r="AF13" i="3" s="1"/>
  <c r="AG13" i="3" s="1"/>
  <c r="AH13" i="3" s="1"/>
  <c r="AI13" i="3" s="1"/>
  <c r="AJ13" i="3" s="1"/>
  <c r="AK13" i="3" s="1"/>
  <c r="AL13" i="3" s="1"/>
  <c r="AM13" i="3" s="1"/>
  <c r="AN13" i="3" s="1"/>
  <c r="AO13" i="3" s="1"/>
  <c r="AP13" i="3" s="1"/>
  <c r="AQ13" i="3" s="1"/>
  <c r="AR13" i="3" s="1"/>
  <c r="AS13" i="3" s="1"/>
  <c r="AT13" i="3" s="1"/>
  <c r="AU13" i="3" s="1"/>
  <c r="AV13" i="3" s="1"/>
  <c r="AW13" i="3" s="1"/>
  <c r="AX13" i="3" s="1"/>
  <c r="AY13" i="3" s="1"/>
  <c r="AZ13" i="3" s="1"/>
  <c r="BA13" i="3" s="1"/>
  <c r="BB13" i="3" s="1"/>
  <c r="BC13" i="3" s="1"/>
  <c r="BD13" i="3" s="1"/>
  <c r="BE13" i="3" s="1"/>
  <c r="BF13" i="3" s="1"/>
  <c r="BG13" i="3" s="1"/>
  <c r="BH13" i="3" s="1"/>
  <c r="BI13" i="3" s="1"/>
  <c r="BJ13" i="3" s="1"/>
  <c r="BK13" i="3" s="1"/>
  <c r="BL13" i="3" s="1"/>
  <c r="BM13" i="3" s="1"/>
  <c r="BN13" i="3" s="1"/>
  <c r="BO13" i="3" s="1"/>
  <c r="BP13" i="3" s="1"/>
  <c r="BQ13" i="3" s="1"/>
  <c r="BR13" i="3" s="1"/>
  <c r="BS13" i="3" s="1"/>
  <c r="BT13" i="3" s="1"/>
  <c r="BU13" i="3" s="1"/>
  <c r="BV13" i="3" s="1"/>
  <c r="BW13" i="3" s="1"/>
  <c r="BX13" i="3" s="1"/>
  <c r="BY13" i="3" s="1"/>
  <c r="BZ13" i="3" s="1"/>
  <c r="CA13" i="3" s="1"/>
  <c r="CB13" i="3" s="1"/>
  <c r="CC13" i="3" s="1"/>
  <c r="CD13" i="3" s="1"/>
  <c r="CE13" i="3" s="1"/>
  <c r="CF13" i="3" s="1"/>
  <c r="CG13" i="3" s="1"/>
  <c r="CH13" i="3" s="1"/>
  <c r="CI13" i="3" s="1"/>
  <c r="CJ13" i="3" s="1"/>
  <c r="CK13" i="3" s="1"/>
  <c r="CL13" i="3" s="1"/>
  <c r="CM13" i="3" s="1"/>
  <c r="CN13" i="3" s="1"/>
  <c r="CO13" i="3" s="1"/>
  <c r="CP13" i="3" s="1"/>
  <c r="CQ13" i="3" s="1"/>
  <c r="CR13" i="3" s="1"/>
  <c r="CS13" i="3" s="1"/>
  <c r="CT13" i="3" s="1"/>
  <c r="CU13" i="3" s="1"/>
  <c r="CV13" i="3" s="1"/>
  <c r="CW13" i="3" s="1"/>
  <c r="CX13" i="3" s="1"/>
  <c r="CY13" i="3" s="1"/>
  <c r="CZ13" i="3" s="1"/>
  <c r="DA13" i="3" s="1"/>
  <c r="DB13" i="3" s="1"/>
  <c r="DC13" i="3" s="1"/>
  <c r="DD13" i="3" s="1"/>
  <c r="DE13" i="3" s="1"/>
  <c r="DF13" i="3" s="1"/>
  <c r="DG13" i="3" s="1"/>
  <c r="DH13" i="3" s="1"/>
  <c r="DI13" i="3" s="1"/>
  <c r="DJ13" i="3" s="1"/>
  <c r="DK13" i="3" s="1"/>
  <c r="DL13" i="3" s="1"/>
  <c r="DM13" i="3" s="1"/>
  <c r="DN13" i="3" s="1"/>
  <c r="DO13" i="3" s="1"/>
  <c r="DP13" i="3" s="1"/>
  <c r="DQ13" i="3" s="1"/>
  <c r="DR13" i="3" s="1"/>
  <c r="DS13" i="3" s="1"/>
  <c r="DT13" i="3" s="1"/>
  <c r="DU13" i="3" s="1"/>
  <c r="DV13" i="3" s="1"/>
  <c r="DW13" i="3" s="1"/>
  <c r="DX13" i="3" s="1"/>
  <c r="DY13" i="3" s="1"/>
  <c r="DZ13" i="3" s="1"/>
  <c r="EA13" i="3" s="1"/>
  <c r="EB13" i="3" s="1"/>
  <c r="EC13" i="3" s="1"/>
  <c r="ED13" i="3" s="1"/>
  <c r="EE13" i="3" s="1"/>
  <c r="EF24" i="2"/>
  <c r="EE24" i="2"/>
  <c r="ED24" i="2"/>
  <c r="EC24" i="2"/>
  <c r="EB24" i="2"/>
  <c r="EA24" i="2"/>
  <c r="DZ24" i="2"/>
  <c r="DX24" i="2"/>
  <c r="DW24" i="2"/>
  <c r="DV24" i="2"/>
  <c r="DU24" i="2"/>
  <c r="DT24" i="2"/>
  <c r="DS24" i="2"/>
  <c r="DR24" i="2"/>
  <c r="DQ24" i="2"/>
  <c r="DP24" i="2"/>
  <c r="DO24" i="2"/>
  <c r="DN24" i="2"/>
  <c r="DM24" i="2"/>
  <c r="DL24" i="2"/>
  <c r="DK24" i="2"/>
  <c r="DJ24" i="2"/>
  <c r="DI24" i="2"/>
  <c r="DH24" i="2"/>
  <c r="DG24" i="2"/>
  <c r="DF24" i="2"/>
  <c r="DE24" i="2"/>
  <c r="DD24" i="2"/>
  <c r="DC24" i="2"/>
  <c r="DB24" i="2"/>
  <c r="DA24" i="2"/>
  <c r="CZ24" i="2"/>
  <c r="CY24" i="2"/>
  <c r="CX24" i="2"/>
  <c r="CW24" i="2"/>
  <c r="CV24" i="2"/>
  <c r="CU24" i="2"/>
  <c r="CT24" i="2"/>
  <c r="CS24" i="2"/>
  <c r="CR24" i="2"/>
  <c r="CQ24" i="2"/>
  <c r="CP24" i="2"/>
  <c r="CO24" i="2"/>
  <c r="CN24" i="2"/>
  <c r="CM24" i="2"/>
  <c r="CL24" i="2"/>
  <c r="CK24" i="2"/>
  <c r="CJ24" i="2"/>
  <c r="CI24" i="2"/>
  <c r="CH24" i="2"/>
  <c r="CG24" i="2"/>
  <c r="CF24" i="2"/>
  <c r="CE24" i="2"/>
  <c r="CD24" i="2"/>
  <c r="CC24" i="2"/>
  <c r="CB24" i="2"/>
  <c r="CA24" i="2"/>
  <c r="BZ24" i="2"/>
  <c r="BY24" i="2"/>
  <c r="BX24" i="2"/>
  <c r="BW24" i="2"/>
  <c r="BV24" i="2"/>
  <c r="BU24" i="2"/>
  <c r="BT24" i="2"/>
  <c r="BS24" i="2"/>
  <c r="BR24" i="2"/>
  <c r="BQ24" i="2"/>
  <c r="BP24" i="2"/>
  <c r="BO24" i="2"/>
  <c r="BN24" i="2"/>
  <c r="BM24" i="2"/>
  <c r="BL24" i="2"/>
  <c r="BK24" i="2"/>
  <c r="BJ24" i="2"/>
  <c r="BI24" i="2"/>
  <c r="BH24" i="2"/>
  <c r="BG24" i="2"/>
  <c r="BF24" i="2"/>
  <c r="BE24" i="2"/>
  <c r="BD24" i="2"/>
  <c r="BC24" i="2"/>
  <c r="BB24" i="2"/>
  <c r="BA24" i="2"/>
  <c r="AZ24" i="2"/>
  <c r="AY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K24" i="2"/>
  <c r="AJ24" i="2"/>
  <c r="AI24" i="2"/>
  <c r="AH24" i="2"/>
  <c r="AG24" i="2"/>
  <c r="AF24" i="2"/>
  <c r="AE24" i="2"/>
  <c r="AD24" i="2"/>
  <c r="AC24" i="2"/>
  <c r="AB24" i="2"/>
  <c r="AA24" i="2"/>
  <c r="Z24" i="2"/>
  <c r="Y24" i="2"/>
  <c r="X24" i="2"/>
  <c r="W24" i="2"/>
  <c r="V24" i="2"/>
  <c r="U24" i="2"/>
  <c r="T24" i="2"/>
  <c r="S24" i="2"/>
  <c r="R24" i="2"/>
  <c r="Q24" i="2"/>
  <c r="P24" i="2"/>
  <c r="O24" i="2"/>
  <c r="N24" i="2"/>
  <c r="M24" i="2"/>
  <c r="L24" i="2"/>
  <c r="K24" i="2"/>
  <c r="J24" i="2"/>
  <c r="I24" i="2"/>
  <c r="H24" i="2"/>
  <c r="G24" i="2"/>
  <c r="F24" i="2"/>
  <c r="E24" i="2"/>
  <c r="D24" i="2"/>
  <c r="C24" i="2"/>
  <c r="EF23" i="2"/>
  <c r="EE23" i="2"/>
  <c r="ED23" i="2"/>
  <c r="EC23" i="2"/>
  <c r="EB23" i="2"/>
  <c r="EA23" i="2"/>
  <c r="DZ23" i="2"/>
  <c r="DY23" i="2"/>
  <c r="DX23" i="2"/>
  <c r="DW23" i="2"/>
  <c r="DV23" i="2"/>
  <c r="DU23" i="2"/>
  <c r="DT23" i="2"/>
  <c r="DS23" i="2"/>
  <c r="DR23" i="2"/>
  <c r="DQ23" i="2"/>
  <c r="DP23" i="2"/>
  <c r="DO23" i="2"/>
  <c r="DN23" i="2"/>
  <c r="DM23" i="2"/>
  <c r="DL23" i="2"/>
  <c r="DK23" i="2"/>
  <c r="DJ23" i="2"/>
  <c r="DI23" i="2"/>
  <c r="DH23" i="2"/>
  <c r="DG23" i="2"/>
  <c r="DF23" i="2"/>
  <c r="DE23" i="2"/>
  <c r="DD23" i="2"/>
  <c r="DC23" i="2"/>
  <c r="DB23" i="2"/>
  <c r="DA23" i="2"/>
  <c r="CZ23" i="2"/>
  <c r="CY23" i="2"/>
  <c r="CX23" i="2"/>
  <c r="CW23" i="2"/>
  <c r="CV23" i="2"/>
  <c r="CU23" i="2"/>
  <c r="CT23" i="2"/>
  <c r="CS23" i="2"/>
  <c r="CR23" i="2"/>
  <c r="CQ23" i="2"/>
  <c r="CP23" i="2"/>
  <c r="CO23" i="2"/>
  <c r="CN23" i="2"/>
  <c r="CM23" i="2"/>
  <c r="CL23" i="2"/>
  <c r="CK23" i="2"/>
  <c r="CJ23" i="2"/>
  <c r="CI23" i="2"/>
  <c r="CH23" i="2"/>
  <c r="CG23" i="2"/>
  <c r="CF23" i="2"/>
  <c r="CE23" i="2"/>
  <c r="CD23" i="2"/>
  <c r="CC23" i="2"/>
  <c r="CB23" i="2"/>
  <c r="CA23" i="2"/>
  <c r="BZ23" i="2"/>
  <c r="BY23" i="2"/>
  <c r="BX23" i="2"/>
  <c r="BW23" i="2"/>
  <c r="BV23" i="2"/>
  <c r="BU23" i="2"/>
  <c r="BT23" i="2"/>
  <c r="BS23" i="2"/>
  <c r="BR23" i="2"/>
  <c r="BQ23" i="2"/>
  <c r="BP23" i="2"/>
  <c r="BO23" i="2"/>
  <c r="BN23" i="2"/>
  <c r="BM23" i="2"/>
  <c r="BL23" i="2"/>
  <c r="BK23" i="2"/>
  <c r="BJ23" i="2"/>
  <c r="BI23" i="2"/>
  <c r="BH23" i="2"/>
  <c r="BG23" i="2"/>
  <c r="BF23" i="2"/>
  <c r="BE23" i="2"/>
  <c r="BD23" i="2"/>
  <c r="BC23" i="2"/>
  <c r="BB23" i="2"/>
  <c r="BA23" i="2"/>
  <c r="AZ23" i="2"/>
  <c r="AY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K23" i="2"/>
  <c r="AJ23" i="2"/>
  <c r="AI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U23" i="2"/>
  <c r="T23" i="2"/>
  <c r="S23" i="2"/>
  <c r="R23" i="2"/>
  <c r="Q23" i="2"/>
  <c r="P23" i="2"/>
  <c r="O23" i="2"/>
  <c r="N23" i="2"/>
  <c r="M23" i="2"/>
  <c r="L23" i="2"/>
  <c r="K23" i="2"/>
  <c r="J23" i="2"/>
  <c r="I23" i="2"/>
  <c r="H23" i="2"/>
  <c r="G23" i="2"/>
  <c r="F23" i="2"/>
  <c r="E23" i="2"/>
  <c r="D23" i="2"/>
  <c r="C23" i="2"/>
  <c r="EF22" i="2"/>
  <c r="EE22" i="2"/>
  <c r="ED22" i="2"/>
  <c r="EC22" i="2"/>
  <c r="EB22" i="2"/>
  <c r="EA22" i="2"/>
  <c r="DZ22" i="2"/>
  <c r="DY22" i="2"/>
  <c r="DX22" i="2"/>
  <c r="DW22" i="2"/>
  <c r="DV22" i="2"/>
  <c r="DU22" i="2"/>
  <c r="DT22" i="2"/>
  <c r="DS22" i="2"/>
  <c r="DR22" i="2"/>
  <c r="DQ22" i="2"/>
  <c r="DP22" i="2"/>
  <c r="DO22" i="2"/>
  <c r="DN22" i="2"/>
  <c r="DM22" i="2"/>
  <c r="DL22" i="2"/>
  <c r="DK22" i="2"/>
  <c r="DJ22" i="2"/>
  <c r="DI22" i="2"/>
  <c r="DH22" i="2"/>
  <c r="DG22" i="2"/>
  <c r="DF22" i="2"/>
  <c r="DE22" i="2"/>
  <c r="DD22" i="2"/>
  <c r="DC22" i="2"/>
  <c r="DB22" i="2"/>
  <c r="DA22" i="2"/>
  <c r="CZ22" i="2"/>
  <c r="CY22" i="2"/>
  <c r="CX22" i="2"/>
  <c r="CW22" i="2"/>
  <c r="CV22" i="2"/>
  <c r="CU22" i="2"/>
  <c r="CT22" i="2"/>
  <c r="CS22" i="2"/>
  <c r="CR22" i="2"/>
  <c r="CQ22" i="2"/>
  <c r="CP22" i="2"/>
  <c r="CO22" i="2"/>
  <c r="CN22" i="2"/>
  <c r="CM22" i="2"/>
  <c r="CL22" i="2"/>
  <c r="CK22" i="2"/>
  <c r="CJ22" i="2"/>
  <c r="CI22" i="2"/>
  <c r="CH22" i="2"/>
  <c r="CG22" i="2"/>
  <c r="CF22" i="2"/>
  <c r="CE22" i="2"/>
  <c r="CD22" i="2"/>
  <c r="CC22" i="2"/>
  <c r="CB22" i="2"/>
  <c r="CA22" i="2"/>
  <c r="BZ22" i="2"/>
  <c r="BY22" i="2"/>
  <c r="BX22" i="2"/>
  <c r="BW22" i="2"/>
  <c r="BV22" i="2"/>
  <c r="BU22" i="2"/>
  <c r="BT22" i="2"/>
  <c r="BS22" i="2"/>
  <c r="BR22" i="2"/>
  <c r="BQ22" i="2"/>
  <c r="BP22" i="2"/>
  <c r="BO22" i="2"/>
  <c r="BN22" i="2"/>
  <c r="BM22" i="2"/>
  <c r="BL22" i="2"/>
  <c r="BK22" i="2"/>
  <c r="BJ22" i="2"/>
  <c r="BI22" i="2"/>
  <c r="BH22" i="2"/>
  <c r="BG22" i="2"/>
  <c r="BF22" i="2"/>
  <c r="BE22" i="2"/>
  <c r="BD22" i="2"/>
  <c r="BC22" i="2"/>
  <c r="BB22" i="2"/>
  <c r="BA22" i="2"/>
  <c r="AZ22" i="2"/>
  <c r="AY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K22" i="2"/>
  <c r="AJ22" i="2"/>
  <c r="AI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S22" i="2"/>
  <c r="R22" i="2"/>
  <c r="Q22" i="2"/>
  <c r="P22" i="2"/>
  <c r="O22" i="2"/>
  <c r="N22" i="2"/>
  <c r="M22" i="2"/>
  <c r="L22" i="2"/>
  <c r="K22" i="2"/>
  <c r="J22" i="2"/>
  <c r="I22" i="2"/>
  <c r="H22" i="2"/>
  <c r="G22" i="2"/>
  <c r="F22" i="2"/>
  <c r="E22" i="2"/>
  <c r="D22" i="2"/>
  <c r="C22" i="2"/>
  <c r="EF21" i="2"/>
  <c r="EE21" i="2"/>
  <c r="ED21" i="2"/>
  <c r="EC21" i="2"/>
  <c r="EB21" i="2"/>
  <c r="EA21" i="2"/>
  <c r="DZ21" i="2"/>
  <c r="DY21" i="2"/>
  <c r="DX21" i="2"/>
  <c r="DW21" i="2"/>
  <c r="DV21" i="2"/>
  <c r="DU21" i="2"/>
  <c r="DT21" i="2"/>
  <c r="DS21" i="2"/>
  <c r="DR21" i="2"/>
  <c r="DQ21" i="2"/>
  <c r="DP21" i="2"/>
  <c r="DO21" i="2"/>
  <c r="DN21" i="2"/>
  <c r="DM21" i="2"/>
  <c r="DL21" i="2"/>
  <c r="DK21" i="2"/>
  <c r="DJ21" i="2"/>
  <c r="DI21" i="2"/>
  <c r="DH21" i="2"/>
  <c r="DG21" i="2"/>
  <c r="DF21" i="2"/>
  <c r="DE21" i="2"/>
  <c r="DD21" i="2"/>
  <c r="DC21" i="2"/>
  <c r="DB21" i="2"/>
  <c r="DA21" i="2"/>
  <c r="CZ21" i="2"/>
  <c r="CY21" i="2"/>
  <c r="CX21" i="2"/>
  <c r="CW21" i="2"/>
  <c r="CV21" i="2"/>
  <c r="CU21" i="2"/>
  <c r="CT21" i="2"/>
  <c r="CS21" i="2"/>
  <c r="CR21" i="2"/>
  <c r="CQ21" i="2"/>
  <c r="CP21" i="2"/>
  <c r="CO21" i="2"/>
  <c r="CN21" i="2"/>
  <c r="CM21" i="2"/>
  <c r="CL21" i="2"/>
  <c r="CK21" i="2"/>
  <c r="CJ21" i="2"/>
  <c r="CI21" i="2"/>
  <c r="CH21" i="2"/>
  <c r="CG21" i="2"/>
  <c r="CF21" i="2"/>
  <c r="CE21" i="2"/>
  <c r="CD21" i="2"/>
  <c r="CC21" i="2"/>
  <c r="CB21" i="2"/>
  <c r="CA21" i="2"/>
  <c r="BZ21" i="2"/>
  <c r="BY21" i="2"/>
  <c r="BX21" i="2"/>
  <c r="BW21" i="2"/>
  <c r="BV21" i="2"/>
  <c r="BU21" i="2"/>
  <c r="BT21" i="2"/>
  <c r="BS21" i="2"/>
  <c r="BR21" i="2"/>
  <c r="BQ21" i="2"/>
  <c r="BP21" i="2"/>
  <c r="BO21" i="2"/>
  <c r="BN21" i="2"/>
  <c r="BM21" i="2"/>
  <c r="BL21" i="2"/>
  <c r="BK21" i="2"/>
  <c r="BJ21" i="2"/>
  <c r="BI21" i="2"/>
  <c r="BH21" i="2"/>
  <c r="BG21" i="2"/>
  <c r="BF21" i="2"/>
  <c r="BE21" i="2"/>
  <c r="BD21" i="2"/>
  <c r="BC21" i="2"/>
  <c r="BB21" i="2"/>
  <c r="BA21" i="2"/>
  <c r="AZ21" i="2"/>
  <c r="AY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K21" i="2"/>
  <c r="AJ21" i="2"/>
  <c r="AI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U21" i="2"/>
  <c r="T21" i="2"/>
  <c r="S21" i="2"/>
  <c r="R21" i="2"/>
  <c r="Q21" i="2"/>
  <c r="P21" i="2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EF20" i="2"/>
  <c r="EE20" i="2"/>
  <c r="ED20" i="2"/>
  <c r="EC20" i="2"/>
  <c r="EB20" i="2"/>
  <c r="EA20" i="2"/>
  <c r="DZ20" i="2"/>
  <c r="DY20" i="2"/>
  <c r="DX20" i="2"/>
  <c r="DW20" i="2"/>
  <c r="DV20" i="2"/>
  <c r="DU20" i="2"/>
  <c r="DT20" i="2"/>
  <c r="DS20" i="2"/>
  <c r="DR20" i="2"/>
  <c r="DQ20" i="2"/>
  <c r="DP20" i="2"/>
  <c r="DO20" i="2"/>
  <c r="DN20" i="2"/>
  <c r="DM20" i="2"/>
  <c r="DL20" i="2"/>
  <c r="DK20" i="2"/>
  <c r="DJ20" i="2"/>
  <c r="DI20" i="2"/>
  <c r="DH20" i="2"/>
  <c r="DG20" i="2"/>
  <c r="DF20" i="2"/>
  <c r="DE20" i="2"/>
  <c r="DD20" i="2"/>
  <c r="DC20" i="2"/>
  <c r="DB20" i="2"/>
  <c r="DA20" i="2"/>
  <c r="CZ20" i="2"/>
  <c r="CY20" i="2"/>
  <c r="CX20" i="2"/>
  <c r="CW20" i="2"/>
  <c r="CV20" i="2"/>
  <c r="CU20" i="2"/>
  <c r="CT20" i="2"/>
  <c r="CS20" i="2"/>
  <c r="CR20" i="2"/>
  <c r="CQ20" i="2"/>
  <c r="CP20" i="2"/>
  <c r="CO20" i="2"/>
  <c r="CN20" i="2"/>
  <c r="CM20" i="2"/>
  <c r="CL20" i="2"/>
  <c r="CK20" i="2"/>
  <c r="CJ20" i="2"/>
  <c r="CI20" i="2"/>
  <c r="CH20" i="2"/>
  <c r="CG20" i="2"/>
  <c r="CF20" i="2"/>
  <c r="CE20" i="2"/>
  <c r="CD20" i="2"/>
  <c r="CC20" i="2"/>
  <c r="CB20" i="2"/>
  <c r="CA20" i="2"/>
  <c r="BZ20" i="2"/>
  <c r="BY20" i="2"/>
  <c r="BX20" i="2"/>
  <c r="BW20" i="2"/>
  <c r="BV20" i="2"/>
  <c r="BU20" i="2"/>
  <c r="BT20" i="2"/>
  <c r="BS20" i="2"/>
  <c r="BR20" i="2"/>
  <c r="BQ20" i="2"/>
  <c r="BP20" i="2"/>
  <c r="BO20" i="2"/>
  <c r="BN20" i="2"/>
  <c r="BM20" i="2"/>
  <c r="BL20" i="2"/>
  <c r="BK20" i="2"/>
  <c r="BJ20" i="2"/>
  <c r="BI20" i="2"/>
  <c r="BH20" i="2"/>
  <c r="BG20" i="2"/>
  <c r="BF20" i="2"/>
  <c r="BE20" i="2"/>
  <c r="BD20" i="2"/>
  <c r="BC20" i="2"/>
  <c r="BB20" i="2"/>
  <c r="BA20" i="2"/>
  <c r="AZ20" i="2"/>
  <c r="AY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S20" i="2"/>
  <c r="R20" i="2"/>
  <c r="Q20" i="2"/>
  <c r="P20" i="2"/>
  <c r="O20" i="2"/>
  <c r="N20" i="2"/>
  <c r="M20" i="2"/>
  <c r="L20" i="2"/>
  <c r="K20" i="2"/>
  <c r="J20" i="2"/>
  <c r="I20" i="2"/>
  <c r="H20" i="2"/>
  <c r="G20" i="2"/>
  <c r="F20" i="2"/>
  <c r="E20" i="2"/>
  <c r="D20" i="2"/>
  <c r="C20" i="2"/>
  <c r="EF19" i="2"/>
  <c r="EE19" i="2"/>
  <c r="ED19" i="2"/>
  <c r="EC19" i="2"/>
  <c r="EB19" i="2"/>
  <c r="EA19" i="2"/>
  <c r="DZ19" i="2"/>
  <c r="DY19" i="2"/>
  <c r="DW19" i="2"/>
  <c r="DV19" i="2"/>
  <c r="DU19" i="2"/>
  <c r="DT19" i="2"/>
  <c r="DS19" i="2"/>
  <c r="DQ19" i="2"/>
  <c r="DP19" i="2"/>
  <c r="DO19" i="2"/>
  <c r="DN19" i="2"/>
  <c r="DL19" i="2"/>
  <c r="DK19" i="2"/>
  <c r="DJ19" i="2"/>
  <c r="DI19" i="2"/>
  <c r="DH19" i="2"/>
  <c r="DG19" i="2"/>
  <c r="DF19" i="2"/>
  <c r="DE19" i="2"/>
  <c r="DD19" i="2"/>
  <c r="DC19" i="2"/>
  <c r="DB19" i="2"/>
  <c r="DA19" i="2"/>
  <c r="CZ19" i="2"/>
  <c r="CY19" i="2"/>
  <c r="CX19" i="2"/>
  <c r="CW19" i="2"/>
  <c r="CV19" i="2"/>
  <c r="CU19" i="2"/>
  <c r="CT19" i="2"/>
  <c r="CS19" i="2"/>
  <c r="CR19" i="2"/>
  <c r="CQ19" i="2"/>
  <c r="CP19" i="2"/>
  <c r="CO19" i="2"/>
  <c r="CN19" i="2"/>
  <c r="CM19" i="2"/>
  <c r="CL19" i="2"/>
  <c r="CK19" i="2"/>
  <c r="CJ19" i="2"/>
  <c r="CI19" i="2"/>
  <c r="CH19" i="2"/>
  <c r="CG19" i="2"/>
  <c r="CF19" i="2"/>
  <c r="CE19" i="2"/>
  <c r="CD19" i="2"/>
  <c r="CC19" i="2"/>
  <c r="CB19" i="2"/>
  <c r="CA19" i="2"/>
  <c r="BZ19" i="2"/>
  <c r="BY19" i="2"/>
  <c r="BX19" i="2"/>
  <c r="BW19" i="2"/>
  <c r="BV19" i="2"/>
  <c r="BU19" i="2"/>
  <c r="BT19" i="2"/>
  <c r="BS19" i="2"/>
  <c r="BR19" i="2"/>
  <c r="BQ19" i="2"/>
  <c r="BP19" i="2"/>
  <c r="BO19" i="2"/>
  <c r="BN19" i="2"/>
  <c r="BM19" i="2"/>
  <c r="BL19" i="2"/>
  <c r="BK19" i="2"/>
  <c r="BJ19" i="2"/>
  <c r="BI19" i="2"/>
  <c r="BH19" i="2"/>
  <c r="BG19" i="2"/>
  <c r="BF19" i="2"/>
  <c r="BE19" i="2"/>
  <c r="BD19" i="2"/>
  <c r="BC19" i="2"/>
  <c r="BB19" i="2"/>
  <c r="BA19" i="2"/>
  <c r="AZ19" i="2"/>
  <c r="AY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EF18" i="2"/>
  <c r="EE18" i="2"/>
  <c r="ED18" i="2"/>
  <c r="EC18" i="2"/>
  <c r="EB18" i="2"/>
  <c r="EA18" i="2"/>
  <c r="DZ18" i="2"/>
  <c r="DY18" i="2"/>
  <c r="DX18" i="2"/>
  <c r="DW18" i="2"/>
  <c r="DV18" i="2"/>
  <c r="DU18" i="2"/>
  <c r="DT18" i="2"/>
  <c r="DS18" i="2"/>
  <c r="DR18" i="2"/>
  <c r="DQ18" i="2"/>
  <c r="DP18" i="2"/>
  <c r="DO18" i="2"/>
  <c r="DN18" i="2"/>
  <c r="DM18" i="2"/>
  <c r="DL18" i="2"/>
  <c r="DK18" i="2"/>
  <c r="DJ18" i="2"/>
  <c r="DI18" i="2"/>
  <c r="DH18" i="2"/>
  <c r="DG18" i="2"/>
  <c r="DF18" i="2"/>
  <c r="DE18" i="2"/>
  <c r="DD18" i="2"/>
  <c r="DC18" i="2"/>
  <c r="DB18" i="2"/>
  <c r="DA18" i="2"/>
  <c r="CZ18" i="2"/>
  <c r="CY18" i="2"/>
  <c r="CX18" i="2"/>
  <c r="CW18" i="2"/>
  <c r="CV18" i="2"/>
  <c r="CU18" i="2"/>
  <c r="CT18" i="2"/>
  <c r="CS18" i="2"/>
  <c r="CR18" i="2"/>
  <c r="CQ18" i="2"/>
  <c r="CP18" i="2"/>
  <c r="CO18" i="2"/>
  <c r="CN18" i="2"/>
  <c r="CM18" i="2"/>
  <c r="CL18" i="2"/>
  <c r="CK18" i="2"/>
  <c r="CJ18" i="2"/>
  <c r="CI18" i="2"/>
  <c r="CH18" i="2"/>
  <c r="CG18" i="2"/>
  <c r="CF18" i="2"/>
  <c r="CE18" i="2"/>
  <c r="CD18" i="2"/>
  <c r="CC18" i="2"/>
  <c r="CB18" i="2"/>
  <c r="CA18" i="2"/>
  <c r="BZ18" i="2"/>
  <c r="BY18" i="2"/>
  <c r="BX18" i="2"/>
  <c r="BW18" i="2"/>
  <c r="BV18" i="2"/>
  <c r="BU18" i="2"/>
  <c r="BT18" i="2"/>
  <c r="BS18" i="2"/>
  <c r="BR18" i="2"/>
  <c r="BQ18" i="2"/>
  <c r="BP18" i="2"/>
  <c r="BO18" i="2"/>
  <c r="BN18" i="2"/>
  <c r="BM18" i="2"/>
  <c r="BL18" i="2"/>
  <c r="BK18" i="2"/>
  <c r="BJ18" i="2"/>
  <c r="BI18" i="2"/>
  <c r="BH18" i="2"/>
  <c r="BG18" i="2"/>
  <c r="BF18" i="2"/>
  <c r="BE18" i="2"/>
  <c r="BD18" i="2"/>
  <c r="BC18" i="2"/>
  <c r="BB18" i="2"/>
  <c r="BA18" i="2"/>
  <c r="AZ18" i="2"/>
  <c r="AY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K18" i="2"/>
  <c r="AJ18" i="2"/>
  <c r="AI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S18" i="2"/>
  <c r="R18" i="2"/>
  <c r="Q18" i="2"/>
  <c r="P18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EF17" i="2"/>
  <c r="EE17" i="2"/>
  <c r="ED17" i="2"/>
  <c r="EC17" i="2"/>
  <c r="EB17" i="2"/>
  <c r="EA17" i="2"/>
  <c r="DZ17" i="2"/>
  <c r="DY17" i="2"/>
  <c r="DX17" i="2"/>
  <c r="DW17" i="2"/>
  <c r="DV17" i="2"/>
  <c r="DU17" i="2"/>
  <c r="DS17" i="2"/>
  <c r="DQ17" i="2"/>
  <c r="DP17" i="2"/>
  <c r="DO17" i="2"/>
  <c r="DN17" i="2"/>
  <c r="DL17" i="2"/>
  <c r="DK17" i="2"/>
  <c r="DJ17" i="2"/>
  <c r="DI17" i="2"/>
  <c r="DH17" i="2"/>
  <c r="DG17" i="2"/>
  <c r="DF17" i="2"/>
  <c r="DE17" i="2"/>
  <c r="DD17" i="2"/>
  <c r="DC17" i="2"/>
  <c r="DB17" i="2"/>
  <c r="DA17" i="2"/>
  <c r="CZ17" i="2"/>
  <c r="CY17" i="2"/>
  <c r="CX17" i="2"/>
  <c r="CW17" i="2"/>
  <c r="CV17" i="2"/>
  <c r="CU17" i="2"/>
  <c r="CT17" i="2"/>
  <c r="CS17" i="2"/>
  <c r="CR17" i="2"/>
  <c r="CQ17" i="2"/>
  <c r="CP17" i="2"/>
  <c r="CO17" i="2"/>
  <c r="CN17" i="2"/>
  <c r="CM17" i="2"/>
  <c r="CL17" i="2"/>
  <c r="CK17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S17" i="2"/>
  <c r="BR17" i="2"/>
  <c r="BQ17" i="2"/>
  <c r="BP17" i="2"/>
  <c r="BO17" i="2"/>
  <c r="BN17" i="2"/>
  <c r="BM17" i="2"/>
  <c r="BL17" i="2"/>
  <c r="BK17" i="2"/>
  <c r="BJ17" i="2"/>
  <c r="BI17" i="2"/>
  <c r="BH17" i="2"/>
  <c r="BG17" i="2"/>
  <c r="BF17" i="2"/>
  <c r="BE17" i="2"/>
  <c r="BD17" i="2"/>
  <c r="BC17" i="2"/>
  <c r="BB17" i="2"/>
  <c r="BA17" i="2"/>
  <c r="AZ17" i="2"/>
  <c r="AY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K17" i="2"/>
  <c r="AJ17" i="2"/>
  <c r="AI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U17" i="2"/>
  <c r="T17" i="2"/>
  <c r="S17" i="2"/>
  <c r="R17" i="2"/>
  <c r="Q17" i="2"/>
  <c r="P17" i="2"/>
  <c r="O17" i="2"/>
  <c r="N17" i="2"/>
  <c r="M17" i="2"/>
  <c r="L17" i="2"/>
  <c r="K17" i="2"/>
  <c r="J17" i="2"/>
  <c r="I17" i="2"/>
  <c r="H17" i="2"/>
  <c r="G17" i="2"/>
  <c r="F17" i="2"/>
  <c r="E17" i="2"/>
  <c r="D17" i="2"/>
  <c r="C17" i="2"/>
  <c r="EF16" i="2"/>
  <c r="EE16" i="2"/>
  <c r="ED16" i="2"/>
  <c r="EC16" i="2"/>
  <c r="EB16" i="2"/>
  <c r="EA16" i="2"/>
  <c r="DZ16" i="2"/>
  <c r="DY16" i="2"/>
  <c r="DX16" i="2"/>
  <c r="DW16" i="2"/>
  <c r="DV16" i="2"/>
  <c r="DU16" i="2"/>
  <c r="DT16" i="2"/>
  <c r="DS16" i="2"/>
  <c r="DR16" i="2"/>
  <c r="DQ16" i="2"/>
  <c r="DP16" i="2"/>
  <c r="DO16" i="2"/>
  <c r="DN16" i="2"/>
  <c r="DM16" i="2"/>
  <c r="DL16" i="2"/>
  <c r="DK16" i="2"/>
  <c r="DJ16" i="2"/>
  <c r="DI16" i="2"/>
  <c r="DH16" i="2"/>
  <c r="DG16" i="2"/>
  <c r="DF16" i="2"/>
  <c r="DE16" i="2"/>
  <c r="DD16" i="2"/>
  <c r="DC16" i="2"/>
  <c r="DB16" i="2"/>
  <c r="DA16" i="2"/>
  <c r="CZ16" i="2"/>
  <c r="CY16" i="2"/>
  <c r="CX16" i="2"/>
  <c r="CW16" i="2"/>
  <c r="CV16" i="2"/>
  <c r="CU16" i="2"/>
  <c r="CT16" i="2"/>
  <c r="CS16" i="2"/>
  <c r="CR16" i="2"/>
  <c r="CQ16" i="2"/>
  <c r="CP16" i="2"/>
  <c r="CO16" i="2"/>
  <c r="CN16" i="2"/>
  <c r="CM16" i="2"/>
  <c r="CL16" i="2"/>
  <c r="CK16" i="2"/>
  <c r="CJ16" i="2"/>
  <c r="CI16" i="2"/>
  <c r="CH16" i="2"/>
  <c r="CG16" i="2"/>
  <c r="CF16" i="2"/>
  <c r="CE16" i="2"/>
  <c r="CD16" i="2"/>
  <c r="CC16" i="2"/>
  <c r="CB16" i="2"/>
  <c r="CA16" i="2"/>
  <c r="BZ16" i="2"/>
  <c r="BY16" i="2"/>
  <c r="BX16" i="2"/>
  <c r="BW16" i="2"/>
  <c r="BV16" i="2"/>
  <c r="BU16" i="2"/>
  <c r="BT16" i="2"/>
  <c r="BS16" i="2"/>
  <c r="BR16" i="2"/>
  <c r="BQ16" i="2"/>
  <c r="BP16" i="2"/>
  <c r="BO16" i="2"/>
  <c r="BN16" i="2"/>
  <c r="BM16" i="2"/>
  <c r="BL16" i="2"/>
  <c r="BK16" i="2"/>
  <c r="BJ16" i="2"/>
  <c r="BI16" i="2"/>
  <c r="BH16" i="2"/>
  <c r="BG16" i="2"/>
  <c r="BF16" i="2"/>
  <c r="BE16" i="2"/>
  <c r="BD16" i="2"/>
  <c r="BC16" i="2"/>
  <c r="BB16" i="2"/>
  <c r="BA16" i="2"/>
  <c r="AZ16" i="2"/>
  <c r="AY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K16" i="2"/>
  <c r="AJ16" i="2"/>
  <c r="AI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S16" i="2"/>
  <c r="R16" i="2"/>
  <c r="Q16" i="2"/>
  <c r="P16" i="2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EF15" i="2"/>
  <c r="EE15" i="2"/>
  <c r="ED15" i="2"/>
  <c r="EC15" i="2"/>
  <c r="EB15" i="2"/>
  <c r="EA15" i="2"/>
  <c r="DZ15" i="2"/>
  <c r="DY15" i="2"/>
  <c r="DX15" i="2"/>
  <c r="DW15" i="2"/>
  <c r="DV15" i="2"/>
  <c r="DU15" i="2"/>
  <c r="DT15" i="2"/>
  <c r="DS15" i="2"/>
  <c r="DR15" i="2"/>
  <c r="DQ15" i="2"/>
  <c r="DP15" i="2"/>
  <c r="DO15" i="2"/>
  <c r="DN15" i="2"/>
  <c r="DM15" i="2"/>
  <c r="DL15" i="2"/>
  <c r="DK15" i="2"/>
  <c r="DJ15" i="2"/>
  <c r="DI15" i="2"/>
  <c r="DH15" i="2"/>
  <c r="DG15" i="2"/>
  <c r="DF15" i="2"/>
  <c r="DE15" i="2"/>
  <c r="DD15" i="2"/>
  <c r="DC15" i="2"/>
  <c r="DB15" i="2"/>
  <c r="DA15" i="2"/>
  <c r="CZ15" i="2"/>
  <c r="CY15" i="2"/>
  <c r="CX15" i="2"/>
  <c r="CW15" i="2"/>
  <c r="CV15" i="2"/>
  <c r="CU15" i="2"/>
  <c r="CT15" i="2"/>
  <c r="CS15" i="2"/>
  <c r="CR15" i="2"/>
  <c r="CQ15" i="2"/>
  <c r="CP15" i="2"/>
  <c r="CO15" i="2"/>
  <c r="CN15" i="2"/>
  <c r="CM15" i="2"/>
  <c r="CL15" i="2"/>
  <c r="CK15" i="2"/>
  <c r="CJ15" i="2"/>
  <c r="CI15" i="2"/>
  <c r="CH15" i="2"/>
  <c r="CG15" i="2"/>
  <c r="CF15" i="2"/>
  <c r="CE15" i="2"/>
  <c r="CD15" i="2"/>
  <c r="CC15" i="2"/>
  <c r="CB15" i="2"/>
  <c r="CA15" i="2"/>
  <c r="BZ15" i="2"/>
  <c r="BY15" i="2"/>
  <c r="BX15" i="2"/>
  <c r="BW15" i="2"/>
  <c r="BV15" i="2"/>
  <c r="BU15" i="2"/>
  <c r="BT15" i="2"/>
  <c r="BS15" i="2"/>
  <c r="BR15" i="2"/>
  <c r="BQ15" i="2"/>
  <c r="BP15" i="2"/>
  <c r="BO15" i="2"/>
  <c r="BN15" i="2"/>
  <c r="BM15" i="2"/>
  <c r="BL15" i="2"/>
  <c r="BK15" i="2"/>
  <c r="BJ15" i="2"/>
  <c r="BI15" i="2"/>
  <c r="BH15" i="2"/>
  <c r="BG15" i="2"/>
  <c r="BF15" i="2"/>
  <c r="BE15" i="2"/>
  <c r="BD15" i="2"/>
  <c r="BC15" i="2"/>
  <c r="BB15" i="2"/>
  <c r="BA15" i="2"/>
  <c r="AZ15" i="2"/>
  <c r="AY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K15" i="2"/>
  <c r="AJ15" i="2"/>
  <c r="AI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U15" i="2"/>
  <c r="T15" i="2"/>
  <c r="S15" i="2"/>
  <c r="R15" i="2"/>
  <c r="Q15" i="2"/>
  <c r="P15" i="2"/>
  <c r="O15" i="2"/>
  <c r="N15" i="2"/>
  <c r="M15" i="2"/>
  <c r="L15" i="2"/>
  <c r="K15" i="2"/>
  <c r="J15" i="2"/>
  <c r="I15" i="2"/>
  <c r="H15" i="2"/>
  <c r="G15" i="2"/>
  <c r="F15" i="2"/>
  <c r="E15" i="2"/>
  <c r="D15" i="2"/>
  <c r="C15" i="2"/>
  <c r="EF14" i="2"/>
  <c r="EE14" i="2"/>
  <c r="ED14" i="2"/>
  <c r="EC14" i="2"/>
  <c r="EB14" i="2"/>
  <c r="EA14" i="2"/>
  <c r="DZ14" i="2"/>
  <c r="DY14" i="2"/>
  <c r="DX14" i="2"/>
  <c r="DW14" i="2"/>
  <c r="DV14" i="2"/>
  <c r="DU14" i="2"/>
  <c r="DT14" i="2"/>
  <c r="DS14" i="2"/>
  <c r="DR14" i="2"/>
  <c r="DQ14" i="2"/>
  <c r="DP14" i="2"/>
  <c r="DO14" i="2"/>
  <c r="DN14" i="2"/>
  <c r="DM14" i="2"/>
  <c r="DL14" i="2"/>
  <c r="DK14" i="2"/>
  <c r="DJ14" i="2"/>
  <c r="DI14" i="2"/>
  <c r="DH14" i="2"/>
  <c r="DG14" i="2"/>
  <c r="DF14" i="2"/>
  <c r="DE14" i="2"/>
  <c r="DD14" i="2"/>
  <c r="DC14" i="2"/>
  <c r="DB14" i="2"/>
  <c r="DA14" i="2"/>
  <c r="CZ14" i="2"/>
  <c r="CY14" i="2"/>
  <c r="CX14" i="2"/>
  <c r="CW14" i="2"/>
  <c r="CV14" i="2"/>
  <c r="CU14" i="2"/>
  <c r="CT14" i="2"/>
  <c r="CS14" i="2"/>
  <c r="CR14" i="2"/>
  <c r="CQ14" i="2"/>
  <c r="CP14" i="2"/>
  <c r="CO14" i="2"/>
  <c r="CN14" i="2"/>
  <c r="CM14" i="2"/>
  <c r="CL14" i="2"/>
  <c r="CK14" i="2"/>
  <c r="CJ14" i="2"/>
  <c r="CI14" i="2"/>
  <c r="CH14" i="2"/>
  <c r="CG14" i="2"/>
  <c r="CF14" i="2"/>
  <c r="CE14" i="2"/>
  <c r="CD14" i="2"/>
  <c r="CC14" i="2"/>
  <c r="CB14" i="2"/>
  <c r="CA14" i="2"/>
  <c r="BZ14" i="2"/>
  <c r="BY14" i="2"/>
  <c r="BX14" i="2"/>
  <c r="BW14" i="2"/>
  <c r="BV14" i="2"/>
  <c r="BU14" i="2"/>
  <c r="BT14" i="2"/>
  <c r="BS14" i="2"/>
  <c r="BR14" i="2"/>
  <c r="BQ14" i="2"/>
  <c r="BP14" i="2"/>
  <c r="BO14" i="2"/>
  <c r="BN14" i="2"/>
  <c r="BM14" i="2"/>
  <c r="BL14" i="2"/>
  <c r="BK14" i="2"/>
  <c r="BJ14" i="2"/>
  <c r="BI14" i="2"/>
  <c r="BH14" i="2"/>
  <c r="BG14" i="2"/>
  <c r="BF14" i="2"/>
  <c r="BE14" i="2"/>
  <c r="BD14" i="2"/>
  <c r="BC14" i="2"/>
  <c r="BB14" i="2"/>
  <c r="BA14" i="2"/>
  <c r="AZ14" i="2"/>
  <c r="AY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K14" i="2"/>
  <c r="AJ14" i="2"/>
  <c r="AI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V14" i="2"/>
  <c r="U14" i="2"/>
  <c r="T14" i="2"/>
  <c r="S14" i="2"/>
  <c r="R14" i="2"/>
  <c r="Q14" i="2"/>
  <c r="P14" i="2"/>
  <c r="O14" i="2"/>
  <c r="N14" i="2"/>
  <c r="M14" i="2"/>
  <c r="L14" i="2"/>
  <c r="K14" i="2"/>
  <c r="J14" i="2"/>
  <c r="I14" i="2"/>
  <c r="H14" i="2"/>
  <c r="G14" i="2"/>
  <c r="F14" i="2"/>
  <c r="E14" i="2"/>
  <c r="D14" i="2"/>
  <c r="C14" i="2"/>
  <c r="EF13" i="2"/>
  <c r="EE13" i="2"/>
  <c r="ED13" i="2"/>
  <c r="EC13" i="2"/>
  <c r="EB13" i="2"/>
  <c r="EA13" i="2"/>
  <c r="DZ13" i="2"/>
  <c r="DY13" i="2"/>
  <c r="DX13" i="2"/>
  <c r="DW13" i="2"/>
  <c r="DV13" i="2"/>
  <c r="DU13" i="2"/>
  <c r="DT13" i="2"/>
  <c r="DS13" i="2"/>
  <c r="DR13" i="2"/>
  <c r="DQ13" i="2"/>
  <c r="DP13" i="2"/>
  <c r="DO13" i="2"/>
  <c r="DN13" i="2"/>
  <c r="DM13" i="2"/>
  <c r="DL13" i="2"/>
  <c r="DK13" i="2"/>
  <c r="DJ13" i="2"/>
  <c r="DI13" i="2"/>
  <c r="DH13" i="2"/>
  <c r="DG13" i="2"/>
  <c r="DF13" i="2"/>
  <c r="DE13" i="2"/>
  <c r="DD13" i="2"/>
  <c r="DC13" i="2"/>
  <c r="DB13" i="2"/>
  <c r="DA13" i="2"/>
  <c r="CZ13" i="2"/>
  <c r="CY13" i="2"/>
  <c r="CX13" i="2"/>
  <c r="CW13" i="2"/>
  <c r="CV13" i="2"/>
  <c r="CU13" i="2"/>
  <c r="CT13" i="2"/>
  <c r="CS13" i="2"/>
  <c r="CR13" i="2"/>
  <c r="CQ13" i="2"/>
  <c r="CP13" i="2"/>
  <c r="CO13" i="2"/>
  <c r="CN13" i="2"/>
  <c r="CM13" i="2"/>
  <c r="CL13" i="2"/>
  <c r="CK13" i="2"/>
  <c r="CJ13" i="2"/>
  <c r="CI13" i="2"/>
  <c r="CH13" i="2"/>
  <c r="CG13" i="2"/>
  <c r="CF13" i="2"/>
  <c r="CE13" i="2"/>
  <c r="CD13" i="2"/>
  <c r="CC13" i="2"/>
  <c r="CB13" i="2"/>
  <c r="CA13" i="2"/>
  <c r="BZ13" i="2"/>
  <c r="BY13" i="2"/>
  <c r="BX13" i="2"/>
  <c r="BW13" i="2"/>
  <c r="BV13" i="2"/>
  <c r="BU13" i="2"/>
  <c r="BT13" i="2"/>
  <c r="BS13" i="2"/>
  <c r="BR13" i="2"/>
  <c r="BQ13" i="2"/>
  <c r="BP13" i="2"/>
  <c r="BO13" i="2"/>
  <c r="BN13" i="2"/>
  <c r="BM13" i="2"/>
  <c r="BL13" i="2"/>
  <c r="BK13" i="2"/>
  <c r="BJ13" i="2"/>
  <c r="BI13" i="2"/>
  <c r="BH13" i="2"/>
  <c r="BG13" i="2"/>
  <c r="BF13" i="2"/>
  <c r="BE13" i="2"/>
  <c r="BD13" i="2"/>
  <c r="BC13" i="2"/>
  <c r="BB13" i="2"/>
  <c r="BA13" i="2"/>
  <c r="AZ13" i="2"/>
  <c r="AY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K13" i="2"/>
  <c r="AJ13" i="2"/>
  <c r="AI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S13" i="2"/>
  <c r="R13" i="2"/>
  <c r="Q13" i="2"/>
  <c r="P13" i="2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EF12" i="2"/>
  <c r="EE12" i="2"/>
  <c r="ED12" i="2"/>
  <c r="EC12" i="2"/>
  <c r="EB12" i="2"/>
  <c r="EA12" i="2"/>
  <c r="DZ12" i="2"/>
  <c r="DY12" i="2"/>
  <c r="DX12" i="2"/>
  <c r="DW12" i="2"/>
  <c r="DV12" i="2"/>
  <c r="DU12" i="2"/>
  <c r="DT12" i="2"/>
  <c r="DS12" i="2"/>
  <c r="DR12" i="2"/>
  <c r="DQ12" i="2"/>
  <c r="DP12" i="2"/>
  <c r="DO12" i="2"/>
  <c r="DN12" i="2"/>
  <c r="DM12" i="2"/>
  <c r="DL12" i="2"/>
  <c r="DK12" i="2"/>
  <c r="DJ12" i="2"/>
  <c r="DI12" i="2"/>
  <c r="DH12" i="2"/>
  <c r="DG12" i="2"/>
  <c r="DF12" i="2"/>
  <c r="DE12" i="2"/>
  <c r="DD12" i="2"/>
  <c r="DC12" i="2"/>
  <c r="DB12" i="2"/>
  <c r="DA12" i="2"/>
  <c r="CZ12" i="2"/>
  <c r="CY12" i="2"/>
  <c r="CX12" i="2"/>
  <c r="CW12" i="2"/>
  <c r="CV12" i="2"/>
  <c r="CU12" i="2"/>
  <c r="CT12" i="2"/>
  <c r="CS12" i="2"/>
  <c r="CR12" i="2"/>
  <c r="CQ12" i="2"/>
  <c r="CP12" i="2"/>
  <c r="CO12" i="2"/>
  <c r="CN12" i="2"/>
  <c r="CM12" i="2"/>
  <c r="CL12" i="2"/>
  <c r="CK12" i="2"/>
  <c r="CJ12" i="2"/>
  <c r="CI12" i="2"/>
  <c r="CH12" i="2"/>
  <c r="CG12" i="2"/>
  <c r="CF12" i="2"/>
  <c r="CE12" i="2"/>
  <c r="CD12" i="2"/>
  <c r="CC12" i="2"/>
  <c r="CB12" i="2"/>
  <c r="CA12" i="2"/>
  <c r="BZ12" i="2"/>
  <c r="BY12" i="2"/>
  <c r="BX12" i="2"/>
  <c r="BW12" i="2"/>
  <c r="BV12" i="2"/>
  <c r="BU12" i="2"/>
  <c r="BT12" i="2"/>
  <c r="BS12" i="2"/>
  <c r="BR12" i="2"/>
  <c r="BQ12" i="2"/>
  <c r="BP12" i="2"/>
  <c r="BO12" i="2"/>
  <c r="BN12" i="2"/>
  <c r="BM12" i="2"/>
  <c r="BL12" i="2"/>
  <c r="BK12" i="2"/>
  <c r="BJ12" i="2"/>
  <c r="BI12" i="2"/>
  <c r="BH12" i="2"/>
  <c r="BG12" i="2"/>
  <c r="BF12" i="2"/>
  <c r="BE12" i="2"/>
  <c r="BD12" i="2"/>
  <c r="BC12" i="2"/>
  <c r="BB12" i="2"/>
  <c r="BA12" i="2"/>
  <c r="AZ12" i="2"/>
  <c r="AY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K12" i="2"/>
  <c r="AJ12" i="2"/>
  <c r="AI12" i="2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U12" i="2"/>
  <c r="T12" i="2"/>
  <c r="S12" i="2"/>
  <c r="R12" i="2"/>
  <c r="Q12" i="2"/>
  <c r="P12" i="2"/>
  <c r="O12" i="2"/>
  <c r="N12" i="2"/>
  <c r="M12" i="2"/>
  <c r="L12" i="2"/>
  <c r="K12" i="2"/>
  <c r="J12" i="2"/>
  <c r="I12" i="2"/>
  <c r="H12" i="2"/>
  <c r="G12" i="2"/>
  <c r="F12" i="2"/>
  <c r="E12" i="2"/>
  <c r="D12" i="2"/>
  <c r="C12" i="2"/>
  <c r="BW10" i="1"/>
  <c r="BV10" i="1"/>
  <c r="BU10" i="1"/>
  <c r="BT10" i="1"/>
  <c r="BS10" i="1"/>
  <c r="BR10" i="1"/>
  <c r="BQ10" i="1"/>
  <c r="BP10" i="1"/>
  <c r="BO10" i="1"/>
  <c r="BN10" i="1"/>
  <c r="BM10" i="1"/>
  <c r="BL10" i="1"/>
  <c r="BK10" i="1"/>
  <c r="BJ10" i="1"/>
  <c r="BI10" i="1"/>
  <c r="BH10" i="1"/>
  <c r="BG10" i="1"/>
  <c r="BF10" i="1"/>
  <c r="BE10" i="1"/>
  <c r="BD10" i="1"/>
  <c r="BC10" i="1"/>
  <c r="BB10" i="1"/>
  <c r="BA10" i="1"/>
  <c r="AZ10" i="1"/>
  <c r="AY10" i="1"/>
  <c r="AX10" i="1"/>
  <c r="AW10" i="1"/>
  <c r="AV10" i="1"/>
  <c r="AU10" i="1"/>
  <c r="AT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D10" i="1"/>
  <c r="C10" i="1"/>
  <c r="BW9" i="1"/>
  <c r="BV9" i="1"/>
  <c r="BU9" i="1"/>
  <c r="BT9" i="1"/>
  <c r="BS9" i="1"/>
  <c r="BR9" i="1"/>
  <c r="BQ9" i="1"/>
  <c r="BP9" i="1"/>
  <c r="BO9" i="1"/>
  <c r="BN9" i="1"/>
  <c r="BM9" i="1"/>
  <c r="BL9" i="1"/>
  <c r="BK9" i="1"/>
  <c r="BJ9" i="1"/>
  <c r="BI9" i="1"/>
  <c r="BH9" i="1"/>
  <c r="BG9" i="1"/>
  <c r="BF9" i="1"/>
  <c r="BE9" i="1"/>
  <c r="BD9" i="1"/>
  <c r="BC9" i="1"/>
  <c r="BB9" i="1"/>
  <c r="BA9" i="1"/>
  <c r="AZ9" i="1"/>
  <c r="AY9" i="1"/>
  <c r="AX9" i="1"/>
  <c r="AW9" i="1"/>
  <c r="AV9" i="1"/>
  <c r="AU9" i="1"/>
  <c r="AT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D9" i="1"/>
  <c r="C9" i="1"/>
  <c r="EF8" i="1" a="1"/>
  <c r="EF8" i="1"/>
  <c r="EE8" i="1" a="1"/>
  <c r="EE8" i="1"/>
  <c r="ED8" i="1" a="1"/>
  <c r="ED8" i="1"/>
  <c r="EC8" i="1" a="1"/>
  <c r="EC8" i="1"/>
  <c r="EB8" i="1" a="1"/>
  <c r="EB8" i="1"/>
  <c r="EA8" i="1" a="1"/>
  <c r="EA8" i="1"/>
  <c r="DZ8" i="1" a="1"/>
  <c r="DZ8" i="1"/>
  <c r="DY8" i="1" a="1"/>
  <c r="DY8" i="1"/>
  <c r="DX8" i="1" a="1"/>
  <c r="DX8" i="1"/>
  <c r="DW8" i="1" a="1"/>
  <c r="DW8" i="1"/>
  <c r="DV8" i="1" a="1"/>
  <c r="DV8" i="1"/>
  <c r="DU8" i="1" a="1"/>
  <c r="DU8" i="1"/>
  <c r="DT8" i="1" a="1"/>
  <c r="DT8" i="1"/>
  <c r="DS8" i="1" a="1"/>
  <c r="DS8" i="1"/>
  <c r="DR8" i="1" a="1"/>
  <c r="DR8" i="1" s="1"/>
  <c r="DQ8" i="1" a="1"/>
  <c r="DQ8" i="1" s="1"/>
  <c r="DP8" i="1" a="1"/>
  <c r="DP8" i="1" s="1"/>
  <c r="DO8" i="1" a="1"/>
  <c r="DO8" i="1" s="1"/>
  <c r="DN8" i="1" a="1"/>
  <c r="DN8" i="1" s="1"/>
  <c r="DM8" i="1" a="1"/>
  <c r="DM8" i="1" s="1"/>
  <c r="DL8" i="1" a="1"/>
  <c r="DL8" i="1" s="1"/>
  <c r="DK8" i="1" a="1"/>
  <c r="DK8" i="1" s="1"/>
  <c r="DJ8" i="1" a="1"/>
  <c r="DJ8" i="1" s="1"/>
  <c r="DI8" i="1" a="1"/>
  <c r="DI8" i="1" s="1"/>
  <c r="DH8" i="1" a="1"/>
  <c r="DH8" i="1" s="1"/>
  <c r="DG8" i="1" a="1"/>
  <c r="DG8" i="1" s="1"/>
  <c r="DF8" i="1" a="1"/>
  <c r="DF8" i="1" s="1"/>
  <c r="DE8" i="1" a="1"/>
  <c r="DE8" i="1" s="1"/>
  <c r="DD8" i="1" a="1"/>
  <c r="DD8" i="1" s="1"/>
  <c r="DC8" i="1" a="1"/>
  <c r="DC8" i="1" s="1"/>
  <c r="DB8" i="1" a="1"/>
  <c r="DB8" i="1" s="1"/>
  <c r="DA8" i="1" a="1"/>
  <c r="DA8" i="1" s="1"/>
  <c r="CZ8" i="1" a="1"/>
  <c r="CZ8" i="1" s="1"/>
  <c r="CY8" i="1" a="1"/>
  <c r="CY8" i="1" s="1"/>
  <c r="CX8" i="1" a="1"/>
  <c r="CX8" i="1" s="1"/>
  <c r="CW8" i="1" a="1"/>
  <c r="CW8" i="1" s="1"/>
  <c r="CV8" i="1" a="1"/>
  <c r="CV8" i="1" s="1"/>
  <c r="CU8" i="1" a="1"/>
  <c r="CU8" i="1" s="1"/>
  <c r="CT8" i="1" a="1"/>
  <c r="CT8" i="1" s="1"/>
  <c r="CS8" i="1" a="1"/>
  <c r="CS8" i="1" s="1"/>
  <c r="CR8" i="1" a="1"/>
  <c r="CR8" i="1" s="1"/>
  <c r="CQ8" i="1" a="1"/>
  <c r="CQ8" i="1" s="1"/>
  <c r="CP8" i="1" a="1"/>
  <c r="CP8" i="1" s="1"/>
  <c r="CO8" i="1" a="1"/>
  <c r="CO8" i="1" s="1"/>
  <c r="CN8" i="1" a="1"/>
  <c r="CN8" i="1" s="1"/>
  <c r="CM8" i="1" a="1"/>
  <c r="CM8" i="1" s="1"/>
  <c r="CL8" i="1" a="1"/>
  <c r="CL8" i="1" s="1"/>
  <c r="CK8" i="1" a="1"/>
  <c r="CK8" i="1" s="1"/>
  <c r="CJ8" i="1" a="1"/>
  <c r="CJ8" i="1" s="1"/>
  <c r="CI8" i="1" a="1"/>
  <c r="CI8" i="1" s="1"/>
  <c r="CH8" i="1" a="1"/>
  <c r="CH8" i="1" s="1"/>
  <c r="CG8" i="1" a="1"/>
  <c r="CG8" i="1" s="1"/>
  <c r="CF8" i="1" a="1"/>
  <c r="CF8" i="1" s="1"/>
  <c r="CE8" i="1" a="1"/>
  <c r="CE8" i="1" s="1"/>
  <c r="CD8" i="1" a="1"/>
  <c r="CD8" i="1" s="1"/>
  <c r="CC8" i="1" a="1"/>
  <c r="CC8" i="1" s="1"/>
  <c r="CB8" i="1" a="1"/>
  <c r="CB8" i="1" s="1"/>
  <c r="CA8" i="1" a="1"/>
  <c r="CA8" i="1" s="1"/>
  <c r="BZ8" i="1" a="1"/>
  <c r="BZ8" i="1" s="1"/>
  <c r="BY8" i="1" a="1"/>
  <c r="BY8" i="1" s="1"/>
  <c r="BX8" i="1" a="1"/>
  <c r="BX8" i="1" s="1"/>
  <c r="BW8" i="1" a="1"/>
  <c r="BW8" i="1"/>
  <c r="BV8" i="1" a="1"/>
  <c r="BV8" i="1"/>
  <c r="BU8" i="1" a="1"/>
  <c r="BU8" i="1"/>
  <c r="BT8" i="1" a="1"/>
  <c r="BT8" i="1"/>
  <c r="BS8" i="1" a="1"/>
  <c r="BS8" i="1"/>
  <c r="BR8" i="1" a="1"/>
  <c r="BR8" i="1"/>
  <c r="BQ8" i="1" a="1"/>
  <c r="BQ8" i="1"/>
  <c r="BP8" i="1" a="1"/>
  <c r="BP8" i="1"/>
  <c r="BO8" i="1" a="1"/>
  <c r="BO8" i="1"/>
  <c r="BN8" i="1" a="1"/>
  <c r="BN8" i="1"/>
  <c r="BM8" i="1" a="1"/>
  <c r="BM8" i="1"/>
  <c r="BL8" i="1" a="1"/>
  <c r="BL8" i="1"/>
  <c r="BK8" i="1" a="1"/>
  <c r="BK8" i="1"/>
  <c r="BJ8" i="1" a="1"/>
  <c r="BJ8" i="1"/>
  <c r="BI8" i="1" a="1"/>
  <c r="BI8" i="1"/>
  <c r="BH8" i="1" a="1"/>
  <c r="BH8" i="1"/>
  <c r="BG8" i="1" a="1"/>
  <c r="BG8" i="1"/>
  <c r="BF8" i="1" a="1"/>
  <c r="BF8" i="1"/>
  <c r="BE8" i="1" a="1"/>
  <c r="BE8" i="1"/>
  <c r="BD8" i="1" a="1"/>
  <c r="BD8" i="1"/>
  <c r="BC8" i="1" a="1"/>
  <c r="BC8" i="1"/>
  <c r="BB8" i="1" a="1"/>
  <c r="BB8" i="1"/>
  <c r="BA8" i="1" a="1"/>
  <c r="BA8" i="1"/>
  <c r="AZ8" i="1" a="1"/>
  <c r="AZ8" i="1"/>
  <c r="AY8" i="1" a="1"/>
  <c r="AY8" i="1"/>
  <c r="AX8" i="1" a="1"/>
  <c r="AX8" i="1"/>
  <c r="AW8" i="1" a="1"/>
  <c r="AW8" i="1"/>
  <c r="AV8" i="1" a="1"/>
  <c r="AV8" i="1"/>
  <c r="AU8" i="1" a="1"/>
  <c r="AU8" i="1"/>
  <c r="AT8" i="1" a="1"/>
  <c r="AT8" i="1"/>
  <c r="AS8" i="1" a="1"/>
  <c r="AS8" i="1"/>
  <c r="AR8" i="1" a="1"/>
  <c r="AR8" i="1"/>
  <c r="AQ8" i="1" a="1"/>
  <c r="AQ8" i="1"/>
  <c r="AP8" i="1" a="1"/>
  <c r="AP8" i="1"/>
  <c r="AO8" i="1" a="1"/>
  <c r="AO8" i="1"/>
  <c r="AN8" i="1" a="1"/>
  <c r="AN8" i="1"/>
  <c r="AM8" i="1" a="1"/>
  <c r="AM8" i="1"/>
  <c r="AL8" i="1" a="1"/>
  <c r="AL8" i="1"/>
  <c r="AK8" i="1" a="1"/>
  <c r="AK8" i="1"/>
  <c r="AJ8" i="1" a="1"/>
  <c r="AJ8" i="1"/>
  <c r="AI8" i="1" a="1"/>
  <c r="AI8" i="1"/>
  <c r="AH8" i="1" a="1"/>
  <c r="AH8" i="1"/>
  <c r="AG8" i="1" a="1"/>
  <c r="AG8" i="1"/>
  <c r="AF8" i="1" a="1"/>
  <c r="AF8" i="1"/>
  <c r="AE8" i="1" a="1"/>
  <c r="AE8" i="1"/>
  <c r="AD8" i="1" a="1"/>
  <c r="AD8" i="1"/>
  <c r="AC8" i="1" a="1"/>
  <c r="AC8" i="1"/>
  <c r="AB8" i="1" a="1"/>
  <c r="AB8" i="1"/>
  <c r="AA8" i="1" a="1"/>
  <c r="AA8" i="1"/>
  <c r="Z8" i="1" a="1"/>
  <c r="Z8" i="1"/>
  <c r="Y8" i="1" a="1"/>
  <c r="Y8" i="1"/>
  <c r="X8" i="1" a="1"/>
  <c r="X8" i="1"/>
  <c r="W8" i="1" a="1"/>
  <c r="W8" i="1"/>
  <c r="V8" i="1" a="1"/>
  <c r="V8" i="1"/>
  <c r="U8" i="1" a="1"/>
  <c r="U8" i="1"/>
  <c r="T8" i="1" a="1"/>
  <c r="T8" i="1"/>
  <c r="S8" i="1" a="1"/>
  <c r="S8" i="1"/>
  <c r="R8" i="1" a="1"/>
  <c r="R8" i="1"/>
  <c r="Q8" i="1" a="1"/>
  <c r="Q8" i="1"/>
  <c r="P8" i="1" a="1"/>
  <c r="P8" i="1"/>
  <c r="O8" i="1" a="1"/>
  <c r="O8" i="1"/>
  <c r="N8" i="1" a="1"/>
  <c r="N8" i="1"/>
  <c r="M8" i="1" a="1"/>
  <c r="M8" i="1"/>
  <c r="L8" i="1" a="1"/>
  <c r="L8" i="1"/>
  <c r="K8" i="1" a="1"/>
  <c r="K8" i="1"/>
  <c r="J8" i="1" a="1"/>
  <c r="J8" i="1"/>
  <c r="I8" i="1" a="1"/>
  <c r="I8" i="1"/>
  <c r="H8" i="1" a="1"/>
  <c r="H8" i="1"/>
  <c r="G8" i="1" a="1"/>
  <c r="G8" i="1"/>
  <c r="F8" i="1" a="1"/>
  <c r="F8" i="1"/>
  <c r="E8" i="1" a="1"/>
  <c r="E8" i="1"/>
  <c r="D8" i="1" a="1"/>
  <c r="D8" i="1"/>
  <c r="C8" i="1" a="1"/>
  <c r="C8" i="1"/>
  <c r="EI23" i="5" l="1"/>
  <c r="EI24" i="5"/>
  <c r="EI19" i="5"/>
  <c r="EI26" i="5"/>
  <c r="EI21" i="5"/>
  <c r="EI25" i="5"/>
  <c r="EI20" i="5"/>
  <c r="EI17" i="5"/>
  <c r="EI22" i="5"/>
  <c r="EI16" i="5"/>
  <c r="AA14" i="4"/>
  <c r="EH24" i="2"/>
  <c r="EG24" i="2"/>
  <c r="EH23" i="2"/>
  <c r="EG23" i="2"/>
  <c r="EH22" i="2"/>
  <c r="EG22" i="2"/>
  <c r="EH21" i="2"/>
  <c r="EG21" i="2"/>
  <c r="EH20" i="2"/>
  <c r="EG20" i="2"/>
  <c r="EH19" i="2"/>
  <c r="EG19" i="2"/>
  <c r="EH18" i="2"/>
  <c r="EG18" i="2"/>
  <c r="EH17" i="2"/>
  <c r="EG17" i="2"/>
  <c r="EH16" i="2"/>
  <c r="EG16" i="2"/>
  <c r="EG15" i="2"/>
  <c r="EH15" i="2"/>
  <c r="EG14" i="2"/>
  <c r="EH14" i="2"/>
  <c r="EG13" i="2"/>
  <c r="EH13" i="2"/>
  <c r="EG12" i="2"/>
  <c r="EH12" i="2"/>
  <c r="EF10" i="1"/>
  <c r="EF9" i="1"/>
  <c r="EE9" i="1"/>
  <c r="EE10" i="1"/>
  <c r="ED9" i="1"/>
  <c r="ED10" i="1"/>
  <c r="EC10" i="1"/>
  <c r="EC9" i="1"/>
  <c r="EB10" i="1"/>
  <c r="EB9" i="1"/>
  <c r="EA9" i="1"/>
  <c r="EA10" i="1"/>
  <c r="DZ10" i="1"/>
  <c r="DZ9" i="1"/>
  <c r="DY10" i="1"/>
  <c r="DY9" i="1"/>
  <c r="DX9" i="1"/>
  <c r="DX10" i="1"/>
  <c r="DW10" i="1"/>
  <c r="DW9" i="1"/>
  <c r="DV10" i="1"/>
  <c r="DV9" i="1"/>
  <c r="DU10" i="1"/>
  <c r="DU9" i="1"/>
  <c r="DT10" i="1"/>
  <c r="DT9" i="1"/>
  <c r="DS10" i="1"/>
  <c r="DS9" i="1"/>
  <c r="DR9" i="1"/>
  <c r="DR10" i="1"/>
  <c r="DQ9" i="1"/>
  <c r="DQ10" i="1"/>
  <c r="DP9" i="1"/>
  <c r="DP10" i="1"/>
  <c r="DO9" i="1"/>
  <c r="DO10" i="1"/>
  <c r="DN9" i="1"/>
  <c r="DN10" i="1"/>
  <c r="DM9" i="1"/>
  <c r="DM10" i="1"/>
  <c r="DL9" i="1"/>
  <c r="DL10" i="1"/>
  <c r="DK9" i="1"/>
  <c r="DK10" i="1"/>
  <c r="DJ9" i="1"/>
  <c r="DJ10" i="1"/>
  <c r="DI9" i="1"/>
  <c r="DI10" i="1"/>
  <c r="DH9" i="1"/>
  <c r="DH10" i="1"/>
  <c r="DG9" i="1"/>
  <c r="DG10" i="1"/>
  <c r="DF9" i="1"/>
  <c r="DF10" i="1"/>
  <c r="DE9" i="1"/>
  <c r="DE10" i="1"/>
  <c r="DD9" i="1"/>
  <c r="DD10" i="1"/>
  <c r="DC9" i="1"/>
  <c r="DC10" i="1"/>
  <c r="DB9" i="1"/>
  <c r="DB10" i="1"/>
  <c r="DA9" i="1"/>
  <c r="DA10" i="1"/>
  <c r="CZ9" i="1"/>
  <c r="CZ10" i="1"/>
  <c r="CY9" i="1"/>
  <c r="CY10" i="1"/>
  <c r="CX9" i="1"/>
  <c r="CX10" i="1"/>
  <c r="CW9" i="1"/>
  <c r="CW10" i="1"/>
  <c r="CV9" i="1"/>
  <c r="CV10" i="1"/>
  <c r="CU9" i="1"/>
  <c r="CU10" i="1"/>
  <c r="CT9" i="1"/>
  <c r="CT10" i="1"/>
  <c r="CS9" i="1"/>
  <c r="CS10" i="1"/>
  <c r="CR9" i="1"/>
  <c r="CR10" i="1"/>
  <c r="CQ9" i="1"/>
  <c r="CQ10" i="1"/>
  <c r="CP9" i="1"/>
  <c r="CP10" i="1"/>
  <c r="CO9" i="1"/>
  <c r="CO10" i="1"/>
  <c r="CN9" i="1"/>
  <c r="CN10" i="1"/>
  <c r="CM9" i="1"/>
  <c r="CM10" i="1"/>
  <c r="CL9" i="1"/>
  <c r="CL10" i="1"/>
  <c r="CK9" i="1"/>
  <c r="CK10" i="1"/>
  <c r="CJ9" i="1"/>
  <c r="CJ10" i="1"/>
  <c r="CI9" i="1"/>
  <c r="CI10" i="1"/>
  <c r="CH9" i="1"/>
  <c r="CH10" i="1"/>
  <c r="CG9" i="1"/>
  <c r="CG10" i="1"/>
  <c r="CF9" i="1"/>
  <c r="CF10" i="1"/>
  <c r="CE9" i="1"/>
  <c r="CE10" i="1"/>
  <c r="CD9" i="1"/>
  <c r="CD10" i="1"/>
  <c r="CC9" i="1"/>
  <c r="CC10" i="1"/>
  <c r="CB9" i="1"/>
  <c r="CB10" i="1"/>
  <c r="CA9" i="1"/>
  <c r="CA10" i="1"/>
  <c r="BZ9" i="1"/>
  <c r="BZ10" i="1"/>
  <c r="BY9" i="1"/>
  <c r="BY10" i="1"/>
  <c r="BX9" i="1"/>
  <c r="BX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Brian</author>
  </authors>
  <commentList>
    <comment ref="BR37" authorId="0" shapeId="0" xr:uid="{2822D322-4DF9-5544-BA76-10345ACE700E}">
      <text>
        <r>
          <rPr>
            <b/>
            <sz val="10"/>
            <color rgb="FF000000"/>
            <rFont val="Microsoft JhengHei UI"/>
            <family val="2"/>
            <charset val="136"/>
          </rPr>
          <t>Brian:</t>
        </r>
        <r>
          <rPr>
            <sz val="10"/>
            <color rgb="FF000000"/>
            <rFont val="Microsoft JhengHei UI"/>
            <family val="2"/>
            <charset val="136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<sst xmlns="http://schemas.openxmlformats.org/spreadsheetml/2006/main" count="1555" uniqueCount="171">
  <si>
    <t>Predict</t>
  </si>
  <si>
    <t>Time</t>
  </si>
  <si>
    <t>2013/12</t>
  </si>
  <si>
    <t>2014/01</t>
  </si>
  <si>
    <t>2014/02</t>
  </si>
  <si>
    <t>2014/03</t>
  </si>
  <si>
    <t>2014/04</t>
  </si>
  <si>
    <t>2014/05</t>
  </si>
  <si>
    <t>2014/06</t>
  </si>
  <si>
    <t>2014/07</t>
  </si>
  <si>
    <t>2014/08</t>
  </si>
  <si>
    <t>2014/09</t>
  </si>
  <si>
    <t>2014/10</t>
  </si>
  <si>
    <t>2014/11</t>
  </si>
  <si>
    <t>2014/12</t>
  </si>
  <si>
    <t>2015/01</t>
  </si>
  <si>
    <t>2015/02</t>
  </si>
  <si>
    <t>2015/03</t>
  </si>
  <si>
    <t>2015/04</t>
  </si>
  <si>
    <t>2015/05</t>
  </si>
  <si>
    <t>2015/06</t>
  </si>
  <si>
    <t>2015/07</t>
  </si>
  <si>
    <t>2015/08</t>
  </si>
  <si>
    <t>2015/09</t>
  </si>
  <si>
    <t>2015/10</t>
  </si>
  <si>
    <t>2015/11</t>
  </si>
  <si>
    <t>2015/12</t>
  </si>
  <si>
    <t>2016/01</t>
  </si>
  <si>
    <t>2016/02</t>
  </si>
  <si>
    <t>2016/03</t>
  </si>
  <si>
    <t>2016/04</t>
  </si>
  <si>
    <t>2016/05</t>
  </si>
  <si>
    <t>2016/06</t>
  </si>
  <si>
    <t>2016/07</t>
  </si>
  <si>
    <t>2016/08</t>
  </si>
  <si>
    <t>2016/09</t>
  </si>
  <si>
    <t>2016/10</t>
  </si>
  <si>
    <t>2016/11</t>
  </si>
  <si>
    <t>2016/12</t>
  </si>
  <si>
    <t>2017/01</t>
  </si>
  <si>
    <t>2017/02</t>
  </si>
  <si>
    <t>2017/03</t>
  </si>
  <si>
    <t>2017/04</t>
  </si>
  <si>
    <t>2017/05</t>
  </si>
  <si>
    <t>2017/06</t>
  </si>
  <si>
    <t>2017/07</t>
  </si>
  <si>
    <t>2017/08</t>
  </si>
  <si>
    <t>2017/09</t>
  </si>
  <si>
    <t>2017/10</t>
  </si>
  <si>
    <t>2017/11</t>
  </si>
  <si>
    <t>2017/12</t>
  </si>
  <si>
    <t>2018/01</t>
  </si>
  <si>
    <t>2018/02</t>
  </si>
  <si>
    <t>2018/03</t>
  </si>
  <si>
    <t>2018/04</t>
  </si>
  <si>
    <t>2018/05</t>
  </si>
  <si>
    <t>2018/06</t>
  </si>
  <si>
    <t>2018/07</t>
  </si>
  <si>
    <t>2018/08</t>
  </si>
  <si>
    <t>2018/09</t>
  </si>
  <si>
    <t>2018/10</t>
  </si>
  <si>
    <t>2018/11</t>
  </si>
  <si>
    <t>2018/12</t>
  </si>
  <si>
    <t>2019/01</t>
  </si>
  <si>
    <t>2019/02</t>
  </si>
  <si>
    <t>2019/03</t>
  </si>
  <si>
    <t>2019/04</t>
  </si>
  <si>
    <t>2019/05</t>
  </si>
  <si>
    <t>2019/06</t>
  </si>
  <si>
    <t>2019/07</t>
  </si>
  <si>
    <t>2019/08</t>
  </si>
  <si>
    <t>2019/09</t>
  </si>
  <si>
    <t>2019/10</t>
  </si>
  <si>
    <t>2019/11</t>
  </si>
  <si>
    <t>2019/12</t>
  </si>
  <si>
    <t>2020/01</t>
  </si>
  <si>
    <t>2020/02</t>
  </si>
  <si>
    <t>2020/03</t>
  </si>
  <si>
    <t>2020/04</t>
  </si>
  <si>
    <t>2020/05</t>
  </si>
  <si>
    <t>2020/06</t>
  </si>
  <si>
    <t>2020/07</t>
  </si>
  <si>
    <t>2020/08</t>
  </si>
  <si>
    <t>2020/09</t>
  </si>
  <si>
    <t>2020/10</t>
  </si>
  <si>
    <t>2020/11</t>
  </si>
  <si>
    <t>2020/12</t>
  </si>
  <si>
    <t>2021/01</t>
  </si>
  <si>
    <t>2021/02</t>
  </si>
  <si>
    <t>2021/03</t>
  </si>
  <si>
    <t>2021/04</t>
  </si>
  <si>
    <t>2021/05</t>
  </si>
  <si>
    <t>2021/06</t>
  </si>
  <si>
    <t>2021/07</t>
  </si>
  <si>
    <t>2021/08</t>
  </si>
  <si>
    <t>2021/09</t>
  </si>
  <si>
    <t>2021/10</t>
  </si>
  <si>
    <t>2021/11</t>
  </si>
  <si>
    <t>2021/12</t>
  </si>
  <si>
    <t>2022/01</t>
  </si>
  <si>
    <t>2022/02</t>
  </si>
  <si>
    <t>2022/03</t>
  </si>
  <si>
    <t>2022/04</t>
  </si>
  <si>
    <t>2022/05</t>
  </si>
  <si>
    <t>2022/06</t>
  </si>
  <si>
    <t>2022/07</t>
  </si>
  <si>
    <t>2022/08</t>
  </si>
  <si>
    <t>2022/09</t>
  </si>
  <si>
    <t>2022/10</t>
  </si>
  <si>
    <t>2022/11</t>
  </si>
  <si>
    <t>2022/12</t>
  </si>
  <si>
    <t>2023/01</t>
  </si>
  <si>
    <t>2023/02</t>
  </si>
  <si>
    <t>2023/03</t>
  </si>
  <si>
    <t>2023/04</t>
  </si>
  <si>
    <t>2023/05</t>
  </si>
  <si>
    <t>2023/06</t>
  </si>
  <si>
    <t>2023/07</t>
  </si>
  <si>
    <t>2023/08</t>
  </si>
  <si>
    <t>2023/09</t>
  </si>
  <si>
    <t>2023/10</t>
  </si>
  <si>
    <t>2023/11</t>
  </si>
  <si>
    <t>2023/12</t>
  </si>
  <si>
    <t>2024/01</t>
  </si>
  <si>
    <t>2024/02</t>
  </si>
  <si>
    <t>2024/03</t>
  </si>
  <si>
    <t>2024/04</t>
  </si>
  <si>
    <t>2024/05</t>
  </si>
  <si>
    <t>2024/06</t>
  </si>
  <si>
    <t>2024/07</t>
  </si>
  <si>
    <t>2024/08</t>
  </si>
  <si>
    <t>2024/09</t>
  </si>
  <si>
    <t>2024/10</t>
  </si>
  <si>
    <t>2024/11</t>
  </si>
  <si>
    <t>2024/12</t>
  </si>
  <si>
    <t>2025/01</t>
  </si>
  <si>
    <t>mom1</t>
  </si>
  <si>
    <t>mom12</t>
  </si>
  <si>
    <t>chmom</t>
  </si>
  <si>
    <t>retvol</t>
  </si>
  <si>
    <t>maxret</t>
  </si>
  <si>
    <t>選絕對值最大</t>
  </si>
  <si>
    <t>投資組合</t>
  </si>
  <si>
    <t>公司數</t>
  </si>
  <si>
    <t>等分</t>
  </si>
  <si>
    <t>家數</t>
  </si>
  <si>
    <t>2025/02</t>
  </si>
  <si>
    <t>大盤</t>
  </si>
  <si>
    <t>TWⅡ</t>
  </si>
  <si>
    <t>SUM</t>
  </si>
  <si>
    <t>勝率</t>
  </si>
  <si>
    <t>時間</t>
  </si>
  <si>
    <t>10等分</t>
  </si>
  <si>
    <t>20等分</t>
  </si>
  <si>
    <t>50等分</t>
  </si>
  <si>
    <t>100等分</t>
  </si>
  <si>
    <t>107等分</t>
  </si>
  <si>
    <t>120等分</t>
  </si>
  <si>
    <t>137等分</t>
  </si>
  <si>
    <t>160等分</t>
  </si>
  <si>
    <t>192等分</t>
  </si>
  <si>
    <t>241等分</t>
  </si>
  <si>
    <t>321等分</t>
  </si>
  <si>
    <t>482等分</t>
  </si>
  <si>
    <t>964等分</t>
  </si>
  <si>
    <t>平均值</t>
  </si>
  <si>
    <t>標準差</t>
  </si>
  <si>
    <t>夏普比率</t>
  </si>
  <si>
    <t>Real</t>
  </si>
  <si>
    <t>(預測-真實)^2</t>
  </si>
  <si>
    <t>真實^2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</si>
</sst>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13">
    <font>
      <sz val="12"/>
      <color theme="1"/>
      <name val="新細明體"/>
      <family val="2"/>
      <charset val="136"/>
      <scheme val="minor"/>
    </font>
    <font>
      <sz val="12"/>
      <color theme="1"/>
      <name val="Calibri"/>
      <family val="2"/>
    </font>
    <font>
      <sz val="9"/>
      <name val="新細明體"/>
      <family val="2"/>
      <charset val="136"/>
      <scheme val="minor"/>
    </font>
    <font>
      <b/>
      <sz val="12"/>
      <color theme="1"/>
      <name val="Calibri"/>
      <family val="2"/>
    </font>
    <font>
      <b/>
      <sz val="12"/>
      <color theme="1"/>
      <name val="Microsoft JhengHe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b/>
      <sz val="12"/>
      <color theme="1"/>
      <name val="Microsoft JhengHei"/>
      <family val="2"/>
      <charset val="136"/>
    </font>
    <font>
      <b/>
      <sz val="12"/>
      <color theme="1"/>
      <name val="Noto Sans HK Black"/>
      <family val="2"/>
      <charset val="136"/>
    </font>
    <font>
      <b/>
      <sz val="12"/>
      <color theme="1"/>
      <name val="Noto Sans HK Black"/>
      <charset val="136"/>
    </font>
    <font>
      <sz val="12"/>
      <color rgb="FF000000"/>
      <name val="Calibri"/>
      <family val="2"/>
    </font>
    <font>
      <sz val="10"/>
      <color rgb="FF000000"/>
      <name val="Microsoft JhengHei UI"/>
      <family val="2"/>
      <charset val="136"/>
    </font>
    <font>
      <b/>
      <sz val="10"/>
      <color rgb="FF000000"/>
      <name val="Microsoft JhengHei UI"/>
      <family val="2"/>
      <charset val="136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top" wrapText="1"/>
    </xf>
    <xf numFmtId="0" fontId="3" fillId="3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 vertical="top" wrapText="1"/>
    </xf>
    <xf numFmtId="0" fontId="6" fillId="0" borderId="6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0" xfId="0" applyAlignment="1"/>
    <xf numFmtId="0" fontId="1" fillId="0" borderId="0" xfId="0" applyFont="1" applyAlignment="1"/>
    <xf numFmtId="0" fontId="7" fillId="0" borderId="1" xfId="0" applyFont="1" applyBorder="1" applyAlignment="1">
      <alignment horizontal="center" vertical="center"/>
    </xf>
    <xf numFmtId="0" fontId="5" fillId="5" borderId="5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5" borderId="1" xfId="0" applyNumberFormat="1" applyFont="1" applyFill="1" applyBorder="1" applyAlignment="1">
      <alignment horizontal="center" vertical="center"/>
    </xf>
    <xf numFmtId="176" fontId="1" fillId="0" borderId="0" xfId="0" applyNumberFormat="1" applyFont="1">
      <alignment vertical="center"/>
    </xf>
    <xf numFmtId="176" fontId="1" fillId="4" borderId="1" xfId="0" applyNumberFormat="1" applyFont="1" applyFill="1" applyBorder="1" applyAlignment="1">
      <alignment horizontal="center"/>
    </xf>
    <xf numFmtId="176" fontId="1" fillId="0" borderId="0" xfId="0" applyNumberFormat="1" applyFont="1" applyAlignment="1">
      <alignment horizontal="center" vertical="center"/>
    </xf>
    <xf numFmtId="176" fontId="8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176" fontId="3" fillId="6" borderId="0" xfId="0" applyNumberFormat="1" applyFont="1" applyFill="1" applyAlignment="1">
      <alignment horizontal="center" vertical="center"/>
    </xf>
    <xf numFmtId="0" fontId="10" fillId="0" borderId="2" xfId="0" applyFont="1" applyBorder="1" applyAlignment="1">
      <alignment horizontal="center" vertical="top" wrapText="1"/>
    </xf>
    <xf numFmtId="0" fontId="10" fillId="0" borderId="6" xfId="0" applyFont="1" applyBorder="1" applyAlignment="1">
      <alignment horizontal="center" vertical="top" wrapText="1"/>
    </xf>
    <xf numFmtId="176" fontId="3" fillId="7" borderId="0" xfId="0" applyNumberFormat="1" applyFont="1" applyFill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top" wrapText="1"/>
    </xf>
    <xf numFmtId="176" fontId="3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/>
    </xf>
    <xf numFmtId="176" fontId="8" fillId="8" borderId="1" xfId="0" applyNumberFormat="1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3" fillId="9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4" xfId="0" applyBorder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RF累積報酬!$A$22</c:f>
              <c:strCache>
                <c:ptCount val="1"/>
                <c:pt idx="0">
                  <c:v>241等分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val>
            <c:numRef>
              <c:f>RF累積報酬!$B$22:$EE$22</c:f>
              <c:numCache>
                <c:formatCode>General</c:formatCode>
                <c:ptCount val="134"/>
                <c:pt idx="0">
                  <c:v>0.49455411274555888</c:v>
                </c:pt>
                <c:pt idx="1">
                  <c:v>0.7500442771182616</c:v>
                </c:pt>
                <c:pt idx="2">
                  <c:v>0.90838504906188255</c:v>
                </c:pt>
                <c:pt idx="3">
                  <c:v>0.86033676409246207</c:v>
                </c:pt>
                <c:pt idx="4">
                  <c:v>0.80487111149575008</c:v>
                </c:pt>
                <c:pt idx="5">
                  <c:v>0.76746992691330129</c:v>
                </c:pt>
                <c:pt idx="6">
                  <c:v>0.67667075018758216</c:v>
                </c:pt>
                <c:pt idx="7">
                  <c:v>0.6353982653992748</c:v>
                </c:pt>
                <c:pt idx="8">
                  <c:v>0.76884200264103353</c:v>
                </c:pt>
                <c:pt idx="9">
                  <c:v>0.71180160322783004</c:v>
                </c:pt>
                <c:pt idx="10">
                  <c:v>0.79615023978971911</c:v>
                </c:pt>
                <c:pt idx="11">
                  <c:v>0.91806528671920851</c:v>
                </c:pt>
                <c:pt idx="12">
                  <c:v>0.75777980296011305</c:v>
                </c:pt>
                <c:pt idx="13">
                  <c:v>0.78825703501507949</c:v>
                </c:pt>
                <c:pt idx="14">
                  <c:v>0.98990990829134451</c:v>
                </c:pt>
                <c:pt idx="15">
                  <c:v>1.0077487628778981</c:v>
                </c:pt>
                <c:pt idx="16">
                  <c:v>0.91682280884695999</c:v>
                </c:pt>
                <c:pt idx="17">
                  <c:v>0.8597172967932889</c:v>
                </c:pt>
                <c:pt idx="18">
                  <c:v>0.6408769589396951</c:v>
                </c:pt>
                <c:pt idx="19">
                  <c:v>0.68905320297305173</c:v>
                </c:pt>
                <c:pt idx="20">
                  <c:v>0.66367489622416787</c:v>
                </c:pt>
                <c:pt idx="21">
                  <c:v>0.79744223667929404</c:v>
                </c:pt>
                <c:pt idx="22">
                  <c:v>0.71251652180891312</c:v>
                </c:pt>
                <c:pt idx="23">
                  <c:v>0.7429453750704057</c:v>
                </c:pt>
                <c:pt idx="24">
                  <c:v>0.64450077622848845</c:v>
                </c:pt>
                <c:pt idx="25">
                  <c:v>0.53977683434379287</c:v>
                </c:pt>
                <c:pt idx="26">
                  <c:v>0.54630330411389749</c:v>
                </c:pt>
                <c:pt idx="27">
                  <c:v>0.76808845319225094</c:v>
                </c:pt>
                <c:pt idx="28">
                  <c:v>0.99292075982778938</c:v>
                </c:pt>
                <c:pt idx="29">
                  <c:v>1.1105680757614007</c:v>
                </c:pt>
                <c:pt idx="30">
                  <c:v>1.1899227072094538</c:v>
                </c:pt>
                <c:pt idx="31">
                  <c:v>1.3995397687433817</c:v>
                </c:pt>
                <c:pt idx="32">
                  <c:v>1.4145897213946979</c:v>
                </c:pt>
                <c:pt idx="33">
                  <c:v>1.2601823801727488</c:v>
                </c:pt>
                <c:pt idx="34">
                  <c:v>1.2779584223726614</c:v>
                </c:pt>
                <c:pt idx="35">
                  <c:v>1.3132972484033127</c:v>
                </c:pt>
                <c:pt idx="36">
                  <c:v>1.3809220118957148</c:v>
                </c:pt>
                <c:pt idx="37">
                  <c:v>1.6827934037726167</c:v>
                </c:pt>
                <c:pt idx="38">
                  <c:v>1.8270696605193237</c:v>
                </c:pt>
                <c:pt idx="39">
                  <c:v>1.9457964917048651</c:v>
                </c:pt>
                <c:pt idx="40">
                  <c:v>1.8159413364060129</c:v>
                </c:pt>
                <c:pt idx="41">
                  <c:v>1.7646684023570767</c:v>
                </c:pt>
                <c:pt idx="42">
                  <c:v>1.7394462852180639</c:v>
                </c:pt>
                <c:pt idx="43">
                  <c:v>1.8278251416114695</c:v>
                </c:pt>
                <c:pt idx="44">
                  <c:v>1.9473296245382445</c:v>
                </c:pt>
                <c:pt idx="45">
                  <c:v>2.0658309030448669</c:v>
                </c:pt>
                <c:pt idx="46">
                  <c:v>1.9707356004761143</c:v>
                </c:pt>
                <c:pt idx="47">
                  <c:v>1.9167033538222527</c:v>
                </c:pt>
                <c:pt idx="48">
                  <c:v>1.6000273005605701</c:v>
                </c:pt>
                <c:pt idx="49">
                  <c:v>1.4884735513499034</c:v>
                </c:pt>
                <c:pt idx="50">
                  <c:v>1.550749811554575</c:v>
                </c:pt>
                <c:pt idx="51">
                  <c:v>1.4900105267531127</c:v>
                </c:pt>
                <c:pt idx="52">
                  <c:v>1.3080405003180131</c:v>
                </c:pt>
                <c:pt idx="53">
                  <c:v>1.3245277728201905</c:v>
                </c:pt>
                <c:pt idx="54">
                  <c:v>1.2394811715451843</c:v>
                </c:pt>
                <c:pt idx="55">
                  <c:v>1.2269724810935863</c:v>
                </c:pt>
                <c:pt idx="56">
                  <c:v>1.2625177317664098</c:v>
                </c:pt>
                <c:pt idx="57">
                  <c:v>1.2482554435452746</c:v>
                </c:pt>
                <c:pt idx="58">
                  <c:v>1.2753105128258702</c:v>
                </c:pt>
                <c:pt idx="59">
                  <c:v>1.4806924421464127</c:v>
                </c:pt>
                <c:pt idx="60">
                  <c:v>1.3915962823967045</c:v>
                </c:pt>
                <c:pt idx="61">
                  <c:v>1.4998815674860995</c:v>
                </c:pt>
                <c:pt idx="62">
                  <c:v>1.5985481268502646</c:v>
                </c:pt>
                <c:pt idx="63">
                  <c:v>1.6242863211975689</c:v>
                </c:pt>
                <c:pt idx="64">
                  <c:v>1.8173960761209762</c:v>
                </c:pt>
                <c:pt idx="65">
                  <c:v>1.6010876132712113</c:v>
                </c:pt>
                <c:pt idx="66">
                  <c:v>1.5876495949616292</c:v>
                </c:pt>
                <c:pt idx="67">
                  <c:v>1.3894412128107092</c:v>
                </c:pt>
                <c:pt idx="68">
                  <c:v>1.29607711752181</c:v>
                </c:pt>
                <c:pt idx="69">
                  <c:v>1.4494038014342303</c:v>
                </c:pt>
                <c:pt idx="70">
                  <c:v>1.4033618618444961</c:v>
                </c:pt>
                <c:pt idx="71">
                  <c:v>1.4858597191643728</c:v>
                </c:pt>
                <c:pt idx="72">
                  <c:v>1.5158646531223943</c:v>
                </c:pt>
                <c:pt idx="73">
                  <c:v>1.4598413237327796</c:v>
                </c:pt>
                <c:pt idx="74">
                  <c:v>1.4145907991555005</c:v>
                </c:pt>
                <c:pt idx="75">
                  <c:v>1.3174131353721514</c:v>
                </c:pt>
                <c:pt idx="76">
                  <c:v>1.4823248383164513</c:v>
                </c:pt>
                <c:pt idx="77">
                  <c:v>1.7139565552225837</c:v>
                </c:pt>
                <c:pt idx="78">
                  <c:v>1.4523006021834219</c:v>
                </c:pt>
                <c:pt idx="79">
                  <c:v>1.4976868862348638</c:v>
                </c:pt>
                <c:pt idx="80">
                  <c:v>1.4530851326040657</c:v>
                </c:pt>
                <c:pt idx="81">
                  <c:v>1.5995773080713198</c:v>
                </c:pt>
                <c:pt idx="82">
                  <c:v>1.7057080367407906</c:v>
                </c:pt>
                <c:pt idx="83">
                  <c:v>1.3479348501790966</c:v>
                </c:pt>
                <c:pt idx="84">
                  <c:v>1.136498241349893</c:v>
                </c:pt>
                <c:pt idx="85">
                  <c:v>1.1359796293085407</c:v>
                </c:pt>
                <c:pt idx="86">
                  <c:v>1.0213802168431225</c:v>
                </c:pt>
                <c:pt idx="87">
                  <c:v>0.99500729344651684</c:v>
                </c:pt>
                <c:pt idx="88">
                  <c:v>1.0892624919668066</c:v>
                </c:pt>
                <c:pt idx="89">
                  <c:v>1.0725969123918624</c:v>
                </c:pt>
                <c:pt idx="90">
                  <c:v>0.85404668012886953</c:v>
                </c:pt>
                <c:pt idx="91">
                  <c:v>0.84943455307047511</c:v>
                </c:pt>
                <c:pt idx="92">
                  <c:v>1.0798754719933175</c:v>
                </c:pt>
                <c:pt idx="93">
                  <c:v>1.0272789933011672</c:v>
                </c:pt>
                <c:pt idx="94">
                  <c:v>0.89672303189865421</c:v>
                </c:pt>
                <c:pt idx="95">
                  <c:v>0.84289615814113084</c:v>
                </c:pt>
                <c:pt idx="96">
                  <c:v>0.81939523334587916</c:v>
                </c:pt>
                <c:pt idx="97">
                  <c:v>0.88253550492592936</c:v>
                </c:pt>
                <c:pt idx="98">
                  <c:v>0.84789965984972659</c:v>
                </c:pt>
                <c:pt idx="99">
                  <c:v>0.98141071246334222</c:v>
                </c:pt>
                <c:pt idx="100">
                  <c:v>0.94314647694488385</c:v>
                </c:pt>
                <c:pt idx="101">
                  <c:v>1.1698235555884597</c:v>
                </c:pt>
                <c:pt idx="102">
                  <c:v>1.1555461347116047</c:v>
                </c:pt>
                <c:pt idx="103">
                  <c:v>1.0804497942836333</c:v>
                </c:pt>
                <c:pt idx="104">
                  <c:v>0.95318863928750319</c:v>
                </c:pt>
                <c:pt idx="105">
                  <c:v>0.99560476436363632</c:v>
                </c:pt>
                <c:pt idx="106">
                  <c:v>0.91154604392235739</c:v>
                </c:pt>
                <c:pt idx="107">
                  <c:v>0.91156848464359785</c:v>
                </c:pt>
                <c:pt idx="108">
                  <c:v>0.9043928333425022</c:v>
                </c:pt>
                <c:pt idx="109">
                  <c:v>0.87857329309175503</c:v>
                </c:pt>
                <c:pt idx="110">
                  <c:v>0.75721673875656048</c:v>
                </c:pt>
                <c:pt idx="111">
                  <c:v>0.70923214933254874</c:v>
                </c:pt>
                <c:pt idx="112">
                  <c:v>0.67300543058113926</c:v>
                </c:pt>
                <c:pt idx="113">
                  <c:v>0.6630711252709186</c:v>
                </c:pt>
                <c:pt idx="114">
                  <c:v>0.58486519495852651</c:v>
                </c:pt>
                <c:pt idx="115">
                  <c:v>0.64654868109552954</c:v>
                </c:pt>
                <c:pt idx="116">
                  <c:v>0.66083871358043589</c:v>
                </c:pt>
                <c:pt idx="117">
                  <c:v>0.81632517424314022</c:v>
                </c:pt>
                <c:pt idx="118">
                  <c:v>0.77863739115695751</c:v>
                </c:pt>
                <c:pt idx="119">
                  <c:v>0.79015434159599773</c:v>
                </c:pt>
                <c:pt idx="120">
                  <c:v>0.7763507345139693</c:v>
                </c:pt>
                <c:pt idx="121">
                  <c:v>0.62193908825457833</c:v>
                </c:pt>
                <c:pt idx="122">
                  <c:v>0.65036527156064905</c:v>
                </c:pt>
                <c:pt idx="123">
                  <c:v>0.60672196139590839</c:v>
                </c:pt>
                <c:pt idx="124">
                  <c:v>0.64988451928890678</c:v>
                </c:pt>
                <c:pt idx="125">
                  <c:v>0.68037219632639889</c:v>
                </c:pt>
                <c:pt idx="126">
                  <c:v>0.59033478548890639</c:v>
                </c:pt>
                <c:pt idx="127">
                  <c:v>0.59566941941028939</c:v>
                </c:pt>
                <c:pt idx="128">
                  <c:v>0.64961126540514258</c:v>
                </c:pt>
                <c:pt idx="129">
                  <c:v>0.92503860205354416</c:v>
                </c:pt>
                <c:pt idx="130">
                  <c:v>1.0774796999949148</c:v>
                </c:pt>
                <c:pt idx="131">
                  <c:v>1.0177711502504923</c:v>
                </c:pt>
                <c:pt idx="132">
                  <c:v>1.144662354799407</c:v>
                </c:pt>
                <c:pt idx="133">
                  <c:v>1.2227905633119662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53A-144A-AFAD-47D67CE793C7}"/>
            </c:ext>
          </c:extLst>
        </c:ser>
        <c:ser>
          <c:idx val="1"/>
          <c:order val="1"/>
          <c:tx>
            <c:strRef>
              <c:f>RF累積報酬!$A$23</c:f>
              <c:strCache>
                <c:ptCount val="1"/>
                <c:pt idx="0">
                  <c:v>321等分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val>
            <c:numRef>
              <c:f>RF累積報酬!$B$23:$EE$23</c:f>
              <c:numCache>
                <c:formatCode>General</c:formatCode>
                <c:ptCount val="134"/>
                <c:pt idx="0">
                  <c:v>0.63578987634030326</c:v>
                </c:pt>
                <c:pt idx="1">
                  <c:v>0.77950034097116838</c:v>
                </c:pt>
                <c:pt idx="2">
                  <c:v>1.0362840420601409</c:v>
                </c:pt>
                <c:pt idx="3">
                  <c:v>1.0053719686520843</c:v>
                </c:pt>
                <c:pt idx="4">
                  <c:v>1.0717973639959477</c:v>
                </c:pt>
                <c:pt idx="5">
                  <c:v>1.0491286309529204</c:v>
                </c:pt>
                <c:pt idx="6">
                  <c:v>0.8651246999504606</c:v>
                </c:pt>
                <c:pt idx="7">
                  <c:v>0.86728257630366301</c:v>
                </c:pt>
                <c:pt idx="8">
                  <c:v>0.91912998454827166</c:v>
                </c:pt>
                <c:pt idx="9">
                  <c:v>0.87114730878576108</c:v>
                </c:pt>
                <c:pt idx="10">
                  <c:v>0.93774338276060232</c:v>
                </c:pt>
                <c:pt idx="11">
                  <c:v>1.1025930475951853</c:v>
                </c:pt>
                <c:pt idx="12">
                  <c:v>0.89336092948617496</c:v>
                </c:pt>
                <c:pt idx="13">
                  <c:v>0.91296784070615533</c:v>
                </c:pt>
                <c:pt idx="14">
                  <c:v>1.1467432301207938</c:v>
                </c:pt>
                <c:pt idx="15">
                  <c:v>1.0372975932287243</c:v>
                </c:pt>
                <c:pt idx="16">
                  <c:v>0.85353390905594262</c:v>
                </c:pt>
                <c:pt idx="17">
                  <c:v>0.81253116873783038</c:v>
                </c:pt>
                <c:pt idx="18">
                  <c:v>0.59563409816181634</c:v>
                </c:pt>
                <c:pt idx="19">
                  <c:v>0.67223939714198255</c:v>
                </c:pt>
                <c:pt idx="20">
                  <c:v>0.62462260157464322</c:v>
                </c:pt>
                <c:pt idx="21">
                  <c:v>0.75596405460689886</c:v>
                </c:pt>
                <c:pt idx="22">
                  <c:v>0.64767560416255576</c:v>
                </c:pt>
                <c:pt idx="23">
                  <c:v>0.66650056788841217</c:v>
                </c:pt>
                <c:pt idx="24">
                  <c:v>0.60767171812398513</c:v>
                </c:pt>
                <c:pt idx="25">
                  <c:v>0.53690058575694843</c:v>
                </c:pt>
                <c:pt idx="26">
                  <c:v>0.63525323959885771</c:v>
                </c:pt>
                <c:pt idx="27">
                  <c:v>0.78574152158988098</c:v>
                </c:pt>
                <c:pt idx="28">
                  <c:v>1.076922270389453</c:v>
                </c:pt>
                <c:pt idx="29">
                  <c:v>1.2611605297130202</c:v>
                </c:pt>
                <c:pt idx="30">
                  <c:v>1.4236924244225253</c:v>
                </c:pt>
                <c:pt idx="31">
                  <c:v>1.7056569615374655</c:v>
                </c:pt>
                <c:pt idx="32">
                  <c:v>1.7577525402748306</c:v>
                </c:pt>
                <c:pt idx="33">
                  <c:v>1.7861448713287793</c:v>
                </c:pt>
                <c:pt idx="34">
                  <c:v>1.8407560107346392</c:v>
                </c:pt>
                <c:pt idx="35">
                  <c:v>1.8541065404547703</c:v>
                </c:pt>
                <c:pt idx="36">
                  <c:v>1.9278069320154885</c:v>
                </c:pt>
                <c:pt idx="37">
                  <c:v>2.312388362509294</c:v>
                </c:pt>
                <c:pt idx="38">
                  <c:v>2.4799489447148657</c:v>
                </c:pt>
                <c:pt idx="39">
                  <c:v>2.5579108518025837</c:v>
                </c:pt>
                <c:pt idx="40">
                  <c:v>2.562657555683117</c:v>
                </c:pt>
                <c:pt idx="41">
                  <c:v>2.4468138056514532</c:v>
                </c:pt>
                <c:pt idx="42">
                  <c:v>2.4118233427178386</c:v>
                </c:pt>
                <c:pt idx="43">
                  <c:v>2.5080570615404869</c:v>
                </c:pt>
                <c:pt idx="44">
                  <c:v>2.6122378952890464</c:v>
                </c:pt>
                <c:pt idx="45">
                  <c:v>2.7790868456758537</c:v>
                </c:pt>
                <c:pt idx="46">
                  <c:v>2.6599718386553546</c:v>
                </c:pt>
                <c:pt idx="47">
                  <c:v>2.6203069713238984</c:v>
                </c:pt>
                <c:pt idx="48">
                  <c:v>2.3667318108763262</c:v>
                </c:pt>
                <c:pt idx="49">
                  <c:v>2.2786629194783945</c:v>
                </c:pt>
                <c:pt idx="50">
                  <c:v>2.3066865923160997</c:v>
                </c:pt>
                <c:pt idx="51">
                  <c:v>2.1744201066353082</c:v>
                </c:pt>
                <c:pt idx="52">
                  <c:v>2.1147155540477334</c:v>
                </c:pt>
                <c:pt idx="53">
                  <c:v>2.1720537846478538</c:v>
                </c:pt>
                <c:pt idx="54">
                  <c:v>2.0888102622096452</c:v>
                </c:pt>
                <c:pt idx="55">
                  <c:v>2.0434202024701245</c:v>
                </c:pt>
                <c:pt idx="56">
                  <c:v>2.0270675310130559</c:v>
                </c:pt>
                <c:pt idx="57">
                  <c:v>1.9937415193968624</c:v>
                </c:pt>
                <c:pt idx="58">
                  <c:v>2.0723093856917898</c:v>
                </c:pt>
                <c:pt idx="59">
                  <c:v>2.349173989303353</c:v>
                </c:pt>
                <c:pt idx="60">
                  <c:v>2.2569354507535411</c:v>
                </c:pt>
                <c:pt idx="61">
                  <c:v>2.3328443015570643</c:v>
                </c:pt>
                <c:pt idx="62">
                  <c:v>2.4488579913405939</c:v>
                </c:pt>
                <c:pt idx="63">
                  <c:v>2.6233840513785829</c:v>
                </c:pt>
                <c:pt idx="64">
                  <c:v>2.7826631394786889</c:v>
                </c:pt>
                <c:pt idx="65">
                  <c:v>2.5439229018730867</c:v>
                </c:pt>
                <c:pt idx="66">
                  <c:v>2.3601174285718987</c:v>
                </c:pt>
                <c:pt idx="67">
                  <c:v>2.2104701130009463</c:v>
                </c:pt>
                <c:pt idx="68">
                  <c:v>2.1931932694063634</c:v>
                </c:pt>
                <c:pt idx="69">
                  <c:v>2.3600862454949834</c:v>
                </c:pt>
                <c:pt idx="70">
                  <c:v>2.2591875840311797</c:v>
                </c:pt>
                <c:pt idx="71">
                  <c:v>2.3659772990592156</c:v>
                </c:pt>
                <c:pt idx="72">
                  <c:v>2.4005356798891446</c:v>
                </c:pt>
                <c:pt idx="73">
                  <c:v>2.3871080858338409</c:v>
                </c:pt>
                <c:pt idx="74">
                  <c:v>2.4118881120896751</c:v>
                </c:pt>
                <c:pt idx="75">
                  <c:v>2.2878375437853311</c:v>
                </c:pt>
                <c:pt idx="76">
                  <c:v>2.4829342367365936</c:v>
                </c:pt>
                <c:pt idx="77">
                  <c:v>2.740114459404797</c:v>
                </c:pt>
                <c:pt idx="78">
                  <c:v>2.5323216524923287</c:v>
                </c:pt>
                <c:pt idx="79">
                  <c:v>2.6600260846224906</c:v>
                </c:pt>
                <c:pt idx="80">
                  <c:v>2.6307165434655779</c:v>
                </c:pt>
                <c:pt idx="81">
                  <c:v>2.8368897843153835</c:v>
                </c:pt>
                <c:pt idx="82">
                  <c:v>3.027271969719437</c:v>
                </c:pt>
                <c:pt idx="83">
                  <c:v>2.8670571051718921</c:v>
                </c:pt>
                <c:pt idx="84">
                  <c:v>2.6010172971019787</c:v>
                </c:pt>
                <c:pt idx="85">
                  <c:v>2.6137414344272139</c:v>
                </c:pt>
                <c:pt idx="86">
                  <c:v>2.4834851145549499</c:v>
                </c:pt>
                <c:pt idx="87">
                  <c:v>2.3411101677844885</c:v>
                </c:pt>
                <c:pt idx="88">
                  <c:v>2.4232554652364637</c:v>
                </c:pt>
                <c:pt idx="89">
                  <c:v>2.3125583949514703</c:v>
                </c:pt>
                <c:pt idx="90">
                  <c:v>2.0980780604656868</c:v>
                </c:pt>
                <c:pt idx="91">
                  <c:v>2.0677345174445292</c:v>
                </c:pt>
                <c:pt idx="92">
                  <c:v>2.2886940952974899</c:v>
                </c:pt>
                <c:pt idx="93">
                  <c:v>2.2328272564836178</c:v>
                </c:pt>
                <c:pt idx="94">
                  <c:v>2.0274622776364337</c:v>
                </c:pt>
                <c:pt idx="95">
                  <c:v>1.9023328569146172</c:v>
                </c:pt>
                <c:pt idx="96">
                  <c:v>1.9371436441551586</c:v>
                </c:pt>
                <c:pt idx="97">
                  <c:v>1.9927309267469946</c:v>
                </c:pt>
                <c:pt idx="98">
                  <c:v>1.8562917242331451</c:v>
                </c:pt>
                <c:pt idx="99">
                  <c:v>2.0552367964759934</c:v>
                </c:pt>
                <c:pt idx="100">
                  <c:v>2.0029623215195569</c:v>
                </c:pt>
                <c:pt idx="101">
                  <c:v>2.2588777595145277</c:v>
                </c:pt>
                <c:pt idx="102">
                  <c:v>2.2586922420653184</c:v>
                </c:pt>
                <c:pt idx="103">
                  <c:v>2.191858201379782</c:v>
                </c:pt>
                <c:pt idx="104">
                  <c:v>2.0901330479808498</c:v>
                </c:pt>
                <c:pt idx="105">
                  <c:v>2.2100521483751181</c:v>
                </c:pt>
                <c:pt idx="106">
                  <c:v>2.1421595817948975</c:v>
                </c:pt>
                <c:pt idx="107">
                  <c:v>2.1555971121060855</c:v>
                </c:pt>
                <c:pt idx="108">
                  <c:v>2.1154096777539242</c:v>
                </c:pt>
                <c:pt idx="109">
                  <c:v>2.0581707907319196</c:v>
                </c:pt>
                <c:pt idx="110">
                  <c:v>1.9279171271320195</c:v>
                </c:pt>
                <c:pt idx="111">
                  <c:v>1.9040525050006241</c:v>
                </c:pt>
                <c:pt idx="112">
                  <c:v>1.9545805348464638</c:v>
                </c:pt>
                <c:pt idx="113">
                  <c:v>1.967983390466354</c:v>
                </c:pt>
                <c:pt idx="114">
                  <c:v>1.9202338389023303</c:v>
                </c:pt>
                <c:pt idx="115">
                  <c:v>2.0036717852588191</c:v>
                </c:pt>
                <c:pt idx="116">
                  <c:v>2.0364894005608862</c:v>
                </c:pt>
                <c:pt idx="117">
                  <c:v>2.085477077837417</c:v>
                </c:pt>
                <c:pt idx="118">
                  <c:v>1.9909873820299158</c:v>
                </c:pt>
                <c:pt idx="119">
                  <c:v>2.0157447604592074</c:v>
                </c:pt>
                <c:pt idx="120">
                  <c:v>1.8915505170685289</c:v>
                </c:pt>
                <c:pt idx="121">
                  <c:v>1.7084108676320831</c:v>
                </c:pt>
                <c:pt idx="122">
                  <c:v>1.7010268554337669</c:v>
                </c:pt>
                <c:pt idx="123">
                  <c:v>1.5749566070611267</c:v>
                </c:pt>
                <c:pt idx="124">
                  <c:v>1.5491390038869215</c:v>
                </c:pt>
                <c:pt idx="125">
                  <c:v>1.5905887521971682</c:v>
                </c:pt>
                <c:pt idx="126">
                  <c:v>1.4502303727629986</c:v>
                </c:pt>
                <c:pt idx="127">
                  <c:v>1.3866760839879939</c:v>
                </c:pt>
                <c:pt idx="128">
                  <c:v>1.6023987716193859</c:v>
                </c:pt>
                <c:pt idx="129">
                  <c:v>1.8492033068021803</c:v>
                </c:pt>
                <c:pt idx="130">
                  <c:v>2.0264556450787827</c:v>
                </c:pt>
                <c:pt idx="131">
                  <c:v>1.9577790384252607</c:v>
                </c:pt>
                <c:pt idx="132">
                  <c:v>2.0826643722420601</c:v>
                </c:pt>
                <c:pt idx="133">
                  <c:v>2.2019750380143526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53A-144A-AFAD-47D67CE793C7}"/>
            </c:ext>
          </c:extLst>
        </c:ser>
        <c:ser>
          <c:idx val="2"/>
          <c:order val="2"/>
          <c:tx>
            <c:strRef>
              <c:f>RF累積報酬!$A$24</c:f>
              <c:strCache>
                <c:ptCount val="1"/>
                <c:pt idx="0">
                  <c:v>482等分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val>
            <c:numRef>
              <c:f>RF累積報酬!$B$24:$EE$24</c:f>
              <c:numCache>
                <c:formatCode>General</c:formatCode>
                <c:ptCount val="134"/>
                <c:pt idx="0">
                  <c:v>0.63761017581609125</c:v>
                </c:pt>
                <c:pt idx="1">
                  <c:v>0.87556592886852924</c:v>
                </c:pt>
                <c:pt idx="2">
                  <c:v>0.99869483887858246</c:v>
                </c:pt>
                <c:pt idx="3">
                  <c:v>0.92350470605163115</c:v>
                </c:pt>
                <c:pt idx="4">
                  <c:v>1.1888079454490168</c:v>
                </c:pt>
                <c:pt idx="5">
                  <c:v>1.0730339035876628</c:v>
                </c:pt>
                <c:pt idx="6">
                  <c:v>0.96171701961899736</c:v>
                </c:pt>
                <c:pt idx="7">
                  <c:v>0.99836683005393367</c:v>
                </c:pt>
                <c:pt idx="8">
                  <c:v>1.0328051169091463</c:v>
                </c:pt>
                <c:pt idx="9">
                  <c:v>1.0252581054319387</c:v>
                </c:pt>
                <c:pt idx="10">
                  <c:v>0.9691203433187644</c:v>
                </c:pt>
                <c:pt idx="11">
                  <c:v>1.15978177733875</c:v>
                </c:pt>
                <c:pt idx="12">
                  <c:v>0.91318369124129317</c:v>
                </c:pt>
                <c:pt idx="13">
                  <c:v>0.93502160279789892</c:v>
                </c:pt>
                <c:pt idx="14">
                  <c:v>1.2491813447331011</c:v>
                </c:pt>
                <c:pt idx="15">
                  <c:v>1.061650595039662</c:v>
                </c:pt>
                <c:pt idx="16">
                  <c:v>0.842362944982472</c:v>
                </c:pt>
                <c:pt idx="17">
                  <c:v>0.80547300589534343</c:v>
                </c:pt>
                <c:pt idx="18">
                  <c:v>0.59550108931349399</c:v>
                </c:pt>
                <c:pt idx="19">
                  <c:v>0.55723845409761175</c:v>
                </c:pt>
                <c:pt idx="20">
                  <c:v>0.5681826038646467</c:v>
                </c:pt>
                <c:pt idx="21">
                  <c:v>0.67174680656109564</c:v>
                </c:pt>
                <c:pt idx="22">
                  <c:v>0.52249026868077242</c:v>
                </c:pt>
                <c:pt idx="23">
                  <c:v>0.50098772025581351</c:v>
                </c:pt>
                <c:pt idx="24">
                  <c:v>0.3728856736658781</c:v>
                </c:pt>
                <c:pt idx="25">
                  <c:v>0.27348209146737218</c:v>
                </c:pt>
                <c:pt idx="26">
                  <c:v>0.4518820588412602</c:v>
                </c:pt>
                <c:pt idx="27">
                  <c:v>0.60529878618410582</c:v>
                </c:pt>
                <c:pt idx="28">
                  <c:v>0.98537501978693798</c:v>
                </c:pt>
                <c:pt idx="29">
                  <c:v>1.1197072209908214</c:v>
                </c:pt>
                <c:pt idx="30">
                  <c:v>1.3294474447632014</c:v>
                </c:pt>
                <c:pt idx="31">
                  <c:v>1.7221886245859639</c:v>
                </c:pt>
                <c:pt idx="32">
                  <c:v>1.7943974936061733</c:v>
                </c:pt>
                <c:pt idx="33">
                  <c:v>1.8311975485995737</c:v>
                </c:pt>
                <c:pt idx="34">
                  <c:v>1.8953113299812565</c:v>
                </c:pt>
                <c:pt idx="35">
                  <c:v>1.9719388870388275</c:v>
                </c:pt>
                <c:pt idx="36">
                  <c:v>1.974933009845472</c:v>
                </c:pt>
                <c:pt idx="37">
                  <c:v>2.3522245942469855</c:v>
                </c:pt>
                <c:pt idx="38">
                  <c:v>2.5148406288126033</c:v>
                </c:pt>
                <c:pt idx="39">
                  <c:v>2.7476951818564519</c:v>
                </c:pt>
                <c:pt idx="40">
                  <c:v>2.7825353087980145</c:v>
                </c:pt>
                <c:pt idx="41">
                  <c:v>2.5792890420176526</c:v>
                </c:pt>
                <c:pt idx="42">
                  <c:v>2.5192230275018899</c:v>
                </c:pt>
                <c:pt idx="43">
                  <c:v>2.6445832389427548</c:v>
                </c:pt>
                <c:pt idx="44">
                  <c:v>2.7237552850121971</c:v>
                </c:pt>
                <c:pt idx="45">
                  <c:v>2.965614003830368</c:v>
                </c:pt>
                <c:pt idx="46">
                  <c:v>2.7742741888404083</c:v>
                </c:pt>
                <c:pt idx="47">
                  <c:v>2.7719855201510937</c:v>
                </c:pt>
                <c:pt idx="48">
                  <c:v>2.4578070428173731</c:v>
                </c:pt>
                <c:pt idx="49">
                  <c:v>2.3395381420752686</c:v>
                </c:pt>
                <c:pt idx="50">
                  <c:v>2.3593751669052074</c:v>
                </c:pt>
                <c:pt idx="51">
                  <c:v>2.0745370791926399</c:v>
                </c:pt>
                <c:pt idx="52">
                  <c:v>1.985728193607069</c:v>
                </c:pt>
                <c:pt idx="53">
                  <c:v>2.0298865509247754</c:v>
                </c:pt>
                <c:pt idx="54">
                  <c:v>2.0509808997246926</c:v>
                </c:pt>
                <c:pt idx="55">
                  <c:v>2.0018224266038755</c:v>
                </c:pt>
                <c:pt idx="56">
                  <c:v>1.962525401126936</c:v>
                </c:pt>
                <c:pt idx="57">
                  <c:v>1.8958218408771133</c:v>
                </c:pt>
                <c:pt idx="58">
                  <c:v>1.6506976517327765</c:v>
                </c:pt>
                <c:pt idx="59">
                  <c:v>1.9669773238878618</c:v>
                </c:pt>
                <c:pt idx="60">
                  <c:v>1.9466973470863553</c:v>
                </c:pt>
                <c:pt idx="61">
                  <c:v>1.9792720896203297</c:v>
                </c:pt>
                <c:pt idx="62">
                  <c:v>2.1466977694801832</c:v>
                </c:pt>
                <c:pt idx="63">
                  <c:v>2.3380233153874626</c:v>
                </c:pt>
                <c:pt idx="64">
                  <c:v>2.4624193185790189</c:v>
                </c:pt>
                <c:pt idx="65">
                  <c:v>2.0992125327854536</c:v>
                </c:pt>
                <c:pt idx="66">
                  <c:v>1.8960107692750621</c:v>
                </c:pt>
                <c:pt idx="67">
                  <c:v>1.6517911559084064</c:v>
                </c:pt>
                <c:pt idx="68">
                  <c:v>1.5962014182398874</c:v>
                </c:pt>
                <c:pt idx="69">
                  <c:v>1.8460948901054097</c:v>
                </c:pt>
                <c:pt idx="70">
                  <c:v>1.9192686159436891</c:v>
                </c:pt>
                <c:pt idx="71">
                  <c:v>2.166560263567348</c:v>
                </c:pt>
                <c:pt idx="72">
                  <c:v>2.2707279159139535</c:v>
                </c:pt>
                <c:pt idx="73">
                  <c:v>2.2476168011632596</c:v>
                </c:pt>
                <c:pt idx="74">
                  <c:v>2.3882346927710092</c:v>
                </c:pt>
                <c:pt idx="75">
                  <c:v>2.2187927366888047</c:v>
                </c:pt>
                <c:pt idx="76">
                  <c:v>2.3954322753159332</c:v>
                </c:pt>
                <c:pt idx="77">
                  <c:v>2.5713083018035885</c:v>
                </c:pt>
                <c:pt idx="78">
                  <c:v>2.4096892451217977</c:v>
                </c:pt>
                <c:pt idx="79">
                  <c:v>2.6625664679888259</c:v>
                </c:pt>
                <c:pt idx="80">
                  <c:v>2.5456879978056315</c:v>
                </c:pt>
                <c:pt idx="81">
                  <c:v>2.5305222878418094</c:v>
                </c:pt>
                <c:pt idx="82">
                  <c:v>2.6157649725033196</c:v>
                </c:pt>
                <c:pt idx="83">
                  <c:v>2.6296276505057801</c:v>
                </c:pt>
                <c:pt idx="84">
                  <c:v>2.2177876668269225</c:v>
                </c:pt>
                <c:pt idx="85">
                  <c:v>2.3038495365420295</c:v>
                </c:pt>
                <c:pt idx="86">
                  <c:v>2.1324211327710847</c:v>
                </c:pt>
                <c:pt idx="87">
                  <c:v>2.0709860529873256</c:v>
                </c:pt>
                <c:pt idx="88">
                  <c:v>2.1246601824072076</c:v>
                </c:pt>
                <c:pt idx="89">
                  <c:v>2.0482118238933662</c:v>
                </c:pt>
                <c:pt idx="90">
                  <c:v>1.7754197965508682</c:v>
                </c:pt>
                <c:pt idx="91">
                  <c:v>1.6230259895634109</c:v>
                </c:pt>
                <c:pt idx="92">
                  <c:v>1.9256009014871509</c:v>
                </c:pt>
                <c:pt idx="93">
                  <c:v>1.744326110284649</c:v>
                </c:pt>
                <c:pt idx="94">
                  <c:v>1.6367230978774365</c:v>
                </c:pt>
                <c:pt idx="95">
                  <c:v>1.5517020250808722</c:v>
                </c:pt>
                <c:pt idx="96">
                  <c:v>1.6441815816843663</c:v>
                </c:pt>
                <c:pt idx="97">
                  <c:v>1.7010807832834245</c:v>
                </c:pt>
                <c:pt idx="98">
                  <c:v>1.5612112978322201</c:v>
                </c:pt>
                <c:pt idx="99">
                  <c:v>1.76682054202283</c:v>
                </c:pt>
                <c:pt idx="100">
                  <c:v>1.6970680748935569</c:v>
                </c:pt>
                <c:pt idx="101">
                  <c:v>2.0431651423046406</c:v>
                </c:pt>
                <c:pt idx="102">
                  <c:v>2.0969711108755553</c:v>
                </c:pt>
                <c:pt idx="103">
                  <c:v>1.9949635486565953</c:v>
                </c:pt>
                <c:pt idx="104">
                  <c:v>1.8226056819984897</c:v>
                </c:pt>
                <c:pt idx="105">
                  <c:v>1.9198942658456548</c:v>
                </c:pt>
                <c:pt idx="106">
                  <c:v>1.6810823430374495</c:v>
                </c:pt>
                <c:pt idx="107">
                  <c:v>1.7191525948787296</c:v>
                </c:pt>
                <c:pt idx="108">
                  <c:v>1.6266270598475403</c:v>
                </c:pt>
                <c:pt idx="109">
                  <c:v>1.5718576229631158</c:v>
                </c:pt>
                <c:pt idx="110">
                  <c:v>1.3766527201901801</c:v>
                </c:pt>
                <c:pt idx="111">
                  <c:v>1.3646332259969183</c:v>
                </c:pt>
                <c:pt idx="112">
                  <c:v>1.4517852501783888</c:v>
                </c:pt>
                <c:pt idx="113">
                  <c:v>1.4823368803225527</c:v>
                </c:pt>
                <c:pt idx="114">
                  <c:v>1.6508912315367335</c:v>
                </c:pt>
                <c:pt idx="115">
                  <c:v>1.5291534327647549</c:v>
                </c:pt>
                <c:pt idx="116">
                  <c:v>1.5294032524428409</c:v>
                </c:pt>
                <c:pt idx="117">
                  <c:v>1.4762380937953339</c:v>
                </c:pt>
                <c:pt idx="118">
                  <c:v>1.4071864752198449</c:v>
                </c:pt>
                <c:pt idx="119">
                  <c:v>1.4696815787436606</c:v>
                </c:pt>
                <c:pt idx="120">
                  <c:v>1.2342709938659364</c:v>
                </c:pt>
                <c:pt idx="121">
                  <c:v>1.0041832332723115</c:v>
                </c:pt>
                <c:pt idx="122">
                  <c:v>0.93979905300714406</c:v>
                </c:pt>
                <c:pt idx="123">
                  <c:v>0.79749603755161258</c:v>
                </c:pt>
                <c:pt idx="124">
                  <c:v>0.7582047286783119</c:v>
                </c:pt>
                <c:pt idx="125">
                  <c:v>0.86817350206396438</c:v>
                </c:pt>
                <c:pt idx="126">
                  <c:v>0.78610176209828642</c:v>
                </c:pt>
                <c:pt idx="127">
                  <c:v>0.74675556587613989</c:v>
                </c:pt>
                <c:pt idx="128">
                  <c:v>1.0052112360974645</c:v>
                </c:pt>
                <c:pt idx="129">
                  <c:v>1.3520661192892449</c:v>
                </c:pt>
                <c:pt idx="130">
                  <c:v>1.5371802398032079</c:v>
                </c:pt>
                <c:pt idx="131">
                  <c:v>1.4395691061380003</c:v>
                </c:pt>
                <c:pt idx="132">
                  <c:v>1.5393668836593617</c:v>
                </c:pt>
                <c:pt idx="133">
                  <c:v>1.5991690681036894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53A-144A-AFAD-47D67CE793C7}"/>
            </c:ext>
          </c:extLst>
        </c:ser>
        <c:ser>
          <c:idx val="3"/>
          <c:order val="3"/>
          <c:tx>
            <c:strRef>
              <c:f>RF累積報酬!$A$25</c:f>
              <c:strCache>
                <c:ptCount val="1"/>
                <c:pt idx="0">
                  <c:v>964等分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val>
            <c:numRef>
              <c:f>RF累積報酬!$B$25:$EE$25</c:f>
              <c:numCache>
                <c:formatCode>General</c:formatCode>
                <c:ptCount val="134"/>
                <c:pt idx="0">
                  <c:v>0.90919897806039884</c:v>
                </c:pt>
                <c:pt idx="1">
                  <c:v>1.2974439443366761</c:v>
                </c:pt>
                <c:pt idx="2">
                  <c:v>1.4269188441816918</c:v>
                </c:pt>
                <c:pt idx="3">
                  <c:v>1.2904597830180915</c:v>
                </c:pt>
                <c:pt idx="4">
                  <c:v>1.7625595215972218</c:v>
                </c:pt>
                <c:pt idx="5">
                  <c:v>1.971620512727227</c:v>
                </c:pt>
                <c:pt idx="6">
                  <c:v>1.6456944821961288</c:v>
                </c:pt>
                <c:pt idx="7">
                  <c:v>1.455070500212795</c:v>
                </c:pt>
                <c:pt idx="8">
                  <c:v>1.4994022919192664</c:v>
                </c:pt>
                <c:pt idx="9">
                  <c:v>1.7514511866672748</c:v>
                </c:pt>
                <c:pt idx="10">
                  <c:v>1.8931087705112475</c:v>
                </c:pt>
                <c:pt idx="11">
                  <c:v>2.066560771137075</c:v>
                </c:pt>
                <c:pt idx="12">
                  <c:v>1.6558338701194684</c:v>
                </c:pt>
                <c:pt idx="13">
                  <c:v>1.7251762647942288</c:v>
                </c:pt>
                <c:pt idx="14">
                  <c:v>2.3344465184174084</c:v>
                </c:pt>
                <c:pt idx="15">
                  <c:v>2.0426653746984034</c:v>
                </c:pt>
                <c:pt idx="16">
                  <c:v>1.7487410554266871</c:v>
                </c:pt>
                <c:pt idx="17">
                  <c:v>1.7875422137482639</c:v>
                </c:pt>
                <c:pt idx="18">
                  <c:v>1.3643122497813969</c:v>
                </c:pt>
                <c:pt idx="19">
                  <c:v>1.5280394300518638</c:v>
                </c:pt>
                <c:pt idx="20">
                  <c:v>1.6152455755597264</c:v>
                </c:pt>
                <c:pt idx="21">
                  <c:v>1.746874018038163</c:v>
                </c:pt>
                <c:pt idx="22">
                  <c:v>1.6225515644989503</c:v>
                </c:pt>
                <c:pt idx="23">
                  <c:v>1.679705713963461</c:v>
                </c:pt>
                <c:pt idx="24">
                  <c:v>1.7092453666373064</c:v>
                </c:pt>
                <c:pt idx="25">
                  <c:v>1.6169049195246517</c:v>
                </c:pt>
                <c:pt idx="26">
                  <c:v>2.0202049160008437</c:v>
                </c:pt>
                <c:pt idx="27">
                  <c:v>2.5193056553523063</c:v>
                </c:pt>
                <c:pt idx="28">
                  <c:v>2.7083501983437186</c:v>
                </c:pt>
                <c:pt idx="29">
                  <c:v>2.7087048148949626</c:v>
                </c:pt>
                <c:pt idx="30">
                  <c:v>3.0199219871239347</c:v>
                </c:pt>
                <c:pt idx="31">
                  <c:v>3.9228600335536847</c:v>
                </c:pt>
                <c:pt idx="32">
                  <c:v>4.0196597843444568</c:v>
                </c:pt>
                <c:pt idx="33">
                  <c:v>4.0997558640955143</c:v>
                </c:pt>
                <c:pt idx="34">
                  <c:v>4.3605388695976428</c:v>
                </c:pt>
                <c:pt idx="35">
                  <c:v>4.4065932793580611</c:v>
                </c:pt>
                <c:pt idx="36">
                  <c:v>4.4302951934250014</c:v>
                </c:pt>
                <c:pt idx="37">
                  <c:v>4.5629676514897817</c:v>
                </c:pt>
                <c:pt idx="38">
                  <c:v>4.665157184509682</c:v>
                </c:pt>
                <c:pt idx="39">
                  <c:v>4.7506926319023544</c:v>
                </c:pt>
                <c:pt idx="40">
                  <c:v>4.6510619795184454</c:v>
                </c:pt>
                <c:pt idx="41">
                  <c:v>4.2289377002660249</c:v>
                </c:pt>
                <c:pt idx="42">
                  <c:v>3.8926405324944509</c:v>
                </c:pt>
                <c:pt idx="43">
                  <c:v>4.2230699729633212</c:v>
                </c:pt>
                <c:pt idx="44">
                  <c:v>4.3261412583577181</c:v>
                </c:pt>
                <c:pt idx="45">
                  <c:v>4.709267883094542</c:v>
                </c:pt>
                <c:pt idx="46">
                  <c:v>4.5825729106180741</c:v>
                </c:pt>
                <c:pt idx="47">
                  <c:v>4.6560844108852164</c:v>
                </c:pt>
                <c:pt idx="48">
                  <c:v>3.945269855153823</c:v>
                </c:pt>
                <c:pt idx="49">
                  <c:v>3.7538750021541936</c:v>
                </c:pt>
                <c:pt idx="50">
                  <c:v>3.6699342619468567</c:v>
                </c:pt>
                <c:pt idx="51">
                  <c:v>3.0083454455760004</c:v>
                </c:pt>
                <c:pt idx="52">
                  <c:v>2.811944413741565</c:v>
                </c:pt>
                <c:pt idx="53">
                  <c:v>2.8492755736441104</c:v>
                </c:pt>
                <c:pt idx="54">
                  <c:v>2.7588585071600211</c:v>
                </c:pt>
                <c:pt idx="55">
                  <c:v>2.7700887492231194</c:v>
                </c:pt>
                <c:pt idx="56">
                  <c:v>2.6302348908591098</c:v>
                </c:pt>
                <c:pt idx="57">
                  <c:v>2.5976464998138713</c:v>
                </c:pt>
                <c:pt idx="58">
                  <c:v>2.5397803718608736</c:v>
                </c:pt>
                <c:pt idx="59">
                  <c:v>2.927233789932834</c:v>
                </c:pt>
                <c:pt idx="60">
                  <c:v>2.9372535168819041</c:v>
                </c:pt>
                <c:pt idx="61">
                  <c:v>2.9823997372433833</c:v>
                </c:pt>
                <c:pt idx="62">
                  <c:v>3.0664935254042405</c:v>
                </c:pt>
                <c:pt idx="63">
                  <c:v>3.2516218990927941</c:v>
                </c:pt>
                <c:pt idx="64">
                  <c:v>3.2249536520106328</c:v>
                </c:pt>
                <c:pt idx="65">
                  <c:v>2.3885596530633864</c:v>
                </c:pt>
                <c:pt idx="66">
                  <c:v>2.2516185608115014</c:v>
                </c:pt>
                <c:pt idx="67">
                  <c:v>1.8699036252536498</c:v>
                </c:pt>
                <c:pt idx="68">
                  <c:v>1.7482825887240432</c:v>
                </c:pt>
                <c:pt idx="69">
                  <c:v>1.6924833324157866</c:v>
                </c:pt>
                <c:pt idx="70">
                  <c:v>1.6417956442296961</c:v>
                </c:pt>
                <c:pt idx="71">
                  <c:v>1.5673676939423669</c:v>
                </c:pt>
                <c:pt idx="72">
                  <c:v>1.6246755532131585</c:v>
                </c:pt>
                <c:pt idx="73">
                  <c:v>1.6912801969630107</c:v>
                </c:pt>
                <c:pt idx="74">
                  <c:v>1.8486787791017374</c:v>
                </c:pt>
                <c:pt idx="75">
                  <c:v>1.4371773666873393</c:v>
                </c:pt>
                <c:pt idx="76">
                  <c:v>1.4907039597344673</c:v>
                </c:pt>
                <c:pt idx="77">
                  <c:v>1.8276329411393353</c:v>
                </c:pt>
                <c:pt idx="78">
                  <c:v>1.6069394576286331</c:v>
                </c:pt>
                <c:pt idx="79">
                  <c:v>2.1575324441950308</c:v>
                </c:pt>
                <c:pt idx="80">
                  <c:v>2.3372049928174086</c:v>
                </c:pt>
                <c:pt idx="81">
                  <c:v>2.3171718216061019</c:v>
                </c:pt>
                <c:pt idx="82">
                  <c:v>2.4126583527026568</c:v>
                </c:pt>
                <c:pt idx="83">
                  <c:v>1.9367430063915967</c:v>
                </c:pt>
                <c:pt idx="84">
                  <c:v>2.0088337836823551</c:v>
                </c:pt>
                <c:pt idx="85">
                  <c:v>2.3135563341439274</c:v>
                </c:pt>
                <c:pt idx="86">
                  <c:v>2.2582404728666128</c:v>
                </c:pt>
                <c:pt idx="87">
                  <c:v>2.2209911918028049</c:v>
                </c:pt>
                <c:pt idx="88">
                  <c:v>2.4232893717581323</c:v>
                </c:pt>
                <c:pt idx="89">
                  <c:v>2.4882126609958073</c:v>
                </c:pt>
                <c:pt idx="90">
                  <c:v>2.2334311675403296</c:v>
                </c:pt>
                <c:pt idx="91">
                  <c:v>2.2955854009342223</c:v>
                </c:pt>
                <c:pt idx="92">
                  <c:v>2.9373600322372493</c:v>
                </c:pt>
                <c:pt idx="93">
                  <c:v>2.583364821928904</c:v>
                </c:pt>
                <c:pt idx="94">
                  <c:v>2.5249998406265921</c:v>
                </c:pt>
                <c:pt idx="95">
                  <c:v>2.3983960441309482</c:v>
                </c:pt>
                <c:pt idx="96">
                  <c:v>2.462619654228285</c:v>
                </c:pt>
                <c:pt idx="97">
                  <c:v>2.5699636638379153</c:v>
                </c:pt>
                <c:pt idx="98">
                  <c:v>2.3426100001312786</c:v>
                </c:pt>
                <c:pt idx="99">
                  <c:v>2.522555770950254</c:v>
                </c:pt>
                <c:pt idx="100">
                  <c:v>2.5271341595337291</c:v>
                </c:pt>
                <c:pt idx="101">
                  <c:v>2.9418089560974514</c:v>
                </c:pt>
                <c:pt idx="102">
                  <c:v>2.6543811101628654</c:v>
                </c:pt>
                <c:pt idx="103">
                  <c:v>2.500846767372285</c:v>
                </c:pt>
                <c:pt idx="104">
                  <c:v>2.3693401982675644</c:v>
                </c:pt>
                <c:pt idx="105">
                  <c:v>2.5342184339860578</c:v>
                </c:pt>
                <c:pt idx="106">
                  <c:v>2.2926932387998038</c:v>
                </c:pt>
                <c:pt idx="107">
                  <c:v>2.280309537923551</c:v>
                </c:pt>
                <c:pt idx="108">
                  <c:v>2.1636461956080231</c:v>
                </c:pt>
                <c:pt idx="109">
                  <c:v>2.265459135031346</c:v>
                </c:pt>
                <c:pt idx="110">
                  <c:v>2.1481789556808737</c:v>
                </c:pt>
                <c:pt idx="111">
                  <c:v>2.2082356069670581</c:v>
                </c:pt>
                <c:pt idx="112">
                  <c:v>2.2364472746053043</c:v>
                </c:pt>
                <c:pt idx="113">
                  <c:v>2.0559353040119777</c:v>
                </c:pt>
                <c:pt idx="114">
                  <c:v>1.9583877461687114</c:v>
                </c:pt>
                <c:pt idx="115">
                  <c:v>2.0093279724809752</c:v>
                </c:pt>
                <c:pt idx="116">
                  <c:v>1.9084790168562451</c:v>
                </c:pt>
                <c:pt idx="117">
                  <c:v>2.0069751810361161</c:v>
                </c:pt>
                <c:pt idx="118">
                  <c:v>1.948299903602402</c:v>
                </c:pt>
                <c:pt idx="119">
                  <c:v>1.9701975116346586</c:v>
                </c:pt>
                <c:pt idx="120">
                  <c:v>1.7008171567479258</c:v>
                </c:pt>
                <c:pt idx="121">
                  <c:v>1.2787335483215219</c:v>
                </c:pt>
                <c:pt idx="122">
                  <c:v>1.2036065462322503</c:v>
                </c:pt>
                <c:pt idx="123">
                  <c:v>0.99526621954984196</c:v>
                </c:pt>
                <c:pt idx="124">
                  <c:v>0.98068893177915295</c:v>
                </c:pt>
                <c:pt idx="125">
                  <c:v>1.4082499643327977</c:v>
                </c:pt>
                <c:pt idx="126">
                  <c:v>1.3057569626251506</c:v>
                </c:pt>
                <c:pt idx="127">
                  <c:v>1.3472309601600463</c:v>
                </c:pt>
                <c:pt idx="128">
                  <c:v>1.9458889681522176</c:v>
                </c:pt>
                <c:pt idx="129">
                  <c:v>2.1570642299335794</c:v>
                </c:pt>
                <c:pt idx="130">
                  <c:v>2.6765644091640031</c:v>
                </c:pt>
                <c:pt idx="131">
                  <c:v>2.5740154614112982</c:v>
                </c:pt>
                <c:pt idx="132">
                  <c:v>2.6821483542538083</c:v>
                </c:pt>
                <c:pt idx="133">
                  <c:v>2.778383962134634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53A-144A-AFAD-47D67CE793C7}"/>
            </c:ext>
          </c:extLst>
        </c:ser>
        <c:ser>
          <c:idx val="4"/>
          <c:order val="4"/>
          <c:tx>
            <c:strRef>
              <c:f>RF累積報酬!$A$26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val>
            <c:numRef>
              <c:f>RF累積報酬!$B$26:$EE$26</c:f>
              <c:numCache>
                <c:formatCode>General</c:formatCode>
                <c:ptCount val="134"/>
                <c:pt idx="0">
                  <c:v>-1.7446770539390338E-2</c:v>
                </c:pt>
                <c:pt idx="1">
                  <c:v>3.2542899924252917E-3</c:v>
                </c:pt>
                <c:pt idx="2">
                  <c:v>2.7236419247192001E-2</c:v>
                </c:pt>
                <c:pt idx="3">
                  <c:v>2.0678840274368924E-2</c:v>
                </c:pt>
                <c:pt idx="4">
                  <c:v>5.2523970074888612E-2</c:v>
                </c:pt>
                <c:pt idx="5">
                  <c:v>8.6872502811879138E-2</c:v>
                </c:pt>
                <c:pt idx="6">
                  <c:v>7.8617570030553904E-2</c:v>
                </c:pt>
                <c:pt idx="7">
                  <c:v>9.1461094424606662E-2</c:v>
                </c:pt>
                <c:pt idx="8">
                  <c:v>4.0442569797815839E-2</c:v>
                </c:pt>
                <c:pt idx="9">
                  <c:v>4.1316512538852428E-2</c:v>
                </c:pt>
                <c:pt idx="10">
                  <c:v>6.4706088044348353E-2</c:v>
                </c:pt>
                <c:pt idx="11">
                  <c:v>7.7695060244681202E-2</c:v>
                </c:pt>
                <c:pt idx="12">
                  <c:v>8.3549648970316082E-2</c:v>
                </c:pt>
                <c:pt idx="13">
                  <c:v>0.11096285554210664</c:v>
                </c:pt>
                <c:pt idx="14">
                  <c:v>0.10724991942441378</c:v>
                </c:pt>
                <c:pt idx="15">
                  <c:v>0.13132653347223711</c:v>
                </c:pt>
                <c:pt idx="16">
                  <c:v>0.11913650817319715</c:v>
                </c:pt>
                <c:pt idx="17">
                  <c:v>7.9386930013607554E-2</c:v>
                </c:pt>
                <c:pt idx="18">
                  <c:v>6.2314801819580018E-3</c:v>
                </c:pt>
                <c:pt idx="19">
                  <c:v>-5.2028749728156659E-2</c:v>
                </c:pt>
                <c:pt idx="20">
                  <c:v>-5.1255952162648284E-2</c:v>
                </c:pt>
                <c:pt idx="21">
                  <c:v>-6.6644310274293142E-3</c:v>
                </c:pt>
                <c:pt idx="22">
                  <c:v>-3.4364111077642409E-2</c:v>
                </c:pt>
                <c:pt idx="23">
                  <c:v>-3.226910512789876E-2</c:v>
                </c:pt>
                <c:pt idx="24">
                  <c:v>-5.5669656120462874E-2</c:v>
                </c:pt>
                <c:pt idx="25">
                  <c:v>-2.3540285023140685E-2</c:v>
                </c:pt>
                <c:pt idx="26">
                  <c:v>1.5362988070925745E-2</c:v>
                </c:pt>
                <c:pt idx="27">
                  <c:v>-2.7502394100178525E-2</c:v>
                </c:pt>
                <c:pt idx="28">
                  <c:v>-8.8551995500263658E-3</c:v>
                </c:pt>
                <c:pt idx="29">
                  <c:v>6.3745687725025833E-3</c:v>
                </c:pt>
                <c:pt idx="30">
                  <c:v>4.2391172551395004E-2</c:v>
                </c:pt>
                <c:pt idx="31">
                  <c:v>5.174578393671117E-2</c:v>
                </c:pt>
                <c:pt idx="32">
                  <c:v>6.2494035273549312E-2</c:v>
                </c:pt>
                <c:pt idx="33">
                  <c:v>7.5851789326630281E-2</c:v>
                </c:pt>
                <c:pt idx="34">
                  <c:v>7.0519041997534893E-2</c:v>
                </c:pt>
                <c:pt idx="35">
                  <c:v>7.1902177804796574E-2</c:v>
                </c:pt>
                <c:pt idx="36">
                  <c:v>9.2698106224871041E-2</c:v>
                </c:pt>
                <c:pt idx="37">
                  <c:v>0.12421580844526167</c:v>
                </c:pt>
                <c:pt idx="38">
                  <c:v>0.13045752497859112</c:v>
                </c:pt>
                <c:pt idx="39">
                  <c:v>0.13660278663216249</c:v>
                </c:pt>
                <c:pt idx="40">
                  <c:v>0.15354914430885899</c:v>
                </c:pt>
                <c:pt idx="41">
                  <c:v>0.18823197476316722</c:v>
                </c:pt>
                <c:pt idx="42">
                  <c:v>0.19133056338036419</c:v>
                </c:pt>
                <c:pt idx="43">
                  <c:v>0.2064119105238503</c:v>
                </c:pt>
                <c:pt idx="44">
                  <c:v>0.18716070129398632</c:v>
                </c:pt>
                <c:pt idx="45">
                  <c:v>0.22587221468161775</c:v>
                </c:pt>
                <c:pt idx="46">
                  <c:v>0.20401526354588115</c:v>
                </c:pt>
                <c:pt idx="47">
                  <c:v>0.21178956425567083</c:v>
                </c:pt>
                <c:pt idx="48">
                  <c:v>0.25418681095099677</c:v>
                </c:pt>
                <c:pt idx="49">
                  <c:v>0.22787783608983703</c:v>
                </c:pt>
                <c:pt idx="50">
                  <c:v>0.23744958539855326</c:v>
                </c:pt>
                <c:pt idx="51">
                  <c:v>0.21319984413227844</c:v>
                </c:pt>
                <c:pt idx="52">
                  <c:v>0.23336321827619427</c:v>
                </c:pt>
                <c:pt idx="53">
                  <c:v>0.22985821949407825</c:v>
                </c:pt>
                <c:pt idx="54">
                  <c:v>0.25001015459262055</c:v>
                </c:pt>
                <c:pt idx="55">
                  <c:v>0.25059149082339083</c:v>
                </c:pt>
                <c:pt idx="56">
                  <c:v>0.24537178987013822</c:v>
                </c:pt>
                <c:pt idx="57">
                  <c:v>0.12950002846800823</c:v>
                </c:pt>
                <c:pt idx="58">
                  <c:v>0.13822525416044559</c:v>
                </c:pt>
                <c:pt idx="59">
                  <c:v>0.12184799318262345</c:v>
                </c:pt>
                <c:pt idx="60">
                  <c:v>0.14268836478288388</c:v>
                </c:pt>
                <c:pt idx="61">
                  <c:v>0.18766423688499859</c:v>
                </c:pt>
                <c:pt idx="62">
                  <c:v>0.21161854296686244</c:v>
                </c:pt>
                <c:pt idx="63">
                  <c:v>0.24185764435830504</c:v>
                </c:pt>
                <c:pt idx="64">
                  <c:v>0.19813175676721753</c:v>
                </c:pt>
                <c:pt idx="65">
                  <c:v>0.22002122633541615</c:v>
                </c:pt>
                <c:pt idx="66">
                  <c:v>0.22864865659892455</c:v>
                </c:pt>
                <c:pt idx="67">
                  <c:v>0.20945570260426577</c:v>
                </c:pt>
                <c:pt idx="68">
                  <c:v>0.22919083249239883</c:v>
                </c:pt>
                <c:pt idx="69">
                  <c:v>0.27688516997609824</c:v>
                </c:pt>
                <c:pt idx="70">
                  <c:v>0.28833998678268163</c:v>
                </c:pt>
                <c:pt idx="71">
                  <c:v>0.33156860751789485</c:v>
                </c:pt>
                <c:pt idx="72">
                  <c:v>0.28882117708097205</c:v>
                </c:pt>
                <c:pt idx="73">
                  <c:v>0.27100988465317749</c:v>
                </c:pt>
                <c:pt idx="74">
                  <c:v>0.11985678778410189</c:v>
                </c:pt>
                <c:pt idx="75">
                  <c:v>0.24408079140367717</c:v>
                </c:pt>
                <c:pt idx="76">
                  <c:v>0.23952353755914751</c:v>
                </c:pt>
                <c:pt idx="77">
                  <c:v>0.29973477776405871</c:v>
                </c:pt>
                <c:pt idx="78">
                  <c:v>0.385726811246561</c:v>
                </c:pt>
                <c:pt idx="79">
                  <c:v>0.37991833166419492</c:v>
                </c:pt>
                <c:pt idx="80">
                  <c:v>0.37387698467522684</c:v>
                </c:pt>
                <c:pt idx="81">
                  <c:v>0.37632930904747891</c:v>
                </c:pt>
                <c:pt idx="82">
                  <c:v>0.46596556098450181</c:v>
                </c:pt>
                <c:pt idx="83">
                  <c:v>0.53695829351125968</c:v>
                </c:pt>
                <c:pt idx="84">
                  <c:v>0.56412893641304307</c:v>
                </c:pt>
                <c:pt idx="85">
                  <c:v>0.61659736483837313</c:v>
                </c:pt>
                <c:pt idx="86">
                  <c:v>0.64607802578142259</c:v>
                </c:pt>
                <c:pt idx="87">
                  <c:v>0.71290310684162383</c:v>
                </c:pt>
                <c:pt idx="88">
                  <c:v>0.68413087782180682</c:v>
                </c:pt>
                <c:pt idx="89">
                  <c:v>0.72359339372344467</c:v>
                </c:pt>
                <c:pt idx="90">
                  <c:v>0.69456230674608477</c:v>
                </c:pt>
                <c:pt idx="91">
                  <c:v>0.70854618926555268</c:v>
                </c:pt>
                <c:pt idx="92">
                  <c:v>0.67626922430621883</c:v>
                </c:pt>
                <c:pt idx="93">
                  <c:v>0.6793728009191129</c:v>
                </c:pt>
                <c:pt idx="94">
                  <c:v>0.70496465668619601</c:v>
                </c:pt>
                <c:pt idx="95">
                  <c:v>0.74935654297338927</c:v>
                </c:pt>
                <c:pt idx="96">
                  <c:v>0.71901758442381181</c:v>
                </c:pt>
                <c:pt idx="97">
                  <c:v>0.7177596079692401</c:v>
                </c:pt>
                <c:pt idx="98">
                  <c:v>0.72009596442509805</c:v>
                </c:pt>
                <c:pt idx="99">
                  <c:v>0.655831819499192</c:v>
                </c:pt>
                <c:pt idx="100">
                  <c:v>0.66874159895818441</c:v>
                </c:pt>
                <c:pt idx="101">
                  <c:v>0.54326450428732564</c:v>
                </c:pt>
                <c:pt idx="102">
                  <c:v>0.55495518722711823</c:v>
                </c:pt>
                <c:pt idx="103">
                  <c:v>0.56129303092785998</c:v>
                </c:pt>
                <c:pt idx="104">
                  <c:v>0.44398767445847448</c:v>
                </c:pt>
                <c:pt idx="105">
                  <c:v>0.40797680240902789</c:v>
                </c:pt>
                <c:pt idx="106">
                  <c:v>0.54688810648129582</c:v>
                </c:pt>
                <c:pt idx="107">
                  <c:v>0.49574460025519007</c:v>
                </c:pt>
                <c:pt idx="108">
                  <c:v>0.57247604743715907</c:v>
                </c:pt>
                <c:pt idx="109">
                  <c:v>0.58798482963416721</c:v>
                </c:pt>
                <c:pt idx="110">
                  <c:v>0.61120860330892302</c:v>
                </c:pt>
                <c:pt idx="111">
                  <c:v>0.59283572694769515</c:v>
                </c:pt>
                <c:pt idx="112">
                  <c:v>0.65503474103279458</c:v>
                </c:pt>
                <c:pt idx="113">
                  <c:v>0.67513304551975173</c:v>
                </c:pt>
                <c:pt idx="114">
                  <c:v>0.68863198526781977</c:v>
                </c:pt>
                <c:pt idx="115">
                  <c:v>0.65837977253939894</c:v>
                </c:pt>
                <c:pt idx="116">
                  <c:v>0.64135693683134509</c:v>
                </c:pt>
                <c:pt idx="117">
                  <c:v>0.61956841355888315</c:v>
                </c:pt>
                <c:pt idx="118">
                  <c:v>0.70531403814402038</c:v>
                </c:pt>
                <c:pt idx="119">
                  <c:v>0.73342078174899417</c:v>
                </c:pt>
                <c:pt idx="120">
                  <c:v>0.73111762194163477</c:v>
                </c:pt>
                <c:pt idx="121">
                  <c:v>0.78958882007312226</c:v>
                </c:pt>
                <c:pt idx="122">
                  <c:v>0.85724776912176992</c:v>
                </c:pt>
                <c:pt idx="123">
                  <c:v>0.86226853976220219</c:v>
                </c:pt>
                <c:pt idx="124">
                  <c:v>0.89968472343740924</c:v>
                </c:pt>
                <c:pt idx="125">
                  <c:v>0.98379572718345132</c:v>
                </c:pt>
                <c:pt idx="126">
                  <c:v>0.94696332863943844</c:v>
                </c:pt>
                <c:pt idx="127">
                  <c:v>0.95005503145637549</c:v>
                </c:pt>
                <c:pt idx="128">
                  <c:v>0.94809740324208092</c:v>
                </c:pt>
                <c:pt idx="129">
                  <c:v>0.97455650684560069</c:v>
                </c:pt>
                <c:pt idx="130">
                  <c:v>0.94980396808491041</c:v>
                </c:pt>
                <c:pt idx="131">
                  <c:v>0.98391945906747036</c:v>
                </c:pt>
                <c:pt idx="132">
                  <c:v>1.0049814330565034</c:v>
                </c:pt>
                <c:pt idx="133">
                  <c:v>0.98470404035049752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53A-144A-AFAD-47D67CE793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0567936"/>
        <c:axId val="540571296"/>
      </c:lineChart>
      <c:catAx>
        <c:axId val="54056793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0571296"/>
        <c:crosses val="autoZero"/>
        <c:auto val="1"/>
        <c:lblAlgn val="ctr"/>
        <c:lblOffset val="100"/>
        <c:noMultiLvlLbl val="0"/>
      </c:catAx>
      <c:valAx>
        <c:axId val="5405712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40567936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1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RF再投資累積報酬!$C$23</c:f>
              <c:strCache>
                <c:ptCount val="1"/>
                <c:pt idx="0">
                  <c:v>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RF再投資累積報酬!$D$23:$EG$23</c:f>
              <c:numCache>
                <c:formatCode>General</c:formatCode>
                <c:ptCount val="134"/>
                <c:pt idx="0">
                  <c:v>0.13959367873036821</c:v>
                </c:pt>
                <c:pt idx="1">
                  <c:v>0.16933572552470522</c:v>
                </c:pt>
                <c:pt idx="2">
                  <c:v>0.16386018932133251</c:v>
                </c:pt>
                <c:pt idx="3">
                  <c:v>0.14457407944950651</c:v>
                </c:pt>
                <c:pt idx="4">
                  <c:v>0.12424499485554419</c:v>
                </c:pt>
                <c:pt idx="5">
                  <c:v>0.11544680506226479</c:v>
                </c:pt>
                <c:pt idx="6">
                  <c:v>0.11930726355857368</c:v>
                </c:pt>
                <c:pt idx="7">
                  <c:v>9.9385261211944131E-2</c:v>
                </c:pt>
                <c:pt idx="8">
                  <c:v>9.3482788082067891E-2</c:v>
                </c:pt>
                <c:pt idx="9">
                  <c:v>9.9760865083817318E-2</c:v>
                </c:pt>
                <c:pt idx="10">
                  <c:v>8.1198078215265035E-2</c:v>
                </c:pt>
                <c:pt idx="11">
                  <c:v>9.2425253565052046E-2</c:v>
                </c:pt>
                <c:pt idx="12">
                  <c:v>6.2466456660829728E-2</c:v>
                </c:pt>
                <c:pt idx="13">
                  <c:v>6.3968072426462852E-2</c:v>
                </c:pt>
                <c:pt idx="14">
                  <c:v>4.633557471583849E-2</c:v>
                </c:pt>
                <c:pt idx="15">
                  <c:v>2.7033216022445572E-2</c:v>
                </c:pt>
                <c:pt idx="16">
                  <c:v>3.0055820226227103E-2</c:v>
                </c:pt>
                <c:pt idx="17">
                  <c:v>2.0464997292072074E-2</c:v>
                </c:pt>
                <c:pt idx="18">
                  <c:v>1.4224159019833982E-2</c:v>
                </c:pt>
                <c:pt idx="19">
                  <c:v>4.7966753869187251E-2</c:v>
                </c:pt>
                <c:pt idx="20">
                  <c:v>3.503304277104502E-2</c:v>
                </c:pt>
                <c:pt idx="21">
                  <c:v>0.12593592268603104</c:v>
                </c:pt>
                <c:pt idx="22">
                  <c:v>6.2054117950333554E-2</c:v>
                </c:pt>
                <c:pt idx="23">
                  <c:v>7.3185150981883496E-2</c:v>
                </c:pt>
                <c:pt idx="24">
                  <c:v>6.981934030535708E-2</c:v>
                </c:pt>
                <c:pt idx="25">
                  <c:v>7.8467847419528391E-2</c:v>
                </c:pt>
                <c:pt idx="26">
                  <c:v>0.10863192891928142</c:v>
                </c:pt>
                <c:pt idx="27">
                  <c:v>0.1119422751843</c:v>
                </c:pt>
                <c:pt idx="28">
                  <c:v>0.10735177963237841</c:v>
                </c:pt>
                <c:pt idx="29">
                  <c:v>0.10385985873546977</c:v>
                </c:pt>
                <c:pt idx="30">
                  <c:v>0.12067085706236691</c:v>
                </c:pt>
                <c:pt idx="31">
                  <c:v>0.14451797004432509</c:v>
                </c:pt>
                <c:pt idx="32">
                  <c:v>0.1476446547948409</c:v>
                </c:pt>
                <c:pt idx="33">
                  <c:v>0.11936884326780994</c:v>
                </c:pt>
                <c:pt idx="34">
                  <c:v>9.9087136918512453E-2</c:v>
                </c:pt>
                <c:pt idx="35">
                  <c:v>9.9878210464589889E-2</c:v>
                </c:pt>
                <c:pt idx="36">
                  <c:v>7.6881735257965156E-2</c:v>
                </c:pt>
                <c:pt idx="37">
                  <c:v>8.4767899039784211E-2</c:v>
                </c:pt>
                <c:pt idx="38">
                  <c:v>0.10407339104178503</c:v>
                </c:pt>
                <c:pt idx="39">
                  <c:v>0.14199469246306218</c:v>
                </c:pt>
                <c:pt idx="40">
                  <c:v>0.16501662828230224</c:v>
                </c:pt>
                <c:pt idx="41">
                  <c:v>0.17096620984222377</c:v>
                </c:pt>
                <c:pt idx="42">
                  <c:v>0.19137722692495029</c:v>
                </c:pt>
                <c:pt idx="43">
                  <c:v>0.18003356808785798</c:v>
                </c:pt>
                <c:pt idx="44">
                  <c:v>0.19137062696386109</c:v>
                </c:pt>
                <c:pt idx="45">
                  <c:v>0.19988865501463926</c:v>
                </c:pt>
                <c:pt idx="46">
                  <c:v>0.20723112810340982</c:v>
                </c:pt>
                <c:pt idx="47">
                  <c:v>0.1798692566675868</c:v>
                </c:pt>
                <c:pt idx="48">
                  <c:v>0.17329888185708264</c:v>
                </c:pt>
                <c:pt idx="49">
                  <c:v>0.1786929241222015</c:v>
                </c:pt>
                <c:pt idx="50">
                  <c:v>0.20302628183697613</c:v>
                </c:pt>
                <c:pt idx="51">
                  <c:v>0.18409114728910447</c:v>
                </c:pt>
                <c:pt idx="52">
                  <c:v>0.18969729557016368</c:v>
                </c:pt>
                <c:pt idx="53">
                  <c:v>0.19878396824379152</c:v>
                </c:pt>
                <c:pt idx="54">
                  <c:v>0.1705310804567346</c:v>
                </c:pt>
                <c:pt idx="55">
                  <c:v>0.18850291663783647</c:v>
                </c:pt>
                <c:pt idx="56">
                  <c:v>0.22562561538788328</c:v>
                </c:pt>
                <c:pt idx="57">
                  <c:v>0.21531072522127848</c:v>
                </c:pt>
                <c:pt idx="58">
                  <c:v>0.21227099277568939</c:v>
                </c:pt>
                <c:pt idx="59">
                  <c:v>0.20750291767416584</c:v>
                </c:pt>
                <c:pt idx="60">
                  <c:v>0.21147612251389813</c:v>
                </c:pt>
                <c:pt idx="61">
                  <c:v>0.25874066381733063</c:v>
                </c:pt>
                <c:pt idx="62">
                  <c:v>0.24720706854488483</c:v>
                </c:pt>
                <c:pt idx="63">
                  <c:v>0.23639781304712049</c:v>
                </c:pt>
                <c:pt idx="64">
                  <c:v>0.25246195641999836</c:v>
                </c:pt>
                <c:pt idx="65">
                  <c:v>0.23325671844283002</c:v>
                </c:pt>
                <c:pt idx="66">
                  <c:v>0.20685240769627944</c:v>
                </c:pt>
                <c:pt idx="67">
                  <c:v>0.21579834520970342</c:v>
                </c:pt>
                <c:pt idx="68">
                  <c:v>0.20691375576760551</c:v>
                </c:pt>
                <c:pt idx="69">
                  <c:v>0.2525854807203014</c:v>
                </c:pt>
                <c:pt idx="70">
                  <c:v>0.27412775513107657</c:v>
                </c:pt>
                <c:pt idx="71">
                  <c:v>0.27885418469098533</c:v>
                </c:pt>
                <c:pt idx="72">
                  <c:v>0.31499856956414352</c:v>
                </c:pt>
                <c:pt idx="73">
                  <c:v>0.31258902782135078</c:v>
                </c:pt>
                <c:pt idx="74">
                  <c:v>0.35654306785717371</c:v>
                </c:pt>
                <c:pt idx="75">
                  <c:v>0.26561598665032471</c:v>
                </c:pt>
                <c:pt idx="76">
                  <c:v>0.26026614456721653</c:v>
                </c:pt>
                <c:pt idx="77">
                  <c:v>0.26291562322984974</c:v>
                </c:pt>
                <c:pt idx="78">
                  <c:v>0.24594223167108198</c:v>
                </c:pt>
                <c:pt idx="79">
                  <c:v>0.1930866892658798</c:v>
                </c:pt>
                <c:pt idx="80">
                  <c:v>0.22495296240053286</c:v>
                </c:pt>
                <c:pt idx="81">
                  <c:v>0.26149281627446075</c:v>
                </c:pt>
                <c:pt idx="82">
                  <c:v>0.24987476388299101</c:v>
                </c:pt>
                <c:pt idx="83">
                  <c:v>0.31835679511936199</c:v>
                </c:pt>
                <c:pt idx="84">
                  <c:v>0.32110796016530618</c:v>
                </c:pt>
                <c:pt idx="85">
                  <c:v>0.28570412523667876</c:v>
                </c:pt>
                <c:pt idx="86">
                  <c:v>0.23464975538741317</c:v>
                </c:pt>
                <c:pt idx="87">
                  <c:v>0.33989647840464898</c:v>
                </c:pt>
                <c:pt idx="88">
                  <c:v>0.31725596297294212</c:v>
                </c:pt>
                <c:pt idx="89">
                  <c:v>0.36110909081907727</c:v>
                </c:pt>
                <c:pt idx="90">
                  <c:v>0.28165135875891734</c:v>
                </c:pt>
                <c:pt idx="91">
                  <c:v>0.25390570916375599</c:v>
                </c:pt>
                <c:pt idx="92">
                  <c:v>0.24216268903132021</c:v>
                </c:pt>
                <c:pt idx="93">
                  <c:v>0.22999840538848382</c:v>
                </c:pt>
                <c:pt idx="94">
                  <c:v>0.22903826188728127</c:v>
                </c:pt>
                <c:pt idx="95">
                  <c:v>0.2573691878675759</c:v>
                </c:pt>
                <c:pt idx="96">
                  <c:v>0.21178306371902988</c:v>
                </c:pt>
                <c:pt idx="97">
                  <c:v>0.24208932918999726</c:v>
                </c:pt>
                <c:pt idx="98">
                  <c:v>0.23978523194623524</c:v>
                </c:pt>
                <c:pt idx="99">
                  <c:v>0.20484748528196328</c:v>
                </c:pt>
                <c:pt idx="100">
                  <c:v>0.20682098778176883</c:v>
                </c:pt>
                <c:pt idx="101">
                  <c:v>0.21039067928823663</c:v>
                </c:pt>
                <c:pt idx="102">
                  <c:v>0.28571341028503983</c:v>
                </c:pt>
                <c:pt idx="103">
                  <c:v>0.30417081967416859</c:v>
                </c:pt>
                <c:pt idx="104">
                  <c:v>0.20504143186701862</c:v>
                </c:pt>
                <c:pt idx="105">
                  <c:v>0.21994281499693269</c:v>
                </c:pt>
                <c:pt idx="106">
                  <c:v>0.29089715318842768</c:v>
                </c:pt>
                <c:pt idx="107">
                  <c:v>0.28442984816426908</c:v>
                </c:pt>
                <c:pt idx="108">
                  <c:v>0.33818459568915227</c:v>
                </c:pt>
                <c:pt idx="109">
                  <c:v>0.34868344477586755</c:v>
                </c:pt>
                <c:pt idx="110">
                  <c:v>0.38271234116061814</c:v>
                </c:pt>
                <c:pt idx="111">
                  <c:v>0.42857286504315906</c:v>
                </c:pt>
                <c:pt idx="112">
                  <c:v>0.45500314244793083</c:v>
                </c:pt>
                <c:pt idx="113">
                  <c:v>0.48195699482592369</c:v>
                </c:pt>
                <c:pt idx="114">
                  <c:v>0.54407770466844374</c:v>
                </c:pt>
                <c:pt idx="115">
                  <c:v>0.49672005481349202</c:v>
                </c:pt>
                <c:pt idx="116">
                  <c:v>0.49209882392108195</c:v>
                </c:pt>
                <c:pt idx="117">
                  <c:v>0.51047015718342048</c:v>
                </c:pt>
                <c:pt idx="118">
                  <c:v>0.50319561139189317</c:v>
                </c:pt>
                <c:pt idx="119">
                  <c:v>0.52423167552671823</c:v>
                </c:pt>
                <c:pt idx="120">
                  <c:v>0.53494457721515132</c:v>
                </c:pt>
                <c:pt idx="121">
                  <c:v>0.57655083331831003</c:v>
                </c:pt>
                <c:pt idx="122">
                  <c:v>0.57682780243713117</c:v>
                </c:pt>
                <c:pt idx="123">
                  <c:v>0.53586939396105238</c:v>
                </c:pt>
                <c:pt idx="124">
                  <c:v>0.47806776958374897</c:v>
                </c:pt>
                <c:pt idx="125">
                  <c:v>0.46729743684704705</c:v>
                </c:pt>
                <c:pt idx="126">
                  <c:v>0.485919769818419</c:v>
                </c:pt>
                <c:pt idx="127">
                  <c:v>0.52141489454761536</c:v>
                </c:pt>
                <c:pt idx="128">
                  <c:v>0.4331975104306367</c:v>
                </c:pt>
                <c:pt idx="129">
                  <c:v>0.44417596836329709</c:v>
                </c:pt>
                <c:pt idx="130">
                  <c:v>0.41860411850015455</c:v>
                </c:pt>
                <c:pt idx="131">
                  <c:v>0.41182578895889765</c:v>
                </c:pt>
                <c:pt idx="132">
                  <c:v>0.38963336695279893</c:v>
                </c:pt>
                <c:pt idx="133">
                  <c:v>0.44838618321439094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AC-A641-ACBD-C2E5EB20A5F4}"/>
            </c:ext>
          </c:extLst>
        </c:ser>
        <c:ser>
          <c:idx val="1"/>
          <c:order val="1"/>
          <c:tx>
            <c:strRef>
              <c:f>RF再投資累積報酬!$C$24</c:f>
              <c:strCache>
                <c:ptCount val="1"/>
                <c:pt idx="0">
                  <c:v>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RF再投資累積報酬!$D$24:$EG$24</c:f>
              <c:numCache>
                <c:formatCode>General</c:formatCode>
                <c:ptCount val="134"/>
                <c:pt idx="0">
                  <c:v>0.19687692674233026</c:v>
                </c:pt>
                <c:pt idx="1">
                  <c:v>0.28415019455093438</c:v>
                </c:pt>
                <c:pt idx="2">
                  <c:v>0.2671268362332051</c:v>
                </c:pt>
                <c:pt idx="3">
                  <c:v>0.29766150888542575</c:v>
                </c:pt>
                <c:pt idx="4">
                  <c:v>0.30694418160155212</c:v>
                </c:pt>
                <c:pt idx="5">
                  <c:v>0.29481736719714924</c:v>
                </c:pt>
                <c:pt idx="6">
                  <c:v>0.31888951779540919</c:v>
                </c:pt>
                <c:pt idx="7">
                  <c:v>0.30473682988394768</c:v>
                </c:pt>
                <c:pt idx="8">
                  <c:v>0.25365244991929137</c:v>
                </c:pt>
                <c:pt idx="9">
                  <c:v>0.28019311456709661</c:v>
                </c:pt>
                <c:pt idx="10">
                  <c:v>0.28254555263688519</c:v>
                </c:pt>
                <c:pt idx="11">
                  <c:v>0.2667206851579742</c:v>
                </c:pt>
                <c:pt idx="12">
                  <c:v>0.21653133272167646</c:v>
                </c:pt>
                <c:pt idx="13">
                  <c:v>0.20990453196342673</c:v>
                </c:pt>
                <c:pt idx="14">
                  <c:v>0.21726803225067837</c:v>
                </c:pt>
                <c:pt idx="15">
                  <c:v>0.18510837118924806</c:v>
                </c:pt>
                <c:pt idx="16">
                  <c:v>0.17685881609509968</c:v>
                </c:pt>
                <c:pt idx="17">
                  <c:v>0.16755732152351333</c:v>
                </c:pt>
                <c:pt idx="18">
                  <c:v>0.10626639144140038</c:v>
                </c:pt>
                <c:pt idx="19">
                  <c:v>0.15155842157215793</c:v>
                </c:pt>
                <c:pt idx="20">
                  <c:v>0.16446080494649995</c:v>
                </c:pt>
                <c:pt idx="21">
                  <c:v>0.27698768718453781</c:v>
                </c:pt>
                <c:pt idx="22">
                  <c:v>0.2213279404478905</c:v>
                </c:pt>
                <c:pt idx="23">
                  <c:v>0.24942788855266285</c:v>
                </c:pt>
                <c:pt idx="24">
                  <c:v>0.22111523703658942</c:v>
                </c:pt>
                <c:pt idx="25">
                  <c:v>0.23357719560034274</c:v>
                </c:pt>
                <c:pt idx="26">
                  <c:v>0.2584629882313747</c:v>
                </c:pt>
                <c:pt idx="27">
                  <c:v>0.28961602011003618</c:v>
                </c:pt>
                <c:pt idx="28">
                  <c:v>0.26572203903701341</c:v>
                </c:pt>
                <c:pt idx="29">
                  <c:v>0.28831645676401529</c:v>
                </c:pt>
                <c:pt idx="30">
                  <c:v>0.30185767989209444</c:v>
                </c:pt>
                <c:pt idx="31">
                  <c:v>0.34306877790377932</c:v>
                </c:pt>
                <c:pt idx="32">
                  <c:v>0.33647265681999561</c:v>
                </c:pt>
                <c:pt idx="33">
                  <c:v>0.28497861338730779</c:v>
                </c:pt>
                <c:pt idx="34">
                  <c:v>0.235859916862591</c:v>
                </c:pt>
                <c:pt idx="35">
                  <c:v>0.22884566499635728</c:v>
                </c:pt>
                <c:pt idx="36">
                  <c:v>0.21281511417918919</c:v>
                </c:pt>
                <c:pt idx="37">
                  <c:v>0.23379052085984831</c:v>
                </c:pt>
                <c:pt idx="38">
                  <c:v>0.28110897305378724</c:v>
                </c:pt>
                <c:pt idx="39">
                  <c:v>0.35154521361167879</c:v>
                </c:pt>
                <c:pt idx="40">
                  <c:v>0.37073716465306883</c:v>
                </c:pt>
                <c:pt idx="41">
                  <c:v>0.37887360339517562</c:v>
                </c:pt>
                <c:pt idx="42">
                  <c:v>0.42347334302036121</c:v>
                </c:pt>
                <c:pt idx="43">
                  <c:v>0.4109040001946509</c:v>
                </c:pt>
                <c:pt idx="44">
                  <c:v>0.46209323257740476</c:v>
                </c:pt>
                <c:pt idx="45">
                  <c:v>0.48696196998402153</c:v>
                </c:pt>
                <c:pt idx="46">
                  <c:v>0.42085466215446177</c:v>
                </c:pt>
                <c:pt idx="47">
                  <c:v>0.38576432567956664</c:v>
                </c:pt>
                <c:pt idx="48">
                  <c:v>0.37961367049600292</c:v>
                </c:pt>
                <c:pt idx="49">
                  <c:v>0.39729208760721879</c:v>
                </c:pt>
                <c:pt idx="50">
                  <c:v>0.45898877701191299</c:v>
                </c:pt>
                <c:pt idx="51">
                  <c:v>0.41021833074268743</c:v>
                </c:pt>
                <c:pt idx="52">
                  <c:v>0.40502391884216937</c:v>
                </c:pt>
                <c:pt idx="53">
                  <c:v>0.43340465224560698</c:v>
                </c:pt>
                <c:pt idx="54">
                  <c:v>0.38242322645059801</c:v>
                </c:pt>
                <c:pt idx="55">
                  <c:v>0.36972723437718202</c:v>
                </c:pt>
                <c:pt idx="56">
                  <c:v>0.41735184585721541</c:v>
                </c:pt>
                <c:pt idx="57">
                  <c:v>0.40341727234375391</c:v>
                </c:pt>
                <c:pt idx="58">
                  <c:v>0.45409766311022515</c:v>
                </c:pt>
                <c:pt idx="59">
                  <c:v>0.45153111144765501</c:v>
                </c:pt>
                <c:pt idx="60">
                  <c:v>0.44888118199642446</c:v>
                </c:pt>
                <c:pt idx="61">
                  <c:v>0.49397217994905351</c:v>
                </c:pt>
                <c:pt idx="62">
                  <c:v>0.47344497470708613</c:v>
                </c:pt>
                <c:pt idx="63">
                  <c:v>0.47339203341205227</c:v>
                </c:pt>
                <c:pt idx="64">
                  <c:v>0.51070412689990707</c:v>
                </c:pt>
                <c:pt idx="65">
                  <c:v>0.45749759751042229</c:v>
                </c:pt>
                <c:pt idx="66">
                  <c:v>0.41723294668376987</c:v>
                </c:pt>
                <c:pt idx="67">
                  <c:v>0.39617931728011513</c:v>
                </c:pt>
                <c:pt idx="68">
                  <c:v>0.35881452739490682</c:v>
                </c:pt>
                <c:pt idx="69">
                  <c:v>0.42802383367031327</c:v>
                </c:pt>
                <c:pt idx="70">
                  <c:v>0.40191221307329172</c:v>
                </c:pt>
                <c:pt idx="71">
                  <c:v>0.43748766128238681</c:v>
                </c:pt>
                <c:pt idx="72">
                  <c:v>0.49772574127623104</c:v>
                </c:pt>
                <c:pt idx="73">
                  <c:v>0.48505076878633524</c:v>
                </c:pt>
                <c:pt idx="74">
                  <c:v>0.45577863005852004</c:v>
                </c:pt>
                <c:pt idx="75">
                  <c:v>0.30348968263212162</c:v>
                </c:pt>
                <c:pt idx="76">
                  <c:v>0.26186613995986474</c:v>
                </c:pt>
                <c:pt idx="77">
                  <c:v>0.28090383949337516</c:v>
                </c:pt>
                <c:pt idx="78">
                  <c:v>0.24022320237698347</c:v>
                </c:pt>
                <c:pt idx="79">
                  <c:v>0.21288365217592453</c:v>
                </c:pt>
                <c:pt idx="80">
                  <c:v>0.27653356136059104</c:v>
                </c:pt>
                <c:pt idx="81">
                  <c:v>0.31715342094773402</c:v>
                </c:pt>
                <c:pt idx="82">
                  <c:v>0.29689611945297223</c:v>
                </c:pt>
                <c:pt idx="83">
                  <c:v>0.36814006667226806</c:v>
                </c:pt>
                <c:pt idx="84">
                  <c:v>0.33467776450735798</c:v>
                </c:pt>
                <c:pt idx="85">
                  <c:v>0.32641415181915545</c:v>
                </c:pt>
                <c:pt idx="86">
                  <c:v>0.2682965505101349</c:v>
                </c:pt>
                <c:pt idx="87">
                  <c:v>0.35084710012580977</c:v>
                </c:pt>
                <c:pt idx="88">
                  <c:v>0.31621107370564006</c:v>
                </c:pt>
                <c:pt idx="89">
                  <c:v>0.33903326689287328</c:v>
                </c:pt>
                <c:pt idx="90">
                  <c:v>0.21176887201426919</c:v>
                </c:pt>
                <c:pt idx="91">
                  <c:v>0.22757708832043022</c:v>
                </c:pt>
                <c:pt idx="92">
                  <c:v>0.23740023954981471</c:v>
                </c:pt>
                <c:pt idx="93">
                  <c:v>0.22520064878424728</c:v>
                </c:pt>
                <c:pt idx="94">
                  <c:v>0.21319126096667262</c:v>
                </c:pt>
                <c:pt idx="95">
                  <c:v>0.24958595533070427</c:v>
                </c:pt>
                <c:pt idx="96">
                  <c:v>0.20042853339099076</c:v>
                </c:pt>
                <c:pt idx="97">
                  <c:v>0.25372915872472124</c:v>
                </c:pt>
                <c:pt idx="98">
                  <c:v>0.23908125805119651</c:v>
                </c:pt>
                <c:pt idx="99">
                  <c:v>0.2212717632971537</c:v>
                </c:pt>
                <c:pt idx="100">
                  <c:v>0.20767580111848027</c:v>
                </c:pt>
                <c:pt idx="101">
                  <c:v>0.20840512477791751</c:v>
                </c:pt>
                <c:pt idx="102">
                  <c:v>0.29258078918125374</c:v>
                </c:pt>
                <c:pt idx="103">
                  <c:v>0.30252857044929105</c:v>
                </c:pt>
                <c:pt idx="104">
                  <c:v>0.19538266069235122</c:v>
                </c:pt>
                <c:pt idx="105">
                  <c:v>0.24891764476287936</c:v>
                </c:pt>
                <c:pt idx="106">
                  <c:v>0.34026005556960626</c:v>
                </c:pt>
                <c:pt idx="107">
                  <c:v>0.35340392078391569</c:v>
                </c:pt>
                <c:pt idx="108">
                  <c:v>0.41097801528218336</c:v>
                </c:pt>
                <c:pt idx="109">
                  <c:v>0.44601509388960836</c:v>
                </c:pt>
                <c:pt idx="110">
                  <c:v>0.46996027233817439</c:v>
                </c:pt>
                <c:pt idx="111">
                  <c:v>0.49951581447857696</c:v>
                </c:pt>
                <c:pt idx="112">
                  <c:v>0.52280931031336686</c:v>
                </c:pt>
                <c:pt idx="113">
                  <c:v>0.57368703522064601</c:v>
                </c:pt>
                <c:pt idx="114">
                  <c:v>0.64480451271289052</c:v>
                </c:pt>
                <c:pt idx="115">
                  <c:v>0.59839387917244968</c:v>
                </c:pt>
                <c:pt idx="116">
                  <c:v>0.60260638633355312</c:v>
                </c:pt>
                <c:pt idx="117">
                  <c:v>0.63295772791356364</c:v>
                </c:pt>
                <c:pt idx="118">
                  <c:v>0.63330132687151131</c:v>
                </c:pt>
                <c:pt idx="119">
                  <c:v>0.71187009326507078</c:v>
                </c:pt>
                <c:pt idx="120">
                  <c:v>0.74611869340070958</c:v>
                </c:pt>
                <c:pt idx="121">
                  <c:v>0.77646132701062931</c:v>
                </c:pt>
                <c:pt idx="122">
                  <c:v>0.75568101015639066</c:v>
                </c:pt>
                <c:pt idx="123">
                  <c:v>0.700132253669143</c:v>
                </c:pt>
                <c:pt idx="124">
                  <c:v>0.62649136242101178</c:v>
                </c:pt>
                <c:pt idx="125">
                  <c:v>0.59803616251887659</c:v>
                </c:pt>
                <c:pt idx="126">
                  <c:v>0.64878049143669281</c:v>
                </c:pt>
                <c:pt idx="127">
                  <c:v>0.69572545522883256</c:v>
                </c:pt>
                <c:pt idx="128">
                  <c:v>0.61686954217639189</c:v>
                </c:pt>
                <c:pt idx="129">
                  <c:v>0.67371477406533864</c:v>
                </c:pt>
                <c:pt idx="130">
                  <c:v>0.61750221943388617</c:v>
                </c:pt>
                <c:pt idx="131">
                  <c:v>0.54237861634029216</c:v>
                </c:pt>
                <c:pt idx="132">
                  <c:v>0.52387629218976839</c:v>
                </c:pt>
                <c:pt idx="133">
                  <c:v>0.59427973657686994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AC-A641-ACBD-C2E5EB20A5F4}"/>
            </c:ext>
          </c:extLst>
        </c:ser>
        <c:ser>
          <c:idx val="2"/>
          <c:order val="2"/>
          <c:tx>
            <c:strRef>
              <c:f>RF再投資累積報酬!$C$25</c:f>
              <c:strCache>
                <c:ptCount val="1"/>
                <c:pt idx="0">
                  <c:v>50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RF再投資累積報酬!$D$25:$EG$25</c:f>
              <c:numCache>
                <c:formatCode>General</c:formatCode>
                <c:ptCount val="134"/>
                <c:pt idx="0">
                  <c:v>0.36308230375568429</c:v>
                </c:pt>
                <c:pt idx="1">
                  <c:v>0.44786763022185805</c:v>
                </c:pt>
                <c:pt idx="2">
                  <c:v>0.42799653753368361</c:v>
                </c:pt>
                <c:pt idx="3">
                  <c:v>0.47299152255052457</c:v>
                </c:pt>
                <c:pt idx="4">
                  <c:v>0.50310176064714507</c:v>
                </c:pt>
                <c:pt idx="5">
                  <c:v>0.52342709865207016</c:v>
                </c:pt>
                <c:pt idx="6">
                  <c:v>0.49327671592849276</c:v>
                </c:pt>
                <c:pt idx="7">
                  <c:v>0.36526812357174121</c:v>
                </c:pt>
                <c:pt idx="8">
                  <c:v>0.30824816304966274</c:v>
                </c:pt>
                <c:pt idx="9">
                  <c:v>0.32901888110270017</c:v>
                </c:pt>
                <c:pt idx="10">
                  <c:v>0.31763240532750614</c:v>
                </c:pt>
                <c:pt idx="11">
                  <c:v>0.26582869501804818</c:v>
                </c:pt>
                <c:pt idx="12">
                  <c:v>0.21083196914983993</c:v>
                </c:pt>
                <c:pt idx="13">
                  <c:v>0.20922197589077252</c:v>
                </c:pt>
                <c:pt idx="14">
                  <c:v>0.23782020663035075</c:v>
                </c:pt>
                <c:pt idx="15">
                  <c:v>0.1724976505539062</c:v>
                </c:pt>
                <c:pt idx="16">
                  <c:v>0.1430899541590136</c:v>
                </c:pt>
                <c:pt idx="17">
                  <c:v>8.8946814940573216E-2</c:v>
                </c:pt>
                <c:pt idx="18">
                  <c:v>1.8835712084791512E-2</c:v>
                </c:pt>
                <c:pt idx="19">
                  <c:v>0.10423714128470318</c:v>
                </c:pt>
                <c:pt idx="20">
                  <c:v>0.1355052929448477</c:v>
                </c:pt>
                <c:pt idx="21">
                  <c:v>0.28062133910407172</c:v>
                </c:pt>
                <c:pt idx="22">
                  <c:v>0.19341863236825496</c:v>
                </c:pt>
                <c:pt idx="23">
                  <c:v>0.26220477337277925</c:v>
                </c:pt>
                <c:pt idx="24">
                  <c:v>0.18608140471561541</c:v>
                </c:pt>
                <c:pt idx="25">
                  <c:v>0.15956578540526301</c:v>
                </c:pt>
                <c:pt idx="26">
                  <c:v>0.22269766680395664</c:v>
                </c:pt>
                <c:pt idx="27">
                  <c:v>0.29292703271013387</c:v>
                </c:pt>
                <c:pt idx="28">
                  <c:v>0.28354291014735011</c:v>
                </c:pt>
                <c:pt idx="29">
                  <c:v>0.38853835583196927</c:v>
                </c:pt>
                <c:pt idx="30">
                  <c:v>0.40926453456609724</c:v>
                </c:pt>
                <c:pt idx="31">
                  <c:v>0.48483808353879132</c:v>
                </c:pt>
                <c:pt idx="32">
                  <c:v>0.53690681290232734</c:v>
                </c:pt>
                <c:pt idx="33">
                  <c:v>0.457269308389886</c:v>
                </c:pt>
                <c:pt idx="34">
                  <c:v>0.45121796147905635</c:v>
                </c:pt>
                <c:pt idx="35">
                  <c:v>0.383684438243729</c:v>
                </c:pt>
                <c:pt idx="36">
                  <c:v>0.37056971213079226</c:v>
                </c:pt>
                <c:pt idx="37">
                  <c:v>0.44700037955276928</c:v>
                </c:pt>
                <c:pt idx="38">
                  <c:v>0.5832884098512523</c:v>
                </c:pt>
                <c:pt idx="39">
                  <c:v>0.74149168894882322</c:v>
                </c:pt>
                <c:pt idx="40">
                  <c:v>0.65301491056650174</c:v>
                </c:pt>
                <c:pt idx="41">
                  <c:v>0.65504776387578301</c:v>
                </c:pt>
                <c:pt idx="42">
                  <c:v>0.69979398347691024</c:v>
                </c:pt>
                <c:pt idx="43">
                  <c:v>0.7827271273289802</c:v>
                </c:pt>
                <c:pt idx="44">
                  <c:v>0.90340996623142056</c:v>
                </c:pt>
                <c:pt idx="45">
                  <c:v>0.92955120448266659</c:v>
                </c:pt>
                <c:pt idx="46">
                  <c:v>0.90824958985304272</c:v>
                </c:pt>
                <c:pt idx="47">
                  <c:v>0.8109645310931739</c:v>
                </c:pt>
                <c:pt idx="48">
                  <c:v>0.81578744974686601</c:v>
                </c:pt>
                <c:pt idx="49">
                  <c:v>0.86615329885238324</c:v>
                </c:pt>
                <c:pt idx="50">
                  <c:v>0.95178052533477331</c:v>
                </c:pt>
                <c:pt idx="51">
                  <c:v>0.80387826195733703</c:v>
                </c:pt>
                <c:pt idx="52">
                  <c:v>0.78445289369175231</c:v>
                </c:pt>
                <c:pt idx="53">
                  <c:v>0.80724705697362187</c:v>
                </c:pt>
                <c:pt idx="54">
                  <c:v>0.76360887926513632</c:v>
                </c:pt>
                <c:pt idx="55">
                  <c:v>0.7302237371708955</c:v>
                </c:pt>
                <c:pt idx="56">
                  <c:v>0.92698635861168754</c:v>
                </c:pt>
                <c:pt idx="57">
                  <c:v>1.0801392694497549</c:v>
                </c:pt>
                <c:pt idx="58">
                  <c:v>1.0123484029783207</c:v>
                </c:pt>
                <c:pt idx="59">
                  <c:v>1.0679556579890246</c:v>
                </c:pt>
                <c:pt idx="60">
                  <c:v>1.0665187487686749</c:v>
                </c:pt>
                <c:pt idx="61">
                  <c:v>1.183906372686554</c:v>
                </c:pt>
                <c:pt idx="62">
                  <c:v>1.1235915606408544</c:v>
                </c:pt>
                <c:pt idx="63">
                  <c:v>1.1171227794102934</c:v>
                </c:pt>
                <c:pt idx="64">
                  <c:v>1.1756397431158363</c:v>
                </c:pt>
                <c:pt idx="65">
                  <c:v>1.1099119039534897</c:v>
                </c:pt>
                <c:pt idx="66">
                  <c:v>1.1088451505192758</c:v>
                </c:pt>
                <c:pt idx="67">
                  <c:v>0.98611143761491293</c:v>
                </c:pt>
                <c:pt idx="68">
                  <c:v>0.97516650649169412</c:v>
                </c:pt>
                <c:pt idx="69">
                  <c:v>1.0104096126086808</c:v>
                </c:pt>
                <c:pt idx="70">
                  <c:v>0.87514248505242631</c:v>
                </c:pt>
                <c:pt idx="71">
                  <c:v>0.9688439857618123</c:v>
                </c:pt>
                <c:pt idx="72">
                  <c:v>1.1077018804699912</c:v>
                </c:pt>
                <c:pt idx="73">
                  <c:v>1.1197759221432975</c:v>
                </c:pt>
                <c:pt idx="74">
                  <c:v>1.0860671336899537</c:v>
                </c:pt>
                <c:pt idx="75">
                  <c:v>0.75993432233599756</c:v>
                </c:pt>
                <c:pt idx="76">
                  <c:v>0.72299498289835173</c:v>
                </c:pt>
                <c:pt idx="77">
                  <c:v>0.90250817034362796</c:v>
                </c:pt>
                <c:pt idx="78">
                  <c:v>0.86647567601556275</c:v>
                </c:pt>
                <c:pt idx="79">
                  <c:v>0.83603581902708601</c:v>
                </c:pt>
                <c:pt idx="80">
                  <c:v>0.81658535579672131</c:v>
                </c:pt>
                <c:pt idx="81">
                  <c:v>0.90758367945520857</c:v>
                </c:pt>
                <c:pt idx="82">
                  <c:v>0.94434997537292542</c:v>
                </c:pt>
                <c:pt idx="83">
                  <c:v>1.0857571495231895</c:v>
                </c:pt>
                <c:pt idx="84">
                  <c:v>1.0771427141328851</c:v>
                </c:pt>
                <c:pt idx="85">
                  <c:v>0.95672585187136039</c:v>
                </c:pt>
                <c:pt idx="86">
                  <c:v>0.90111928711604317</c:v>
                </c:pt>
                <c:pt idx="87">
                  <c:v>0.92156399404429146</c:v>
                </c:pt>
                <c:pt idx="88">
                  <c:v>0.90406909686992698</c:v>
                </c:pt>
                <c:pt idx="89">
                  <c:v>1.0029882518326532</c:v>
                </c:pt>
                <c:pt idx="90">
                  <c:v>0.48677672951288309</c:v>
                </c:pt>
                <c:pt idx="91">
                  <c:v>0.58113758022136608</c:v>
                </c:pt>
                <c:pt idx="92">
                  <c:v>0.70110698295360874</c:v>
                </c:pt>
                <c:pt idx="93">
                  <c:v>0.76288702384927598</c:v>
                </c:pt>
                <c:pt idx="94">
                  <c:v>0.78348359525488975</c:v>
                </c:pt>
                <c:pt idx="95">
                  <c:v>0.82072996922668362</c:v>
                </c:pt>
                <c:pt idx="96">
                  <c:v>0.72444598358480627</c:v>
                </c:pt>
                <c:pt idx="97">
                  <c:v>0.85943603833192239</c:v>
                </c:pt>
                <c:pt idx="98">
                  <c:v>0.78048657018567869</c:v>
                </c:pt>
                <c:pt idx="99">
                  <c:v>0.7503461255910473</c:v>
                </c:pt>
                <c:pt idx="100">
                  <c:v>0.74440912701805972</c:v>
                </c:pt>
                <c:pt idx="101">
                  <c:v>0.76390050261424758</c:v>
                </c:pt>
                <c:pt idx="102">
                  <c:v>0.92213985888197314</c:v>
                </c:pt>
                <c:pt idx="103">
                  <c:v>0.85982730022895471</c:v>
                </c:pt>
                <c:pt idx="104">
                  <c:v>0.72387156057662505</c:v>
                </c:pt>
                <c:pt idx="105">
                  <c:v>0.77807270181668997</c:v>
                </c:pt>
                <c:pt idx="106">
                  <c:v>0.8513137638387458</c:v>
                </c:pt>
                <c:pt idx="107">
                  <c:v>0.84036857862078351</c:v>
                </c:pt>
                <c:pt idx="108">
                  <c:v>0.92070473770428229</c:v>
                </c:pt>
                <c:pt idx="109">
                  <c:v>0.9020041276386408</c:v>
                </c:pt>
                <c:pt idx="110">
                  <c:v>0.85098785618529704</c:v>
                </c:pt>
                <c:pt idx="111">
                  <c:v>0.89551702976396985</c:v>
                </c:pt>
                <c:pt idx="112">
                  <c:v>0.85026753822912982</c:v>
                </c:pt>
                <c:pt idx="113">
                  <c:v>0.99015213183619699</c:v>
                </c:pt>
                <c:pt idx="114">
                  <c:v>1.1212804017460449</c:v>
                </c:pt>
                <c:pt idx="115">
                  <c:v>1.1696022496434875</c:v>
                </c:pt>
                <c:pt idx="116">
                  <c:v>1.2241819358201096</c:v>
                </c:pt>
                <c:pt idx="117">
                  <c:v>1.452614507975075</c:v>
                </c:pt>
                <c:pt idx="118">
                  <c:v>1.439537677127654</c:v>
                </c:pt>
                <c:pt idx="119">
                  <c:v>1.4714416753476782</c:v>
                </c:pt>
                <c:pt idx="120">
                  <c:v>1.5897232213091699</c:v>
                </c:pt>
                <c:pt idx="121">
                  <c:v>1.6033049791070799</c:v>
                </c:pt>
                <c:pt idx="122">
                  <c:v>1.5876850098553823</c:v>
                </c:pt>
                <c:pt idx="123">
                  <c:v>1.5646543122694383</c:v>
                </c:pt>
                <c:pt idx="124">
                  <c:v>1.4486428700935585</c:v>
                </c:pt>
                <c:pt idx="125">
                  <c:v>1.2893219001136327</c:v>
                </c:pt>
                <c:pt idx="126">
                  <c:v>1.4079229048596695</c:v>
                </c:pt>
                <c:pt idx="127">
                  <c:v>1.455919090730613</c:v>
                </c:pt>
                <c:pt idx="128">
                  <c:v>1.4067113470906047</c:v>
                </c:pt>
                <c:pt idx="129">
                  <c:v>1.4945690812585597</c:v>
                </c:pt>
                <c:pt idx="130">
                  <c:v>1.4627416354658656</c:v>
                </c:pt>
                <c:pt idx="131">
                  <c:v>1.1985426333697338</c:v>
                </c:pt>
                <c:pt idx="132">
                  <c:v>1.2435381567941</c:v>
                </c:pt>
                <c:pt idx="133">
                  <c:v>1.3681445002805712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AC-A641-ACBD-C2E5EB20A5F4}"/>
            </c:ext>
          </c:extLst>
        </c:ser>
        <c:ser>
          <c:idx val="3"/>
          <c:order val="3"/>
          <c:tx>
            <c:strRef>
              <c:f>RF再投資累積報酬!$C$26</c:f>
              <c:strCache>
                <c:ptCount val="1"/>
                <c:pt idx="0">
                  <c:v>100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RF再投資累積報酬!$D$26:$EG$26</c:f>
              <c:numCache>
                <c:formatCode>General</c:formatCode>
                <c:ptCount val="134"/>
                <c:pt idx="0">
                  <c:v>0.50963263247614221</c:v>
                </c:pt>
                <c:pt idx="1">
                  <c:v>0.63966449065870301</c:v>
                </c:pt>
                <c:pt idx="2">
                  <c:v>0.83045469113472881</c:v>
                </c:pt>
                <c:pt idx="3">
                  <c:v>1.0572266779775958</c:v>
                </c:pt>
                <c:pt idx="4">
                  <c:v>0.97103189051194683</c:v>
                </c:pt>
                <c:pt idx="5">
                  <c:v>1.0039927869077725</c:v>
                </c:pt>
                <c:pt idx="6">
                  <c:v>1.0078066279346594</c:v>
                </c:pt>
                <c:pt idx="7">
                  <c:v>0.79040155292084591</c:v>
                </c:pt>
                <c:pt idx="8">
                  <c:v>0.8147154745708709</c:v>
                </c:pt>
                <c:pt idx="9">
                  <c:v>0.75892551546357034</c:v>
                </c:pt>
                <c:pt idx="10">
                  <c:v>0.75551636827824709</c:v>
                </c:pt>
                <c:pt idx="11">
                  <c:v>0.82369261905130609</c:v>
                </c:pt>
                <c:pt idx="12">
                  <c:v>0.62424580645067085</c:v>
                </c:pt>
                <c:pt idx="13">
                  <c:v>0.61851483991027068</c:v>
                </c:pt>
                <c:pt idx="14">
                  <c:v>0.79805222535416265</c:v>
                </c:pt>
                <c:pt idx="15">
                  <c:v>0.7537563819871258</c:v>
                </c:pt>
                <c:pt idx="16">
                  <c:v>0.68610729203048648</c:v>
                </c:pt>
                <c:pt idx="17">
                  <c:v>0.48513055712518005</c:v>
                </c:pt>
                <c:pt idx="18">
                  <c:v>0.37428356576031119</c:v>
                </c:pt>
                <c:pt idx="19">
                  <c:v>0.47328396121497929</c:v>
                </c:pt>
                <c:pt idx="20">
                  <c:v>0.51991789794760157</c:v>
                </c:pt>
                <c:pt idx="21">
                  <c:v>0.76252663513429653</c:v>
                </c:pt>
                <c:pt idx="22">
                  <c:v>0.69869892278834511</c:v>
                </c:pt>
                <c:pt idx="23">
                  <c:v>0.82741177994690651</c:v>
                </c:pt>
                <c:pt idx="24">
                  <c:v>0.73743950051832785</c:v>
                </c:pt>
                <c:pt idx="25">
                  <c:v>0.59624989588258148</c:v>
                </c:pt>
                <c:pt idx="26">
                  <c:v>0.58376237696073985</c:v>
                </c:pt>
                <c:pt idx="27">
                  <c:v>0.75424062594642671</c:v>
                </c:pt>
                <c:pt idx="28">
                  <c:v>0.87545635546039779</c:v>
                </c:pt>
                <c:pt idx="29">
                  <c:v>1.1836043382795407</c:v>
                </c:pt>
                <c:pt idx="30">
                  <c:v>1.2501519971962485</c:v>
                </c:pt>
                <c:pt idx="31">
                  <c:v>1.455115091482643</c:v>
                </c:pt>
                <c:pt idx="32">
                  <c:v>1.6001135533785598</c:v>
                </c:pt>
                <c:pt idx="33">
                  <c:v>1.4039511670960012</c:v>
                </c:pt>
                <c:pt idx="34">
                  <c:v>1.2667365296832451</c:v>
                </c:pt>
                <c:pt idx="35">
                  <c:v>1.1973098430598834</c:v>
                </c:pt>
                <c:pt idx="36">
                  <c:v>1.2339958935858752</c:v>
                </c:pt>
                <c:pt idx="37">
                  <c:v>1.4786840801488959</c:v>
                </c:pt>
                <c:pt idx="38">
                  <c:v>1.5563734435117516</c:v>
                </c:pt>
                <c:pt idx="39">
                  <c:v>1.9641579494354731</c:v>
                </c:pt>
                <c:pt idx="40">
                  <c:v>2.0228188633975486</c:v>
                </c:pt>
                <c:pt idx="41">
                  <c:v>1.9855868079757997</c:v>
                </c:pt>
                <c:pt idx="42">
                  <c:v>2.0857032581346906</c:v>
                </c:pt>
                <c:pt idx="43">
                  <c:v>2.2766562368363892</c:v>
                </c:pt>
                <c:pt idx="44">
                  <c:v>2.6761595527965003</c:v>
                </c:pt>
                <c:pt idx="45">
                  <c:v>2.9052930128049228</c:v>
                </c:pt>
                <c:pt idx="46">
                  <c:v>2.6461394207107265</c:v>
                </c:pt>
                <c:pt idx="47">
                  <c:v>2.1954720595119634</c:v>
                </c:pt>
                <c:pt idx="48">
                  <c:v>1.9939563469955015</c:v>
                </c:pt>
                <c:pt idx="49">
                  <c:v>2.005525569321239</c:v>
                </c:pt>
                <c:pt idx="50">
                  <c:v>2.1826265515148542</c:v>
                </c:pt>
                <c:pt idx="51">
                  <c:v>1.9771063172601626</c:v>
                </c:pt>
                <c:pt idx="52">
                  <c:v>1.8013063289597975</c:v>
                </c:pt>
                <c:pt idx="53">
                  <c:v>1.8151273017452456</c:v>
                </c:pt>
                <c:pt idx="54">
                  <c:v>1.6705555119209872</c:v>
                </c:pt>
                <c:pt idx="55">
                  <c:v>1.4945297229732821</c:v>
                </c:pt>
                <c:pt idx="56">
                  <c:v>2.0120993115966708</c:v>
                </c:pt>
                <c:pt idx="57">
                  <c:v>2.3224665134804501</c:v>
                </c:pt>
                <c:pt idx="58">
                  <c:v>2.0412077538782412</c:v>
                </c:pt>
                <c:pt idx="59">
                  <c:v>2.3300313330420228</c:v>
                </c:pt>
                <c:pt idx="60">
                  <c:v>2.0613676331092123</c:v>
                </c:pt>
                <c:pt idx="61">
                  <c:v>2.2785211320754599</c:v>
                </c:pt>
                <c:pt idx="62">
                  <c:v>2.121734470409177</c:v>
                </c:pt>
                <c:pt idx="63">
                  <c:v>2.0854134275778105</c:v>
                </c:pt>
                <c:pt idx="64">
                  <c:v>2.2239027882067623</c:v>
                </c:pt>
                <c:pt idx="65">
                  <c:v>1.9843356803678178</c:v>
                </c:pt>
                <c:pt idx="66">
                  <c:v>1.9427487253669402</c:v>
                </c:pt>
                <c:pt idx="67">
                  <c:v>1.6950077973401112</c:v>
                </c:pt>
                <c:pt idx="68">
                  <c:v>1.6263443996904501</c:v>
                </c:pt>
                <c:pt idx="69">
                  <c:v>1.7213219329398477</c:v>
                </c:pt>
                <c:pt idx="70">
                  <c:v>1.4067481873105994</c:v>
                </c:pt>
                <c:pt idx="71">
                  <c:v>1.6800940504037443</c:v>
                </c:pt>
                <c:pt idx="72">
                  <c:v>1.6975949868803766</c:v>
                </c:pt>
                <c:pt idx="73">
                  <c:v>1.6061609472502258</c:v>
                </c:pt>
                <c:pt idx="74">
                  <c:v>1.5755788938810693</c:v>
                </c:pt>
                <c:pt idx="75">
                  <c:v>1.031351871568996</c:v>
                </c:pt>
                <c:pt idx="76">
                  <c:v>1.0532221506456252</c:v>
                </c:pt>
                <c:pt idx="77">
                  <c:v>1.4018344543623074</c:v>
                </c:pt>
                <c:pt idx="78">
                  <c:v>1.2172581176249531</c:v>
                </c:pt>
                <c:pt idx="79">
                  <c:v>1.2414859216172092</c:v>
                </c:pt>
                <c:pt idx="80">
                  <c:v>1.3018051025245829</c:v>
                </c:pt>
                <c:pt idx="81">
                  <c:v>1.4355639049833413</c:v>
                </c:pt>
                <c:pt idx="82">
                  <c:v>1.3511167036871479</c:v>
                </c:pt>
                <c:pt idx="83">
                  <c:v>1.3147153699748286</c:v>
                </c:pt>
                <c:pt idx="84">
                  <c:v>1.1726220979573472</c:v>
                </c:pt>
                <c:pt idx="85">
                  <c:v>1.1628103358540147</c:v>
                </c:pt>
                <c:pt idx="86">
                  <c:v>1.0444228186149651</c:v>
                </c:pt>
                <c:pt idx="87">
                  <c:v>1.0356776743356346</c:v>
                </c:pt>
                <c:pt idx="88">
                  <c:v>1.0644660976306017</c:v>
                </c:pt>
                <c:pt idx="89">
                  <c:v>1.3347121251756509</c:v>
                </c:pt>
                <c:pt idx="90">
                  <c:v>0.7330032508073423</c:v>
                </c:pt>
                <c:pt idx="91">
                  <c:v>0.71699395571442293</c:v>
                </c:pt>
                <c:pt idx="92">
                  <c:v>0.96281609987095229</c:v>
                </c:pt>
                <c:pt idx="93">
                  <c:v>0.99099354413957053</c:v>
                </c:pt>
                <c:pt idx="94">
                  <c:v>0.96374424587963037</c:v>
                </c:pt>
                <c:pt idx="95">
                  <c:v>0.98788161623179449</c:v>
                </c:pt>
                <c:pt idx="96">
                  <c:v>0.97334450404328288</c:v>
                </c:pt>
                <c:pt idx="97">
                  <c:v>1.1144215119046561</c:v>
                </c:pt>
                <c:pt idx="98">
                  <c:v>0.92934685108191228</c:v>
                </c:pt>
                <c:pt idx="99">
                  <c:v>0.87472147435435588</c:v>
                </c:pt>
                <c:pt idx="100">
                  <c:v>0.6937945367101559</c:v>
                </c:pt>
                <c:pt idx="101">
                  <c:v>0.86744574567736143</c:v>
                </c:pt>
                <c:pt idx="102">
                  <c:v>0.96811809440728869</c:v>
                </c:pt>
                <c:pt idx="103">
                  <c:v>0.86360459902481623</c:v>
                </c:pt>
                <c:pt idx="104">
                  <c:v>0.82429057148903073</c:v>
                </c:pt>
                <c:pt idx="105">
                  <c:v>0.84444063498986233</c:v>
                </c:pt>
                <c:pt idx="106">
                  <c:v>0.8549396592220313</c:v>
                </c:pt>
                <c:pt idx="107">
                  <c:v>0.86374476231861874</c:v>
                </c:pt>
                <c:pt idx="108">
                  <c:v>0.89985531930081519</c:v>
                </c:pt>
                <c:pt idx="109">
                  <c:v>0.90101512253496119</c:v>
                </c:pt>
                <c:pt idx="110">
                  <c:v>0.76619482394013549</c:v>
                </c:pt>
                <c:pt idx="111">
                  <c:v>0.80653913378792264</c:v>
                </c:pt>
                <c:pt idx="112">
                  <c:v>0.68087229429339047</c:v>
                </c:pt>
                <c:pt idx="113">
                  <c:v>0.83918944847396149</c:v>
                </c:pt>
                <c:pt idx="114">
                  <c:v>0.89504256212265254</c:v>
                </c:pt>
                <c:pt idx="115">
                  <c:v>0.91121753702824049</c:v>
                </c:pt>
                <c:pt idx="116">
                  <c:v>1.0065244347328774</c:v>
                </c:pt>
                <c:pt idx="117">
                  <c:v>1.3057141508038685</c:v>
                </c:pt>
                <c:pt idx="118">
                  <c:v>1.2514821845990052</c:v>
                </c:pt>
                <c:pt idx="119">
                  <c:v>1.2811470965643301</c:v>
                </c:pt>
                <c:pt idx="120">
                  <c:v>1.3168643291284075</c:v>
                </c:pt>
                <c:pt idx="121">
                  <c:v>1.1674135120666667</c:v>
                </c:pt>
                <c:pt idx="122">
                  <c:v>1.1438674060230292</c:v>
                </c:pt>
                <c:pt idx="123">
                  <c:v>1.2099458331013948</c:v>
                </c:pt>
                <c:pt idx="124">
                  <c:v>1.0498918459832618</c:v>
                </c:pt>
                <c:pt idx="125">
                  <c:v>0.99215215796027967</c:v>
                </c:pt>
                <c:pt idx="126">
                  <c:v>0.98322404071244751</c:v>
                </c:pt>
                <c:pt idx="127">
                  <c:v>1.0146232665676833</c:v>
                </c:pt>
                <c:pt idx="128">
                  <c:v>1.042310453184248</c:v>
                </c:pt>
                <c:pt idx="129">
                  <c:v>1.1696596197849689</c:v>
                </c:pt>
                <c:pt idx="130">
                  <c:v>1.3025613197883597</c:v>
                </c:pt>
                <c:pt idx="131">
                  <c:v>1.2748099780429003</c:v>
                </c:pt>
                <c:pt idx="132">
                  <c:v>1.394725631660342</c:v>
                </c:pt>
                <c:pt idx="133">
                  <c:v>1.5219400327891917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AC-A641-ACBD-C2E5EB20A5F4}"/>
            </c:ext>
          </c:extLst>
        </c:ser>
        <c:ser>
          <c:idx val="4"/>
          <c:order val="4"/>
          <c:tx>
            <c:strRef>
              <c:f>RF再投資累積報酬!$C$27</c:f>
              <c:strCache>
                <c:ptCount val="1"/>
                <c:pt idx="0">
                  <c:v>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RF再投資累積報酬!$D$27:$EG$27</c:f>
              <c:numCache>
                <c:formatCode>General</c:formatCode>
                <c:ptCount val="134"/>
                <c:pt idx="0">
                  <c:v>0.48688322582293853</c:v>
                </c:pt>
                <c:pt idx="1">
                  <c:v>0.706260172988046</c:v>
                </c:pt>
                <c:pt idx="2">
                  <c:v>0.97595027823024361</c:v>
                </c:pt>
                <c:pt idx="3">
                  <c:v>0.83957163215672725</c:v>
                </c:pt>
                <c:pt idx="4">
                  <c:v>0.69709493101398889</c:v>
                </c:pt>
                <c:pt idx="5">
                  <c:v>0.68492531090415598</c:v>
                </c:pt>
                <c:pt idx="6">
                  <c:v>0.62818996623124557</c:v>
                </c:pt>
                <c:pt idx="7">
                  <c:v>0.51189268752565442</c:v>
                </c:pt>
                <c:pt idx="8">
                  <c:v>0.70865422221359342</c:v>
                </c:pt>
                <c:pt idx="9">
                  <c:v>0.60446929672971628</c:v>
                </c:pt>
                <c:pt idx="10">
                  <c:v>0.62128741110588481</c:v>
                </c:pt>
                <c:pt idx="11">
                  <c:v>0.78548909714016268</c:v>
                </c:pt>
                <c:pt idx="12">
                  <c:v>0.55320840792641657</c:v>
                </c:pt>
                <c:pt idx="13">
                  <c:v>0.59951263128904575</c:v>
                </c:pt>
                <c:pt idx="14">
                  <c:v>0.8771332521548858</c:v>
                </c:pt>
                <c:pt idx="15">
                  <c:v>0.76214745098951941</c:v>
                </c:pt>
                <c:pt idx="16">
                  <c:v>0.75328917668820505</c:v>
                </c:pt>
                <c:pt idx="17">
                  <c:v>0.62575343387607862</c:v>
                </c:pt>
                <c:pt idx="18">
                  <c:v>0.35509438767378976</c:v>
                </c:pt>
                <c:pt idx="19">
                  <c:v>0.42914876229652177</c:v>
                </c:pt>
                <c:pt idx="20">
                  <c:v>0.50212794576746922</c:v>
                </c:pt>
                <c:pt idx="21">
                  <c:v>0.6628764740303783</c:v>
                </c:pt>
                <c:pt idx="22">
                  <c:v>0.52613809953521584</c:v>
                </c:pt>
                <c:pt idx="23">
                  <c:v>0.59162589384077235</c:v>
                </c:pt>
                <c:pt idx="24">
                  <c:v>0.50299911204884751</c:v>
                </c:pt>
                <c:pt idx="25">
                  <c:v>0.41676861716426128</c:v>
                </c:pt>
                <c:pt idx="26">
                  <c:v>0.51040838853199078</c:v>
                </c:pt>
                <c:pt idx="27">
                  <c:v>0.79306711336782576</c:v>
                </c:pt>
                <c:pt idx="28">
                  <c:v>1.0694049775003909</c:v>
                </c:pt>
                <c:pt idx="29">
                  <c:v>1.278113074888017</c:v>
                </c:pt>
                <c:pt idx="30">
                  <c:v>1.4058001035229362</c:v>
                </c:pt>
                <c:pt idx="31">
                  <c:v>1.8387269483914142</c:v>
                </c:pt>
                <c:pt idx="32">
                  <c:v>1.971232411191433</c:v>
                </c:pt>
                <c:pt idx="33">
                  <c:v>1.5270229911030526</c:v>
                </c:pt>
                <c:pt idx="34">
                  <c:v>1.600036431189312</c:v>
                </c:pt>
                <c:pt idx="35">
                  <c:v>1.6551191753887102</c:v>
                </c:pt>
                <c:pt idx="36">
                  <c:v>1.7817582731413388</c:v>
                </c:pt>
                <c:pt idx="37">
                  <c:v>2.3152551032819257</c:v>
                </c:pt>
                <c:pt idx="38">
                  <c:v>2.6884625397959923</c:v>
                </c:pt>
                <c:pt idx="39">
                  <c:v>3.1836567569244547</c:v>
                </c:pt>
                <c:pt idx="40">
                  <c:v>2.8067751705477457</c:v>
                </c:pt>
                <c:pt idx="41">
                  <c:v>2.6032379470676501</c:v>
                </c:pt>
                <c:pt idx="42">
                  <c:v>2.2531955577966878</c:v>
                </c:pt>
                <c:pt idx="43">
                  <c:v>2.5589856066714471</c:v>
                </c:pt>
                <c:pt idx="44">
                  <c:v>3.4061013723752156</c:v>
                </c:pt>
                <c:pt idx="45">
                  <c:v>3.7729142377221851</c:v>
                </c:pt>
                <c:pt idx="46">
                  <c:v>3.4051326004568923</c:v>
                </c:pt>
                <c:pt idx="47">
                  <c:v>3.0234221659468181</c:v>
                </c:pt>
                <c:pt idx="48">
                  <c:v>2.1165724776138815</c:v>
                </c:pt>
                <c:pt idx="49">
                  <c:v>1.9874810712703455</c:v>
                </c:pt>
                <c:pt idx="50">
                  <c:v>2.1287795141154859</c:v>
                </c:pt>
                <c:pt idx="51">
                  <c:v>1.967419384159887</c:v>
                </c:pt>
                <c:pt idx="52">
                  <c:v>1.4770549428145836</c:v>
                </c:pt>
                <c:pt idx="53">
                  <c:v>1.4816224979688841</c:v>
                </c:pt>
                <c:pt idx="54">
                  <c:v>1.315635349090182</c:v>
                </c:pt>
                <c:pt idx="55">
                  <c:v>1.2870713679407548</c:v>
                </c:pt>
                <c:pt idx="56">
                  <c:v>1.9302766511883904</c:v>
                </c:pt>
                <c:pt idx="57">
                  <c:v>2.0312126014616583</c:v>
                </c:pt>
                <c:pt idx="58">
                  <c:v>1.9564548505149593</c:v>
                </c:pt>
                <c:pt idx="59">
                  <c:v>2.4032204502653944</c:v>
                </c:pt>
                <c:pt idx="60">
                  <c:v>2.1176098577095019</c:v>
                </c:pt>
                <c:pt idx="61">
                  <c:v>2.3486757179824691</c:v>
                </c:pt>
                <c:pt idx="62">
                  <c:v>2.4374453034531851</c:v>
                </c:pt>
                <c:pt idx="63">
                  <c:v>2.5604408774707954</c:v>
                </c:pt>
                <c:pt idx="64">
                  <c:v>3.1180773050756265</c:v>
                </c:pt>
                <c:pt idx="65">
                  <c:v>2.4033010479176249</c:v>
                </c:pt>
                <c:pt idx="66">
                  <c:v>2.0944859100183928</c:v>
                </c:pt>
                <c:pt idx="67">
                  <c:v>1.4059169374992857</c:v>
                </c:pt>
                <c:pt idx="68">
                  <c:v>1.3135928731086413</c:v>
                </c:pt>
                <c:pt idx="69">
                  <c:v>1.6690633734191023</c:v>
                </c:pt>
                <c:pt idx="70">
                  <c:v>1.6353312955833696</c:v>
                </c:pt>
                <c:pt idx="71">
                  <c:v>1.8631985883511475</c:v>
                </c:pt>
                <c:pt idx="72">
                  <c:v>1.8046701256751136</c:v>
                </c:pt>
                <c:pt idx="73">
                  <c:v>1.7146312005500439</c:v>
                </c:pt>
                <c:pt idx="74">
                  <c:v>1.7492787279220194</c:v>
                </c:pt>
                <c:pt idx="75">
                  <c:v>1.4245099766179816</c:v>
                </c:pt>
                <c:pt idx="76">
                  <c:v>1.7000546861725248</c:v>
                </c:pt>
                <c:pt idx="77">
                  <c:v>2.357867476479957</c:v>
                </c:pt>
                <c:pt idx="78">
                  <c:v>1.6524095830161754</c:v>
                </c:pt>
                <c:pt idx="79">
                  <c:v>1.5415923288490125</c:v>
                </c:pt>
                <c:pt idx="80">
                  <c:v>1.3544770012592013</c:v>
                </c:pt>
                <c:pt idx="81">
                  <c:v>1.626836391185587</c:v>
                </c:pt>
                <c:pt idx="82">
                  <c:v>1.8234665254790019</c:v>
                </c:pt>
                <c:pt idx="83">
                  <c:v>1.2877752792968682</c:v>
                </c:pt>
                <c:pt idx="84">
                  <c:v>0.87350920381834052</c:v>
                </c:pt>
                <c:pt idx="85">
                  <c:v>0.83170774498337741</c:v>
                </c:pt>
                <c:pt idx="86">
                  <c:v>0.71248930631782259</c:v>
                </c:pt>
                <c:pt idx="87">
                  <c:v>0.5517550512448417</c:v>
                </c:pt>
                <c:pt idx="88">
                  <c:v>0.60537958180827878</c:v>
                </c:pt>
                <c:pt idx="89">
                  <c:v>0.60236611087098924</c:v>
                </c:pt>
                <c:pt idx="90">
                  <c:v>0.35960229699643209</c:v>
                </c:pt>
                <c:pt idx="91">
                  <c:v>0.28866393698492865</c:v>
                </c:pt>
                <c:pt idx="92">
                  <c:v>0.82029862697263778</c:v>
                </c:pt>
                <c:pt idx="93">
                  <c:v>0.77233770900533361</c:v>
                </c:pt>
                <c:pt idx="94">
                  <c:v>0.54059483262845953</c:v>
                </c:pt>
                <c:pt idx="95">
                  <c:v>0.45611071211124599</c:v>
                </c:pt>
                <c:pt idx="96">
                  <c:v>0.4793607729838163</c:v>
                </c:pt>
                <c:pt idx="97">
                  <c:v>0.53186006033707489</c:v>
                </c:pt>
                <c:pt idx="98">
                  <c:v>0.45356115256529494</c:v>
                </c:pt>
                <c:pt idx="99">
                  <c:v>0.61434855910681474</c:v>
                </c:pt>
                <c:pt idx="100">
                  <c:v>0.4698653697282249</c:v>
                </c:pt>
                <c:pt idx="101">
                  <c:v>0.68275486690565801</c:v>
                </c:pt>
                <c:pt idx="102">
                  <c:v>0.75073620226255078</c:v>
                </c:pt>
                <c:pt idx="103">
                  <c:v>0.63918358895375693</c:v>
                </c:pt>
                <c:pt idx="104">
                  <c:v>0.62101976540997184</c:v>
                </c:pt>
                <c:pt idx="105">
                  <c:v>0.70490151935856127</c:v>
                </c:pt>
                <c:pt idx="106">
                  <c:v>0.58411864234323452</c:v>
                </c:pt>
                <c:pt idx="107">
                  <c:v>0.60864214633507685</c:v>
                </c:pt>
                <c:pt idx="108">
                  <c:v>0.69079438131957516</c:v>
                </c:pt>
                <c:pt idx="109">
                  <c:v>0.7011429684256536</c:v>
                </c:pt>
                <c:pt idx="110">
                  <c:v>0.5295821581410074</c:v>
                </c:pt>
                <c:pt idx="111">
                  <c:v>0.50210431802146704</c:v>
                </c:pt>
                <c:pt idx="112">
                  <c:v>0.56145333034229772</c:v>
                </c:pt>
                <c:pt idx="113">
                  <c:v>0.60259384717310449</c:v>
                </c:pt>
                <c:pt idx="114">
                  <c:v>0.51856894626833738</c:v>
                </c:pt>
                <c:pt idx="115">
                  <c:v>0.64272861695135197</c:v>
                </c:pt>
                <c:pt idx="116">
                  <c:v>0.68763778025892175</c:v>
                </c:pt>
                <c:pt idx="117">
                  <c:v>0.87405955676640268</c:v>
                </c:pt>
                <c:pt idx="118">
                  <c:v>0.69688534347049358</c:v>
                </c:pt>
                <c:pt idx="119">
                  <c:v>0.70784235688288355</c:v>
                </c:pt>
                <c:pt idx="120">
                  <c:v>0.6017046118650422</c:v>
                </c:pt>
                <c:pt idx="121">
                  <c:v>0.40607820577333653</c:v>
                </c:pt>
                <c:pt idx="122">
                  <c:v>0.39989744623012746</c:v>
                </c:pt>
                <c:pt idx="123">
                  <c:v>0.41690429840490562</c:v>
                </c:pt>
                <c:pt idx="124">
                  <c:v>0.49949740019689592</c:v>
                </c:pt>
                <c:pt idx="125">
                  <c:v>0.52091805054026552</c:v>
                </c:pt>
                <c:pt idx="126">
                  <c:v>0.59602067647613199</c:v>
                </c:pt>
                <c:pt idx="127">
                  <c:v>0.61118445240049657</c:v>
                </c:pt>
                <c:pt idx="128">
                  <c:v>0.7434809872012671</c:v>
                </c:pt>
                <c:pt idx="129">
                  <c:v>1.0582639984395499</c:v>
                </c:pt>
                <c:pt idx="130">
                  <c:v>1.2610910345652262</c:v>
                </c:pt>
                <c:pt idx="131">
                  <c:v>1.1023625903535081</c:v>
                </c:pt>
                <c:pt idx="132">
                  <c:v>1.2890924359652649</c:v>
                </c:pt>
                <c:pt idx="133">
                  <c:v>1.4518556120777482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AC-A641-ACBD-C2E5EB20A5F4}"/>
            </c:ext>
          </c:extLst>
        </c:ser>
        <c:ser>
          <c:idx val="5"/>
          <c:order val="5"/>
          <c:tx>
            <c:strRef>
              <c:f>RF再投資累積報酬!$C$28</c:f>
              <c:strCache>
                <c:ptCount val="1"/>
                <c:pt idx="0">
                  <c:v>964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RF再投資累積報酬!$D$28:$EG$28</c:f>
              <c:numCache>
                <c:formatCode>General</c:formatCode>
                <c:ptCount val="134"/>
                <c:pt idx="0">
                  <c:v>0.90919897806039884</c:v>
                </c:pt>
                <c:pt idx="1">
                  <c:v>1.6504358709121614</c:v>
                </c:pt>
                <c:pt idx="2">
                  <c:v>1.9936007898441499</c:v>
                </c:pt>
                <c:pt idx="3">
                  <c:v>1.5850968365634048</c:v>
                </c:pt>
                <c:pt idx="4">
                  <c:v>2.805520377306725</c:v>
                </c:pt>
                <c:pt idx="5">
                  <c:v>3.6011062391519006</c:v>
                </c:pt>
                <c:pt idx="6">
                  <c:v>2.1014859465732516</c:v>
                </c:pt>
                <c:pt idx="7">
                  <c:v>1.5102683453721091</c:v>
                </c:pt>
                <c:pt idx="8">
                  <c:v>1.621553038786494</c:v>
                </c:pt>
                <c:pt idx="9">
                  <c:v>2.2823125847359127</c:v>
                </c:pt>
                <c:pt idx="10">
                  <c:v>2.747277054910267</c:v>
                </c:pt>
                <c:pt idx="11">
                  <c:v>3.3972497569837108</c:v>
                </c:pt>
                <c:pt idx="12">
                  <c:v>1.5911809912973673</c:v>
                </c:pt>
                <c:pt idx="13">
                  <c:v>1.7708596862696462</c:v>
                </c:pt>
                <c:pt idx="14">
                  <c:v>3.4590620700773975</c:v>
                </c:pt>
                <c:pt idx="15">
                  <c:v>2.157991839356181</c:v>
                </c:pt>
                <c:pt idx="16">
                  <c:v>1.2297812377077806</c:v>
                </c:pt>
                <c:pt idx="17">
                  <c:v>1.3162993325345616</c:v>
                </c:pt>
                <c:pt idx="18">
                  <c:v>0.3359720494894809</c:v>
                </c:pt>
                <c:pt idx="19">
                  <c:v>0.55470698607255042</c:v>
                </c:pt>
                <c:pt idx="20">
                  <c:v>0.69028698972208336</c:v>
                </c:pt>
                <c:pt idx="21">
                  <c:v>0.91277683352076644</c:v>
                </c:pt>
                <c:pt idx="22">
                  <c:v>0.67497572450449872</c:v>
                </c:pt>
                <c:pt idx="23">
                  <c:v>0.77070753741225584</c:v>
                </c:pt>
                <c:pt idx="24">
                  <c:v>0.82301362305437409</c:v>
                </c:pt>
                <c:pt idx="25">
                  <c:v>0.65467573000907242</c:v>
                </c:pt>
                <c:pt idx="26">
                  <c:v>1.3220064460909717</c:v>
                </c:pt>
                <c:pt idx="27">
                  <c:v>2.4809215801138378</c:v>
                </c:pt>
                <c:pt idx="28">
                  <c:v>3.1389708094154027</c:v>
                </c:pt>
                <c:pt idx="29">
                  <c:v>3.1404385569695386</c:v>
                </c:pt>
                <c:pt idx="30">
                  <c:v>4.4290141364574049</c:v>
                </c:pt>
                <c:pt idx="31">
                  <c:v>9.3310775548697507</c:v>
                </c:pt>
                <c:pt idx="32">
                  <c:v>10.331123287581281</c:v>
                </c:pt>
                <c:pt idx="33">
                  <c:v>11.238701842092453</c:v>
                </c:pt>
                <c:pt idx="34">
                  <c:v>14.43034729191776</c:v>
                </c:pt>
                <c:pt idx="35">
                  <c:v>15.14098282884531</c:v>
                </c:pt>
                <c:pt idx="36">
                  <c:v>15.523555016810558</c:v>
                </c:pt>
                <c:pt idx="37">
                  <c:v>17.715775676859451</c:v>
                </c:pt>
                <c:pt idx="38">
                  <c:v>19.62833205338292</c:v>
                </c:pt>
                <c:pt idx="39">
                  <c:v>21.392785664533637</c:v>
                </c:pt>
                <c:pt idx="40">
                  <c:v>19.16177782008311</c:v>
                </c:pt>
                <c:pt idx="41">
                  <c:v>10.65100188933309</c:v>
                </c:pt>
                <c:pt idx="42">
                  <c:v>6.7328029522491137</c:v>
                </c:pt>
                <c:pt idx="43">
                  <c:v>9.287948705016813</c:v>
                </c:pt>
                <c:pt idx="44">
                  <c:v>10.348340802114517</c:v>
                </c:pt>
                <c:pt idx="45">
                  <c:v>14.696192309991833</c:v>
                </c:pt>
                <c:pt idx="46">
                  <c:v>12.707563657292074</c:v>
                </c:pt>
                <c:pt idx="47">
                  <c:v>13.71522722674697</c:v>
                </c:pt>
                <c:pt idx="48">
                  <c:v>3.2554295230803181</c:v>
                </c:pt>
                <c:pt idx="49">
                  <c:v>2.4409622150600776</c:v>
                </c:pt>
                <c:pt idx="50">
                  <c:v>2.1521252997024578</c:v>
                </c:pt>
                <c:pt idx="51">
                  <c:v>6.671445361967776E-2</c:v>
                </c:pt>
                <c:pt idx="52">
                  <c:v>-0.14278936574393286</c:v>
                </c:pt>
                <c:pt idx="53">
                  <c:v>-0.1107886984863572</c:v>
                </c:pt>
                <c:pt idx="54">
                  <c:v>-0.19118857585371984</c:v>
                </c:pt>
                <c:pt idx="55">
                  <c:v>-0.18210542777715788</c:v>
                </c:pt>
                <c:pt idx="56">
                  <c:v>-0.29649113943750349</c:v>
                </c:pt>
                <c:pt idx="57">
                  <c:v>-0.3194173612893042</c:v>
                </c:pt>
                <c:pt idx="58">
                  <c:v>-0.35880004334352611</c:v>
                </c:pt>
                <c:pt idx="59">
                  <c:v>-0.1103649284693824</c:v>
                </c:pt>
                <c:pt idx="60">
                  <c:v>-0.10145102796832917</c:v>
                </c:pt>
                <c:pt idx="61">
                  <c:v>-6.0884938071406713E-2</c:v>
                </c:pt>
                <c:pt idx="62">
                  <c:v>1.8088805005086694E-2</c:v>
                </c:pt>
                <c:pt idx="63">
                  <c:v>0.20656592974620169</c:v>
                </c:pt>
                <c:pt idx="64">
                  <c:v>0.17438893141081224</c:v>
                </c:pt>
                <c:pt idx="65">
                  <c:v>-0.80786292325126074</c:v>
                </c:pt>
                <c:pt idx="66">
                  <c:v>-0.83417438440331737</c:v>
                </c:pt>
                <c:pt idx="67">
                  <c:v>-0.89747249857464617</c:v>
                </c:pt>
                <c:pt idx="68">
                  <c:v>-0.90994199957078847</c:v>
                </c:pt>
                <c:pt idx="69">
                  <c:v>-0.91496716901934705</c:v>
                </c:pt>
                <c:pt idx="70">
                  <c:v>-0.91927728664167496</c:v>
                </c:pt>
                <c:pt idx="71">
                  <c:v>-0.92528531273856673</c:v>
                </c:pt>
                <c:pt idx="72">
                  <c:v>-0.92100357395552723</c:v>
                </c:pt>
                <c:pt idx="73">
                  <c:v>-0.91574204514132362</c:v>
                </c:pt>
                <c:pt idx="74">
                  <c:v>-0.90247996251265905</c:v>
                </c:pt>
                <c:pt idx="75">
                  <c:v>-0.94260959567740499</c:v>
                </c:pt>
                <c:pt idx="76">
                  <c:v>-0.93953768286041928</c:v>
                </c:pt>
                <c:pt idx="77">
                  <c:v>-0.91916617593320216</c:v>
                </c:pt>
                <c:pt idx="78">
                  <c:v>-0.93700567415199498</c:v>
                </c:pt>
                <c:pt idx="79">
                  <c:v>-0.9023214401466052</c:v>
                </c:pt>
                <c:pt idx="80">
                  <c:v>-0.88477128435198227</c:v>
                </c:pt>
                <c:pt idx="81">
                  <c:v>-0.88707968094101797</c:v>
                </c:pt>
                <c:pt idx="82">
                  <c:v>-0.87629731138375955</c:v>
                </c:pt>
                <c:pt idx="83">
                  <c:v>-0.93516931927616687</c:v>
                </c:pt>
                <c:pt idx="84">
                  <c:v>-0.93049562511049677</c:v>
                </c:pt>
                <c:pt idx="85">
                  <c:v>-0.90931607472593012</c:v>
                </c:pt>
                <c:pt idx="86">
                  <c:v>-0.91433233415647286</c:v>
                </c:pt>
                <c:pt idx="87">
                  <c:v>-0.91752339311955877</c:v>
                </c:pt>
                <c:pt idx="88">
                  <c:v>-0.90083852565875455</c:v>
                </c:pt>
                <c:pt idx="89">
                  <c:v>-0.89440063657886359</c:v>
                </c:pt>
                <c:pt idx="90">
                  <c:v>-0.92130540009924844</c:v>
                </c:pt>
                <c:pt idx="91">
                  <c:v>-0.91641419757017806</c:v>
                </c:pt>
                <c:pt idx="92">
                  <c:v>-0.86277095003361159</c:v>
                </c:pt>
                <c:pt idx="93">
                  <c:v>-0.91134937643687763</c:v>
                </c:pt>
                <c:pt idx="94">
                  <c:v>-0.91652346842357757</c:v>
                </c:pt>
                <c:pt idx="95">
                  <c:v>-0.92709191423944115</c:v>
                </c:pt>
                <c:pt idx="96">
                  <c:v>-0.92240949376661185</c:v>
                </c:pt>
                <c:pt idx="97">
                  <c:v>-0.91408061771987892</c:v>
                </c:pt>
                <c:pt idx="98">
                  <c:v>-0.9336147040646755</c:v>
                </c:pt>
                <c:pt idx="99">
                  <c:v>-0.92166895081654776</c:v>
                </c:pt>
                <c:pt idx="100">
                  <c:v>-0.92131032083523468</c:v>
                </c:pt>
                <c:pt idx="101">
                  <c:v>-0.88867969413592096</c:v>
                </c:pt>
                <c:pt idx="102">
                  <c:v>-0.92067624985921248</c:v>
                </c:pt>
                <c:pt idx="103">
                  <c:v>-0.93285516970476245</c:v>
                </c:pt>
                <c:pt idx="104">
                  <c:v>-0.9416851559700079</c:v>
                </c:pt>
                <c:pt idx="105">
                  <c:v>-0.93207030737014374</c:v>
                </c:pt>
                <c:pt idx="106">
                  <c:v>-0.94847703964151198</c:v>
                </c:pt>
                <c:pt idx="107">
                  <c:v>-0.94911508457085048</c:v>
                </c:pt>
                <c:pt idx="108">
                  <c:v>-0.95505148887825808</c:v>
                </c:pt>
                <c:pt idx="109">
                  <c:v>-0.95047514883825157</c:v>
                </c:pt>
                <c:pt idx="110">
                  <c:v>-0.95628343226480683</c:v>
                </c:pt>
                <c:pt idx="111">
                  <c:v>-0.95365796160090555</c:v>
                </c:pt>
                <c:pt idx="112">
                  <c:v>-0.95235057541591139</c:v>
                </c:pt>
                <c:pt idx="113">
                  <c:v>-0.96095186694522339</c:v>
                </c:pt>
                <c:pt idx="114">
                  <c:v>-0.96476091696305577</c:v>
                </c:pt>
                <c:pt idx="115">
                  <c:v>-0.9629658300981172</c:v>
                </c:pt>
                <c:pt idx="116">
                  <c:v>-0.96670068745515081</c:v>
                </c:pt>
                <c:pt idx="117">
                  <c:v>-0.96342083289965652</c:v>
                </c:pt>
                <c:pt idx="118">
                  <c:v>-0.96556712567756342</c:v>
                </c:pt>
                <c:pt idx="119">
                  <c:v>-0.96481312809222675</c:v>
                </c:pt>
                <c:pt idx="120">
                  <c:v>-0.97429178013409667</c:v>
                </c:pt>
                <c:pt idx="121">
                  <c:v>-0.98514279834131657</c:v>
                </c:pt>
                <c:pt idx="122">
                  <c:v>-0.98625897536136919</c:v>
                </c:pt>
                <c:pt idx="123">
                  <c:v>-0.98912178492353253</c:v>
                </c:pt>
                <c:pt idx="124">
                  <c:v>-0.98928035979513362</c:v>
                </c:pt>
                <c:pt idx="125">
                  <c:v>-0.98469705936053742</c:v>
                </c:pt>
                <c:pt idx="126">
                  <c:v>-0.98626550368162991</c:v>
                </c:pt>
                <c:pt idx="127">
                  <c:v>-0.98569587921517876</c:v>
                </c:pt>
                <c:pt idx="128">
                  <c:v>-0.97713260276005831</c:v>
                </c:pt>
                <c:pt idx="129">
                  <c:v>-0.97230357416165525</c:v>
                </c:pt>
                <c:pt idx="130">
                  <c:v>-0.95791527597459292</c:v>
                </c:pt>
                <c:pt idx="131">
                  <c:v>-0.96223102013986139</c:v>
                </c:pt>
                <c:pt idx="132">
                  <c:v>-0.95814695108787407</c:v>
                </c:pt>
                <c:pt idx="133">
                  <c:v>-0.95411919748414975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AC-A641-ACBD-C2E5EB20A5F4}"/>
            </c:ext>
          </c:extLst>
        </c:ser>
        <c:ser>
          <c:idx val="6"/>
          <c:order val="6"/>
          <c:tx>
            <c:strRef>
              <c:f>RF再投資累積報酬!$C$29</c:f>
              <c:strCache>
                <c:ptCount val="1"/>
                <c:pt idx="0">
                  <c:v>大盤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strRef>
              <c:f>RF再投資累積報酬!$D$22:$EG$22</c:f>
              <c:strCache>
                <c:ptCount val="134"/>
                <c:pt idx="0">
                  <c:v>2014/01</c:v>
                </c:pt>
                <c:pt idx="1">
                  <c:v>2014/02</c:v>
                </c:pt>
                <c:pt idx="2">
                  <c:v>2014/03</c:v>
                </c:pt>
                <c:pt idx="3">
                  <c:v>2014/04</c:v>
                </c:pt>
                <c:pt idx="4">
                  <c:v>2014/05</c:v>
                </c:pt>
                <c:pt idx="5">
                  <c:v>2014/06</c:v>
                </c:pt>
                <c:pt idx="6">
                  <c:v>2014/07</c:v>
                </c:pt>
                <c:pt idx="7">
                  <c:v>2014/08</c:v>
                </c:pt>
                <c:pt idx="8">
                  <c:v>2014/09</c:v>
                </c:pt>
                <c:pt idx="9">
                  <c:v>2014/10</c:v>
                </c:pt>
                <c:pt idx="10">
                  <c:v>2014/11</c:v>
                </c:pt>
                <c:pt idx="11">
                  <c:v>2014/12</c:v>
                </c:pt>
                <c:pt idx="12">
                  <c:v>2015/01</c:v>
                </c:pt>
                <c:pt idx="13">
                  <c:v>2015/02</c:v>
                </c:pt>
                <c:pt idx="14">
                  <c:v>2015/03</c:v>
                </c:pt>
                <c:pt idx="15">
                  <c:v>2015/04</c:v>
                </c:pt>
                <c:pt idx="16">
                  <c:v>2015/05</c:v>
                </c:pt>
                <c:pt idx="17">
                  <c:v>2015/06</c:v>
                </c:pt>
                <c:pt idx="18">
                  <c:v>2015/07</c:v>
                </c:pt>
                <c:pt idx="19">
                  <c:v>2015/08</c:v>
                </c:pt>
                <c:pt idx="20">
                  <c:v>2015/09</c:v>
                </c:pt>
                <c:pt idx="21">
                  <c:v>2015/10</c:v>
                </c:pt>
                <c:pt idx="22">
                  <c:v>2015/11</c:v>
                </c:pt>
                <c:pt idx="23">
                  <c:v>2015/12</c:v>
                </c:pt>
                <c:pt idx="24">
                  <c:v>2016/01</c:v>
                </c:pt>
                <c:pt idx="25">
                  <c:v>2016/02</c:v>
                </c:pt>
                <c:pt idx="26">
                  <c:v>2016/03</c:v>
                </c:pt>
                <c:pt idx="27">
                  <c:v>2016/04</c:v>
                </c:pt>
                <c:pt idx="28">
                  <c:v>2016/05</c:v>
                </c:pt>
                <c:pt idx="29">
                  <c:v>2016/06</c:v>
                </c:pt>
                <c:pt idx="30">
                  <c:v>2016/07</c:v>
                </c:pt>
                <c:pt idx="31">
                  <c:v>2016/08</c:v>
                </c:pt>
                <c:pt idx="32">
                  <c:v>2016/09</c:v>
                </c:pt>
                <c:pt idx="33">
                  <c:v>2016/10</c:v>
                </c:pt>
                <c:pt idx="34">
                  <c:v>2016/11</c:v>
                </c:pt>
                <c:pt idx="35">
                  <c:v>2016/12</c:v>
                </c:pt>
                <c:pt idx="36">
                  <c:v>2017/01</c:v>
                </c:pt>
                <c:pt idx="37">
                  <c:v>2017/02</c:v>
                </c:pt>
                <c:pt idx="38">
                  <c:v>2017/03</c:v>
                </c:pt>
                <c:pt idx="39">
                  <c:v>2017/04</c:v>
                </c:pt>
                <c:pt idx="40">
                  <c:v>2017/05</c:v>
                </c:pt>
                <c:pt idx="41">
                  <c:v>2017/06</c:v>
                </c:pt>
                <c:pt idx="42">
                  <c:v>2017/07</c:v>
                </c:pt>
                <c:pt idx="43">
                  <c:v>2017/08</c:v>
                </c:pt>
                <c:pt idx="44">
                  <c:v>2017/09</c:v>
                </c:pt>
                <c:pt idx="45">
                  <c:v>2017/10</c:v>
                </c:pt>
                <c:pt idx="46">
                  <c:v>2017/11</c:v>
                </c:pt>
                <c:pt idx="47">
                  <c:v>2017/12</c:v>
                </c:pt>
                <c:pt idx="48">
                  <c:v>2018/01</c:v>
                </c:pt>
                <c:pt idx="49">
                  <c:v>2018/02</c:v>
                </c:pt>
                <c:pt idx="50">
                  <c:v>2018/03</c:v>
                </c:pt>
                <c:pt idx="51">
                  <c:v>2018/04</c:v>
                </c:pt>
                <c:pt idx="52">
                  <c:v>2018/05</c:v>
                </c:pt>
                <c:pt idx="53">
                  <c:v>2018/06</c:v>
                </c:pt>
                <c:pt idx="54">
                  <c:v>2018/07</c:v>
                </c:pt>
                <c:pt idx="55">
                  <c:v>2018/08</c:v>
                </c:pt>
                <c:pt idx="56">
                  <c:v>2018/09</c:v>
                </c:pt>
                <c:pt idx="57">
                  <c:v>2018/10</c:v>
                </c:pt>
                <c:pt idx="58">
                  <c:v>2018/11</c:v>
                </c:pt>
                <c:pt idx="59">
                  <c:v>2018/12</c:v>
                </c:pt>
                <c:pt idx="60">
                  <c:v>2019/01</c:v>
                </c:pt>
                <c:pt idx="61">
                  <c:v>2019/02</c:v>
                </c:pt>
                <c:pt idx="62">
                  <c:v>2019/03</c:v>
                </c:pt>
                <c:pt idx="63">
                  <c:v>2019/04</c:v>
                </c:pt>
                <c:pt idx="64">
                  <c:v>2019/05</c:v>
                </c:pt>
                <c:pt idx="65">
                  <c:v>2019/06</c:v>
                </c:pt>
                <c:pt idx="66">
                  <c:v>2019/07</c:v>
                </c:pt>
                <c:pt idx="67">
                  <c:v>2019/08</c:v>
                </c:pt>
                <c:pt idx="68">
                  <c:v>2019/09</c:v>
                </c:pt>
                <c:pt idx="69">
                  <c:v>2019/10</c:v>
                </c:pt>
                <c:pt idx="70">
                  <c:v>2019/11</c:v>
                </c:pt>
                <c:pt idx="71">
                  <c:v>2019/12</c:v>
                </c:pt>
                <c:pt idx="72">
                  <c:v>2020/01</c:v>
                </c:pt>
                <c:pt idx="73">
                  <c:v>2020/02</c:v>
                </c:pt>
                <c:pt idx="74">
                  <c:v>2020/03</c:v>
                </c:pt>
                <c:pt idx="75">
                  <c:v>2020/04</c:v>
                </c:pt>
                <c:pt idx="76">
                  <c:v>2020/05</c:v>
                </c:pt>
                <c:pt idx="77">
                  <c:v>2020/06</c:v>
                </c:pt>
                <c:pt idx="78">
                  <c:v>2020/07</c:v>
                </c:pt>
                <c:pt idx="79">
                  <c:v>2020/08</c:v>
                </c:pt>
                <c:pt idx="80">
                  <c:v>2020/09</c:v>
                </c:pt>
                <c:pt idx="81">
                  <c:v>2020/10</c:v>
                </c:pt>
                <c:pt idx="82">
                  <c:v>2020/11</c:v>
                </c:pt>
                <c:pt idx="83">
                  <c:v>2020/12</c:v>
                </c:pt>
                <c:pt idx="84">
                  <c:v>2021/01</c:v>
                </c:pt>
                <c:pt idx="85">
                  <c:v>2021/02</c:v>
                </c:pt>
                <c:pt idx="86">
                  <c:v>2021/03</c:v>
                </c:pt>
                <c:pt idx="87">
                  <c:v>2021/04</c:v>
                </c:pt>
                <c:pt idx="88">
                  <c:v>2021/05</c:v>
                </c:pt>
                <c:pt idx="89">
                  <c:v>2021/06</c:v>
                </c:pt>
                <c:pt idx="90">
                  <c:v>2021/07</c:v>
                </c:pt>
                <c:pt idx="91">
                  <c:v>2021/08</c:v>
                </c:pt>
                <c:pt idx="92">
                  <c:v>2021/09</c:v>
                </c:pt>
                <c:pt idx="93">
                  <c:v>2021/10</c:v>
                </c:pt>
                <c:pt idx="94">
                  <c:v>2021/11</c:v>
                </c:pt>
                <c:pt idx="95">
                  <c:v>2021/12</c:v>
                </c:pt>
                <c:pt idx="96">
                  <c:v>2022/01</c:v>
                </c:pt>
                <c:pt idx="97">
                  <c:v>2022/02</c:v>
                </c:pt>
                <c:pt idx="98">
                  <c:v>2022/03</c:v>
                </c:pt>
                <c:pt idx="99">
                  <c:v>2022/04</c:v>
                </c:pt>
                <c:pt idx="100">
                  <c:v>2022/05</c:v>
                </c:pt>
                <c:pt idx="101">
                  <c:v>2022/06</c:v>
                </c:pt>
                <c:pt idx="102">
                  <c:v>2022/07</c:v>
                </c:pt>
                <c:pt idx="103">
                  <c:v>2022/08</c:v>
                </c:pt>
                <c:pt idx="104">
                  <c:v>2022/09</c:v>
                </c:pt>
                <c:pt idx="105">
                  <c:v>2022/10</c:v>
                </c:pt>
                <c:pt idx="106">
                  <c:v>2022/11</c:v>
                </c:pt>
                <c:pt idx="107">
                  <c:v>2022/12</c:v>
                </c:pt>
                <c:pt idx="108">
                  <c:v>2023/01</c:v>
                </c:pt>
                <c:pt idx="109">
                  <c:v>2023/02</c:v>
                </c:pt>
                <c:pt idx="110">
                  <c:v>2023/03</c:v>
                </c:pt>
                <c:pt idx="111">
                  <c:v>2023/04</c:v>
                </c:pt>
                <c:pt idx="112">
                  <c:v>2023/05</c:v>
                </c:pt>
                <c:pt idx="113">
                  <c:v>2023/06</c:v>
                </c:pt>
                <c:pt idx="114">
                  <c:v>2023/07</c:v>
                </c:pt>
                <c:pt idx="115">
                  <c:v>2023/08</c:v>
                </c:pt>
                <c:pt idx="116">
                  <c:v>2023/09</c:v>
                </c:pt>
                <c:pt idx="117">
                  <c:v>2023/10</c:v>
                </c:pt>
                <c:pt idx="118">
                  <c:v>2023/11</c:v>
                </c:pt>
                <c:pt idx="119">
                  <c:v>2023/12</c:v>
                </c:pt>
                <c:pt idx="120">
                  <c:v>2024/01</c:v>
                </c:pt>
                <c:pt idx="121">
                  <c:v>2024/02</c:v>
                </c:pt>
                <c:pt idx="122">
                  <c:v>2024/03</c:v>
                </c:pt>
                <c:pt idx="123">
                  <c:v>2024/04</c:v>
                </c:pt>
                <c:pt idx="124">
                  <c:v>2024/05</c:v>
                </c:pt>
                <c:pt idx="125">
                  <c:v>2024/06</c:v>
                </c:pt>
                <c:pt idx="126">
                  <c:v>2024/07</c:v>
                </c:pt>
                <c:pt idx="127">
                  <c:v>2024/08</c:v>
                </c:pt>
                <c:pt idx="128">
                  <c:v>2024/09</c:v>
                </c:pt>
                <c:pt idx="129">
                  <c:v>2024/10</c:v>
                </c:pt>
                <c:pt idx="130">
                  <c:v>2024/11</c:v>
                </c:pt>
                <c:pt idx="131">
                  <c:v>2024/12</c:v>
                </c:pt>
                <c:pt idx="132">
                  <c:v>2025/01</c:v>
                </c:pt>
                <c:pt idx="133">
                  <c:v>2025/02</c:v>
                </c:pt>
              </c:strCache>
            </c:strRef>
          </c:cat>
          <c:val>
            <c:numRef>
              <c:f>RF再投資累積報酬!$D$29:$EG$29</c:f>
              <c:numCache>
                <c:formatCode>General</c:formatCode>
                <c:ptCount val="134"/>
                <c:pt idx="0">
                  <c:v>-1.744677053939037E-2</c:v>
                </c:pt>
                <c:pt idx="1">
                  <c:v>2.893123339404724E-3</c:v>
                </c:pt>
                <c:pt idx="2">
                  <c:v>2.6944635852046869E-2</c:v>
                </c:pt>
                <c:pt idx="3">
                  <c:v>2.0210365301730041E-2</c:v>
                </c:pt>
                <c:pt idx="4">
                  <c:v>5.269909680859941E-2</c:v>
                </c:pt>
                <c:pt idx="5">
                  <c:v>8.8857766197530053E-2</c:v>
                </c:pt>
                <c:pt idx="6">
                  <c:v>7.9869318529145472E-2</c:v>
                </c:pt>
                <c:pt idx="7">
                  <c:v>9.3738646464063713E-2</c:v>
                </c:pt>
                <c:pt idx="8">
                  <c:v>3.7937714394164157E-2</c:v>
                </c:pt>
                <c:pt idx="9">
                  <c:v>3.8844812525307137E-2</c:v>
                </c:pt>
                <c:pt idx="10">
                  <c:v>6.3142951706360639E-2</c:v>
                </c:pt>
                <c:pt idx="11">
                  <c:v>7.6952085951054405E-2</c:v>
                </c:pt>
                <c:pt idx="12">
                  <c:v>8.3257197491512391E-2</c:v>
                </c:pt>
                <c:pt idx="13">
                  <c:v>0.11295275081672609</c:v>
                </c:pt>
                <c:pt idx="14">
                  <c:v>0.1088204283509331</c:v>
                </c:pt>
                <c:pt idx="15">
                  <c:v>0.13551706985268061</c:v>
                </c:pt>
                <c:pt idx="16">
                  <c:v>0.12167508804368481</c:v>
                </c:pt>
                <c:pt idx="17">
                  <c:v>7.7088976461827885E-2</c:v>
                </c:pt>
                <c:pt idx="18">
                  <c:v>-1.7059521199481731E-3</c:v>
                </c:pt>
                <c:pt idx="19">
                  <c:v>-5.9866792867339091E-2</c:v>
                </c:pt>
                <c:pt idx="20">
                  <c:v>-5.9140260213613523E-2</c:v>
                </c:pt>
                <c:pt idx="21">
                  <c:v>-1.7185893241652209E-2</c:v>
                </c:pt>
                <c:pt idx="22">
                  <c:v>-4.4409529547694393E-2</c:v>
                </c:pt>
                <c:pt idx="23">
                  <c:v>-4.2407561826578573E-2</c:v>
                </c:pt>
                <c:pt idx="24">
                  <c:v>-6.481575250614946E-2</c:v>
                </c:pt>
                <c:pt idx="25">
                  <c:v>-3.4768870774049443E-2</c:v>
                </c:pt>
                <c:pt idx="26">
                  <c:v>2.7817794451217011E-3</c:v>
                </c:pt>
                <c:pt idx="27">
                  <c:v>-4.0202844765013457E-2</c:v>
                </c:pt>
                <c:pt idx="28">
                  <c:v>-2.23053204826642E-2</c:v>
                </c:pt>
                <c:pt idx="29">
                  <c:v>-7.4152570234460313E-3</c:v>
                </c:pt>
                <c:pt idx="30">
                  <c:v>2.8334274381314421E-2</c:v>
                </c:pt>
                <c:pt idx="31">
                  <c:v>3.7953941892352683E-2</c:v>
                </c:pt>
                <c:pt idx="32">
                  <c:v>4.9110131735873752E-2</c:v>
                </c:pt>
                <c:pt idx="33">
                  <c:v>6.3123886850196875E-2</c:v>
                </c:pt>
                <c:pt idx="34">
                  <c:v>5.7454515782098918E-2</c:v>
                </c:pt>
                <c:pt idx="35">
                  <c:v>5.8917118987427568E-2</c:v>
                </c:pt>
                <c:pt idx="36">
                  <c:v>8.0938283596681648E-2</c:v>
                </c:pt>
                <c:pt idx="37">
                  <c:v>0.11500697453770201</c:v>
                </c:pt>
                <c:pt idx="38">
                  <c:v>0.1219665320054517</c:v>
                </c:pt>
                <c:pt idx="39">
                  <c:v>0.12886130991117531</c:v>
                </c:pt>
                <c:pt idx="40">
                  <c:v>0.14799139743631429</c:v>
                </c:pt>
                <c:pt idx="41">
                  <c:v>0.18780698843660251</c:v>
                </c:pt>
                <c:pt idx="42">
                  <c:v>0.19148751365039929</c:v>
                </c:pt>
                <c:pt idx="43">
                  <c:v>0.20945675046088999</c:v>
                </c:pt>
                <c:pt idx="44">
                  <c:v>0.18617324550329581</c:v>
                </c:pt>
                <c:pt idx="45">
                  <c:v>0.23209180697664691</c:v>
                </c:pt>
                <c:pt idx="46">
                  <c:v>0.205162036556817</c:v>
                </c:pt>
                <c:pt idx="47">
                  <c:v>0.21453132863303209</c:v>
                </c:pt>
                <c:pt idx="48">
                  <c:v>0.2660241129922889</c:v>
                </c:pt>
                <c:pt idx="49">
                  <c:v>0.23271631642995261</c:v>
                </c:pt>
                <c:pt idx="50">
                  <c:v>0.2445155679795841</c:v>
                </c:pt>
                <c:pt idx="51">
                  <c:v>0.21433638745422809</c:v>
                </c:pt>
                <c:pt idx="52">
                  <c:v>0.2388215063710388</c:v>
                </c:pt>
                <c:pt idx="53">
                  <c:v>0.23447943849994909</c:v>
                </c:pt>
                <c:pt idx="54">
                  <c:v>0.25935658802508499</c:v>
                </c:pt>
                <c:pt idx="55">
                  <c:v>0.26008869763716319</c:v>
                </c:pt>
                <c:pt idx="56">
                  <c:v>0.2535114114609236</c:v>
                </c:pt>
                <c:pt idx="57">
                  <c:v>0.10826483627727621</c:v>
                </c:pt>
                <c:pt idx="58">
                  <c:v>0.11793469710078749</c:v>
                </c:pt>
                <c:pt idx="59">
                  <c:v>9.9625988810205346E-2</c:v>
                </c:pt>
                <c:pt idx="60">
                  <c:v>0.12254260303831389</c:v>
                </c:pt>
                <c:pt idx="61">
                  <c:v>0.17302993558174001</c:v>
                </c:pt>
                <c:pt idx="62">
                  <c:v>0.20112905370185399</c:v>
                </c:pt>
                <c:pt idx="63">
                  <c:v>0.237450116940952</c:v>
                </c:pt>
                <c:pt idx="64">
                  <c:v>0.18334151222801379</c:v>
                </c:pt>
                <c:pt idx="65">
                  <c:v>0.209244230248715</c:v>
                </c:pt>
                <c:pt idx="66">
                  <c:v>0.21967690051673561</c:v>
                </c:pt>
                <c:pt idx="67">
                  <c:v>0.1962676978767699</c:v>
                </c:pt>
                <c:pt idx="68">
                  <c:v>0.21987619627534569</c:v>
                </c:pt>
                <c:pt idx="69">
                  <c:v>0.27805738326883361</c:v>
                </c:pt>
                <c:pt idx="70">
                  <c:v>0.29269729646247922</c:v>
                </c:pt>
                <c:pt idx="71">
                  <c:v>0.34857881761669129</c:v>
                </c:pt>
                <c:pt idx="72">
                  <c:v>0.2909305384219143</c:v>
                </c:pt>
                <c:pt idx="73">
                  <c:v>0.26793739709811137</c:v>
                </c:pt>
                <c:pt idx="74">
                  <c:v>7.628473289061688E-2</c:v>
                </c:pt>
                <c:pt idx="75">
                  <c:v>0.2099851314449144</c:v>
                </c:pt>
                <c:pt idx="76">
                  <c:v>0.20447092205281339</c:v>
                </c:pt>
                <c:pt idx="77">
                  <c:v>0.27699361006036599</c:v>
                </c:pt>
                <c:pt idx="78">
                  <c:v>0.38680488733361829</c:v>
                </c:pt>
                <c:pt idx="79">
                  <c:v>0.37874965946081551</c:v>
                </c:pt>
                <c:pt idx="80">
                  <c:v>0.37042015435709108</c:v>
                </c:pt>
                <c:pt idx="81">
                  <c:v>0.37378086910184649</c:v>
                </c:pt>
                <c:pt idx="82">
                  <c:v>0.49692143719092191</c:v>
                </c:pt>
                <c:pt idx="83">
                  <c:v>0.603191980394987</c:v>
                </c:pt>
                <c:pt idx="84">
                  <c:v>0.64675173719730239</c:v>
                </c:pt>
                <c:pt idx="85">
                  <c:v>0.73315421285472704</c:v>
                </c:pt>
                <c:pt idx="86">
                  <c:v>0.7842487445659152</c:v>
                </c:pt>
                <c:pt idx="87">
                  <c:v>0.90348131155309508</c:v>
                </c:pt>
                <c:pt idx="88">
                  <c:v>0.8487139113221478</c:v>
                </c:pt>
                <c:pt idx="89">
                  <c:v>0.92166881344527685</c:v>
                </c:pt>
                <c:pt idx="90">
                  <c:v>0.86588067898046694</c:v>
                </c:pt>
                <c:pt idx="91">
                  <c:v>0.89197293519067467</c:v>
                </c:pt>
                <c:pt idx="92">
                  <c:v>0.83090579105751727</c:v>
                </c:pt>
                <c:pt idx="93">
                  <c:v>0.83658814745105547</c:v>
                </c:pt>
                <c:pt idx="94">
                  <c:v>0.88358984642415717</c:v>
                </c:pt>
                <c:pt idx="95">
                  <c:v>0.9672059526983301</c:v>
                </c:pt>
                <c:pt idx="96">
                  <c:v>0.90752297284093331</c:v>
                </c:pt>
                <c:pt idx="97">
                  <c:v>0.90512335385454468</c:v>
                </c:pt>
                <c:pt idx="98">
                  <c:v>0.90957440110152876</c:v>
                </c:pt>
                <c:pt idx="99">
                  <c:v>0.78685723504233995</c:v>
                </c:pt>
                <c:pt idx="100">
                  <c:v>0.80992516787144164</c:v>
                </c:pt>
                <c:pt idx="101">
                  <c:v>0.58282101623526672</c:v>
                </c:pt>
                <c:pt idx="102">
                  <c:v>0.60132527488651344</c:v>
                </c:pt>
                <c:pt idx="103">
                  <c:v>0.61147422419279152</c:v>
                </c:pt>
                <c:pt idx="104">
                  <c:v>0.42243966588262949</c:v>
                </c:pt>
                <c:pt idx="105">
                  <c:v>0.37121637307647259</c:v>
                </c:pt>
                <c:pt idx="106">
                  <c:v>0.5616938276257708</c:v>
                </c:pt>
                <c:pt idx="107">
                  <c:v>0.48182332962932128</c:v>
                </c:pt>
                <c:pt idx="108">
                  <c:v>0.59552577817978314</c:v>
                </c:pt>
                <c:pt idx="109">
                  <c:v>0.62027043996328524</c:v>
                </c:pt>
                <c:pt idx="110">
                  <c:v>0.65789923395288952</c:v>
                </c:pt>
                <c:pt idx="111">
                  <c:v>0.62743885630809859</c:v>
                </c:pt>
                <c:pt idx="112">
                  <c:v>0.72866394865424411</c:v>
                </c:pt>
                <c:pt idx="113">
                  <c:v>0.76340716304992284</c:v>
                </c:pt>
                <c:pt idx="114">
                  <c:v>0.78721129009524526</c:v>
                </c:pt>
                <c:pt idx="115">
                  <c:v>0.73314419395664854</c:v>
                </c:pt>
                <c:pt idx="116">
                  <c:v>0.7036411650845571</c:v>
                </c:pt>
                <c:pt idx="117">
                  <c:v>0.666521339911188</c:v>
                </c:pt>
                <c:pt idx="118">
                  <c:v>0.80941825308633253</c:v>
                </c:pt>
                <c:pt idx="119">
                  <c:v>0.86027510799998974</c:v>
                </c:pt>
                <c:pt idx="120">
                  <c:v>0.85599059714061299</c:v>
                </c:pt>
                <c:pt idx="121">
                  <c:v>0.9645125910761998</c:v>
                </c:pt>
                <c:pt idx="122">
                  <c:v>1.097429448381251</c:v>
                </c:pt>
                <c:pt idx="123">
                  <c:v>1.1079601605760621</c:v>
                </c:pt>
                <c:pt idx="124">
                  <c:v>1.1868319851241951</c:v>
                </c:pt>
                <c:pt idx="125">
                  <c:v>1.370768618416941</c:v>
                </c:pt>
                <c:pt idx="126">
                  <c:v>1.2834475238077689</c:v>
                </c:pt>
                <c:pt idx="127">
                  <c:v>1.290507264949454</c:v>
                </c:pt>
                <c:pt idx="128">
                  <c:v>1.2860233033025421</c:v>
                </c:pt>
                <c:pt idx="129">
                  <c:v>1.346509430724685</c:v>
                </c:pt>
                <c:pt idx="130">
                  <c:v>1.2884273650883471</c:v>
                </c:pt>
                <c:pt idx="131">
                  <c:v>1.366498188226261</c:v>
                </c:pt>
                <c:pt idx="132">
                  <c:v>1.416341311511776</c:v>
                </c:pt>
                <c:pt idx="133">
                  <c:v>1.367344209826507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AC-A641-ACBD-C2E5EB20A5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4414544"/>
        <c:axId val="2104419824"/>
      </c:lineChart>
      <c:catAx>
        <c:axId val="2104414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9824"/>
        <c:crosses val="autoZero"/>
        <c:auto val="1"/>
        <c:lblAlgn val="ctr"/>
        <c:lblOffset val="100"/>
        <c:noMultiLvlLbl val="0"/>
      </c:catAx>
      <c:valAx>
        <c:axId val="21044198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2104414544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118</xdr:col>
      <xdr:colOff>595017</xdr:colOff>
      <xdr:row>32</xdr:row>
      <xdr:rowOff>110067</xdr:rowOff>
    </xdr:from>
    <xdr:to>
      <xdr:col>128</xdr:col>
      <xdr:colOff>227345</xdr:colOff>
      <xdr:row>46</xdr:row>
      <xdr:rowOff>156790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121</xdr:col>
      <xdr:colOff>95249</xdr:colOff>
      <xdr:row>38</xdr:row>
      <xdr:rowOff>27906</xdr:rowOff>
    </xdr:from>
    <xdr:to>
      <xdr:col>132</xdr:col>
      <xdr:colOff>484604</xdr:colOff>
      <xdr:row>66</xdr:row>
      <xdr:rowOff>16709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180310</xdr:colOff>
      <xdr:row>32</xdr:row>
      <xdr:rowOff>23519</xdr:rowOff>
    </xdr:from>
    <xdr:ext cx="964258" cy="2577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E00D9C08-8C27-A04D-A4AC-5ED07EAD6C65}"/>
                </a:ext>
              </a:extLst>
            </xdr:cNvPr>
            <xdr:cNvSpPr txBox="1"/>
          </xdr:nvSpPr>
          <xdr:spPr>
            <a:xfrm>
              <a:off x="180310" y="49003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n-US" altLang="zh-TW" sz="1600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𝑅</m:t>
                        </m:r>
                      </m:e>
                      <m:sup>
                        <m:r>
                          <a:rPr lang="en-US" altLang="zh-TW" sz="1600" b="0" i="1">
                            <a:latin typeface="Cambria Math" panose="02040503050406030204" pitchFamily="18" charset="0"/>
                          </a:rPr>
                          <m:t>2</m:t>
                        </m:r>
                      </m:sup>
                    </m:sSup>
                  </m:oMath>
                </m:oMathPara>
              </a14:m>
              <a:endParaRPr lang="zh-TW" altLang="en-US" sz="1100"/>
            </a:p>
          </xdr:txBody>
        </xdr:sp>
      </mc:Choice>
      <mc:Fallback xmlns="">
        <xdr:sp macro="" textlink="">
          <xdr:nvSpPr>
            <xdr:cNvPr id="2" name="文字方塊 1">
              <a:extLst>
                <a:ext uri="{FF2B5EF4-FFF2-40B4-BE49-F238E27FC236}">
                  <a16:creationId xmlns:a16="http://schemas.microsoft.com/office/drawing/2014/main" id="{E00D9C08-8C27-A04D-A4AC-5ED07EAD6C65}"/>
                </a:ext>
              </a:extLst>
            </xdr:cNvPr>
            <xdr:cNvSpPr txBox="1"/>
          </xdr:nvSpPr>
          <xdr:spPr>
            <a:xfrm>
              <a:off x="180310" y="4900319"/>
              <a:ext cx="964258" cy="2577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:r>
                <a:rPr lang="en-US" altLang="zh-TW" sz="1600" b="0" i="0">
                  <a:latin typeface="Cambria Math" panose="02040503050406030204" pitchFamily="18" charset="0"/>
                </a:rPr>
                <a:t>𝑅^2</a:t>
              </a:r>
              <a:endParaRPr lang="zh-TW" altLang="en-US" sz="11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6"/>
  <sheetViews>
    <sheetView zoomScale="81" workbookViewId="0">
      <selection activeCell="C14" sqref="C14:EF27"/>
    </sheetView>
  </sheetViews>
  <sheetFormatPr baseColWidth="10" defaultColWidth="8.83203125" defaultRowHeight="15"/>
  <cols>
    <col min="1" max="1" width="8.33203125" style="18" customWidth="1"/>
    <col min="2" max="3" width="9.33203125" style="18" customWidth="1"/>
    <col min="4" max="10" width="9" style="18" bestFit="1" customWidth="1"/>
    <col min="11" max="11" width="8.1640625" style="18" customWidth="1"/>
    <col min="12" max="63" width="9" style="18" bestFit="1" customWidth="1"/>
    <col min="64" max="64" width="8.33203125" style="18" customWidth="1"/>
    <col min="65" max="87" width="9" style="18" bestFit="1" customWidth="1"/>
    <col min="88" max="88" width="14.5" style="18" bestFit="1" customWidth="1"/>
    <col min="89" max="136" width="9" style="18" bestFit="1" customWidth="1"/>
  </cols>
  <sheetData>
    <row r="1" spans="1:137" s="3" customFormat="1" ht="16" customHeight="1">
      <c r="A1" s="32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</row>
    <row r="2" spans="1:137" s="3" customFormat="1" ht="16" customHeight="1">
      <c r="A2" s="5"/>
      <c r="B2" s="42" t="s">
        <v>1</v>
      </c>
      <c r="C2" s="43" t="s">
        <v>2</v>
      </c>
      <c r="D2" s="43" t="s">
        <v>3</v>
      </c>
      <c r="E2" s="43" t="s">
        <v>4</v>
      </c>
      <c r="F2" s="43" t="s">
        <v>5</v>
      </c>
      <c r="G2" s="43" t="s">
        <v>6</v>
      </c>
      <c r="H2" s="43" t="s">
        <v>7</v>
      </c>
      <c r="I2" s="43" t="s">
        <v>8</v>
      </c>
      <c r="J2" s="43" t="s">
        <v>9</v>
      </c>
      <c r="K2" s="43" t="s">
        <v>10</v>
      </c>
      <c r="L2" s="43" t="s">
        <v>11</v>
      </c>
      <c r="M2" s="43" t="s">
        <v>12</v>
      </c>
      <c r="N2" s="43" t="s">
        <v>13</v>
      </c>
      <c r="O2" s="43" t="s">
        <v>14</v>
      </c>
      <c r="P2" s="43" t="s">
        <v>15</v>
      </c>
      <c r="Q2" s="43" t="s">
        <v>16</v>
      </c>
      <c r="R2" s="43" t="s">
        <v>17</v>
      </c>
      <c r="S2" s="43" t="s">
        <v>18</v>
      </c>
      <c r="T2" s="43" t="s">
        <v>19</v>
      </c>
      <c r="U2" s="43" t="s">
        <v>20</v>
      </c>
      <c r="V2" s="43" t="s">
        <v>21</v>
      </c>
      <c r="W2" s="43" t="s">
        <v>22</v>
      </c>
      <c r="X2" s="43" t="s">
        <v>23</v>
      </c>
      <c r="Y2" s="43" t="s">
        <v>24</v>
      </c>
      <c r="Z2" s="43" t="s">
        <v>25</v>
      </c>
      <c r="AA2" s="43" t="s">
        <v>26</v>
      </c>
      <c r="AB2" s="43" t="s">
        <v>27</v>
      </c>
      <c r="AC2" s="43" t="s">
        <v>28</v>
      </c>
      <c r="AD2" s="43" t="s">
        <v>29</v>
      </c>
      <c r="AE2" s="43" t="s">
        <v>30</v>
      </c>
      <c r="AF2" s="43" t="s">
        <v>31</v>
      </c>
      <c r="AG2" s="43" t="s">
        <v>32</v>
      </c>
      <c r="AH2" s="43" t="s">
        <v>33</v>
      </c>
      <c r="AI2" s="43" t="s">
        <v>34</v>
      </c>
      <c r="AJ2" s="43" t="s">
        <v>35</v>
      </c>
      <c r="AK2" s="43" t="s">
        <v>36</v>
      </c>
      <c r="AL2" s="43" t="s">
        <v>37</v>
      </c>
      <c r="AM2" s="43" t="s">
        <v>38</v>
      </c>
      <c r="AN2" s="43" t="s">
        <v>39</v>
      </c>
      <c r="AO2" s="43" t="s">
        <v>40</v>
      </c>
      <c r="AP2" s="43" t="s">
        <v>41</v>
      </c>
      <c r="AQ2" s="43" t="s">
        <v>42</v>
      </c>
      <c r="AR2" s="43" t="s">
        <v>43</v>
      </c>
      <c r="AS2" s="43" t="s">
        <v>44</v>
      </c>
      <c r="AT2" s="43" t="s">
        <v>45</v>
      </c>
      <c r="AU2" s="43" t="s">
        <v>46</v>
      </c>
      <c r="AV2" s="43" t="s">
        <v>47</v>
      </c>
      <c r="AW2" s="43" t="s">
        <v>48</v>
      </c>
      <c r="AX2" s="43" t="s">
        <v>49</v>
      </c>
      <c r="AY2" s="43" t="s">
        <v>50</v>
      </c>
      <c r="AZ2" s="43" t="s">
        <v>51</v>
      </c>
      <c r="BA2" s="43" t="s">
        <v>52</v>
      </c>
      <c r="BB2" s="43" t="s">
        <v>53</v>
      </c>
      <c r="BC2" s="43" t="s">
        <v>54</v>
      </c>
      <c r="BD2" s="43" t="s">
        <v>55</v>
      </c>
      <c r="BE2" s="43" t="s">
        <v>56</v>
      </c>
      <c r="BF2" s="43" t="s">
        <v>57</v>
      </c>
      <c r="BG2" s="43" t="s">
        <v>58</v>
      </c>
      <c r="BH2" s="43" t="s">
        <v>59</v>
      </c>
      <c r="BI2" s="43" t="s">
        <v>60</v>
      </c>
      <c r="BJ2" s="43" t="s">
        <v>61</v>
      </c>
      <c r="BK2" s="43" t="s">
        <v>62</v>
      </c>
      <c r="BL2" s="43" t="s">
        <v>63</v>
      </c>
      <c r="BM2" s="43" t="s">
        <v>64</v>
      </c>
      <c r="BN2" s="43" t="s">
        <v>65</v>
      </c>
      <c r="BO2" s="43" t="s">
        <v>66</v>
      </c>
      <c r="BP2" s="43" t="s">
        <v>67</v>
      </c>
      <c r="BQ2" s="43" t="s">
        <v>68</v>
      </c>
      <c r="BR2" s="43" t="s">
        <v>69</v>
      </c>
      <c r="BS2" s="43" t="s">
        <v>70</v>
      </c>
      <c r="BT2" s="43" t="s">
        <v>71</v>
      </c>
      <c r="BU2" s="43" t="s">
        <v>72</v>
      </c>
      <c r="BV2" s="43" t="s">
        <v>73</v>
      </c>
      <c r="BW2" s="43" t="s">
        <v>74</v>
      </c>
      <c r="BX2" s="43" t="s">
        <v>75</v>
      </c>
      <c r="BY2" s="43" t="s">
        <v>76</v>
      </c>
      <c r="BZ2" s="43" t="s">
        <v>77</v>
      </c>
      <c r="CA2" s="43" t="s">
        <v>78</v>
      </c>
      <c r="CB2" s="43" t="s">
        <v>79</v>
      </c>
      <c r="CC2" s="43" t="s">
        <v>80</v>
      </c>
      <c r="CD2" s="43" t="s">
        <v>81</v>
      </c>
      <c r="CE2" s="43" t="s">
        <v>82</v>
      </c>
      <c r="CF2" s="43" t="s">
        <v>83</v>
      </c>
      <c r="CG2" s="43" t="s">
        <v>84</v>
      </c>
      <c r="CH2" s="43" t="s">
        <v>85</v>
      </c>
      <c r="CI2" s="43" t="s">
        <v>86</v>
      </c>
      <c r="CJ2" s="43" t="s">
        <v>87</v>
      </c>
      <c r="CK2" s="43" t="s">
        <v>88</v>
      </c>
      <c r="CL2" s="43" t="s">
        <v>89</v>
      </c>
      <c r="CM2" s="43" t="s">
        <v>90</v>
      </c>
      <c r="CN2" s="43" t="s">
        <v>91</v>
      </c>
      <c r="CO2" s="43" t="s">
        <v>92</v>
      </c>
      <c r="CP2" s="43" t="s">
        <v>93</v>
      </c>
      <c r="CQ2" s="43" t="s">
        <v>94</v>
      </c>
      <c r="CR2" s="43" t="s">
        <v>95</v>
      </c>
      <c r="CS2" s="43" t="s">
        <v>96</v>
      </c>
      <c r="CT2" s="43" t="s">
        <v>97</v>
      </c>
      <c r="CU2" s="43" t="s">
        <v>98</v>
      </c>
      <c r="CV2" s="43" t="s">
        <v>99</v>
      </c>
      <c r="CW2" s="43" t="s">
        <v>100</v>
      </c>
      <c r="CX2" s="43" t="s">
        <v>101</v>
      </c>
      <c r="CY2" s="43" t="s">
        <v>102</v>
      </c>
      <c r="CZ2" s="43" t="s">
        <v>103</v>
      </c>
      <c r="DA2" s="43" t="s">
        <v>104</v>
      </c>
      <c r="DB2" s="43" t="s">
        <v>105</v>
      </c>
      <c r="DC2" s="43" t="s">
        <v>106</v>
      </c>
      <c r="DD2" s="43" t="s">
        <v>107</v>
      </c>
      <c r="DE2" s="43" t="s">
        <v>108</v>
      </c>
      <c r="DF2" s="43" t="s">
        <v>109</v>
      </c>
      <c r="DG2" s="43" t="s">
        <v>110</v>
      </c>
      <c r="DH2" s="43" t="s">
        <v>111</v>
      </c>
      <c r="DI2" s="43" t="s">
        <v>112</v>
      </c>
      <c r="DJ2" s="43" t="s">
        <v>113</v>
      </c>
      <c r="DK2" s="43" t="s">
        <v>114</v>
      </c>
      <c r="DL2" s="43" t="s">
        <v>115</v>
      </c>
      <c r="DM2" s="43" t="s">
        <v>116</v>
      </c>
      <c r="DN2" s="43" t="s">
        <v>117</v>
      </c>
      <c r="DO2" s="43" t="s">
        <v>118</v>
      </c>
      <c r="DP2" s="43" t="s">
        <v>119</v>
      </c>
      <c r="DQ2" s="43" t="s">
        <v>120</v>
      </c>
      <c r="DR2" s="43" t="s">
        <v>121</v>
      </c>
      <c r="DS2" s="43" t="s">
        <v>122</v>
      </c>
      <c r="DT2" s="43" t="s">
        <v>123</v>
      </c>
      <c r="DU2" s="43" t="s">
        <v>124</v>
      </c>
      <c r="DV2" s="43" t="s">
        <v>125</v>
      </c>
      <c r="DW2" s="43" t="s">
        <v>126</v>
      </c>
      <c r="DX2" s="43" t="s">
        <v>127</v>
      </c>
      <c r="DY2" s="43" t="s">
        <v>128</v>
      </c>
      <c r="DZ2" s="43" t="s">
        <v>129</v>
      </c>
      <c r="EA2" s="43" t="s">
        <v>130</v>
      </c>
      <c r="EB2" s="43" t="s">
        <v>131</v>
      </c>
      <c r="EC2" s="43" t="s">
        <v>132</v>
      </c>
      <c r="ED2" s="43" t="s">
        <v>133</v>
      </c>
      <c r="EE2" s="43" t="s">
        <v>134</v>
      </c>
      <c r="EF2" s="43" t="s">
        <v>135</v>
      </c>
    </row>
    <row r="3" spans="1:137" s="3" customFormat="1" ht="16" customHeight="1">
      <c r="A3" s="5"/>
      <c r="B3" s="44" t="s">
        <v>136</v>
      </c>
      <c r="C3" s="45">
        <v>-5.0384003526719274E-3</v>
      </c>
      <c r="D3" s="45">
        <v>-1.298281531829238E-2</v>
      </c>
      <c r="E3" s="45">
        <v>-1.090537158216439E-2</v>
      </c>
      <c r="F3" s="45">
        <v>-9.0158784955721837E-3</v>
      </c>
      <c r="G3" s="45">
        <v>-6.0204378647821296E-3</v>
      </c>
      <c r="H3" s="45">
        <v>-1.8698065745674109E-2</v>
      </c>
      <c r="I3" s="45">
        <v>-4.9066145355758442E-3</v>
      </c>
      <c r="J3" s="45">
        <v>1.291814187142189E-3</v>
      </c>
      <c r="K3" s="45">
        <v>5.9455601276377169E-4</v>
      </c>
      <c r="L3" s="45">
        <v>-1.197191156905876E-2</v>
      </c>
      <c r="M3" s="45">
        <v>3.2288061043171868E-4</v>
      </c>
      <c r="N3" s="45">
        <v>-5.5110823298431784E-3</v>
      </c>
      <c r="O3" s="45">
        <v>-1.1571469246726871E-2</v>
      </c>
      <c r="P3" s="45">
        <v>-4.2707395080284491E-3</v>
      </c>
      <c r="Q3" s="45">
        <v>-2.585417962172288E-3</v>
      </c>
      <c r="R3" s="45">
        <v>-5.3758063417493861E-3</v>
      </c>
      <c r="S3" s="45">
        <v>-2.857333595320791E-3</v>
      </c>
      <c r="T3" s="45">
        <v>-6.9081391984344284E-3</v>
      </c>
      <c r="U3" s="45">
        <v>-1.7014472280456459E-2</v>
      </c>
      <c r="V3" s="45">
        <v>-6.8304002500024601E-3</v>
      </c>
      <c r="W3" s="45">
        <v>-7.5049393724914322E-3</v>
      </c>
      <c r="X3" s="45">
        <v>-5.5569893905461458E-3</v>
      </c>
      <c r="Y3" s="45">
        <v>-3.8673890214087651E-3</v>
      </c>
      <c r="Z3" s="45">
        <v>-1.742812778053918E-2</v>
      </c>
      <c r="AA3" s="45">
        <v>-2.1725257301090671E-2</v>
      </c>
      <c r="AB3" s="45">
        <v>-1.434051706740852E-2</v>
      </c>
      <c r="AC3" s="45">
        <v>-1.036582162775729E-2</v>
      </c>
      <c r="AD3" s="45">
        <v>-3.4166213999510938E-3</v>
      </c>
      <c r="AE3" s="45">
        <v>-2.6355408733274039E-3</v>
      </c>
      <c r="AF3" s="45">
        <v>-7.1940155873249523E-3</v>
      </c>
      <c r="AG3" s="45">
        <v>-7.8610431430318276E-3</v>
      </c>
      <c r="AH3" s="45">
        <v>-8.4817387915273029E-3</v>
      </c>
      <c r="AI3" s="45">
        <v>-4.1172002760600556E-3</v>
      </c>
      <c r="AJ3" s="45">
        <v>-6.7360574375490796E-3</v>
      </c>
      <c r="AK3" s="45">
        <v>-1.6369970764058359E-3</v>
      </c>
      <c r="AL3" s="45">
        <v>6.3693085010227705E-4</v>
      </c>
      <c r="AM3" s="45">
        <v>-4.4438164577261588E-3</v>
      </c>
      <c r="AN3" s="45">
        <v>-6.7233411821828589E-3</v>
      </c>
      <c r="AO3" s="45">
        <v>4.9092075312660863E-3</v>
      </c>
      <c r="AP3" s="45">
        <v>-9.9909323439328294E-3</v>
      </c>
      <c r="AQ3" s="45">
        <v>-1.4523536417601081E-2</v>
      </c>
      <c r="AR3" s="45">
        <v>-7.4150467293707788E-3</v>
      </c>
      <c r="AS3" s="45">
        <v>-5.9951026056438324E-3</v>
      </c>
      <c r="AT3" s="45">
        <v>-9.8077394596895063E-3</v>
      </c>
      <c r="AU3" s="45">
        <v>-1.70888452507575E-2</v>
      </c>
      <c r="AV3" s="45">
        <v>-3.0132820270963282E-3</v>
      </c>
      <c r="AW3" s="45">
        <v>8.7869254252137096E-4</v>
      </c>
      <c r="AX3" s="45">
        <v>-4.6179606842014637E-3</v>
      </c>
      <c r="AY3" s="45">
        <v>-3.3321956287664912E-3</v>
      </c>
      <c r="AZ3" s="45">
        <v>-1.500955019973121E-3</v>
      </c>
      <c r="BA3" s="45">
        <v>-3.4575462722895721E-3</v>
      </c>
      <c r="BB3" s="45">
        <v>-1.049889462351463E-2</v>
      </c>
      <c r="BC3" s="45">
        <v>-5.1382105502803333E-3</v>
      </c>
      <c r="BD3" s="45">
        <v>-2.1838723899889331E-2</v>
      </c>
      <c r="BE3" s="45">
        <v>-9.7871537706982134E-3</v>
      </c>
      <c r="BF3" s="45">
        <v>-5.8077246293848086E-4</v>
      </c>
      <c r="BG3" s="45">
        <v>-1.2396786065944829E-2</v>
      </c>
      <c r="BH3" s="45">
        <v>-7.4127544393004993E-3</v>
      </c>
      <c r="BI3" s="45">
        <v>-4.5557317538642839E-3</v>
      </c>
      <c r="BJ3" s="45">
        <v>-1.195817255615586E-2</v>
      </c>
      <c r="BK3" s="45">
        <v>-1.836586595008245E-3</v>
      </c>
      <c r="BL3" s="45">
        <v>-1.87129952942784E-2</v>
      </c>
      <c r="BM3" s="45">
        <v>-1.9598092095074069E-3</v>
      </c>
      <c r="BN3" s="45">
        <v>-2.5534203466766E-3</v>
      </c>
      <c r="BO3" s="45">
        <v>-4.9689198675300491E-3</v>
      </c>
      <c r="BP3" s="45">
        <v>-1.8462949817695352E-2</v>
      </c>
      <c r="BQ3" s="45">
        <v>-8.4846057372979112E-3</v>
      </c>
      <c r="BR3" s="45">
        <v>-3.6388493725434401E-3</v>
      </c>
      <c r="BS3" s="45">
        <v>-5.4235400978941556E-3</v>
      </c>
      <c r="BT3" s="45">
        <v>-4.5689212124528297E-3</v>
      </c>
      <c r="BU3" s="45">
        <v>-7.720076264362101E-3</v>
      </c>
      <c r="BV3" s="45">
        <v>-7.7092919602501199E-3</v>
      </c>
      <c r="BW3" s="45">
        <v>-9.3445852954740331E-3</v>
      </c>
      <c r="BX3" s="45">
        <v>-1.4007349042285109E-3</v>
      </c>
      <c r="BY3" s="45">
        <v>-1.191820817168316E-2</v>
      </c>
      <c r="BZ3" s="45">
        <v>-8.3605040764876352E-3</v>
      </c>
      <c r="CA3" s="45">
        <v>-9.2630255583887079E-3</v>
      </c>
      <c r="CB3" s="45">
        <v>8.1894824786473645E-3</v>
      </c>
      <c r="CC3" s="45">
        <v>-5.5994645746936132E-3</v>
      </c>
      <c r="CD3" s="45">
        <v>-8.1125504396278632E-3</v>
      </c>
      <c r="CE3" s="45">
        <v>-3.225226729347508E-3</v>
      </c>
      <c r="CF3" s="45">
        <v>-9.1363272153596221E-3</v>
      </c>
      <c r="CG3" s="45">
        <v>-8.8645597722549676E-3</v>
      </c>
      <c r="CH3" s="45">
        <v>-6.7889029547431286E-3</v>
      </c>
      <c r="CI3" s="45">
        <v>2.7426207371612478E-4</v>
      </c>
      <c r="CJ3" s="45">
        <v>1.499354006905981E-3</v>
      </c>
      <c r="CK3" s="45">
        <v>-7.8035198531218632E-3</v>
      </c>
      <c r="CL3" s="45">
        <v>1.0773722235700551E-2</v>
      </c>
      <c r="CM3" s="45">
        <v>2.1381453759887919E-3</v>
      </c>
      <c r="CN3" s="45">
        <v>7.0234474502226E-3</v>
      </c>
      <c r="CO3" s="45">
        <v>-1.6374706460066109E-2</v>
      </c>
      <c r="CP3" s="45">
        <v>2.661296592462753E-3</v>
      </c>
      <c r="CQ3" s="45">
        <v>-6.9274972753965566E-3</v>
      </c>
      <c r="CR3" s="45">
        <v>-4.5786681766687622E-3</v>
      </c>
      <c r="CS3" s="45">
        <v>-2.2040927713079198E-3</v>
      </c>
      <c r="CT3" s="45">
        <v>-3.7487093971901638E-3</v>
      </c>
      <c r="CU3" s="45">
        <v>-6.8773436459124114E-3</v>
      </c>
      <c r="CV3" s="45">
        <v>9.305447976897986E-4</v>
      </c>
      <c r="CW3" s="45">
        <v>-1.7538230381664618E-2</v>
      </c>
      <c r="CX3" s="45">
        <v>8.4356200660432837E-4</v>
      </c>
      <c r="CY3" s="45">
        <v>4.2074168253711667E-3</v>
      </c>
      <c r="CZ3" s="45">
        <v>-1.130524312149579E-2</v>
      </c>
      <c r="DA3" s="45">
        <v>-3.25837701495812E-3</v>
      </c>
      <c r="DB3" s="45">
        <v>1.4579091666449421E-3</v>
      </c>
      <c r="DC3" s="45">
        <v>-1.026569665467067E-3</v>
      </c>
      <c r="DD3" s="45">
        <v>7.1923353757306777E-4</v>
      </c>
      <c r="DE3" s="45">
        <v>-3.1574927923905143E-2</v>
      </c>
      <c r="DF3" s="45">
        <v>-2.9002889676333899E-2</v>
      </c>
      <c r="DG3" s="45">
        <v>1.9130540986732621E-4</v>
      </c>
      <c r="DH3" s="45">
        <v>-1.9153641395248239E-2</v>
      </c>
      <c r="DI3" s="45">
        <v>-1.057601613877961E-2</v>
      </c>
      <c r="DJ3" s="45">
        <v>-7.2497294156904767E-3</v>
      </c>
      <c r="DK3" s="45">
        <v>-1.283026423224543E-2</v>
      </c>
      <c r="DL3" s="45">
        <v>-8.7598248208097355E-3</v>
      </c>
      <c r="DM3" s="45">
        <v>-3.105754662385783E-3</v>
      </c>
      <c r="DN3" s="45">
        <v>-7.7136145703459E-4</v>
      </c>
      <c r="DO3" s="45">
        <v>-2.1247696083291149E-4</v>
      </c>
      <c r="DP3" s="45">
        <v>-8.5086976243557658E-3</v>
      </c>
      <c r="DQ3" s="45">
        <v>-6.1453362595454341E-3</v>
      </c>
      <c r="DR3" s="45">
        <v>-9.7976817317456822E-3</v>
      </c>
      <c r="DS3" s="45">
        <v>-1.0223566264486691E-3</v>
      </c>
      <c r="DT3" s="45">
        <v>-4.8198578945465111E-4</v>
      </c>
      <c r="DU3" s="45">
        <v>-3.8046228920778362E-3</v>
      </c>
      <c r="DV3" s="45">
        <v>-2.4388539731902731E-3</v>
      </c>
      <c r="DW3" s="45">
        <v>-1.594146287303922E-3</v>
      </c>
      <c r="DX3" s="45">
        <v>3.4250872581684678E-4</v>
      </c>
      <c r="DY3" s="45">
        <v>-8.2488261807627302E-3</v>
      </c>
      <c r="DZ3" s="45">
        <v>-3.0599626057786428E-3</v>
      </c>
      <c r="EA3" s="45">
        <v>-1.7228669134581629E-2</v>
      </c>
      <c r="EB3" s="45">
        <v>-6.6960271003807439E-3</v>
      </c>
      <c r="EC3" s="45">
        <v>-5.2121474967016532E-3</v>
      </c>
      <c r="ED3" s="45">
        <v>-1.3153677573674451E-2</v>
      </c>
      <c r="EE3" s="45">
        <v>-1.5124476892019789E-2</v>
      </c>
      <c r="EF3" s="45">
        <v>-2.2053516381004831E-2</v>
      </c>
    </row>
    <row r="4" spans="1:137" s="3" customFormat="1" ht="16" customHeight="1">
      <c r="A4" s="5"/>
      <c r="B4" s="44" t="s">
        <v>137</v>
      </c>
      <c r="C4" s="45">
        <v>6.1805660807030191E-3</v>
      </c>
      <c r="D4" s="45">
        <v>1.480552602881257E-2</v>
      </c>
      <c r="E4" s="45">
        <v>-6.324480702015316E-3</v>
      </c>
      <c r="F4" s="45">
        <v>-7.9034821789918438E-3</v>
      </c>
      <c r="G4" s="45">
        <v>-3.3440483605987749E-3</v>
      </c>
      <c r="H4" s="45">
        <v>-1.101096960155328E-2</v>
      </c>
      <c r="I4" s="45">
        <v>1.5573878032606681E-2</v>
      </c>
      <c r="J4" s="45">
        <v>7.4756309930159113E-3</v>
      </c>
      <c r="K4" s="45">
        <v>-4.4361146966696409E-3</v>
      </c>
      <c r="L4" s="45">
        <v>-8.5491170739413289E-3</v>
      </c>
      <c r="M4" s="45">
        <v>-9.8816579007773766E-4</v>
      </c>
      <c r="N4" s="45">
        <v>-9.807436515891243E-4</v>
      </c>
      <c r="O4" s="45">
        <v>8.7049367169996002E-3</v>
      </c>
      <c r="P4" s="45">
        <v>5.1573093288068356E-3</v>
      </c>
      <c r="Q4" s="45">
        <v>2.200268857565026E-2</v>
      </c>
      <c r="R4" s="45">
        <v>2.210457738462002E-2</v>
      </c>
      <c r="S4" s="45">
        <v>1.831217801541803E-2</v>
      </c>
      <c r="T4" s="45">
        <v>1.8629069625806689E-2</v>
      </c>
      <c r="U4" s="45">
        <v>-3.6948299329080093E-4</v>
      </c>
      <c r="V4" s="45">
        <v>6.8269073351991524E-3</v>
      </c>
      <c r="W4" s="45">
        <v>1.7937620229563939E-3</v>
      </c>
      <c r="X4" s="45">
        <v>-2.7396903717039018E-4</v>
      </c>
      <c r="Y4" s="45">
        <v>3.1389568767450769E-2</v>
      </c>
      <c r="Z4" s="45">
        <v>1.3355060863772159E-3</v>
      </c>
      <c r="AA4" s="45">
        <v>-1.3008815737596619E-2</v>
      </c>
      <c r="AB4" s="45">
        <v>1.100488855174017E-2</v>
      </c>
      <c r="AC4" s="45">
        <v>9.2102956906465108E-3</v>
      </c>
      <c r="AD4" s="45">
        <v>6.9286006463799019E-3</v>
      </c>
      <c r="AE4" s="45">
        <v>1.556411179907111E-2</v>
      </c>
      <c r="AF4" s="45">
        <v>7.4439375079923131E-5</v>
      </c>
      <c r="AG4" s="45">
        <v>9.6905661036580798E-3</v>
      </c>
      <c r="AH4" s="45">
        <v>-5.4139332823603141E-3</v>
      </c>
      <c r="AI4" s="45">
        <v>3.32984770119533E-3</v>
      </c>
      <c r="AJ4" s="45">
        <v>-3.6131810199618529E-3</v>
      </c>
      <c r="AK4" s="45">
        <v>1.325107883613676E-2</v>
      </c>
      <c r="AL4" s="45">
        <v>1.619399924994434E-3</v>
      </c>
      <c r="AM4" s="45">
        <v>5.8764556109399332E-3</v>
      </c>
      <c r="AN4" s="45">
        <v>7.1891320777480016E-3</v>
      </c>
      <c r="AO4" s="45">
        <v>9.1288764941328607E-3</v>
      </c>
      <c r="AP4" s="45">
        <v>4.7242239477869889E-4</v>
      </c>
      <c r="AQ4" s="45">
        <v>1.566020992996527E-3</v>
      </c>
      <c r="AR4" s="45">
        <v>4.5222048913195392E-3</v>
      </c>
      <c r="AS4" s="45">
        <v>5.2112039085802642E-3</v>
      </c>
      <c r="AT4" s="45">
        <v>1.8593994457655899E-4</v>
      </c>
      <c r="AU4" s="45">
        <v>1.1950426946581061E-3</v>
      </c>
      <c r="AV4" s="45">
        <v>4.671266072649817E-3</v>
      </c>
      <c r="AW4" s="45">
        <v>9.6185679437698537E-3</v>
      </c>
      <c r="AX4" s="45">
        <v>4.3414187178128843E-3</v>
      </c>
      <c r="AY4" s="45">
        <v>1.849436855321854E-3</v>
      </c>
      <c r="AZ4" s="45">
        <v>-5.0989745004675928E-3</v>
      </c>
      <c r="BA4" s="45">
        <v>4.8981787177878179E-4</v>
      </c>
      <c r="BB4" s="45">
        <v>1.975375734806461E-3</v>
      </c>
      <c r="BC4" s="45">
        <v>-4.5793677027935352E-3</v>
      </c>
      <c r="BD4" s="45">
        <v>-2.6436806543430499E-2</v>
      </c>
      <c r="BE4" s="45">
        <v>-1.6424343987201911E-2</v>
      </c>
      <c r="BF4" s="45">
        <v>-1.389668026399761E-2</v>
      </c>
      <c r="BG4" s="45">
        <v>-7.84281789336818E-3</v>
      </c>
      <c r="BH4" s="45">
        <v>-4.0440654706742681E-3</v>
      </c>
      <c r="BI4" s="45">
        <v>1.6071736351547931E-3</v>
      </c>
      <c r="BJ4" s="45">
        <v>-2.406368089544058E-2</v>
      </c>
      <c r="BK4" s="45">
        <v>-2.8710062412708342E-3</v>
      </c>
      <c r="BL4" s="45">
        <v>-1.6793677212397339E-2</v>
      </c>
      <c r="BM4" s="45">
        <v>-2.1961695704631819E-3</v>
      </c>
      <c r="BN4" s="45">
        <v>8.4385605718637351E-4</v>
      </c>
      <c r="BO4" s="45">
        <v>-3.9948738629346182E-3</v>
      </c>
      <c r="BP4" s="45">
        <v>-1.5462627345076529E-2</v>
      </c>
      <c r="BQ4" s="45">
        <v>-2.4957643547593258E-3</v>
      </c>
      <c r="BR4" s="45">
        <v>2.8460560587115192E-3</v>
      </c>
      <c r="BS4" s="45">
        <v>5.8091239406368178E-3</v>
      </c>
      <c r="BT4" s="45">
        <v>7.0464569776925688E-3</v>
      </c>
      <c r="BU4" s="45">
        <v>1.1460644142157391E-2</v>
      </c>
      <c r="BV4" s="45">
        <v>1.452966496016469E-2</v>
      </c>
      <c r="BW4" s="45">
        <v>8.2729224671806E-3</v>
      </c>
      <c r="BX4" s="45">
        <v>2.2582732465097059E-2</v>
      </c>
      <c r="BY4" s="45">
        <v>-6.8540031684795801E-3</v>
      </c>
      <c r="BZ4" s="45">
        <v>1.1197619443558829E-2</v>
      </c>
      <c r="CA4" s="45">
        <v>-1.07330913348426E-2</v>
      </c>
      <c r="CB4" s="45">
        <v>3.7061121218981717E-2</v>
      </c>
      <c r="CC4" s="45">
        <v>2.3332728800180318E-2</v>
      </c>
      <c r="CD4" s="45">
        <v>1.2526106730907229E-2</v>
      </c>
      <c r="CE4" s="45">
        <v>-3.9841656622176596E-3</v>
      </c>
      <c r="CF4" s="45">
        <v>6.3542545604086294E-3</v>
      </c>
      <c r="CG4" s="45">
        <v>-1.218646304376135E-2</v>
      </c>
      <c r="CH4" s="45">
        <v>2.9760767049230841E-3</v>
      </c>
      <c r="CI4" s="45">
        <v>1.34885457078903E-2</v>
      </c>
      <c r="CJ4" s="45">
        <v>3.8189340912665168E-4</v>
      </c>
      <c r="CK4" s="45">
        <v>-1.6958527107625569E-2</v>
      </c>
      <c r="CL4" s="45">
        <v>2.5384702723575198E-2</v>
      </c>
      <c r="CM4" s="45">
        <v>4.0789221292918216E-3</v>
      </c>
      <c r="CN4" s="45">
        <v>-1.6004466244884899E-2</v>
      </c>
      <c r="CO4" s="45">
        <v>-1.9050699138236871E-2</v>
      </c>
      <c r="CP4" s="45">
        <v>6.3498376101164856E-3</v>
      </c>
      <c r="CQ4" s="45">
        <v>2.5406170441463229E-4</v>
      </c>
      <c r="CR4" s="45">
        <v>4.6990155649894599E-4</v>
      </c>
      <c r="CS4" s="45">
        <v>6.6470683878067779E-3</v>
      </c>
      <c r="CT4" s="45">
        <v>1.312137623279816E-2</v>
      </c>
      <c r="CU4" s="45">
        <v>1.159967074470526E-2</v>
      </c>
      <c r="CV4" s="45">
        <v>4.2228286702998361E-3</v>
      </c>
      <c r="CW4" s="45">
        <v>-1.159947618637642E-2</v>
      </c>
      <c r="CX4" s="45">
        <v>1.164035676142223E-2</v>
      </c>
      <c r="CY4" s="45">
        <v>9.4536566971077114E-3</v>
      </c>
      <c r="CZ4" s="45">
        <v>-4.9653411682859536E-3</v>
      </c>
      <c r="DA4" s="45">
        <v>4.6027035563584243E-3</v>
      </c>
      <c r="DB4" s="45">
        <v>-2.2975166794556549E-4</v>
      </c>
      <c r="DC4" s="45">
        <v>1.3161641655307289E-2</v>
      </c>
      <c r="DD4" s="45">
        <v>1.134877925340794E-2</v>
      </c>
      <c r="DE4" s="45">
        <v>-5.4686294903651303E-2</v>
      </c>
      <c r="DF4" s="45">
        <v>-1.8909392666380559E-2</v>
      </c>
      <c r="DG4" s="45">
        <v>3.0039816013570329E-2</v>
      </c>
      <c r="DH4" s="45">
        <v>-5.826625603307066E-3</v>
      </c>
      <c r="DI4" s="45">
        <v>-5.5543650256335061E-4</v>
      </c>
      <c r="DJ4" s="45">
        <v>-9.7956151886955159E-4</v>
      </c>
      <c r="DK4" s="45">
        <v>-5.7354677671396133E-3</v>
      </c>
      <c r="DL4" s="45">
        <v>-2.0240608219253249E-3</v>
      </c>
      <c r="DM4" s="45">
        <v>2.4265753019895591E-3</v>
      </c>
      <c r="DN4" s="45">
        <v>2.1730263438690918E-3</v>
      </c>
      <c r="DO4" s="45">
        <v>-4.6409581156755366E-3</v>
      </c>
      <c r="DP4" s="45">
        <v>-1.087290169548141E-3</v>
      </c>
      <c r="DQ4" s="45">
        <v>-1.6084314144532491E-3</v>
      </c>
      <c r="DR4" s="45">
        <v>4.2340537885716184E-3</v>
      </c>
      <c r="DS4" s="45">
        <v>1.4086971824713791E-2</v>
      </c>
      <c r="DT4" s="45">
        <v>8.1655630093963403E-3</v>
      </c>
      <c r="DU4" s="45">
        <v>6.8406153974516128E-3</v>
      </c>
      <c r="DV4" s="45">
        <v>4.2052643760930866E-3</v>
      </c>
      <c r="DW4" s="45">
        <v>-1.283242044729569E-3</v>
      </c>
      <c r="DX4" s="45">
        <v>4.6892574326093013E-3</v>
      </c>
      <c r="DY4" s="45">
        <v>-9.6090259560707002E-3</v>
      </c>
      <c r="DZ4" s="45">
        <v>1.040352995959215E-2</v>
      </c>
      <c r="EA4" s="45">
        <v>-1.56160777472507E-2</v>
      </c>
      <c r="EB4" s="45">
        <v>1.1388865776858559E-3</v>
      </c>
      <c r="EC4" s="45">
        <v>2.510537976100363E-3</v>
      </c>
      <c r="ED4" s="45">
        <v>-6.299914814863603E-3</v>
      </c>
      <c r="EE4" s="45">
        <v>-2.4910423279647111E-3</v>
      </c>
      <c r="EF4" s="45">
        <v>-1.293319572086285E-2</v>
      </c>
      <c r="EG4" s="33"/>
    </row>
    <row r="5" spans="1:137" s="3" customFormat="1" ht="16" customHeight="1">
      <c r="A5" s="5"/>
      <c r="B5" s="44" t="s">
        <v>138</v>
      </c>
      <c r="C5" s="45">
        <v>-9.2720815219376057E-3</v>
      </c>
      <c r="D5" s="45">
        <v>-1.2857775967816639E-2</v>
      </c>
      <c r="E5" s="45">
        <v>5.0942505331649209E-3</v>
      </c>
      <c r="F5" s="45">
        <v>8.5959127074699236E-3</v>
      </c>
      <c r="G5" s="45">
        <v>5.301499727098963E-3</v>
      </c>
      <c r="H5" s="45">
        <v>1.321264651788304E-2</v>
      </c>
      <c r="I5" s="45">
        <v>-1.181116552379472E-2</v>
      </c>
      <c r="J5" s="45">
        <v>-7.1707353596390912E-3</v>
      </c>
      <c r="K5" s="45">
        <v>5.5505781413979181E-3</v>
      </c>
      <c r="L5" s="45">
        <v>9.9144932423601111E-3</v>
      </c>
      <c r="M5" s="45">
        <v>2.8331022513414272E-4</v>
      </c>
      <c r="N5" s="45">
        <v>2.5800548164126619E-3</v>
      </c>
      <c r="O5" s="45">
        <v>-5.199554967279401E-3</v>
      </c>
      <c r="P5" s="45">
        <v>-3.7408543055105548E-3</v>
      </c>
      <c r="Q5" s="45">
        <v>-2.189541731925131E-2</v>
      </c>
      <c r="R5" s="45">
        <v>-1.3699450849298991E-2</v>
      </c>
      <c r="S5" s="45">
        <v>-1.771726791431678E-2</v>
      </c>
      <c r="T5" s="45">
        <v>-1.739619939969771E-2</v>
      </c>
      <c r="U5" s="45">
        <v>4.6456539593228256E-3</v>
      </c>
      <c r="V5" s="45">
        <v>-4.1230211233283156E-3</v>
      </c>
      <c r="W5" s="45">
        <v>3.881690321894493E-3</v>
      </c>
      <c r="X5" s="45">
        <v>3.912936729499261E-3</v>
      </c>
      <c r="Y5" s="45">
        <v>-2.2536794614582339E-2</v>
      </c>
      <c r="Z5" s="45">
        <v>2.9407775894390981E-3</v>
      </c>
      <c r="AA5" s="45">
        <v>1.7070736101927449E-2</v>
      </c>
      <c r="AB5" s="45">
        <v>-1.241527947081004E-3</v>
      </c>
      <c r="AC5" s="45">
        <v>-1.444538083439762E-3</v>
      </c>
      <c r="AD5" s="45">
        <v>-3.022822751964538E-3</v>
      </c>
      <c r="AE5" s="45">
        <v>-1.329839582482131E-2</v>
      </c>
      <c r="AF5" s="45">
        <v>1.569513146463721E-3</v>
      </c>
      <c r="AG5" s="45">
        <v>-9.7780723731996731E-3</v>
      </c>
      <c r="AH5" s="45">
        <v>1.0465507389667121E-3</v>
      </c>
      <c r="AI5" s="45">
        <v>-2.3524971602993491E-3</v>
      </c>
      <c r="AJ5" s="45">
        <v>4.5019929520824101E-3</v>
      </c>
      <c r="AK5" s="45">
        <v>-1.268769466565735E-2</v>
      </c>
      <c r="AL5" s="45">
        <v>-2.7227414370811381E-3</v>
      </c>
      <c r="AM5" s="45">
        <v>-1.649094873093167E-3</v>
      </c>
      <c r="AN5" s="45">
        <v>-5.5388845630521266E-3</v>
      </c>
      <c r="AO5" s="45">
        <v>-9.669313770399016E-3</v>
      </c>
      <c r="AP5" s="45">
        <v>-4.2955989560526549E-3</v>
      </c>
      <c r="AQ5" s="45">
        <v>1.7039358687914019E-4</v>
      </c>
      <c r="AR5" s="45">
        <v>7.6438682308076916E-4</v>
      </c>
      <c r="AS5" s="45">
        <v>-6.0805486318689476E-3</v>
      </c>
      <c r="AT5" s="45">
        <v>-3.6865001427769432E-3</v>
      </c>
      <c r="AU5" s="45">
        <v>1.6999169785200029E-4</v>
      </c>
      <c r="AV5" s="45">
        <v>-4.3742122289728421E-3</v>
      </c>
      <c r="AW5" s="45">
        <v>-9.2857527420726702E-3</v>
      </c>
      <c r="AX5" s="45">
        <v>-5.4065033381094207E-3</v>
      </c>
      <c r="AY5" s="45">
        <v>-2.0943943696152129E-3</v>
      </c>
      <c r="AZ5" s="45">
        <v>2.338332321688777E-3</v>
      </c>
      <c r="BA5" s="45">
        <v>-1.516779931021161E-3</v>
      </c>
      <c r="BB5" s="45">
        <v>-2.300447863585439E-4</v>
      </c>
      <c r="BC5" s="45">
        <v>4.6813221693257426E-3</v>
      </c>
      <c r="BD5" s="45">
        <v>2.233595696628006E-2</v>
      </c>
      <c r="BE5" s="45">
        <v>1.098479634737559E-2</v>
      </c>
      <c r="BF5" s="45">
        <v>5.5338611801315236E-3</v>
      </c>
      <c r="BG5" s="45">
        <v>1.1516194161384119E-3</v>
      </c>
      <c r="BH5" s="45">
        <v>2.9980399550745178E-3</v>
      </c>
      <c r="BI5" s="45">
        <v>-4.4338713150036896E-3</v>
      </c>
      <c r="BJ5" s="45">
        <v>1.8809264922465041E-2</v>
      </c>
      <c r="BK5" s="45">
        <v>2.982042511204562E-3</v>
      </c>
      <c r="BL5" s="45">
        <v>1.8580868484981451E-2</v>
      </c>
      <c r="BM5" s="45">
        <v>1.6188369303617781E-3</v>
      </c>
      <c r="BN5" s="45">
        <v>5.8849841297927937E-4</v>
      </c>
      <c r="BO5" s="45">
        <v>3.928774851713006E-3</v>
      </c>
      <c r="BP5" s="45">
        <v>1.6934874200742928E-2</v>
      </c>
      <c r="BQ5" s="45">
        <v>7.5863615226512372E-3</v>
      </c>
      <c r="BR5" s="45">
        <v>-4.4105117829700644E-3</v>
      </c>
      <c r="BS5" s="45">
        <v>-4.6283234302615531E-3</v>
      </c>
      <c r="BT5" s="45">
        <v>-7.215947320777719E-3</v>
      </c>
      <c r="BU5" s="45">
        <v>-7.3684819425273787E-3</v>
      </c>
      <c r="BV5" s="45">
        <v>-1.129204822318732E-2</v>
      </c>
      <c r="BW5" s="45">
        <v>-6.6560423015185801E-3</v>
      </c>
      <c r="BX5" s="45">
        <v>-1.9270049845740621E-2</v>
      </c>
      <c r="BY5" s="45">
        <v>4.5417774162840197E-3</v>
      </c>
      <c r="BZ5" s="45">
        <v>-1.050515084933755E-2</v>
      </c>
      <c r="CA5" s="45">
        <v>1.2608863054173041E-2</v>
      </c>
      <c r="CB5" s="45">
        <v>-2.9254288420947721E-2</v>
      </c>
      <c r="CC5" s="45">
        <v>-1.7948689094695689E-2</v>
      </c>
      <c r="CD5" s="45">
        <v>-7.5695617872292226E-3</v>
      </c>
      <c r="CE5" s="45">
        <v>7.931412156053667E-3</v>
      </c>
      <c r="CF5" s="45">
        <v>-8.7185021420562716E-4</v>
      </c>
      <c r="CG5" s="45">
        <v>1.519126281580963E-2</v>
      </c>
      <c r="CH5" s="45">
        <v>-1.6816869808203769E-3</v>
      </c>
      <c r="CI5" s="45">
        <v>-1.1606404385700301E-2</v>
      </c>
      <c r="CJ5" s="45">
        <v>-4.3731839459216812E-5</v>
      </c>
      <c r="CK5" s="45">
        <v>1.467461380251853E-2</v>
      </c>
      <c r="CL5" s="45">
        <v>-2.4330073943653861E-2</v>
      </c>
      <c r="CM5" s="45">
        <v>-3.7776646907354962E-3</v>
      </c>
      <c r="CN5" s="45">
        <v>1.6484476268251131E-2</v>
      </c>
      <c r="CO5" s="45">
        <v>1.368498900559516E-2</v>
      </c>
      <c r="CP5" s="45">
        <v>-6.9592721677425697E-3</v>
      </c>
      <c r="CQ5" s="45">
        <v>-1.555909733587481E-3</v>
      </c>
      <c r="CR5" s="45">
        <v>-2.85478558731634E-3</v>
      </c>
      <c r="CS5" s="45">
        <v>-7.3687035507683483E-3</v>
      </c>
      <c r="CT5" s="45">
        <v>-1.777871564854994E-2</v>
      </c>
      <c r="CU5" s="45">
        <v>-9.3386460597127234E-3</v>
      </c>
      <c r="CV5" s="45">
        <v>-4.5396785068273007E-3</v>
      </c>
      <c r="CW5" s="45">
        <v>6.6800235719745469E-3</v>
      </c>
      <c r="CX5" s="45">
        <v>-1.251971923185172E-2</v>
      </c>
      <c r="CY5" s="45">
        <v>-9.2358196035783532E-3</v>
      </c>
      <c r="CZ5" s="45">
        <v>5.9842178859522202E-4</v>
      </c>
      <c r="DA5" s="45">
        <v>-1.0197636564513659E-2</v>
      </c>
      <c r="DB5" s="45">
        <v>-3.8441287234909321E-3</v>
      </c>
      <c r="DC5" s="45">
        <v>-1.28679429703643E-2</v>
      </c>
      <c r="DD5" s="45">
        <v>-1.244378275694436E-2</v>
      </c>
      <c r="DE5" s="45">
        <v>5.3282467003548051E-2</v>
      </c>
      <c r="DF5" s="45">
        <v>1.8817932798642242E-2</v>
      </c>
      <c r="DG5" s="45">
        <v>-2.8429014859437021E-2</v>
      </c>
      <c r="DH5" s="45">
        <v>4.6323767739803014E-3</v>
      </c>
      <c r="DI5" s="45">
        <v>-2.430053315400949E-3</v>
      </c>
      <c r="DJ5" s="45">
        <v>-5.3528205527448979E-3</v>
      </c>
      <c r="DK5" s="45">
        <v>2.0432778839460952E-3</v>
      </c>
      <c r="DL5" s="45">
        <v>-1.2394009654600831E-3</v>
      </c>
      <c r="DM5" s="45">
        <v>-1.6056957348525129E-3</v>
      </c>
      <c r="DN5" s="45">
        <v>-5.5056217824902666E-3</v>
      </c>
      <c r="DO5" s="45">
        <v>1.50508416709133E-3</v>
      </c>
      <c r="DP5" s="45">
        <v>3.1050876548430451E-3</v>
      </c>
      <c r="DQ5" s="45">
        <v>2.2032510265803189E-3</v>
      </c>
      <c r="DR5" s="45">
        <v>9.1037635286848396E-4</v>
      </c>
      <c r="DS5" s="45">
        <v>-1.466474034433253E-2</v>
      </c>
      <c r="DT5" s="45">
        <v>-1.096919228465367E-2</v>
      </c>
      <c r="DU5" s="45">
        <v>-7.1460902660085814E-3</v>
      </c>
      <c r="DV5" s="45">
        <v>-2.8658716061337312E-3</v>
      </c>
      <c r="DW5" s="45">
        <v>-3.8030949890645841E-3</v>
      </c>
      <c r="DX5" s="45">
        <v>-8.4604130999384481E-3</v>
      </c>
      <c r="DY5" s="45">
        <v>5.6870234517722553E-3</v>
      </c>
      <c r="DZ5" s="45">
        <v>-6.4920240836798624E-3</v>
      </c>
      <c r="EA5" s="45">
        <v>1.6170038235265659E-2</v>
      </c>
      <c r="EB5" s="45">
        <v>1.424106160308739E-3</v>
      </c>
      <c r="EC5" s="45">
        <v>-2.7632604089319261E-3</v>
      </c>
      <c r="ED5" s="45">
        <v>1.0033817527203181E-2</v>
      </c>
      <c r="EE5" s="45">
        <v>9.0011883218171461E-3</v>
      </c>
      <c r="EF5" s="45">
        <v>1.4961207089391641E-2</v>
      </c>
      <c r="EG5" s="33"/>
    </row>
    <row r="6" spans="1:137" s="3" customFormat="1" ht="16" customHeight="1">
      <c r="A6" s="5"/>
      <c r="B6" s="44" t="s">
        <v>139</v>
      </c>
      <c r="C6" s="45">
        <v>1.0365618296355079E-3</v>
      </c>
      <c r="D6" s="45">
        <v>6.6521113725324446E-3</v>
      </c>
      <c r="E6" s="45">
        <v>2.2295662467291242E-3</v>
      </c>
      <c r="F6" s="45">
        <v>-1.766160962779844E-5</v>
      </c>
      <c r="G6" s="45">
        <v>2.8454843708909308E-4</v>
      </c>
      <c r="H6" s="45">
        <v>1.942352744355175E-3</v>
      </c>
      <c r="I6" s="45">
        <v>3.2592108390776561E-3</v>
      </c>
      <c r="J6" s="45">
        <v>7.8453233186687817E-4</v>
      </c>
      <c r="K6" s="45">
        <v>4.560060740396569E-3</v>
      </c>
      <c r="L6" s="45">
        <v>-3.9836188352380224E-3</v>
      </c>
      <c r="M6" s="45">
        <v>4.3402723198647758E-4</v>
      </c>
      <c r="N6" s="45">
        <v>-5.8648575222080635E-4</v>
      </c>
      <c r="O6" s="45">
        <v>6.1698304073465882E-3</v>
      </c>
      <c r="P6" s="45">
        <v>8.3190557546558436E-3</v>
      </c>
      <c r="Q6" s="45">
        <v>6.4959130127622442E-3</v>
      </c>
      <c r="R6" s="45">
        <v>1.891647673517716E-3</v>
      </c>
      <c r="S6" s="45">
        <v>8.3987206189389159E-3</v>
      </c>
      <c r="T6" s="45">
        <v>5.8604195631080727E-3</v>
      </c>
      <c r="U6" s="45">
        <v>1.543669523706684E-3</v>
      </c>
      <c r="V6" s="45">
        <v>-1.522632388064344E-3</v>
      </c>
      <c r="W6" s="45">
        <v>2.7496859272413361E-4</v>
      </c>
      <c r="X6" s="45">
        <v>4.0303855887819616E-3</v>
      </c>
      <c r="Y6" s="45">
        <v>1.1164864516812581E-2</v>
      </c>
      <c r="Z6" s="45">
        <v>6.4675963345922792E-3</v>
      </c>
      <c r="AA6" s="45">
        <v>-4.3190572391683217E-3</v>
      </c>
      <c r="AB6" s="45">
        <v>7.9480027784935346E-4</v>
      </c>
      <c r="AC6" s="45">
        <v>-8.1456850855251618E-4</v>
      </c>
      <c r="AD6" s="45">
        <v>4.8579145079102239E-3</v>
      </c>
      <c r="AE6" s="45">
        <v>5.8616712601524019E-3</v>
      </c>
      <c r="AF6" s="45">
        <v>1.071529630848996E-3</v>
      </c>
      <c r="AG6" s="45">
        <v>7.1345781062905041E-3</v>
      </c>
      <c r="AH6" s="45">
        <v>9.7866271757120378E-3</v>
      </c>
      <c r="AI6" s="45">
        <v>5.0995599718024242E-3</v>
      </c>
      <c r="AJ6" s="45">
        <v>8.1399378255681918E-3</v>
      </c>
      <c r="AK6" s="45">
        <v>7.9203954426613973E-3</v>
      </c>
      <c r="AL6" s="45">
        <v>6.7310369780222779E-3</v>
      </c>
      <c r="AM6" s="45">
        <v>9.0529832352182534E-3</v>
      </c>
      <c r="AN6" s="45">
        <v>9.8439336296050044E-3</v>
      </c>
      <c r="AO6" s="45">
        <v>9.3542390452134184E-3</v>
      </c>
      <c r="AP6" s="45">
        <v>8.5892518908704599E-3</v>
      </c>
      <c r="AQ6" s="45">
        <v>9.7235851361394347E-3</v>
      </c>
      <c r="AR6" s="45">
        <v>9.5244476287330605E-3</v>
      </c>
      <c r="AS6" s="45">
        <v>8.4421751787949091E-3</v>
      </c>
      <c r="AT6" s="45">
        <v>6.7238907034604511E-3</v>
      </c>
      <c r="AU6" s="45">
        <v>7.8326832411776473E-3</v>
      </c>
      <c r="AV6" s="45">
        <v>5.6654966282512686E-3</v>
      </c>
      <c r="AW6" s="45">
        <v>4.7531800872138309E-3</v>
      </c>
      <c r="AX6" s="45">
        <v>3.8423734873077632E-3</v>
      </c>
      <c r="AY6" s="45">
        <v>4.5003795064744194E-3</v>
      </c>
      <c r="AZ6" s="45">
        <v>1.7770792211897E-3</v>
      </c>
      <c r="BA6" s="45">
        <v>4.4863921717465151E-3</v>
      </c>
      <c r="BB6" s="45">
        <v>1.149648775732418E-3</v>
      </c>
      <c r="BC6" s="45">
        <v>3.904894348774059E-3</v>
      </c>
      <c r="BD6" s="45">
        <v>6.8554624104602783E-3</v>
      </c>
      <c r="BE6" s="45">
        <v>8.816430496752025E-3</v>
      </c>
      <c r="BF6" s="45">
        <v>6.8215814085938187E-3</v>
      </c>
      <c r="BG6" s="45">
        <v>1.2520618390252531E-2</v>
      </c>
      <c r="BH6" s="45">
        <v>8.0111027286365877E-3</v>
      </c>
      <c r="BI6" s="45">
        <v>3.8977058173574209E-3</v>
      </c>
      <c r="BJ6" s="45">
        <v>-4.2745456436045449E-3</v>
      </c>
      <c r="BK6" s="45">
        <v>8.278712248124322E-3</v>
      </c>
      <c r="BL6" s="45">
        <v>6.5072108536401206E-3</v>
      </c>
      <c r="BM6" s="45">
        <v>-3.1160342218056902E-4</v>
      </c>
      <c r="BN6" s="45">
        <v>5.5799498909308194E-3</v>
      </c>
      <c r="BO6" s="45">
        <v>4.5815764382204447E-3</v>
      </c>
      <c r="BP6" s="45">
        <v>1.757178950853124E-3</v>
      </c>
      <c r="BQ6" s="45">
        <v>8.1986849914811365E-5</v>
      </c>
      <c r="BR6" s="45">
        <v>5.870801660944747E-3</v>
      </c>
      <c r="BS6" s="45">
        <v>4.8898673526682219E-3</v>
      </c>
      <c r="BT6" s="45">
        <v>5.292062902206243E-3</v>
      </c>
      <c r="BU6" s="45">
        <v>3.167673456979706E-3</v>
      </c>
      <c r="BV6" s="45">
        <v>1.4151762289803819E-3</v>
      </c>
      <c r="BW6" s="45">
        <v>8.5040122170991009E-3</v>
      </c>
      <c r="BX6" s="45">
        <v>8.9930533163166942E-3</v>
      </c>
      <c r="BY6" s="45">
        <v>7.4186136824861033E-3</v>
      </c>
      <c r="BZ6" s="45">
        <v>7.2171162656187336E-3</v>
      </c>
      <c r="CA6" s="45">
        <v>4.3109653835617847E-3</v>
      </c>
      <c r="CB6" s="45">
        <v>1.3180116067916499E-2</v>
      </c>
      <c r="CC6" s="45">
        <v>1.3635522025152451E-3</v>
      </c>
      <c r="CD6" s="45">
        <v>-4.8130175549831008E-4</v>
      </c>
      <c r="CE6" s="45">
        <v>2.5209061117887591E-3</v>
      </c>
      <c r="CF6" s="45">
        <v>9.2521909177737196E-4</v>
      </c>
      <c r="CG6" s="45">
        <v>-2.993035943997485E-3</v>
      </c>
      <c r="CH6" s="45">
        <v>1.4875187062359241E-3</v>
      </c>
      <c r="CI6" s="45">
        <v>7.8156711011872632E-3</v>
      </c>
      <c r="CJ6" s="45">
        <v>3.0248279379669241E-3</v>
      </c>
      <c r="CK6" s="45">
        <v>2.6380928811461819E-3</v>
      </c>
      <c r="CL6" s="45">
        <v>8.8059021243627102E-3</v>
      </c>
      <c r="CM6" s="45">
        <v>2.6546804035018729E-3</v>
      </c>
      <c r="CN6" s="45">
        <v>3.7484542401716868E-3</v>
      </c>
      <c r="CO6" s="45">
        <v>3.6902186049756289E-3</v>
      </c>
      <c r="CP6" s="45">
        <v>7.8041532093848587E-3</v>
      </c>
      <c r="CQ6" s="45">
        <v>4.2136154257409334E-3</v>
      </c>
      <c r="CR6" s="45">
        <v>1.1490455925420031E-2</v>
      </c>
      <c r="CS6" s="45">
        <v>1.0644577623377401E-2</v>
      </c>
      <c r="CT6" s="45">
        <v>3.1507448541474108E-3</v>
      </c>
      <c r="CU6" s="45">
        <v>9.3705774989905968E-3</v>
      </c>
      <c r="CV6" s="45">
        <v>8.7096008782935781E-3</v>
      </c>
      <c r="CW6" s="45">
        <v>4.0818424390744483E-3</v>
      </c>
      <c r="CX6" s="45">
        <v>1.0508158420644551E-2</v>
      </c>
      <c r="CY6" s="45">
        <v>5.7775740258774206E-3</v>
      </c>
      <c r="CZ6" s="45">
        <v>3.9967115776091654E-3</v>
      </c>
      <c r="DA6" s="45">
        <v>3.302166192038864E-3</v>
      </c>
      <c r="DB6" s="45">
        <v>1.0614536439357331E-2</v>
      </c>
      <c r="DC6" s="45">
        <v>3.6073662841928891E-3</v>
      </c>
      <c r="DD6" s="45">
        <v>7.9975775183824399E-3</v>
      </c>
      <c r="DE6" s="45">
        <v>1.171888001607988E-2</v>
      </c>
      <c r="DF6" s="45">
        <v>2.486368631869019E-3</v>
      </c>
      <c r="DG6" s="45">
        <v>5.2027153853232491E-3</v>
      </c>
      <c r="DH6" s="45">
        <v>-6.6622598942704257E-4</v>
      </c>
      <c r="DI6" s="45">
        <v>4.2183203693651004E-3</v>
      </c>
      <c r="DJ6" s="45">
        <v>1.581490665701563E-3</v>
      </c>
      <c r="DK6" s="45">
        <v>5.0211690097664973E-3</v>
      </c>
      <c r="DL6" s="45">
        <v>5.5874445833466986E-3</v>
      </c>
      <c r="DM6" s="45">
        <v>8.3006790702081345E-3</v>
      </c>
      <c r="DN6" s="45">
        <v>9.1769460359505881E-3</v>
      </c>
      <c r="DO6" s="45">
        <v>5.1272033244874763E-3</v>
      </c>
      <c r="DP6" s="45">
        <v>5.3531412581106098E-3</v>
      </c>
      <c r="DQ6" s="45">
        <v>5.3520425709941474E-3</v>
      </c>
      <c r="DR6" s="45">
        <v>1.3938841104551699E-3</v>
      </c>
      <c r="DS6" s="45">
        <v>8.557190529830767E-3</v>
      </c>
      <c r="DT6" s="45">
        <v>6.2805059049112297E-3</v>
      </c>
      <c r="DU6" s="45">
        <v>4.3852673674393454E-3</v>
      </c>
      <c r="DV6" s="45">
        <v>1.1453350499750689E-3</v>
      </c>
      <c r="DW6" s="45">
        <v>2.4908845424816391E-3</v>
      </c>
      <c r="DX6" s="45">
        <v>5.7377093002912169E-3</v>
      </c>
      <c r="DY6" s="45">
        <v>3.6245689967217788E-3</v>
      </c>
      <c r="DZ6" s="45">
        <v>8.4137107366938097E-3</v>
      </c>
      <c r="EA6" s="45">
        <v>3.0418121777092649E-3</v>
      </c>
      <c r="EB6" s="45">
        <v>5.8129607997604608E-3</v>
      </c>
      <c r="EC6" s="45">
        <v>4.953567735051582E-3</v>
      </c>
      <c r="ED6" s="45">
        <v>5.1790384476442406E-3</v>
      </c>
      <c r="EE6" s="45">
        <v>4.8989888006878363E-3</v>
      </c>
      <c r="EF6" s="45">
        <v>4.0007038624431893E-3</v>
      </c>
      <c r="EG6" s="33"/>
    </row>
    <row r="7" spans="1:137" s="3" customFormat="1" ht="16" customHeight="1">
      <c r="A7" s="5"/>
      <c r="B7" s="44" t="s">
        <v>140</v>
      </c>
      <c r="C7" s="45">
        <v>1.4917847512038629E-3</v>
      </c>
      <c r="D7" s="45">
        <v>7.9996725652344853E-3</v>
      </c>
      <c r="E7" s="45">
        <v>3.1564046684562112E-3</v>
      </c>
      <c r="F7" s="45">
        <v>1.3534022861750049E-4</v>
      </c>
      <c r="G7" s="45">
        <v>1.5726955521264321E-3</v>
      </c>
      <c r="H7" s="45">
        <v>2.727310382271217E-3</v>
      </c>
      <c r="I7" s="45">
        <v>3.2216565912497842E-3</v>
      </c>
      <c r="J7" s="45">
        <v>9.6610315306717249E-4</v>
      </c>
      <c r="K7" s="45">
        <v>5.8362784250911154E-3</v>
      </c>
      <c r="L7" s="45">
        <v>-1.623671235591814E-3</v>
      </c>
      <c r="M7" s="45">
        <v>7.4995389849107053E-4</v>
      </c>
      <c r="N7" s="45">
        <v>3.123425194868564E-3</v>
      </c>
      <c r="O7" s="45">
        <v>7.8117800834669763E-3</v>
      </c>
      <c r="P7" s="45">
        <v>9.2209321075085674E-3</v>
      </c>
      <c r="Q7" s="45">
        <v>7.3350455797731732E-3</v>
      </c>
      <c r="R7" s="45">
        <v>2.151266594510674E-3</v>
      </c>
      <c r="S7" s="45">
        <v>8.3843130727061649E-3</v>
      </c>
      <c r="T7" s="45">
        <v>6.102008652298525E-3</v>
      </c>
      <c r="U7" s="45">
        <v>1.4106755698426749E-3</v>
      </c>
      <c r="V7" s="45">
        <v>2.1219319668895759E-3</v>
      </c>
      <c r="W7" s="45">
        <v>3.4750936327427222E-3</v>
      </c>
      <c r="X7" s="45">
        <v>7.5520233640392707E-3</v>
      </c>
      <c r="Y7" s="45">
        <v>1.798026848824508E-2</v>
      </c>
      <c r="Z7" s="45">
        <v>6.6177340438404678E-3</v>
      </c>
      <c r="AA7" s="45">
        <v>-1.2658169131667841E-3</v>
      </c>
      <c r="AB7" s="45">
        <v>5.7039934435248818E-3</v>
      </c>
      <c r="AC7" s="45">
        <v>2.483961241932571E-3</v>
      </c>
      <c r="AD7" s="45">
        <v>6.3527977505933031E-3</v>
      </c>
      <c r="AE7" s="45">
        <v>7.5925081483001816E-3</v>
      </c>
      <c r="AF7" s="45">
        <v>1.2535417681526211E-3</v>
      </c>
      <c r="AG7" s="45">
        <v>8.3354665926438521E-3</v>
      </c>
      <c r="AH7" s="45">
        <v>1.2147769125945789E-2</v>
      </c>
      <c r="AI7" s="45">
        <v>5.2717740016354174E-3</v>
      </c>
      <c r="AJ7" s="45">
        <v>7.8663082646199881E-3</v>
      </c>
      <c r="AK7" s="45">
        <v>8.2739698747414901E-3</v>
      </c>
      <c r="AL7" s="45">
        <v>6.8478736982785096E-3</v>
      </c>
      <c r="AM7" s="45">
        <v>9.4179225936766638E-3</v>
      </c>
      <c r="AN7" s="45">
        <v>9.6283691679760006E-3</v>
      </c>
      <c r="AO7" s="45">
        <v>9.8073358578633692E-3</v>
      </c>
      <c r="AP7" s="45">
        <v>9.1857468494350759E-3</v>
      </c>
      <c r="AQ7" s="45">
        <v>1.089557768978807E-2</v>
      </c>
      <c r="AR7" s="45">
        <v>1.0779410587010509E-2</v>
      </c>
      <c r="AS7" s="45">
        <v>8.0887484510813006E-3</v>
      </c>
      <c r="AT7" s="45">
        <v>5.1173108943653222E-3</v>
      </c>
      <c r="AU7" s="45">
        <v>7.2203256128060399E-3</v>
      </c>
      <c r="AV7" s="45">
        <v>6.8563012699253698E-3</v>
      </c>
      <c r="AW7" s="45">
        <v>4.3445865931227958E-3</v>
      </c>
      <c r="AX7" s="45">
        <v>4.1279269391537926E-3</v>
      </c>
      <c r="AY7" s="45">
        <v>3.3536434195311311E-3</v>
      </c>
      <c r="AZ7" s="45">
        <v>-1.4037915960774579E-4</v>
      </c>
      <c r="BA7" s="45">
        <v>3.756168766574133E-3</v>
      </c>
      <c r="BB7" s="45">
        <v>1.2362159929258491E-3</v>
      </c>
      <c r="BC7" s="45">
        <v>1.485021123585086E-3</v>
      </c>
      <c r="BD7" s="45">
        <v>5.8227716652617719E-3</v>
      </c>
      <c r="BE7" s="45">
        <v>9.76216185854859E-3</v>
      </c>
      <c r="BF7" s="45">
        <v>8.9479636495550102E-3</v>
      </c>
      <c r="BG7" s="45">
        <v>1.2626908921607271E-2</v>
      </c>
      <c r="BH7" s="45">
        <v>9.5790369116007575E-3</v>
      </c>
      <c r="BI7" s="45">
        <v>5.243351662087798E-3</v>
      </c>
      <c r="BJ7" s="45">
        <v>3.1748872942662051E-3</v>
      </c>
      <c r="BK7" s="45">
        <v>1.1618255799175249E-2</v>
      </c>
      <c r="BL7" s="45">
        <v>7.0376649247221503E-3</v>
      </c>
      <c r="BM7" s="45">
        <v>2.7773971163970799E-3</v>
      </c>
      <c r="BN7" s="45">
        <v>8.52886263424899E-3</v>
      </c>
      <c r="BO7" s="45">
        <v>6.8112229687470769E-3</v>
      </c>
      <c r="BP7" s="45">
        <v>1.6943462013524911E-3</v>
      </c>
      <c r="BQ7" s="45">
        <v>3.1793250398078738E-3</v>
      </c>
      <c r="BR7" s="45">
        <v>4.317639506635192E-3</v>
      </c>
      <c r="BS7" s="45">
        <v>5.2824075050344919E-3</v>
      </c>
      <c r="BT7" s="45">
        <v>7.3995528605827728E-3</v>
      </c>
      <c r="BU7" s="45">
        <v>3.7632426126706438E-3</v>
      </c>
      <c r="BV7" s="45">
        <v>1.5867019296349071E-3</v>
      </c>
      <c r="BW7" s="45">
        <v>9.0971267510218685E-3</v>
      </c>
      <c r="BX7" s="45">
        <v>8.6665270435974991E-3</v>
      </c>
      <c r="BY7" s="45">
        <v>8.5413874726147695E-3</v>
      </c>
      <c r="BZ7" s="45">
        <v>8.6097645228999133E-3</v>
      </c>
      <c r="CA7" s="45">
        <v>1.1139788464545591E-2</v>
      </c>
      <c r="CB7" s="45">
        <v>1.4182077536064911E-2</v>
      </c>
      <c r="CC7" s="45">
        <v>4.1010817190063539E-3</v>
      </c>
      <c r="CD7" s="45">
        <v>1.668485483111843E-3</v>
      </c>
      <c r="CE7" s="45">
        <v>5.1884226074624994E-3</v>
      </c>
      <c r="CF7" s="45">
        <v>4.0941867608451079E-3</v>
      </c>
      <c r="CG7" s="45">
        <v>-1.776570892603834E-3</v>
      </c>
      <c r="CH7" s="45">
        <v>1.6839594703350019E-3</v>
      </c>
      <c r="CI7" s="45">
        <v>7.511040164232298E-3</v>
      </c>
      <c r="CJ7" s="45">
        <v>3.07150623303929E-3</v>
      </c>
      <c r="CK7" s="45">
        <v>3.0286211622733601E-3</v>
      </c>
      <c r="CL7" s="45">
        <v>1.0344175588273391E-2</v>
      </c>
      <c r="CM7" s="45">
        <v>3.4492365868154591E-3</v>
      </c>
      <c r="CN7" s="45">
        <v>5.3918087028947733E-3</v>
      </c>
      <c r="CO7" s="45">
        <v>5.0706762220531464E-3</v>
      </c>
      <c r="CP7" s="45">
        <v>1.060964005267773E-2</v>
      </c>
      <c r="CQ7" s="45">
        <v>5.7362488273400916E-3</v>
      </c>
      <c r="CR7" s="45">
        <v>1.3543009385740811E-2</v>
      </c>
      <c r="CS7" s="45">
        <v>1.3073754905389669E-2</v>
      </c>
      <c r="CT7" s="45">
        <v>8.0472446365079872E-3</v>
      </c>
      <c r="CU7" s="45">
        <v>1.229521319153069E-2</v>
      </c>
      <c r="CV7" s="45">
        <v>1.009702286202482E-2</v>
      </c>
      <c r="CW7" s="45">
        <v>7.0038167679122914E-3</v>
      </c>
      <c r="CX7" s="45">
        <v>1.1636791244466959E-2</v>
      </c>
      <c r="CY7" s="45">
        <v>6.2330930514648067E-3</v>
      </c>
      <c r="CZ7" s="45">
        <v>7.5709007438435252E-3</v>
      </c>
      <c r="DA7" s="45">
        <v>4.7241204334264016E-3</v>
      </c>
      <c r="DB7" s="45">
        <v>1.263378246823414E-2</v>
      </c>
      <c r="DC7" s="45">
        <v>8.6851464975293193E-3</v>
      </c>
      <c r="DD7" s="45">
        <v>8.3434572814881543E-3</v>
      </c>
      <c r="DE7" s="45">
        <v>8.4945844089796222E-3</v>
      </c>
      <c r="DF7" s="45">
        <v>5.688680186521515E-3</v>
      </c>
      <c r="DG7" s="45">
        <v>1.043533883002017E-2</v>
      </c>
      <c r="DH7" s="45">
        <v>1.452584735985459E-3</v>
      </c>
      <c r="DI7" s="45">
        <v>6.1377883683356813E-3</v>
      </c>
      <c r="DJ7" s="45">
        <v>4.3229991973932477E-3</v>
      </c>
      <c r="DK7" s="45">
        <v>5.6573884413415433E-3</v>
      </c>
      <c r="DL7" s="45">
        <v>4.5283919972513246E-3</v>
      </c>
      <c r="DM7" s="45">
        <v>9.2757333383593626E-3</v>
      </c>
      <c r="DN7" s="45">
        <v>9.6440967076153409E-3</v>
      </c>
      <c r="DO7" s="45">
        <v>6.3500484018918987E-3</v>
      </c>
      <c r="DP7" s="45">
        <v>6.0970049961203421E-3</v>
      </c>
      <c r="DQ7" s="45">
        <v>6.3088390917653628E-3</v>
      </c>
      <c r="DR7" s="45">
        <v>3.169780574255922E-3</v>
      </c>
      <c r="DS7" s="45">
        <v>8.6103496868190996E-3</v>
      </c>
      <c r="DT7" s="45">
        <v>8.5566526859273354E-3</v>
      </c>
      <c r="DU7" s="45">
        <v>5.4762658454753799E-3</v>
      </c>
      <c r="DV7" s="45">
        <v>2.574895004201451E-3</v>
      </c>
      <c r="DW7" s="45">
        <v>3.5685977227799459E-3</v>
      </c>
      <c r="DX7" s="45">
        <v>7.2354240474265842E-3</v>
      </c>
      <c r="DY7" s="45">
        <v>5.4886722321557174E-3</v>
      </c>
      <c r="DZ7" s="45">
        <v>1.0003493600075819E-2</v>
      </c>
      <c r="EA7" s="45">
        <v>3.24169402567113E-3</v>
      </c>
      <c r="EB7" s="45">
        <v>7.6048841885425359E-3</v>
      </c>
      <c r="EC7" s="45">
        <v>6.4774155548158532E-3</v>
      </c>
      <c r="ED7" s="45">
        <v>6.0798379408842007E-3</v>
      </c>
      <c r="EE7" s="45">
        <v>7.9050011706083105E-3</v>
      </c>
      <c r="EF7" s="45">
        <v>8.0139300925882555E-3</v>
      </c>
    </row>
    <row r="8" spans="1:137" s="3" customFormat="1" ht="16" customHeight="1">
      <c r="A8" s="50" t="s">
        <v>141</v>
      </c>
      <c r="B8" s="51"/>
      <c r="C8" s="16">
        <f t="array" ref="C8">MATCH(MAX(ABS(C3:C7)), ABS(C3:C7), 0)</f>
        <v>3</v>
      </c>
      <c r="D8" s="16">
        <f t="array" ref="D8">MATCH(MAX(ABS(D3:D7)), ABS(D3:D7), 0)</f>
        <v>2</v>
      </c>
      <c r="E8" s="16">
        <f t="array" ref="E8">MATCH(MAX(ABS(E3:E7)), ABS(E3:E7), 0)</f>
        <v>1</v>
      </c>
      <c r="F8" s="16">
        <f t="array" ref="F8">MATCH(MAX(ABS(F3:F7)), ABS(F3:F7), 0)</f>
        <v>1</v>
      </c>
      <c r="G8" s="16">
        <f t="array" ref="G8">MATCH(MAX(ABS(G3:G7)), ABS(G3:G7), 0)</f>
        <v>1</v>
      </c>
      <c r="H8" s="16">
        <f t="array" ref="H8">MATCH(MAX(ABS(H3:H7)), ABS(H3:H7), 0)</f>
        <v>1</v>
      </c>
      <c r="I8" s="16">
        <f t="array" ref="I8">MATCH(MAX(ABS(I3:I7)), ABS(I3:I7), 0)</f>
        <v>2</v>
      </c>
      <c r="J8" s="16">
        <f t="array" ref="J8">MATCH(MAX(ABS(J3:J7)), ABS(J3:J7), 0)</f>
        <v>2</v>
      </c>
      <c r="K8" s="16">
        <f t="array" ref="K8">MATCH(MAX(ABS(K3:K7)), ABS(K3:K7), 0)</f>
        <v>5</v>
      </c>
      <c r="L8" s="16">
        <f t="array" ref="L8">MATCH(MAX(ABS(L3:L7)), ABS(L3:L7), 0)</f>
        <v>1</v>
      </c>
      <c r="M8" s="16">
        <f t="array" ref="M8">MATCH(MAX(ABS(M3:M7)), ABS(M3:M7), 0)</f>
        <v>2</v>
      </c>
      <c r="N8" s="16">
        <f t="array" ref="N8">MATCH(MAX(ABS(N3:N7)), ABS(N3:N7), 0)</f>
        <v>1</v>
      </c>
      <c r="O8" s="16">
        <f t="array" ref="O8">MATCH(MAX(ABS(O3:O7)), ABS(O3:O7), 0)</f>
        <v>1</v>
      </c>
      <c r="P8" s="16">
        <f t="array" ref="P8">MATCH(MAX(ABS(P3:P7)), ABS(P3:P7), 0)</f>
        <v>5</v>
      </c>
      <c r="Q8" s="16">
        <f t="array" ref="Q8">MATCH(MAX(ABS(Q3:Q7)), ABS(Q3:Q7), 0)</f>
        <v>2</v>
      </c>
      <c r="R8" s="16">
        <f t="array" ref="R8">MATCH(MAX(ABS(R3:R7)), ABS(R3:R7), 0)</f>
        <v>2</v>
      </c>
      <c r="S8" s="16">
        <f t="array" ref="S8">MATCH(MAX(ABS(S3:S7)), ABS(S3:S7), 0)</f>
        <v>2</v>
      </c>
      <c r="T8" s="16">
        <f t="array" ref="T8">MATCH(MAX(ABS(T3:T7)), ABS(T3:T7), 0)</f>
        <v>2</v>
      </c>
      <c r="U8" s="16">
        <f t="array" ref="U8">MATCH(MAX(ABS(U3:U7)), ABS(U3:U7), 0)</f>
        <v>1</v>
      </c>
      <c r="V8" s="16">
        <f t="array" ref="V8">MATCH(MAX(ABS(V3:V7)), ABS(V3:V7), 0)</f>
        <v>1</v>
      </c>
      <c r="W8" s="16">
        <f t="array" ref="W8">MATCH(MAX(ABS(W3:W7)), ABS(W3:W7), 0)</f>
        <v>1</v>
      </c>
      <c r="X8" s="16">
        <f t="array" ref="X8">MATCH(MAX(ABS(X3:X7)), ABS(X3:X7), 0)</f>
        <v>5</v>
      </c>
      <c r="Y8" s="16">
        <f t="array" ref="Y8">MATCH(MAX(ABS(Y3:Y7)), ABS(Y3:Y7), 0)</f>
        <v>2</v>
      </c>
      <c r="Z8" s="16">
        <f t="array" ref="Z8">MATCH(MAX(ABS(Z3:Z7)), ABS(Z3:Z7), 0)</f>
        <v>1</v>
      </c>
      <c r="AA8" s="16">
        <f t="array" ref="AA8">MATCH(MAX(ABS(AA3:AA7)), ABS(AA3:AA7), 0)</f>
        <v>1</v>
      </c>
      <c r="AB8" s="16">
        <f t="array" ref="AB8">MATCH(MAX(ABS(AB3:AB7)), ABS(AB3:AB7), 0)</f>
        <v>1</v>
      </c>
      <c r="AC8" s="16">
        <f t="array" ref="AC8">MATCH(MAX(ABS(AC3:AC7)), ABS(AC3:AC7), 0)</f>
        <v>1</v>
      </c>
      <c r="AD8" s="16">
        <f t="array" ref="AD8">MATCH(MAX(ABS(AD3:AD7)), ABS(AD3:AD7), 0)</f>
        <v>2</v>
      </c>
      <c r="AE8" s="16">
        <f t="array" ref="AE8">MATCH(MAX(ABS(AE3:AE7)), ABS(AE3:AE7), 0)</f>
        <v>2</v>
      </c>
      <c r="AF8" s="16">
        <f t="array" ref="AF8">MATCH(MAX(ABS(AF3:AF7)), ABS(AF3:AF7), 0)</f>
        <v>1</v>
      </c>
      <c r="AG8" s="16">
        <f t="array" ref="AG8">MATCH(MAX(ABS(AG3:AG7)), ABS(AG3:AG7), 0)</f>
        <v>3</v>
      </c>
      <c r="AH8" s="16">
        <f t="array" ref="AH8">MATCH(MAX(ABS(AH3:AH7)), ABS(AH3:AH7), 0)</f>
        <v>5</v>
      </c>
      <c r="AI8" s="16">
        <f t="array" ref="AI8">MATCH(MAX(ABS(AI3:AI7)), ABS(AI3:AI7), 0)</f>
        <v>5</v>
      </c>
      <c r="AJ8" s="16">
        <f t="array" ref="AJ8">MATCH(MAX(ABS(AJ3:AJ7)), ABS(AJ3:AJ7), 0)</f>
        <v>4</v>
      </c>
      <c r="AK8" s="16">
        <f t="array" ref="AK8">MATCH(MAX(ABS(AK3:AK7)), ABS(AK3:AK7), 0)</f>
        <v>2</v>
      </c>
      <c r="AL8" s="16">
        <f t="array" ref="AL8">MATCH(MAX(ABS(AL3:AL7)), ABS(AL3:AL7), 0)</f>
        <v>5</v>
      </c>
      <c r="AM8" s="16">
        <f t="array" ref="AM8">MATCH(MAX(ABS(AM3:AM7)), ABS(AM3:AM7), 0)</f>
        <v>5</v>
      </c>
      <c r="AN8" s="16">
        <f t="array" ref="AN8">MATCH(MAX(ABS(AN3:AN7)), ABS(AN3:AN7), 0)</f>
        <v>4</v>
      </c>
      <c r="AO8" s="16">
        <f t="array" ref="AO8">MATCH(MAX(ABS(AO3:AO7)), ABS(AO3:AO7), 0)</f>
        <v>5</v>
      </c>
      <c r="AP8" s="16">
        <f t="array" ref="AP8">MATCH(MAX(ABS(AP3:AP7)), ABS(AP3:AP7), 0)</f>
        <v>1</v>
      </c>
      <c r="AQ8" s="16">
        <f t="array" ref="AQ8">MATCH(MAX(ABS(AQ3:AQ7)), ABS(AQ3:AQ7), 0)</f>
        <v>1</v>
      </c>
      <c r="AR8" s="16">
        <f t="array" ref="AR8">MATCH(MAX(ABS(AR3:AR7)), ABS(AR3:AR7), 0)</f>
        <v>5</v>
      </c>
      <c r="AS8" s="16">
        <f t="array" ref="AS8">MATCH(MAX(ABS(AS3:AS7)), ABS(AS3:AS7), 0)</f>
        <v>4</v>
      </c>
      <c r="AT8" s="16">
        <f t="array" ref="AT8">MATCH(MAX(ABS(AT3:AT7)), ABS(AT3:AT7), 0)</f>
        <v>1</v>
      </c>
      <c r="AU8" s="16">
        <f t="array" ref="AU8">MATCH(MAX(ABS(AU3:AU7)), ABS(AU3:AU7), 0)</f>
        <v>1</v>
      </c>
      <c r="AV8" s="16">
        <f t="array" ref="AV8">MATCH(MAX(ABS(AV3:AV7)), ABS(AV3:AV7), 0)</f>
        <v>5</v>
      </c>
      <c r="AW8" s="16">
        <f t="array" ref="AW8">MATCH(MAX(ABS(AW3:AW7)), ABS(AW3:AW7), 0)</f>
        <v>2</v>
      </c>
      <c r="AX8" s="16">
        <f t="array" ref="AX8">MATCH(MAX(ABS(AX3:AX7)), ABS(AX3:AX7), 0)</f>
        <v>3</v>
      </c>
      <c r="AY8" s="16">
        <f t="array" ref="AY8">MATCH(MAX(ABS(AY3:AY7)), ABS(AY3:AY7), 0)</f>
        <v>4</v>
      </c>
      <c r="AZ8" s="16">
        <f t="array" ref="AZ8">MATCH(MAX(ABS(AZ3:AZ7)), ABS(AZ3:AZ7), 0)</f>
        <v>2</v>
      </c>
      <c r="BA8" s="16">
        <f t="array" ref="BA8">MATCH(MAX(ABS(BA3:BA7)), ABS(BA3:BA7), 0)</f>
        <v>4</v>
      </c>
      <c r="BB8" s="16">
        <f t="array" ref="BB8">MATCH(MAX(ABS(BB3:BB7)), ABS(BB3:BB7), 0)</f>
        <v>1</v>
      </c>
      <c r="BC8" s="16">
        <f t="array" ref="BC8">MATCH(MAX(ABS(BC3:BC7)), ABS(BC3:BC7), 0)</f>
        <v>1</v>
      </c>
      <c r="BD8" s="16">
        <f t="array" ref="BD8">MATCH(MAX(ABS(BD3:BD7)), ABS(BD3:BD7), 0)</f>
        <v>2</v>
      </c>
      <c r="BE8" s="16">
        <f t="array" ref="BE8">MATCH(MAX(ABS(BE3:BE7)), ABS(BE3:BE7), 0)</f>
        <v>2</v>
      </c>
      <c r="BF8" s="16">
        <f t="array" ref="BF8">MATCH(MAX(ABS(BF3:BF7)), ABS(BF3:BF7), 0)</f>
        <v>2</v>
      </c>
      <c r="BG8" s="16">
        <f t="array" ref="BG8">MATCH(MAX(ABS(BG3:BG7)), ABS(BG3:BG7), 0)</f>
        <v>5</v>
      </c>
      <c r="BH8" s="16">
        <f t="array" ref="BH8">MATCH(MAX(ABS(BH3:BH7)), ABS(BH3:BH7), 0)</f>
        <v>5</v>
      </c>
      <c r="BI8" s="16">
        <f t="array" ref="BI8">MATCH(MAX(ABS(BI3:BI7)), ABS(BI3:BI7), 0)</f>
        <v>5</v>
      </c>
      <c r="BJ8" s="16">
        <f t="array" ref="BJ8">MATCH(MAX(ABS(BJ3:BJ7)), ABS(BJ3:BJ7), 0)</f>
        <v>2</v>
      </c>
      <c r="BK8" s="16">
        <f t="array" ref="BK8">MATCH(MAX(ABS(BK3:BK7)), ABS(BK3:BK7), 0)</f>
        <v>5</v>
      </c>
      <c r="BL8" s="16">
        <f t="array" ref="BL8">MATCH(MAX(ABS(BL3:BL7)), ABS(BL3:BL7), 0)</f>
        <v>1</v>
      </c>
      <c r="BM8" s="16">
        <f t="array" ref="BM8">MATCH(MAX(ABS(BM3:BM7)), ABS(BM3:BM7), 0)</f>
        <v>5</v>
      </c>
      <c r="BN8" s="16">
        <f t="array" ref="BN8">MATCH(MAX(ABS(BN3:BN7)), ABS(BN3:BN7), 0)</f>
        <v>5</v>
      </c>
      <c r="BO8" s="16">
        <f t="array" ref="BO8">MATCH(MAX(ABS(BO3:BO7)), ABS(BO3:BO7), 0)</f>
        <v>5</v>
      </c>
      <c r="BP8" s="16">
        <f t="array" ref="BP8">MATCH(MAX(ABS(BP3:BP7)), ABS(BP3:BP7), 0)</f>
        <v>1</v>
      </c>
      <c r="BQ8" s="16">
        <f t="array" ref="BQ8">MATCH(MAX(ABS(BQ3:BQ7)), ABS(BQ3:BQ7), 0)</f>
        <v>1</v>
      </c>
      <c r="BR8" s="16">
        <f t="array" ref="BR8">MATCH(MAX(ABS(BR3:BR7)), ABS(BR3:BR7), 0)</f>
        <v>4</v>
      </c>
      <c r="BS8" s="16">
        <f t="array" ref="BS8">MATCH(MAX(ABS(BS3:BS7)), ABS(BS3:BS7), 0)</f>
        <v>2</v>
      </c>
      <c r="BT8" s="16">
        <f t="array" ref="BT8">MATCH(MAX(ABS(BT3:BT7)), ABS(BT3:BT7), 0)</f>
        <v>5</v>
      </c>
      <c r="BU8" s="16">
        <f t="array" ref="BU8">MATCH(MAX(ABS(BU3:BU7)), ABS(BU3:BU7), 0)</f>
        <v>2</v>
      </c>
      <c r="BV8" s="16">
        <f t="array" ref="BV8">MATCH(MAX(ABS(BV3:BV7)), ABS(BV3:BV7), 0)</f>
        <v>2</v>
      </c>
      <c r="BW8" s="16">
        <f t="array" ref="BW8">MATCH(MAX(ABS(BW3:BW7)), ABS(BW3:BW7), 0)</f>
        <v>1</v>
      </c>
      <c r="BX8" s="16">
        <f t="array" ref="BX8">MATCH(MAX(ABS(BX3:BX7)), ABS(BX3:BX7), 0)</f>
        <v>2</v>
      </c>
      <c r="BY8" s="16">
        <f t="array" ref="BY8">MATCH(MAX(ABS(BY3:BY7)), ABS(BY3:BY7), 0)</f>
        <v>1</v>
      </c>
      <c r="BZ8" s="16">
        <f t="array" ref="BZ8">MATCH(MAX(ABS(BZ3:BZ7)), ABS(BZ3:BZ7), 0)</f>
        <v>2</v>
      </c>
      <c r="CA8" s="16">
        <f t="array" ref="CA8">MATCH(MAX(ABS(CA3:CA7)), ABS(CA3:CA7), 0)</f>
        <v>3</v>
      </c>
      <c r="CB8" s="16">
        <f t="array" ref="CB8">MATCH(MAX(ABS(CB3:CB7)), ABS(CB3:CB7), 0)</f>
        <v>2</v>
      </c>
      <c r="CC8" s="16">
        <f t="array" ref="CC8">MATCH(MAX(ABS(CC3:CC7)), ABS(CC3:CC7), 0)</f>
        <v>2</v>
      </c>
      <c r="CD8" s="16">
        <f t="array" ref="CD8">MATCH(MAX(ABS(CD3:CD7)), ABS(CD3:CD7), 0)</f>
        <v>2</v>
      </c>
      <c r="CE8" s="16">
        <f t="array" ref="CE8">MATCH(MAX(ABS(CE3:CE7)), ABS(CE3:CE7), 0)</f>
        <v>3</v>
      </c>
      <c r="CF8" s="16">
        <f t="array" ref="CF8">MATCH(MAX(ABS(CF3:CF7)), ABS(CF3:CF7), 0)</f>
        <v>1</v>
      </c>
      <c r="CG8" s="16">
        <f t="array" ref="CG8">MATCH(MAX(ABS(CG3:CG7)), ABS(CG3:CG7), 0)</f>
        <v>3</v>
      </c>
      <c r="CH8" s="16">
        <f t="array" ref="CH8">MATCH(MAX(ABS(CH3:CH7)), ABS(CH3:CH7), 0)</f>
        <v>1</v>
      </c>
      <c r="CI8" s="16">
        <f t="array" ref="CI8">MATCH(MAX(ABS(CI3:CI7)), ABS(CI3:CI7), 0)</f>
        <v>2</v>
      </c>
      <c r="CJ8" s="16">
        <f t="array" ref="CJ8">MATCH(MAX(ABS(CJ3:CJ7)), ABS(CJ3:CJ7), 0)</f>
        <v>5</v>
      </c>
      <c r="CK8" s="16">
        <f t="array" ref="CK8">MATCH(MAX(ABS(CK3:CK7)), ABS(CK3:CK7), 0)</f>
        <v>2</v>
      </c>
      <c r="CL8" s="16">
        <f t="array" ref="CL8">MATCH(MAX(ABS(CL3:CL7)), ABS(CL3:CL7), 0)</f>
        <v>2</v>
      </c>
      <c r="CM8" s="16">
        <f t="array" ref="CM8">MATCH(MAX(ABS(CM3:CM7)), ABS(CM3:CM7), 0)</f>
        <v>2</v>
      </c>
      <c r="CN8" s="16">
        <f t="array" ref="CN8">MATCH(MAX(ABS(CN3:CN7)), ABS(CN3:CN7), 0)</f>
        <v>3</v>
      </c>
      <c r="CO8" s="16">
        <f t="array" ref="CO8">MATCH(MAX(ABS(CO3:CO7)), ABS(CO3:CO7), 0)</f>
        <v>2</v>
      </c>
      <c r="CP8" s="16">
        <f t="array" ref="CP8">MATCH(MAX(ABS(CP3:CP7)), ABS(CP3:CP7), 0)</f>
        <v>5</v>
      </c>
      <c r="CQ8" s="16">
        <f t="array" ref="CQ8">MATCH(MAX(ABS(CQ3:CQ7)), ABS(CQ3:CQ7), 0)</f>
        <v>1</v>
      </c>
      <c r="CR8" s="16">
        <f t="array" ref="CR8">MATCH(MAX(ABS(CR3:CR7)), ABS(CR3:CR7), 0)</f>
        <v>5</v>
      </c>
      <c r="CS8" s="16">
        <f t="array" ref="CS8">MATCH(MAX(ABS(CS3:CS7)), ABS(CS3:CS7), 0)</f>
        <v>5</v>
      </c>
      <c r="CT8" s="16">
        <f t="array" ref="CT8">MATCH(MAX(ABS(CT3:CT7)), ABS(CT3:CT7), 0)</f>
        <v>3</v>
      </c>
      <c r="CU8" s="16">
        <f t="array" ref="CU8">MATCH(MAX(ABS(CU3:CU7)), ABS(CU3:CU7), 0)</f>
        <v>5</v>
      </c>
      <c r="CV8" s="16">
        <f t="array" ref="CV8">MATCH(MAX(ABS(CV3:CV7)), ABS(CV3:CV7), 0)</f>
        <v>5</v>
      </c>
      <c r="CW8" s="16">
        <f t="array" ref="CW8">MATCH(MAX(ABS(CW3:CW7)), ABS(CW3:CW7), 0)</f>
        <v>1</v>
      </c>
      <c r="CX8" s="16">
        <f t="array" ref="CX8">MATCH(MAX(ABS(CX3:CX7)), ABS(CX3:CX7), 0)</f>
        <v>3</v>
      </c>
      <c r="CY8" s="16">
        <f t="array" ref="CY8">MATCH(MAX(ABS(CY3:CY7)), ABS(CY3:CY7), 0)</f>
        <v>2</v>
      </c>
      <c r="CZ8" s="16">
        <f t="array" ref="CZ8">MATCH(MAX(ABS(CZ3:CZ7)), ABS(CZ3:CZ7), 0)</f>
        <v>1</v>
      </c>
      <c r="DA8" s="16">
        <f t="array" ref="DA8">MATCH(MAX(ABS(DA3:DA7)), ABS(DA3:DA7), 0)</f>
        <v>3</v>
      </c>
      <c r="DB8" s="16">
        <f t="array" ref="DB8">MATCH(MAX(ABS(DB3:DB7)), ABS(DB3:DB7), 0)</f>
        <v>5</v>
      </c>
      <c r="DC8" s="16">
        <f t="array" ref="DC8">MATCH(MAX(ABS(DC3:DC7)), ABS(DC3:DC7), 0)</f>
        <v>2</v>
      </c>
      <c r="DD8" s="16">
        <f t="array" ref="DD8">MATCH(MAX(ABS(DD3:DD7)), ABS(DD3:DD7), 0)</f>
        <v>3</v>
      </c>
      <c r="DE8" s="16">
        <f t="array" ref="DE8">MATCH(MAX(ABS(DE3:DE7)), ABS(DE3:DE7), 0)</f>
        <v>2</v>
      </c>
      <c r="DF8" s="16">
        <f t="array" ref="DF8">MATCH(MAX(ABS(DF3:DF7)), ABS(DF3:DF7), 0)</f>
        <v>1</v>
      </c>
      <c r="DG8" s="16">
        <f t="array" ref="DG8">MATCH(MAX(ABS(DG3:DG7)), ABS(DG3:DG7), 0)</f>
        <v>2</v>
      </c>
      <c r="DH8" s="16">
        <f t="array" ref="DH8">MATCH(MAX(ABS(DH3:DH7)), ABS(DH3:DH7), 0)</f>
        <v>1</v>
      </c>
      <c r="DI8" s="16">
        <f t="array" ref="DI8">MATCH(MAX(ABS(DI3:DI7)), ABS(DI3:DI7), 0)</f>
        <v>1</v>
      </c>
      <c r="DJ8" s="16">
        <f t="array" ref="DJ8">MATCH(MAX(ABS(DJ3:DJ7)), ABS(DJ3:DJ7), 0)</f>
        <v>1</v>
      </c>
      <c r="DK8" s="16">
        <f t="array" ref="DK8">MATCH(MAX(ABS(DK3:DK7)), ABS(DK3:DK7), 0)</f>
        <v>1</v>
      </c>
      <c r="DL8" s="16">
        <f t="array" ref="DL8">MATCH(MAX(ABS(DL3:DL7)), ABS(DL3:DL7), 0)</f>
        <v>1</v>
      </c>
      <c r="DM8" s="16">
        <f t="array" ref="DM8">MATCH(MAX(ABS(DM3:DM7)), ABS(DM3:DM7), 0)</f>
        <v>5</v>
      </c>
      <c r="DN8" s="16">
        <f t="array" ref="DN8">MATCH(MAX(ABS(DN3:DN7)), ABS(DN3:DN7), 0)</f>
        <v>5</v>
      </c>
      <c r="DO8" s="16">
        <f t="array" ref="DO8">MATCH(MAX(ABS(DO3:DO7)), ABS(DO3:DO7), 0)</f>
        <v>5</v>
      </c>
      <c r="DP8" s="16">
        <f t="array" ref="DP8">MATCH(MAX(ABS(DP3:DP7)), ABS(DP3:DP7), 0)</f>
        <v>1</v>
      </c>
      <c r="DQ8" s="16">
        <f t="array" ref="DQ8">MATCH(MAX(ABS(DQ3:DQ7)), ABS(DQ3:DQ7), 0)</f>
        <v>5</v>
      </c>
      <c r="DR8" s="16">
        <f t="array" ref="DR8">MATCH(MAX(ABS(DR3:DR7)), ABS(DR3:DR7), 0)</f>
        <v>1</v>
      </c>
      <c r="DS8" s="16">
        <f t="array" ref="DS8">MATCH(MAX(ABS(DS3:DS7)), ABS(DS3:DS7), 0)</f>
        <v>3</v>
      </c>
      <c r="DT8" s="16">
        <f t="array" ref="DT8">MATCH(MAX(ABS(DT3:DT7)), ABS(DT3:DT7), 0)</f>
        <v>3</v>
      </c>
      <c r="DU8" s="16">
        <f t="array" ref="DU8">MATCH(MAX(ABS(DU3:DU7)), ABS(DU3:DU7), 0)</f>
        <v>3</v>
      </c>
      <c r="DV8" s="16">
        <f t="array" ref="DV8">MATCH(MAX(ABS(DV3:DV7)), ABS(DV3:DV7), 0)</f>
        <v>2</v>
      </c>
      <c r="DW8" s="16">
        <f t="array" ref="DW8">MATCH(MAX(ABS(DW3:DW7)), ABS(DW3:DW7), 0)</f>
        <v>3</v>
      </c>
      <c r="DX8" s="16">
        <f t="array" ref="DX8">MATCH(MAX(ABS(DX3:DX7)), ABS(DX3:DX7), 0)</f>
        <v>3</v>
      </c>
      <c r="DY8" s="16">
        <f t="array" ref="DY8">MATCH(MAX(ABS(DY3:DY7)), ABS(DY3:DY7), 0)</f>
        <v>2</v>
      </c>
      <c r="DZ8" s="16">
        <f t="array" ref="DZ8">MATCH(MAX(ABS(DZ3:DZ7)), ABS(DZ3:DZ7), 0)</f>
        <v>2</v>
      </c>
      <c r="EA8" s="16">
        <f t="array" ref="EA8">MATCH(MAX(ABS(EA3:EA7)), ABS(EA3:EA7), 0)</f>
        <v>1</v>
      </c>
      <c r="EB8" s="16">
        <f t="array" ref="EB8">MATCH(MAX(ABS(EB3:EB7)), ABS(EB3:EB7), 0)</f>
        <v>5</v>
      </c>
      <c r="EC8" s="16">
        <f t="array" ref="EC8">MATCH(MAX(ABS(EC3:EC7)), ABS(EC3:EC7), 0)</f>
        <v>5</v>
      </c>
      <c r="ED8" s="16">
        <f t="array" ref="ED8">MATCH(MAX(ABS(ED3:ED7)), ABS(ED3:ED7), 0)</f>
        <v>1</v>
      </c>
      <c r="EE8" s="16">
        <f t="array" ref="EE8">MATCH(MAX(ABS(EE3:EE7)), ABS(EE3:EE7), 0)</f>
        <v>1</v>
      </c>
      <c r="EF8" s="16">
        <f t="array" ref="EF8">MATCH(MAX(ABS(EF3:EF7)), ABS(EF3:EF7), 0)</f>
        <v>1</v>
      </c>
    </row>
    <row r="9" spans="1:137" s="3" customFormat="1" ht="16" customHeight="1">
      <c r="A9" s="5"/>
      <c r="B9" s="14"/>
      <c r="C9" s="16" t="str">
        <f t="shared" ref="C9:AH9" si="0">IF(C8=1,"mom1",
IF(C8=2,"mom12",
IF(C8=3,"chmom",
IF(C8=4,"retvol",
IF(C8=5,"maxret","")))))</f>
        <v>chmom</v>
      </c>
      <c r="D9" s="16" t="str">
        <f t="shared" si="0"/>
        <v>mom12</v>
      </c>
      <c r="E9" s="16" t="str">
        <f t="shared" si="0"/>
        <v>mom1</v>
      </c>
      <c r="F9" s="16" t="str">
        <f t="shared" si="0"/>
        <v>mom1</v>
      </c>
      <c r="G9" s="16" t="str">
        <f t="shared" si="0"/>
        <v>mom1</v>
      </c>
      <c r="H9" s="16" t="str">
        <f t="shared" si="0"/>
        <v>mom1</v>
      </c>
      <c r="I9" s="16" t="str">
        <f t="shared" si="0"/>
        <v>mom12</v>
      </c>
      <c r="J9" s="16" t="str">
        <f t="shared" si="0"/>
        <v>mom12</v>
      </c>
      <c r="K9" s="16" t="str">
        <f t="shared" si="0"/>
        <v>maxret</v>
      </c>
      <c r="L9" s="16" t="str">
        <f t="shared" si="0"/>
        <v>mom1</v>
      </c>
      <c r="M9" s="16" t="str">
        <f t="shared" si="0"/>
        <v>mom12</v>
      </c>
      <c r="N9" s="16" t="str">
        <f t="shared" si="0"/>
        <v>mom1</v>
      </c>
      <c r="O9" s="16" t="str">
        <f t="shared" si="0"/>
        <v>mom1</v>
      </c>
      <c r="P9" s="16" t="str">
        <f t="shared" si="0"/>
        <v>maxret</v>
      </c>
      <c r="Q9" s="16" t="str">
        <f t="shared" si="0"/>
        <v>mom12</v>
      </c>
      <c r="R9" s="16" t="str">
        <f t="shared" si="0"/>
        <v>mom12</v>
      </c>
      <c r="S9" s="16" t="str">
        <f t="shared" si="0"/>
        <v>mom12</v>
      </c>
      <c r="T9" s="16" t="str">
        <f t="shared" si="0"/>
        <v>mom12</v>
      </c>
      <c r="U9" s="16" t="str">
        <f t="shared" si="0"/>
        <v>mom1</v>
      </c>
      <c r="V9" s="16" t="str">
        <f t="shared" si="0"/>
        <v>mom1</v>
      </c>
      <c r="W9" s="16" t="str">
        <f t="shared" si="0"/>
        <v>mom1</v>
      </c>
      <c r="X9" s="16" t="str">
        <f t="shared" si="0"/>
        <v>maxret</v>
      </c>
      <c r="Y9" s="16" t="str">
        <f t="shared" si="0"/>
        <v>mom12</v>
      </c>
      <c r="Z9" s="16" t="str">
        <f t="shared" si="0"/>
        <v>mom1</v>
      </c>
      <c r="AA9" s="16" t="str">
        <f t="shared" si="0"/>
        <v>mom1</v>
      </c>
      <c r="AB9" s="16" t="str">
        <f t="shared" si="0"/>
        <v>mom1</v>
      </c>
      <c r="AC9" s="16" t="str">
        <f t="shared" si="0"/>
        <v>mom1</v>
      </c>
      <c r="AD9" s="16" t="str">
        <f t="shared" si="0"/>
        <v>mom12</v>
      </c>
      <c r="AE9" s="16" t="str">
        <f t="shared" si="0"/>
        <v>mom12</v>
      </c>
      <c r="AF9" s="16" t="str">
        <f t="shared" si="0"/>
        <v>mom1</v>
      </c>
      <c r="AG9" s="16" t="str">
        <f t="shared" si="0"/>
        <v>chmom</v>
      </c>
      <c r="AH9" s="16" t="str">
        <f t="shared" si="0"/>
        <v>maxret</v>
      </c>
      <c r="AI9" s="16" t="str">
        <f t="shared" ref="AI9:BN9" si="1">IF(AI8=1,"mom1",
IF(AI8=2,"mom12",
IF(AI8=3,"chmom",
IF(AI8=4,"retvol",
IF(AI8=5,"maxret","")))))</f>
        <v>maxret</v>
      </c>
      <c r="AJ9" s="16" t="str">
        <f t="shared" si="1"/>
        <v>retvol</v>
      </c>
      <c r="AK9" s="16" t="str">
        <f t="shared" si="1"/>
        <v>mom12</v>
      </c>
      <c r="AL9" s="16" t="str">
        <f t="shared" si="1"/>
        <v>maxret</v>
      </c>
      <c r="AM9" s="16" t="str">
        <f t="shared" si="1"/>
        <v>maxret</v>
      </c>
      <c r="AN9" s="16" t="str">
        <f t="shared" si="1"/>
        <v>retvol</v>
      </c>
      <c r="AO9" s="16" t="str">
        <f t="shared" si="1"/>
        <v>maxret</v>
      </c>
      <c r="AP9" s="16" t="str">
        <f t="shared" si="1"/>
        <v>mom1</v>
      </c>
      <c r="AQ9" s="16" t="str">
        <f t="shared" si="1"/>
        <v>mom1</v>
      </c>
      <c r="AR9" s="16" t="str">
        <f t="shared" si="1"/>
        <v>maxret</v>
      </c>
      <c r="AS9" s="16" t="str">
        <f t="shared" si="1"/>
        <v>retvol</v>
      </c>
      <c r="AT9" s="16" t="str">
        <f t="shared" si="1"/>
        <v>mom1</v>
      </c>
      <c r="AU9" s="16" t="str">
        <f t="shared" si="1"/>
        <v>mom1</v>
      </c>
      <c r="AV9" s="16" t="str">
        <f t="shared" si="1"/>
        <v>maxret</v>
      </c>
      <c r="AW9" s="16" t="str">
        <f t="shared" si="1"/>
        <v>mom12</v>
      </c>
      <c r="AX9" s="16" t="str">
        <f t="shared" si="1"/>
        <v>chmom</v>
      </c>
      <c r="AY9" s="16" t="str">
        <f t="shared" si="1"/>
        <v>retvol</v>
      </c>
      <c r="AZ9" s="16" t="str">
        <f t="shared" si="1"/>
        <v>mom12</v>
      </c>
      <c r="BA9" s="16" t="str">
        <f t="shared" si="1"/>
        <v>retvol</v>
      </c>
      <c r="BB9" s="16" t="str">
        <f t="shared" si="1"/>
        <v>mom1</v>
      </c>
      <c r="BC9" s="16" t="str">
        <f t="shared" si="1"/>
        <v>mom1</v>
      </c>
      <c r="BD9" s="16" t="str">
        <f t="shared" si="1"/>
        <v>mom12</v>
      </c>
      <c r="BE9" s="16" t="str">
        <f t="shared" si="1"/>
        <v>mom12</v>
      </c>
      <c r="BF9" s="16" t="str">
        <f t="shared" si="1"/>
        <v>mom12</v>
      </c>
      <c r="BG9" s="16" t="str">
        <f t="shared" si="1"/>
        <v>maxret</v>
      </c>
      <c r="BH9" s="16" t="str">
        <f t="shared" si="1"/>
        <v>maxret</v>
      </c>
      <c r="BI9" s="16" t="str">
        <f t="shared" si="1"/>
        <v>maxret</v>
      </c>
      <c r="BJ9" s="16" t="str">
        <f t="shared" si="1"/>
        <v>mom12</v>
      </c>
      <c r="BK9" s="16" t="str">
        <f t="shared" si="1"/>
        <v>maxret</v>
      </c>
      <c r="BL9" s="16" t="str">
        <f t="shared" si="1"/>
        <v>mom1</v>
      </c>
      <c r="BM9" s="16" t="str">
        <f t="shared" si="1"/>
        <v>maxret</v>
      </c>
      <c r="BN9" s="16" t="str">
        <f t="shared" si="1"/>
        <v>maxret</v>
      </c>
      <c r="BO9" s="16" t="str">
        <f t="shared" ref="BO9:CT9" si="2">IF(BO8=1,"mom1",
IF(BO8=2,"mom12",
IF(BO8=3,"chmom",
IF(BO8=4,"retvol",
IF(BO8=5,"maxret","")))))</f>
        <v>maxret</v>
      </c>
      <c r="BP9" s="16" t="str">
        <f t="shared" si="2"/>
        <v>mom1</v>
      </c>
      <c r="BQ9" s="16" t="str">
        <f t="shared" si="2"/>
        <v>mom1</v>
      </c>
      <c r="BR9" s="16" t="str">
        <f t="shared" si="2"/>
        <v>retvol</v>
      </c>
      <c r="BS9" s="16" t="str">
        <f t="shared" si="2"/>
        <v>mom12</v>
      </c>
      <c r="BT9" s="16" t="str">
        <f t="shared" si="2"/>
        <v>maxret</v>
      </c>
      <c r="BU9" s="16" t="str">
        <f t="shared" si="2"/>
        <v>mom12</v>
      </c>
      <c r="BV9" s="16" t="str">
        <f t="shared" si="2"/>
        <v>mom12</v>
      </c>
      <c r="BW9" s="16" t="str">
        <f t="shared" si="2"/>
        <v>mom1</v>
      </c>
      <c r="BX9" s="16" t="str">
        <f t="shared" si="2"/>
        <v>mom12</v>
      </c>
      <c r="BY9" s="16" t="str">
        <f t="shared" si="2"/>
        <v>mom1</v>
      </c>
      <c r="BZ9" s="16" t="str">
        <f t="shared" si="2"/>
        <v>mom12</v>
      </c>
      <c r="CA9" s="16" t="str">
        <f t="shared" si="2"/>
        <v>chmom</v>
      </c>
      <c r="CB9" s="16" t="str">
        <f t="shared" si="2"/>
        <v>mom12</v>
      </c>
      <c r="CC9" s="16" t="str">
        <f t="shared" si="2"/>
        <v>mom12</v>
      </c>
      <c r="CD9" s="16" t="str">
        <f t="shared" si="2"/>
        <v>mom12</v>
      </c>
      <c r="CE9" s="16" t="str">
        <f t="shared" si="2"/>
        <v>chmom</v>
      </c>
      <c r="CF9" s="16" t="str">
        <f t="shared" si="2"/>
        <v>mom1</v>
      </c>
      <c r="CG9" s="16" t="str">
        <f t="shared" si="2"/>
        <v>chmom</v>
      </c>
      <c r="CH9" s="16" t="str">
        <f t="shared" si="2"/>
        <v>mom1</v>
      </c>
      <c r="CI9" s="16" t="str">
        <f t="shared" si="2"/>
        <v>mom12</v>
      </c>
      <c r="CJ9" s="16" t="str">
        <f t="shared" si="2"/>
        <v>maxret</v>
      </c>
      <c r="CK9" s="16" t="str">
        <f t="shared" si="2"/>
        <v>mom12</v>
      </c>
      <c r="CL9" s="16" t="str">
        <f t="shared" si="2"/>
        <v>mom12</v>
      </c>
      <c r="CM9" s="16" t="str">
        <f t="shared" si="2"/>
        <v>mom12</v>
      </c>
      <c r="CN9" s="16" t="str">
        <f t="shared" si="2"/>
        <v>chmom</v>
      </c>
      <c r="CO9" s="16" t="str">
        <f t="shared" si="2"/>
        <v>mom12</v>
      </c>
      <c r="CP9" s="16" t="str">
        <f t="shared" si="2"/>
        <v>maxret</v>
      </c>
      <c r="CQ9" s="16" t="str">
        <f t="shared" si="2"/>
        <v>mom1</v>
      </c>
      <c r="CR9" s="16" t="str">
        <f t="shared" si="2"/>
        <v>maxret</v>
      </c>
      <c r="CS9" s="16" t="str">
        <f t="shared" si="2"/>
        <v>maxret</v>
      </c>
      <c r="CT9" s="16" t="str">
        <f t="shared" si="2"/>
        <v>chmom</v>
      </c>
      <c r="CU9" s="16" t="str">
        <f t="shared" ref="CU9:DZ9" si="3">IF(CU8=1,"mom1",
IF(CU8=2,"mom12",
IF(CU8=3,"chmom",
IF(CU8=4,"retvol",
IF(CU8=5,"maxret","")))))</f>
        <v>maxret</v>
      </c>
      <c r="CV9" s="16" t="str">
        <f t="shared" si="3"/>
        <v>maxret</v>
      </c>
      <c r="CW9" s="16" t="str">
        <f t="shared" si="3"/>
        <v>mom1</v>
      </c>
      <c r="CX9" s="16" t="str">
        <f t="shared" si="3"/>
        <v>chmom</v>
      </c>
      <c r="CY9" s="16" t="str">
        <f t="shared" si="3"/>
        <v>mom12</v>
      </c>
      <c r="CZ9" s="16" t="str">
        <f t="shared" si="3"/>
        <v>mom1</v>
      </c>
      <c r="DA9" s="16" t="str">
        <f t="shared" si="3"/>
        <v>chmom</v>
      </c>
      <c r="DB9" s="16" t="str">
        <f t="shared" si="3"/>
        <v>maxret</v>
      </c>
      <c r="DC9" s="16" t="str">
        <f t="shared" si="3"/>
        <v>mom12</v>
      </c>
      <c r="DD9" s="16" t="str">
        <f t="shared" si="3"/>
        <v>chmom</v>
      </c>
      <c r="DE9" s="16" t="str">
        <f t="shared" si="3"/>
        <v>mom12</v>
      </c>
      <c r="DF9" s="16" t="str">
        <f t="shared" si="3"/>
        <v>mom1</v>
      </c>
      <c r="DG9" s="16" t="str">
        <f t="shared" si="3"/>
        <v>mom12</v>
      </c>
      <c r="DH9" s="16" t="str">
        <f t="shared" si="3"/>
        <v>mom1</v>
      </c>
      <c r="DI9" s="16" t="str">
        <f t="shared" si="3"/>
        <v>mom1</v>
      </c>
      <c r="DJ9" s="16" t="str">
        <f t="shared" si="3"/>
        <v>mom1</v>
      </c>
      <c r="DK9" s="16" t="str">
        <f t="shared" si="3"/>
        <v>mom1</v>
      </c>
      <c r="DL9" s="16" t="str">
        <f t="shared" si="3"/>
        <v>mom1</v>
      </c>
      <c r="DM9" s="16" t="str">
        <f t="shared" si="3"/>
        <v>maxret</v>
      </c>
      <c r="DN9" s="16" t="str">
        <f t="shared" si="3"/>
        <v>maxret</v>
      </c>
      <c r="DO9" s="16" t="str">
        <f t="shared" si="3"/>
        <v>maxret</v>
      </c>
      <c r="DP9" s="16" t="str">
        <f t="shared" si="3"/>
        <v>mom1</v>
      </c>
      <c r="DQ9" s="16" t="str">
        <f t="shared" si="3"/>
        <v>maxret</v>
      </c>
      <c r="DR9" s="16" t="str">
        <f t="shared" si="3"/>
        <v>mom1</v>
      </c>
      <c r="DS9" s="16" t="str">
        <f t="shared" si="3"/>
        <v>chmom</v>
      </c>
      <c r="DT9" s="16" t="str">
        <f t="shared" si="3"/>
        <v>chmom</v>
      </c>
      <c r="DU9" s="16" t="str">
        <f t="shared" si="3"/>
        <v>chmom</v>
      </c>
      <c r="DV9" s="16" t="str">
        <f t="shared" si="3"/>
        <v>mom12</v>
      </c>
      <c r="DW9" s="16" t="str">
        <f t="shared" si="3"/>
        <v>chmom</v>
      </c>
      <c r="DX9" s="16" t="str">
        <f t="shared" si="3"/>
        <v>chmom</v>
      </c>
      <c r="DY9" s="16" t="str">
        <f t="shared" si="3"/>
        <v>mom12</v>
      </c>
      <c r="DZ9" s="16" t="str">
        <f t="shared" si="3"/>
        <v>mom12</v>
      </c>
      <c r="EA9" s="16" t="str">
        <f t="shared" ref="EA9:EF9" si="4">IF(EA8=1,"mom1",
IF(EA8=2,"mom12",
IF(EA8=3,"chmom",
IF(EA8=4,"retvol",
IF(EA8=5,"maxret","")))))</f>
        <v>mom1</v>
      </c>
      <c r="EB9" s="16" t="str">
        <f t="shared" si="4"/>
        <v>maxret</v>
      </c>
      <c r="EC9" s="16" t="str">
        <f t="shared" si="4"/>
        <v>maxret</v>
      </c>
      <c r="ED9" s="16" t="str">
        <f t="shared" si="4"/>
        <v>mom1</v>
      </c>
      <c r="EE9" s="16" t="str">
        <f t="shared" si="4"/>
        <v>mom1</v>
      </c>
      <c r="EF9" s="16" t="str">
        <f t="shared" si="4"/>
        <v>mom1</v>
      </c>
    </row>
    <row r="10" spans="1:137" s="3" customFormat="1" ht="16" customHeight="1">
      <c r="A10" s="5"/>
      <c r="B10" s="14"/>
      <c r="C10" s="16">
        <f t="shared" ref="C10:AH10" si="5">IF(C8=1,C3,IF(C8=2,C4,IF(C8=3,C5,IF(C8=4,C6,IF(C8=5,C7)))))</f>
        <v>-9.2720815219376057E-3</v>
      </c>
      <c r="D10" s="16">
        <f t="shared" si="5"/>
        <v>1.480552602881257E-2</v>
      </c>
      <c r="E10" s="16">
        <f t="shared" si="5"/>
        <v>-1.090537158216439E-2</v>
      </c>
      <c r="F10" s="16">
        <f t="shared" si="5"/>
        <v>-9.0158784955721837E-3</v>
      </c>
      <c r="G10" s="16">
        <f t="shared" si="5"/>
        <v>-6.0204378647821296E-3</v>
      </c>
      <c r="H10" s="16">
        <f t="shared" si="5"/>
        <v>-1.8698065745674109E-2</v>
      </c>
      <c r="I10" s="16">
        <f t="shared" si="5"/>
        <v>1.5573878032606681E-2</v>
      </c>
      <c r="J10" s="16">
        <f t="shared" si="5"/>
        <v>7.4756309930159113E-3</v>
      </c>
      <c r="K10" s="16">
        <f t="shared" si="5"/>
        <v>5.8362784250911154E-3</v>
      </c>
      <c r="L10" s="16">
        <f t="shared" si="5"/>
        <v>-1.197191156905876E-2</v>
      </c>
      <c r="M10" s="16">
        <f t="shared" si="5"/>
        <v>-9.8816579007773766E-4</v>
      </c>
      <c r="N10" s="16">
        <f t="shared" si="5"/>
        <v>-5.5110823298431784E-3</v>
      </c>
      <c r="O10" s="16">
        <f t="shared" si="5"/>
        <v>-1.1571469246726871E-2</v>
      </c>
      <c r="P10" s="16">
        <f t="shared" si="5"/>
        <v>9.2209321075085674E-3</v>
      </c>
      <c r="Q10" s="16">
        <f t="shared" si="5"/>
        <v>2.200268857565026E-2</v>
      </c>
      <c r="R10" s="16">
        <f t="shared" si="5"/>
        <v>2.210457738462002E-2</v>
      </c>
      <c r="S10" s="16">
        <f t="shared" si="5"/>
        <v>1.831217801541803E-2</v>
      </c>
      <c r="T10" s="16">
        <f t="shared" si="5"/>
        <v>1.8629069625806689E-2</v>
      </c>
      <c r="U10" s="16">
        <f t="shared" si="5"/>
        <v>-1.7014472280456459E-2</v>
      </c>
      <c r="V10" s="16">
        <f t="shared" si="5"/>
        <v>-6.8304002500024601E-3</v>
      </c>
      <c r="W10" s="16">
        <f t="shared" si="5"/>
        <v>-7.5049393724914322E-3</v>
      </c>
      <c r="X10" s="16">
        <f t="shared" si="5"/>
        <v>7.5520233640392707E-3</v>
      </c>
      <c r="Y10" s="16">
        <f t="shared" si="5"/>
        <v>3.1389568767450769E-2</v>
      </c>
      <c r="Z10" s="16">
        <f t="shared" si="5"/>
        <v>-1.742812778053918E-2</v>
      </c>
      <c r="AA10" s="16">
        <f t="shared" si="5"/>
        <v>-2.1725257301090671E-2</v>
      </c>
      <c r="AB10" s="16">
        <f t="shared" si="5"/>
        <v>-1.434051706740852E-2</v>
      </c>
      <c r="AC10" s="16">
        <f t="shared" si="5"/>
        <v>-1.036582162775729E-2</v>
      </c>
      <c r="AD10" s="16">
        <f t="shared" si="5"/>
        <v>6.9286006463799019E-3</v>
      </c>
      <c r="AE10" s="16">
        <f t="shared" si="5"/>
        <v>1.556411179907111E-2</v>
      </c>
      <c r="AF10" s="16">
        <f t="shared" si="5"/>
        <v>-7.1940155873249523E-3</v>
      </c>
      <c r="AG10" s="16">
        <f t="shared" si="5"/>
        <v>-9.7780723731996731E-3</v>
      </c>
      <c r="AH10" s="16">
        <f t="shared" si="5"/>
        <v>1.2147769125945789E-2</v>
      </c>
      <c r="AI10" s="16">
        <f t="shared" ref="AI10:BN10" si="6">IF(AI8=1,AI3,IF(AI8=2,AI4,IF(AI8=3,AI5,IF(AI8=4,AI6,IF(AI8=5,AI7)))))</f>
        <v>5.2717740016354174E-3</v>
      </c>
      <c r="AJ10" s="16">
        <f t="shared" si="6"/>
        <v>8.1399378255681918E-3</v>
      </c>
      <c r="AK10" s="16">
        <f t="shared" si="6"/>
        <v>1.325107883613676E-2</v>
      </c>
      <c r="AL10" s="16">
        <f t="shared" si="6"/>
        <v>6.8478736982785096E-3</v>
      </c>
      <c r="AM10" s="16">
        <f t="shared" si="6"/>
        <v>9.4179225936766638E-3</v>
      </c>
      <c r="AN10" s="16">
        <f t="shared" si="6"/>
        <v>9.8439336296050044E-3</v>
      </c>
      <c r="AO10" s="16">
        <f t="shared" si="6"/>
        <v>9.8073358578633692E-3</v>
      </c>
      <c r="AP10" s="16">
        <f t="shared" si="6"/>
        <v>-9.9909323439328294E-3</v>
      </c>
      <c r="AQ10" s="16">
        <f t="shared" si="6"/>
        <v>-1.4523536417601081E-2</v>
      </c>
      <c r="AR10" s="16">
        <f t="shared" si="6"/>
        <v>1.0779410587010509E-2</v>
      </c>
      <c r="AS10" s="16">
        <f t="shared" si="6"/>
        <v>8.4421751787949091E-3</v>
      </c>
      <c r="AT10" s="16">
        <f t="shared" si="6"/>
        <v>-9.8077394596895063E-3</v>
      </c>
      <c r="AU10" s="16">
        <f t="shared" si="6"/>
        <v>-1.70888452507575E-2</v>
      </c>
      <c r="AV10" s="16">
        <f t="shared" si="6"/>
        <v>6.8563012699253698E-3</v>
      </c>
      <c r="AW10" s="16">
        <f t="shared" si="6"/>
        <v>9.6185679437698537E-3</v>
      </c>
      <c r="AX10" s="16">
        <f t="shared" si="6"/>
        <v>-5.4065033381094207E-3</v>
      </c>
      <c r="AY10" s="16">
        <f t="shared" si="6"/>
        <v>4.5003795064744194E-3</v>
      </c>
      <c r="AZ10" s="16">
        <f t="shared" si="6"/>
        <v>-5.0989745004675928E-3</v>
      </c>
      <c r="BA10" s="16">
        <f t="shared" si="6"/>
        <v>4.4863921717465151E-3</v>
      </c>
      <c r="BB10" s="16">
        <f t="shared" si="6"/>
        <v>-1.049889462351463E-2</v>
      </c>
      <c r="BC10" s="16">
        <f t="shared" si="6"/>
        <v>-5.1382105502803333E-3</v>
      </c>
      <c r="BD10" s="16">
        <f t="shared" si="6"/>
        <v>-2.6436806543430499E-2</v>
      </c>
      <c r="BE10" s="16">
        <f t="shared" si="6"/>
        <v>-1.6424343987201911E-2</v>
      </c>
      <c r="BF10" s="16">
        <f t="shared" si="6"/>
        <v>-1.389668026399761E-2</v>
      </c>
      <c r="BG10" s="16">
        <f t="shared" si="6"/>
        <v>1.2626908921607271E-2</v>
      </c>
      <c r="BH10" s="16">
        <f t="shared" si="6"/>
        <v>9.5790369116007575E-3</v>
      </c>
      <c r="BI10" s="16">
        <f t="shared" si="6"/>
        <v>5.243351662087798E-3</v>
      </c>
      <c r="BJ10" s="16">
        <f t="shared" si="6"/>
        <v>-2.406368089544058E-2</v>
      </c>
      <c r="BK10" s="16">
        <f t="shared" si="6"/>
        <v>1.1618255799175249E-2</v>
      </c>
      <c r="BL10" s="16">
        <f t="shared" si="6"/>
        <v>-1.87129952942784E-2</v>
      </c>
      <c r="BM10" s="16">
        <f t="shared" si="6"/>
        <v>2.7773971163970799E-3</v>
      </c>
      <c r="BN10" s="16">
        <f t="shared" si="6"/>
        <v>8.52886263424899E-3</v>
      </c>
      <c r="BO10" s="16">
        <f t="shared" ref="BO10:CT10" si="7">IF(BO8=1,BO3,IF(BO8=2,BO4,IF(BO8=3,BO5,IF(BO8=4,BO6,IF(BO8=5,BO7)))))</f>
        <v>6.8112229687470769E-3</v>
      </c>
      <c r="BP10" s="16">
        <f t="shared" si="7"/>
        <v>-1.8462949817695352E-2</v>
      </c>
      <c r="BQ10" s="16">
        <f t="shared" si="7"/>
        <v>-8.4846057372979112E-3</v>
      </c>
      <c r="BR10" s="16">
        <f t="shared" si="7"/>
        <v>5.870801660944747E-3</v>
      </c>
      <c r="BS10" s="16">
        <f t="shared" si="7"/>
        <v>5.8091239406368178E-3</v>
      </c>
      <c r="BT10" s="16">
        <f t="shared" si="7"/>
        <v>7.3995528605827728E-3</v>
      </c>
      <c r="BU10" s="16">
        <f t="shared" si="7"/>
        <v>1.1460644142157391E-2</v>
      </c>
      <c r="BV10" s="16">
        <f t="shared" si="7"/>
        <v>1.452966496016469E-2</v>
      </c>
      <c r="BW10" s="16">
        <f t="shared" si="7"/>
        <v>-9.3445852954740331E-3</v>
      </c>
      <c r="BX10" s="16">
        <f t="shared" si="7"/>
        <v>2.2582732465097059E-2</v>
      </c>
      <c r="BY10" s="16">
        <f t="shared" si="7"/>
        <v>-1.191820817168316E-2</v>
      </c>
      <c r="BZ10" s="16">
        <f t="shared" si="7"/>
        <v>1.1197619443558829E-2</v>
      </c>
      <c r="CA10" s="16">
        <f t="shared" si="7"/>
        <v>1.2608863054173041E-2</v>
      </c>
      <c r="CB10" s="16">
        <f t="shared" si="7"/>
        <v>3.7061121218981717E-2</v>
      </c>
      <c r="CC10" s="16">
        <f t="shared" si="7"/>
        <v>2.3332728800180318E-2</v>
      </c>
      <c r="CD10" s="16">
        <f t="shared" si="7"/>
        <v>1.2526106730907229E-2</v>
      </c>
      <c r="CE10" s="16">
        <f t="shared" si="7"/>
        <v>7.931412156053667E-3</v>
      </c>
      <c r="CF10" s="16">
        <f t="shared" si="7"/>
        <v>-9.1363272153596221E-3</v>
      </c>
      <c r="CG10" s="16">
        <f t="shared" si="7"/>
        <v>1.519126281580963E-2</v>
      </c>
      <c r="CH10" s="16">
        <f t="shared" si="7"/>
        <v>-6.7889029547431286E-3</v>
      </c>
      <c r="CI10" s="16">
        <f t="shared" si="7"/>
        <v>1.34885457078903E-2</v>
      </c>
      <c r="CJ10" s="16">
        <f t="shared" si="7"/>
        <v>3.07150623303929E-3</v>
      </c>
      <c r="CK10" s="16">
        <f t="shared" si="7"/>
        <v>-1.6958527107625569E-2</v>
      </c>
      <c r="CL10" s="16">
        <f t="shared" si="7"/>
        <v>2.5384702723575198E-2</v>
      </c>
      <c r="CM10" s="16">
        <f t="shared" si="7"/>
        <v>4.0789221292918216E-3</v>
      </c>
      <c r="CN10" s="16">
        <f t="shared" si="7"/>
        <v>1.6484476268251131E-2</v>
      </c>
      <c r="CO10" s="16">
        <f t="shared" si="7"/>
        <v>-1.9050699138236871E-2</v>
      </c>
      <c r="CP10" s="16">
        <f t="shared" si="7"/>
        <v>1.060964005267773E-2</v>
      </c>
      <c r="CQ10" s="16">
        <f t="shared" si="7"/>
        <v>-6.9274972753965566E-3</v>
      </c>
      <c r="CR10" s="16">
        <f t="shared" si="7"/>
        <v>1.3543009385740811E-2</v>
      </c>
      <c r="CS10" s="16">
        <f t="shared" si="7"/>
        <v>1.3073754905389669E-2</v>
      </c>
      <c r="CT10" s="16">
        <f t="shared" si="7"/>
        <v>-1.777871564854994E-2</v>
      </c>
      <c r="CU10" s="16">
        <f t="shared" ref="CU10:DZ10" si="8">IF(CU8=1,CU3,IF(CU8=2,CU4,IF(CU8=3,CU5,IF(CU8=4,CU6,IF(CU8=5,CU7)))))</f>
        <v>1.229521319153069E-2</v>
      </c>
      <c r="CV10" s="16">
        <f t="shared" si="8"/>
        <v>1.009702286202482E-2</v>
      </c>
      <c r="CW10" s="16">
        <f t="shared" si="8"/>
        <v>-1.7538230381664618E-2</v>
      </c>
      <c r="CX10" s="16">
        <f t="shared" si="8"/>
        <v>-1.251971923185172E-2</v>
      </c>
      <c r="CY10" s="16">
        <f t="shared" si="8"/>
        <v>9.4536566971077114E-3</v>
      </c>
      <c r="CZ10" s="16">
        <f t="shared" si="8"/>
        <v>-1.130524312149579E-2</v>
      </c>
      <c r="DA10" s="16">
        <f t="shared" si="8"/>
        <v>-1.0197636564513659E-2</v>
      </c>
      <c r="DB10" s="16">
        <f t="shared" si="8"/>
        <v>1.263378246823414E-2</v>
      </c>
      <c r="DC10" s="16">
        <f t="shared" si="8"/>
        <v>1.3161641655307289E-2</v>
      </c>
      <c r="DD10" s="16">
        <f t="shared" si="8"/>
        <v>-1.244378275694436E-2</v>
      </c>
      <c r="DE10" s="16">
        <f t="shared" si="8"/>
        <v>-5.4686294903651303E-2</v>
      </c>
      <c r="DF10" s="16">
        <f t="shared" si="8"/>
        <v>-2.9002889676333899E-2</v>
      </c>
      <c r="DG10" s="16">
        <f t="shared" si="8"/>
        <v>3.0039816013570329E-2</v>
      </c>
      <c r="DH10" s="16">
        <f t="shared" si="8"/>
        <v>-1.9153641395248239E-2</v>
      </c>
      <c r="DI10" s="16">
        <f t="shared" si="8"/>
        <v>-1.057601613877961E-2</v>
      </c>
      <c r="DJ10" s="16">
        <f t="shared" si="8"/>
        <v>-7.2497294156904767E-3</v>
      </c>
      <c r="DK10" s="16">
        <f t="shared" si="8"/>
        <v>-1.283026423224543E-2</v>
      </c>
      <c r="DL10" s="16">
        <f t="shared" si="8"/>
        <v>-8.7598248208097355E-3</v>
      </c>
      <c r="DM10" s="16">
        <f t="shared" si="8"/>
        <v>9.2757333383593626E-3</v>
      </c>
      <c r="DN10" s="16">
        <f t="shared" si="8"/>
        <v>9.6440967076153409E-3</v>
      </c>
      <c r="DO10" s="16">
        <f t="shared" si="8"/>
        <v>6.3500484018918987E-3</v>
      </c>
      <c r="DP10" s="16">
        <f t="shared" si="8"/>
        <v>-8.5086976243557658E-3</v>
      </c>
      <c r="DQ10" s="16">
        <f t="shared" si="8"/>
        <v>6.3088390917653628E-3</v>
      </c>
      <c r="DR10" s="16">
        <f t="shared" si="8"/>
        <v>-9.7976817317456822E-3</v>
      </c>
      <c r="DS10" s="16">
        <f t="shared" si="8"/>
        <v>-1.466474034433253E-2</v>
      </c>
      <c r="DT10" s="16">
        <f t="shared" si="8"/>
        <v>-1.096919228465367E-2</v>
      </c>
      <c r="DU10" s="16">
        <f t="shared" si="8"/>
        <v>-7.1460902660085814E-3</v>
      </c>
      <c r="DV10" s="16">
        <f t="shared" si="8"/>
        <v>4.2052643760930866E-3</v>
      </c>
      <c r="DW10" s="16">
        <f t="shared" si="8"/>
        <v>-3.8030949890645841E-3</v>
      </c>
      <c r="DX10" s="16">
        <f t="shared" si="8"/>
        <v>-8.4604130999384481E-3</v>
      </c>
      <c r="DY10" s="16">
        <f t="shared" si="8"/>
        <v>-9.6090259560707002E-3</v>
      </c>
      <c r="DZ10" s="16">
        <f t="shared" si="8"/>
        <v>1.040352995959215E-2</v>
      </c>
      <c r="EA10" s="16">
        <f t="shared" ref="EA10:EF10" si="9">IF(EA8=1,EA3,IF(EA8=2,EA4,IF(EA8=3,EA5,IF(EA8=4,EA6,IF(EA8=5,EA7)))))</f>
        <v>-1.7228669134581629E-2</v>
      </c>
      <c r="EB10" s="16">
        <f t="shared" si="9"/>
        <v>7.6048841885425359E-3</v>
      </c>
      <c r="EC10" s="16">
        <f t="shared" si="9"/>
        <v>6.4774155548158532E-3</v>
      </c>
      <c r="ED10" s="16">
        <f t="shared" si="9"/>
        <v>-1.3153677573674451E-2</v>
      </c>
      <c r="EE10" s="16">
        <f t="shared" si="9"/>
        <v>-1.5124476892019789E-2</v>
      </c>
      <c r="EF10" s="16">
        <f t="shared" si="9"/>
        <v>-2.2053516381004831E-2</v>
      </c>
    </row>
    <row r="11" spans="1:137" s="3" customFormat="1">
      <c r="A11" s="34"/>
      <c r="B11" s="34"/>
      <c r="K11" s="34"/>
    </row>
    <row r="12" spans="1:137" s="3" customFormat="1" ht="16" customHeight="1">
      <c r="A12" s="50" t="s">
        <v>142</v>
      </c>
      <c r="B12" s="51"/>
      <c r="C12" s="8" t="s">
        <v>143</v>
      </c>
      <c r="D12" s="8">
        <v>964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</row>
    <row r="13" spans="1:137" s="3" customFormat="1" ht="18" customHeight="1">
      <c r="A13" s="35" t="s">
        <v>144</v>
      </c>
      <c r="B13" s="36" t="s">
        <v>145</v>
      </c>
      <c r="C13" s="12" t="s">
        <v>3</v>
      </c>
      <c r="D13" s="12" t="s">
        <v>4</v>
      </c>
      <c r="E13" s="12" t="s">
        <v>5</v>
      </c>
      <c r="F13" s="12" t="s">
        <v>6</v>
      </c>
      <c r="G13" s="12" t="s">
        <v>7</v>
      </c>
      <c r="H13" s="12" t="s">
        <v>8</v>
      </c>
      <c r="I13" s="12" t="s">
        <v>9</v>
      </c>
      <c r="J13" s="12" t="s">
        <v>10</v>
      </c>
      <c r="K13" s="12" t="s">
        <v>11</v>
      </c>
      <c r="L13" s="12" t="s">
        <v>12</v>
      </c>
      <c r="M13" s="12" t="s">
        <v>13</v>
      </c>
      <c r="N13" s="12" t="s">
        <v>14</v>
      </c>
      <c r="O13" s="12" t="s">
        <v>15</v>
      </c>
      <c r="P13" s="12" t="s">
        <v>16</v>
      </c>
      <c r="Q13" s="12" t="s">
        <v>17</v>
      </c>
      <c r="R13" s="12" t="s">
        <v>18</v>
      </c>
      <c r="S13" s="12" t="s">
        <v>19</v>
      </c>
      <c r="T13" s="12" t="s">
        <v>20</v>
      </c>
      <c r="U13" s="12" t="s">
        <v>21</v>
      </c>
      <c r="V13" s="12" t="s">
        <v>22</v>
      </c>
      <c r="W13" s="12" t="s">
        <v>23</v>
      </c>
      <c r="X13" s="12" t="s">
        <v>24</v>
      </c>
      <c r="Y13" s="12" t="s">
        <v>25</v>
      </c>
      <c r="Z13" s="12" t="s">
        <v>26</v>
      </c>
      <c r="AA13" s="12" t="s">
        <v>27</v>
      </c>
      <c r="AB13" s="12" t="s">
        <v>28</v>
      </c>
      <c r="AC13" s="12" t="s">
        <v>29</v>
      </c>
      <c r="AD13" s="12" t="s">
        <v>30</v>
      </c>
      <c r="AE13" s="12" t="s">
        <v>31</v>
      </c>
      <c r="AF13" s="12" t="s">
        <v>32</v>
      </c>
      <c r="AG13" s="12" t="s">
        <v>33</v>
      </c>
      <c r="AH13" s="12" t="s">
        <v>34</v>
      </c>
      <c r="AI13" s="12" t="s">
        <v>35</v>
      </c>
      <c r="AJ13" s="12" t="s">
        <v>36</v>
      </c>
      <c r="AK13" s="12" t="s">
        <v>37</v>
      </c>
      <c r="AL13" s="12" t="s">
        <v>38</v>
      </c>
      <c r="AM13" s="12" t="s">
        <v>39</v>
      </c>
      <c r="AN13" s="12" t="s">
        <v>40</v>
      </c>
      <c r="AO13" s="12" t="s">
        <v>41</v>
      </c>
      <c r="AP13" s="12" t="s">
        <v>42</v>
      </c>
      <c r="AQ13" s="12" t="s">
        <v>43</v>
      </c>
      <c r="AR13" s="12" t="s">
        <v>44</v>
      </c>
      <c r="AS13" s="12" t="s">
        <v>45</v>
      </c>
      <c r="AT13" s="12" t="s">
        <v>46</v>
      </c>
      <c r="AU13" s="12" t="s">
        <v>47</v>
      </c>
      <c r="AV13" s="12" t="s">
        <v>48</v>
      </c>
      <c r="AW13" s="12" t="s">
        <v>49</v>
      </c>
      <c r="AX13" s="12" t="s">
        <v>50</v>
      </c>
      <c r="AY13" s="12" t="s">
        <v>51</v>
      </c>
      <c r="AZ13" s="12" t="s">
        <v>52</v>
      </c>
      <c r="BA13" s="12" t="s">
        <v>53</v>
      </c>
      <c r="BB13" s="12" t="s">
        <v>54</v>
      </c>
      <c r="BC13" s="12" t="s">
        <v>55</v>
      </c>
      <c r="BD13" s="12" t="s">
        <v>56</v>
      </c>
      <c r="BE13" s="12" t="s">
        <v>57</v>
      </c>
      <c r="BF13" s="12" t="s">
        <v>58</v>
      </c>
      <c r="BG13" s="12" t="s">
        <v>59</v>
      </c>
      <c r="BH13" s="12" t="s">
        <v>60</v>
      </c>
      <c r="BI13" s="12" t="s">
        <v>61</v>
      </c>
      <c r="BJ13" s="12" t="s">
        <v>62</v>
      </c>
      <c r="BK13" s="12" t="s">
        <v>63</v>
      </c>
      <c r="BL13" s="12" t="s">
        <v>64</v>
      </c>
      <c r="BM13" s="12" t="s">
        <v>65</v>
      </c>
      <c r="BN13" s="12" t="s">
        <v>66</v>
      </c>
      <c r="BO13" s="12" t="s">
        <v>67</v>
      </c>
      <c r="BP13" s="12" t="s">
        <v>68</v>
      </c>
      <c r="BQ13" s="12" t="s">
        <v>69</v>
      </c>
      <c r="BR13" s="12" t="s">
        <v>70</v>
      </c>
      <c r="BS13" s="12" t="s">
        <v>71</v>
      </c>
      <c r="BT13" s="12" t="s">
        <v>72</v>
      </c>
      <c r="BU13" s="12" t="s">
        <v>73</v>
      </c>
      <c r="BV13" s="12" t="s">
        <v>74</v>
      </c>
      <c r="BW13" s="12" t="s">
        <v>75</v>
      </c>
      <c r="BX13" s="12" t="s">
        <v>76</v>
      </c>
      <c r="BY13" s="12" t="s">
        <v>77</v>
      </c>
      <c r="BZ13" s="12" t="s">
        <v>78</v>
      </c>
      <c r="CA13" s="12" t="s">
        <v>79</v>
      </c>
      <c r="CB13" s="12" t="s">
        <v>80</v>
      </c>
      <c r="CC13" s="12" t="s">
        <v>81</v>
      </c>
      <c r="CD13" s="12" t="s">
        <v>82</v>
      </c>
      <c r="CE13" s="12" t="s">
        <v>83</v>
      </c>
      <c r="CF13" s="12" t="s">
        <v>84</v>
      </c>
      <c r="CG13" s="12" t="s">
        <v>85</v>
      </c>
      <c r="CH13" s="12" t="s">
        <v>86</v>
      </c>
      <c r="CI13" s="12" t="s">
        <v>87</v>
      </c>
      <c r="CJ13" s="12" t="s">
        <v>88</v>
      </c>
      <c r="CK13" s="12" t="s">
        <v>89</v>
      </c>
      <c r="CL13" s="12" t="s">
        <v>90</v>
      </c>
      <c r="CM13" s="12" t="s">
        <v>91</v>
      </c>
      <c r="CN13" s="12" t="s">
        <v>92</v>
      </c>
      <c r="CO13" s="12" t="s">
        <v>93</v>
      </c>
      <c r="CP13" s="12" t="s">
        <v>94</v>
      </c>
      <c r="CQ13" s="12" t="s">
        <v>95</v>
      </c>
      <c r="CR13" s="12" t="s">
        <v>96</v>
      </c>
      <c r="CS13" s="12" t="s">
        <v>97</v>
      </c>
      <c r="CT13" s="12" t="s">
        <v>98</v>
      </c>
      <c r="CU13" s="12" t="s">
        <v>99</v>
      </c>
      <c r="CV13" s="12" t="s">
        <v>100</v>
      </c>
      <c r="CW13" s="12" t="s">
        <v>101</v>
      </c>
      <c r="CX13" s="12" t="s">
        <v>102</v>
      </c>
      <c r="CY13" s="12" t="s">
        <v>103</v>
      </c>
      <c r="CZ13" s="12" t="s">
        <v>104</v>
      </c>
      <c r="DA13" s="12" t="s">
        <v>105</v>
      </c>
      <c r="DB13" s="12" t="s">
        <v>106</v>
      </c>
      <c r="DC13" s="12" t="s">
        <v>107</v>
      </c>
      <c r="DD13" s="12" t="s">
        <v>108</v>
      </c>
      <c r="DE13" s="12" t="s">
        <v>109</v>
      </c>
      <c r="DF13" s="12" t="s">
        <v>110</v>
      </c>
      <c r="DG13" s="12" t="s">
        <v>111</v>
      </c>
      <c r="DH13" s="12" t="s">
        <v>112</v>
      </c>
      <c r="DI13" s="12" t="s">
        <v>113</v>
      </c>
      <c r="DJ13" s="12" t="s">
        <v>114</v>
      </c>
      <c r="DK13" s="12" t="s">
        <v>115</v>
      </c>
      <c r="DL13" s="12" t="s">
        <v>116</v>
      </c>
      <c r="DM13" s="12" t="s">
        <v>117</v>
      </c>
      <c r="DN13" s="12" t="s">
        <v>118</v>
      </c>
      <c r="DO13" s="12" t="s">
        <v>119</v>
      </c>
      <c r="DP13" s="12" t="s">
        <v>120</v>
      </c>
      <c r="DQ13" s="12" t="s">
        <v>121</v>
      </c>
      <c r="DR13" s="12" t="s">
        <v>122</v>
      </c>
      <c r="DS13" s="12" t="s">
        <v>123</v>
      </c>
      <c r="DT13" s="12" t="s">
        <v>124</v>
      </c>
      <c r="DU13" s="12" t="s">
        <v>125</v>
      </c>
      <c r="DV13" s="12" t="s">
        <v>126</v>
      </c>
      <c r="DW13" s="12" t="s">
        <v>127</v>
      </c>
      <c r="DX13" s="12" t="s">
        <v>128</v>
      </c>
      <c r="DY13" s="12" t="s">
        <v>129</v>
      </c>
      <c r="DZ13" s="12" t="s">
        <v>130</v>
      </c>
      <c r="EA13" s="12" t="s">
        <v>131</v>
      </c>
      <c r="EB13" s="12" t="s">
        <v>132</v>
      </c>
      <c r="EC13" s="12" t="s">
        <v>133</v>
      </c>
      <c r="ED13" s="12" t="s">
        <v>134</v>
      </c>
      <c r="EE13" s="12" t="s">
        <v>135</v>
      </c>
      <c r="EF13" s="12" t="s">
        <v>146</v>
      </c>
    </row>
    <row r="14" spans="1:137" s="3" customFormat="1" ht="16" customHeight="1">
      <c r="A14" s="6">
        <v>10</v>
      </c>
      <c r="B14" s="6">
        <v>96</v>
      </c>
      <c r="C14" s="7">
        <v>0.13959367873036829</v>
      </c>
      <c r="D14" s="7">
        <v>2.609881692874326E-2</v>
      </c>
      <c r="E14" s="7">
        <v>-4.682604049333813E-3</v>
      </c>
      <c r="F14" s="7">
        <v>-1.6570813271886298E-2</v>
      </c>
      <c r="G14" s="7">
        <v>-1.776126592325046E-2</v>
      </c>
      <c r="H14" s="7">
        <v>-7.825865210465046E-3</v>
      </c>
      <c r="I14" s="7">
        <v>3.460907753546801E-3</v>
      </c>
      <c r="J14" s="7">
        <v>-1.7798510735374171E-2</v>
      </c>
      <c r="K14" s="7">
        <v>-5.3688850834415526E-3</v>
      </c>
      <c r="L14" s="2">
        <v>5.7413587759904891E-3</v>
      </c>
      <c r="M14" s="2">
        <v>-1.687893019100797E-2</v>
      </c>
      <c r="N14" s="2">
        <v>1.0384013416227919E-2</v>
      </c>
      <c r="O14" s="1">
        <v>-2.742411602666071E-2</v>
      </c>
      <c r="P14" s="1">
        <v>1.4133300455926869E-3</v>
      </c>
      <c r="Q14" s="1">
        <v>-1.6572393634342888E-2</v>
      </c>
      <c r="R14" s="1">
        <v>-1.8447579495359259E-2</v>
      </c>
      <c r="S14" s="1">
        <v>2.9430442527338669E-3</v>
      </c>
      <c r="T14" s="1">
        <v>-9.3109739742537542E-3</v>
      </c>
      <c r="U14" s="1">
        <v>-6.1156808795980464E-3</v>
      </c>
      <c r="V14" s="1">
        <v>3.3269366095521377E-2</v>
      </c>
      <c r="W14" s="1">
        <v>-1.234171890509865E-2</v>
      </c>
      <c r="X14" s="1">
        <v>8.78260656023271E-2</v>
      </c>
      <c r="Y14" s="1">
        <v>-5.6736625458490758E-2</v>
      </c>
      <c r="Z14" s="1">
        <v>1.0480664632261711E-2</v>
      </c>
      <c r="AA14" s="1">
        <v>-3.1362814454215788E-3</v>
      </c>
      <c r="AB14" s="1">
        <v>8.08408185227108E-3</v>
      </c>
      <c r="AC14" s="1">
        <v>2.7969384133172931E-2</v>
      </c>
      <c r="AD14" s="1">
        <v>2.9859741350276581E-3</v>
      </c>
      <c r="AE14" s="1">
        <v>-4.1283577883219538E-3</v>
      </c>
      <c r="AF14" s="1">
        <v>-3.153398008777088E-3</v>
      </c>
      <c r="AG14" s="1">
        <v>1.522928675579791E-2</v>
      </c>
      <c r="AH14" s="1">
        <v>2.12793192860114E-2</v>
      </c>
      <c r="AI14" s="1">
        <v>2.731879124968905E-3</v>
      </c>
      <c r="AJ14" s="1">
        <v>-2.463812418669405E-2</v>
      </c>
      <c r="AK14" s="1">
        <v>-1.811887696470835E-2</v>
      </c>
      <c r="AL14" s="1">
        <v>7.1975507628570246E-4</v>
      </c>
      <c r="AM14" s="1">
        <v>-2.09082014606972E-2</v>
      </c>
      <c r="AN14" s="1">
        <v>7.3231474948637701E-3</v>
      </c>
      <c r="AO14" s="1">
        <v>1.779688725956002E-2</v>
      </c>
      <c r="AP14" s="1">
        <v>3.4346721630067772E-2</v>
      </c>
      <c r="AQ14" s="1">
        <v>2.01594070192972E-2</v>
      </c>
      <c r="AR14" s="1">
        <v>5.1068640699949239E-3</v>
      </c>
      <c r="AS14" s="1">
        <v>1.7430918937854568E-2</v>
      </c>
      <c r="AT14" s="1">
        <v>-9.5214669046271624E-3</v>
      </c>
      <c r="AU14" s="1">
        <v>9.6074037066366906E-3</v>
      </c>
      <c r="AV14" s="1">
        <v>7.1497717485999417E-3</v>
      </c>
      <c r="AW14" s="1">
        <v>6.1192953680198076E-3</v>
      </c>
      <c r="AX14" s="1">
        <v>-2.266498170802575E-2</v>
      </c>
      <c r="AY14" s="1">
        <v>-5.5687312584629493E-3</v>
      </c>
      <c r="AZ14" s="1">
        <v>4.597330099370002E-3</v>
      </c>
      <c r="BA14" s="1">
        <v>2.0644357166134789E-2</v>
      </c>
      <c r="BB14" s="1">
        <v>-1.573958510611961E-2</v>
      </c>
      <c r="BC14" s="1">
        <v>4.7345580565263598E-3</v>
      </c>
      <c r="BD14" s="1">
        <v>7.6378022438665814E-3</v>
      </c>
      <c r="BE14" s="1">
        <v>-2.3567955974959511E-2</v>
      </c>
      <c r="BF14" s="1">
        <v>1.535357452797363E-2</v>
      </c>
      <c r="BG14" s="1">
        <v>3.1234840260269129E-2</v>
      </c>
      <c r="BH14" s="1">
        <v>-8.4160203875473516E-3</v>
      </c>
      <c r="BI14" s="1">
        <v>-2.501197745157308E-3</v>
      </c>
      <c r="BJ14" s="1">
        <v>-3.933175939982091E-3</v>
      </c>
      <c r="BK14" s="1">
        <v>3.290430840022555E-3</v>
      </c>
      <c r="BL14" s="1">
        <v>3.9014009789442049E-2</v>
      </c>
      <c r="BM14" s="1">
        <v>-9.1628050193185585E-3</v>
      </c>
      <c r="BN14" s="1">
        <v>-8.6667689515065992E-3</v>
      </c>
      <c r="BO14" s="1">
        <v>1.2992697983901571E-2</v>
      </c>
      <c r="BP14" s="1">
        <v>-1.5333989091424371E-2</v>
      </c>
      <c r="BQ14" s="1">
        <v>-2.1410230612722739E-2</v>
      </c>
      <c r="BR14" s="1">
        <v>7.4126193529336134E-3</v>
      </c>
      <c r="BS14" s="1">
        <v>-7.3076176465476268E-3</v>
      </c>
      <c r="BT14" s="1">
        <v>3.7841746963641301E-2</v>
      </c>
      <c r="BU14" s="1">
        <v>1.7198246939911201E-2</v>
      </c>
      <c r="BV14" s="1">
        <v>3.7095413241527851E-3</v>
      </c>
      <c r="BW14" s="1">
        <v>2.8263100911611761E-2</v>
      </c>
      <c r="BX14" s="1">
        <v>-1.832353128407755E-3</v>
      </c>
      <c r="BY14" s="1">
        <v>3.3486520993382368E-2</v>
      </c>
      <c r="BZ14" s="1">
        <v>-6.702852519859874E-2</v>
      </c>
      <c r="CA14" s="1">
        <v>-4.2270658237080413E-3</v>
      </c>
      <c r="CB14" s="1">
        <v>2.1023167797172559E-3</v>
      </c>
      <c r="CC14" s="1">
        <v>-1.3439846056666141E-2</v>
      </c>
      <c r="CD14" s="1">
        <v>-4.2422145314322618E-2</v>
      </c>
      <c r="CE14" s="1">
        <v>2.6709101208949811E-2</v>
      </c>
      <c r="CF14" s="1">
        <v>2.982959754007276E-2</v>
      </c>
      <c r="CG14" s="1">
        <v>-9.2097650034829309E-3</v>
      </c>
      <c r="CH14" s="1">
        <v>5.4791114450233158E-2</v>
      </c>
      <c r="CI14" s="1">
        <v>2.0868137185086622E-3</v>
      </c>
      <c r="CJ14" s="1">
        <v>-2.6798593299065001E-2</v>
      </c>
      <c r="CK14" s="1">
        <v>-3.9709268133418497E-2</v>
      </c>
      <c r="CL14" s="1">
        <v>8.5244193795033882E-2</v>
      </c>
      <c r="CM14" s="1">
        <v>-1.6897212431414049E-2</v>
      </c>
      <c r="CN14" s="1">
        <v>3.3291272978686712E-2</v>
      </c>
      <c r="CO14" s="1">
        <v>-5.8377195917738267E-2</v>
      </c>
      <c r="CP14" s="1">
        <v>-2.1648359677181369E-2</v>
      </c>
      <c r="CQ14" s="1">
        <v>-9.3651540515494042E-3</v>
      </c>
      <c r="CR14" s="1">
        <v>-9.7928264552226679E-3</v>
      </c>
      <c r="CS14" s="1">
        <v>-7.8060548452444853E-4</v>
      </c>
      <c r="CT14" s="1">
        <v>2.3051296984676822E-2</v>
      </c>
      <c r="CU14" s="1">
        <v>-3.625516243630672E-2</v>
      </c>
      <c r="CV14" s="1">
        <v>2.500964601531545E-2</v>
      </c>
      <c r="CW14" s="1">
        <v>-1.855017340229904E-3</v>
      </c>
      <c r="CX14" s="1">
        <v>-2.818048300948545E-2</v>
      </c>
      <c r="CY14" s="1">
        <v>1.637968725430556E-3</v>
      </c>
      <c r="CZ14" s="1">
        <v>2.957929587410812E-3</v>
      </c>
      <c r="DA14" s="1">
        <v>6.2230098335767217E-2</v>
      </c>
      <c r="DB14" s="1">
        <v>1.4355772632904929E-2</v>
      </c>
      <c r="DC14" s="1">
        <v>-7.6009512183316766E-2</v>
      </c>
      <c r="DD14" s="1">
        <v>1.236586787462312E-2</v>
      </c>
      <c r="DE14" s="1">
        <v>5.8162019825226972E-2</v>
      </c>
      <c r="DF14" s="1">
        <v>-5.0099305031271451E-3</v>
      </c>
      <c r="DG14" s="1">
        <v>4.1851057573685728E-2</v>
      </c>
      <c r="DH14" s="1">
        <v>7.8455910496478334E-3</v>
      </c>
      <c r="DI14" s="1">
        <v>2.523119603533483E-2</v>
      </c>
      <c r="DJ14" s="1">
        <v>3.3167074970956521E-2</v>
      </c>
      <c r="DK14" s="1">
        <v>1.8501175579849229E-2</v>
      </c>
      <c r="DL14" s="1">
        <v>1.8524944442831329E-2</v>
      </c>
      <c r="DM14" s="1">
        <v>4.1918024652137183E-2</v>
      </c>
      <c r="DN14" s="1">
        <v>-3.0670509464496572E-2</v>
      </c>
      <c r="DO14" s="1">
        <v>-3.0875719728267969E-3</v>
      </c>
      <c r="DP14" s="1">
        <v>1.231241052389582E-2</v>
      </c>
      <c r="DQ14" s="1">
        <v>-4.8160804481514894E-3</v>
      </c>
      <c r="DR14" s="1">
        <v>1.3994229344074811E-2</v>
      </c>
      <c r="DS14" s="1">
        <v>7.0283946072247873E-3</v>
      </c>
      <c r="DT14" s="1">
        <v>2.710603152763014E-2</v>
      </c>
      <c r="DU14" s="1">
        <v>1.7568042397851991E-4</v>
      </c>
      <c r="DV14" s="1">
        <v>-2.5975194255691E-2</v>
      </c>
      <c r="DW14" s="1">
        <v>-3.7634465928272257E-2</v>
      </c>
      <c r="DX14" s="1">
        <v>-7.2867651662108651E-3</v>
      </c>
      <c r="DY14" s="1">
        <v>1.269158692963294E-2</v>
      </c>
      <c r="DZ14" s="1">
        <v>2.3887645517721219E-2</v>
      </c>
      <c r="EA14" s="1">
        <v>-5.7983778411220037E-2</v>
      </c>
      <c r="EB14" s="1">
        <v>7.6601151291155051E-3</v>
      </c>
      <c r="EC14" s="1">
        <v>-1.7706879510066501E-2</v>
      </c>
      <c r="ED14" s="1">
        <v>-4.7781685199275309E-3</v>
      </c>
      <c r="EE14" s="1">
        <v>-1.571895213960061E-2</v>
      </c>
      <c r="EF14" s="1">
        <v>4.2279364945320523E-2</v>
      </c>
    </row>
    <row r="15" spans="1:137" s="3" customFormat="1" ht="16" customHeight="1">
      <c r="A15" s="6">
        <v>20</v>
      </c>
      <c r="B15" s="6">
        <v>48</v>
      </c>
      <c r="C15" s="7">
        <v>0.19687692674233029</v>
      </c>
      <c r="D15" s="7">
        <v>7.2917495407105154E-2</v>
      </c>
      <c r="E15" s="7">
        <v>-1.325651655854972E-2</v>
      </c>
      <c r="F15" s="7">
        <v>2.4097566067648919E-2</v>
      </c>
      <c r="G15" s="7">
        <v>7.1533852646205251E-3</v>
      </c>
      <c r="H15" s="7">
        <v>-9.278754651589196E-3</v>
      </c>
      <c r="I15" s="7">
        <v>1.8591155176091209E-2</v>
      </c>
      <c r="J15" s="7">
        <v>-1.073076078056827E-2</v>
      </c>
      <c r="K15" s="7">
        <v>-3.9153014458249057E-2</v>
      </c>
      <c r="L15" s="2">
        <v>2.117067186325354E-2</v>
      </c>
      <c r="M15" s="2">
        <v>1.837565007201291E-3</v>
      </c>
      <c r="N15" s="2">
        <v>-1.233863970474609E-2</v>
      </c>
      <c r="O15" s="1">
        <v>-3.9621483271222141E-2</v>
      </c>
      <c r="P15" s="1">
        <v>-5.4472914753654414E-3</v>
      </c>
      <c r="Q15" s="1">
        <v>6.0860176094241283E-3</v>
      </c>
      <c r="R15" s="1">
        <v>-2.6419539665367291E-2</v>
      </c>
      <c r="S15" s="1">
        <v>-6.9610132665505198E-3</v>
      </c>
      <c r="T15" s="1">
        <v>-7.9036622272579821E-3</v>
      </c>
      <c r="U15" s="1">
        <v>-5.2495007270509167E-2</v>
      </c>
      <c r="V15" s="1">
        <v>4.0941341507939003E-2</v>
      </c>
      <c r="W15" s="1">
        <v>1.120428033232314E-2</v>
      </c>
      <c r="X15" s="1">
        <v>9.6634323594264618E-2</v>
      </c>
      <c r="Y15" s="1">
        <v>-4.3586752867887123E-2</v>
      </c>
      <c r="Z15" s="1">
        <v>2.3007701022927041E-2</v>
      </c>
      <c r="AA15" s="1">
        <v>-2.2660492674667989E-2</v>
      </c>
      <c r="AB15" s="1">
        <v>1.02053910931422E-2</v>
      </c>
      <c r="AC15" s="1">
        <v>2.0173680836342561E-2</v>
      </c>
      <c r="AD15" s="1">
        <v>2.4754825664315649E-2</v>
      </c>
      <c r="AE15" s="1">
        <v>-1.852798096520545E-2</v>
      </c>
      <c r="AF15" s="1">
        <v>1.785101075129595E-2</v>
      </c>
      <c r="AG15" s="1">
        <v>1.0510789532326349E-2</v>
      </c>
      <c r="AH15" s="1">
        <v>3.1655609248393848E-2</v>
      </c>
      <c r="AI15" s="1">
        <v>-4.911231049595734E-3</v>
      </c>
      <c r="AJ15" s="1">
        <v>-3.8529814411027839E-2</v>
      </c>
      <c r="AK15" s="1">
        <v>-3.8225302750553941E-2</v>
      </c>
      <c r="AL15" s="1">
        <v>-5.675604306384828E-3</v>
      </c>
      <c r="AM15" s="1">
        <v>-1.304521086235489E-2</v>
      </c>
      <c r="AN15" s="1">
        <v>1.7294809765670639E-2</v>
      </c>
      <c r="AO15" s="1">
        <v>3.835209575200986E-2</v>
      </c>
      <c r="AP15" s="1">
        <v>5.4980678489818448E-2</v>
      </c>
      <c r="AQ15" s="1">
        <v>1.42000066650409E-2</v>
      </c>
      <c r="AR15" s="1">
        <v>5.9358124605646016E-3</v>
      </c>
      <c r="AS15" s="1">
        <v>3.2345052886187872E-2</v>
      </c>
      <c r="AT15" s="1">
        <v>-8.8300514283185753E-3</v>
      </c>
      <c r="AU15" s="1">
        <v>3.6281159012726438E-2</v>
      </c>
      <c r="AV15" s="1">
        <v>1.700899563208948E-2</v>
      </c>
      <c r="AW15" s="1">
        <v>-4.4457968101410242E-2</v>
      </c>
      <c r="AX15" s="1">
        <v>-2.4696640275429199E-2</v>
      </c>
      <c r="AY15" s="1">
        <v>-4.4384568642633678E-3</v>
      </c>
      <c r="AZ15" s="1">
        <v>1.2814034457095429E-2</v>
      </c>
      <c r="BA15" s="1">
        <v>4.415446845501439E-2</v>
      </c>
      <c r="BB15" s="1">
        <v>-3.3427567804263772E-2</v>
      </c>
      <c r="BC15" s="1">
        <v>-3.6834097155597351E-3</v>
      </c>
      <c r="BD15" s="1">
        <v>2.019946637408496E-2</v>
      </c>
      <c r="BE15" s="1">
        <v>-3.5566666896985587E-2</v>
      </c>
      <c r="BF15" s="1">
        <v>-9.183867740715862E-3</v>
      </c>
      <c r="BG15" s="1">
        <v>3.4769412686525378E-2</v>
      </c>
      <c r="BH15" s="1">
        <v>-9.8314145172852252E-3</v>
      </c>
      <c r="BI15" s="1">
        <v>3.6112132695811289E-2</v>
      </c>
      <c r="BJ15" s="1">
        <v>-1.765047649605934E-3</v>
      </c>
      <c r="BK15" s="1">
        <v>-1.825609820093829E-3</v>
      </c>
      <c r="BL15" s="1">
        <v>3.1121253083360379E-2</v>
      </c>
      <c r="BM15" s="1">
        <v>-1.3740018400253819E-2</v>
      </c>
      <c r="BN15" s="1">
        <v>-3.5930283073156051E-5</v>
      </c>
      <c r="BO15" s="1">
        <v>2.532394138269372E-2</v>
      </c>
      <c r="BP15" s="1">
        <v>-3.5219688913320828E-2</v>
      </c>
      <c r="BQ15" s="1">
        <v>-2.7625878008601289E-2</v>
      </c>
      <c r="BR15" s="1">
        <v>-1.485544733695247E-2</v>
      </c>
      <c r="BS15" s="1">
        <v>-2.676217117869803E-2</v>
      </c>
      <c r="BT15" s="1">
        <v>5.0933593128484632E-2</v>
      </c>
      <c r="BU15" s="1">
        <v>-1.828514341382478E-2</v>
      </c>
      <c r="BV15" s="1">
        <v>2.5376373696827891E-2</v>
      </c>
      <c r="BW15" s="1">
        <v>4.1905110990730791E-2</v>
      </c>
      <c r="BX15" s="1">
        <v>-8.4628127437372837E-3</v>
      </c>
      <c r="BY15" s="1">
        <v>-1.9711204049769979E-2</v>
      </c>
      <c r="BZ15" s="1">
        <v>-0.10460996217555189</v>
      </c>
      <c r="CA15" s="1">
        <v>-3.1932391354419373E-2</v>
      </c>
      <c r="CB15" s="1">
        <v>1.508694062756598E-2</v>
      </c>
      <c r="CC15" s="1">
        <v>-3.1759321708709772E-2</v>
      </c>
      <c r="CD15" s="1">
        <v>-2.2044056383286909E-2</v>
      </c>
      <c r="CE15" s="1">
        <v>5.2478165626585707E-2</v>
      </c>
      <c r="CF15" s="1">
        <v>3.1820439992073901E-2</v>
      </c>
      <c r="CG15" s="1">
        <v>-1.537960663700517E-2</v>
      </c>
      <c r="CH15" s="1">
        <v>5.4934197234969367E-2</v>
      </c>
      <c r="CI15" s="1">
        <v>-2.445824296798833E-2</v>
      </c>
      <c r="CJ15" s="1">
        <v>-6.191466515704333E-3</v>
      </c>
      <c r="CK15" s="1">
        <v>-4.3815576929206512E-2</v>
      </c>
      <c r="CL15" s="1">
        <v>6.5087734869633859E-2</v>
      </c>
      <c r="CM15" s="1">
        <v>-2.5640227096718749E-2</v>
      </c>
      <c r="CN15" s="1">
        <v>1.7339311029331981E-2</v>
      </c>
      <c r="CO15" s="1">
        <v>-9.5041996360487352E-2</v>
      </c>
      <c r="CP15" s="1">
        <v>1.304557054670316E-2</v>
      </c>
      <c r="CQ15" s="1">
        <v>8.0020646547130023E-3</v>
      </c>
      <c r="CR15" s="1">
        <v>-9.8590499465280815E-3</v>
      </c>
      <c r="CS15" s="1">
        <v>-9.8019763779030634E-3</v>
      </c>
      <c r="CT15" s="1">
        <v>2.9999139900688289E-2</v>
      </c>
      <c r="CU15" s="1">
        <v>-3.9338968023775477E-2</v>
      </c>
      <c r="CV15" s="1">
        <v>4.4401331567124572E-2</v>
      </c>
      <c r="CW15" s="1">
        <v>-1.168346494263914E-2</v>
      </c>
      <c r="CX15" s="1">
        <v>-1.437314513339767E-2</v>
      </c>
      <c r="CY15" s="1">
        <v>-1.1132626322226089E-2</v>
      </c>
      <c r="CZ15" s="1">
        <v>6.0390682562481979E-4</v>
      </c>
      <c r="DA15" s="1">
        <v>6.9658480154828978E-2</v>
      </c>
      <c r="DB15" s="1">
        <v>7.6960615160762552E-3</v>
      </c>
      <c r="DC15" s="1">
        <v>-8.2259930559512501E-2</v>
      </c>
      <c r="DD15" s="1">
        <v>4.4784808941030971E-2</v>
      </c>
      <c r="DE15" s="1">
        <v>7.3137257039930306E-2</v>
      </c>
      <c r="DF15" s="1">
        <v>9.8069513895370428E-3</v>
      </c>
      <c r="DG15" s="1">
        <v>4.2540215536629837E-2</v>
      </c>
      <c r="DH15" s="1">
        <v>2.483176791412851E-2</v>
      </c>
      <c r="DI15" s="1">
        <v>1.6559424967104878E-2</v>
      </c>
      <c r="DJ15" s="1">
        <v>2.010635436656431E-2</v>
      </c>
      <c r="DK15" s="1">
        <v>1.5534011452149769E-2</v>
      </c>
      <c r="DL15" s="1">
        <v>3.3410437250879048E-2</v>
      </c>
      <c r="DM15" s="1">
        <v>4.5191626988445879E-2</v>
      </c>
      <c r="DN15" s="1">
        <v>-2.821650426037102E-2</v>
      </c>
      <c r="DO15" s="1">
        <v>2.635462520217281E-3</v>
      </c>
      <c r="DP15" s="1">
        <v>1.8938737445972759E-2</v>
      </c>
      <c r="DQ15" s="1">
        <v>2.104150965296786E-4</v>
      </c>
      <c r="DR15" s="1">
        <v>4.8104269004699218E-2</v>
      </c>
      <c r="DS15" s="1">
        <v>2.0006541542130749E-2</v>
      </c>
      <c r="DT15" s="1">
        <v>1.7377188460668259E-2</v>
      </c>
      <c r="DU15" s="1">
        <v>-1.169759033775708E-2</v>
      </c>
      <c r="DV15" s="1">
        <v>-3.1639435732291422E-2</v>
      </c>
      <c r="DW15" s="1">
        <v>-4.3314801592172027E-2</v>
      </c>
      <c r="DX15" s="1">
        <v>-1.749483616056836E-2</v>
      </c>
      <c r="DY15" s="1">
        <v>3.1754180604919087E-2</v>
      </c>
      <c r="DZ15" s="1">
        <v>2.8472537148491722E-2</v>
      </c>
      <c r="EA15" s="1">
        <v>-4.6502759517636237E-2</v>
      </c>
      <c r="EB15" s="1">
        <v>3.515758718073813E-2</v>
      </c>
      <c r="EC15" s="1">
        <v>-3.3585504234342131E-2</v>
      </c>
      <c r="ED15" s="1">
        <v>-4.6444204027050323E-2</v>
      </c>
      <c r="EE15" s="1">
        <v>-1.1995967756882889E-2</v>
      </c>
      <c r="EF15" s="1">
        <v>4.6200236034864492E-2</v>
      </c>
    </row>
    <row r="16" spans="1:137" s="3" customFormat="1" ht="16" customHeight="1">
      <c r="A16" s="6">
        <v>50</v>
      </c>
      <c r="B16" s="6">
        <v>19</v>
      </c>
      <c r="C16" s="7">
        <v>0.36308230375568429</v>
      </c>
      <c r="D16" s="7">
        <v>6.2201179072287532E-2</v>
      </c>
      <c r="E16" s="7">
        <v>-1.3724384932295001E-2</v>
      </c>
      <c r="F16" s="7">
        <v>3.1509169549215163E-2</v>
      </c>
      <c r="G16" s="7">
        <v>2.044155559326229E-2</v>
      </c>
      <c r="H16" s="7">
        <v>1.3522263453522939E-2</v>
      </c>
      <c r="I16" s="7">
        <v>-1.9791155579584011E-2</v>
      </c>
      <c r="J16" s="7">
        <v>-8.5723289589470453E-2</v>
      </c>
      <c r="K16" s="7">
        <v>-4.1764661122319219E-2</v>
      </c>
      <c r="L16" s="2">
        <v>1.5876741614999679E-2</v>
      </c>
      <c r="M16" s="2">
        <v>-8.5675801428393497E-3</v>
      </c>
      <c r="N16" s="2">
        <v>-3.9315753088648292E-2</v>
      </c>
      <c r="O16" s="1">
        <v>-4.3447210578066553E-2</v>
      </c>
      <c r="P16" s="1">
        <v>-1.3296586975629109E-3</v>
      </c>
      <c r="Q16" s="1">
        <v>2.3650108342193509E-2</v>
      </c>
      <c r="R16" s="1">
        <v>-5.2772248931263317E-2</v>
      </c>
      <c r="S16" s="1">
        <v>-2.5081241212722191E-2</v>
      </c>
      <c r="T16" s="1">
        <v>-4.7365597975422918E-2</v>
      </c>
      <c r="U16" s="1">
        <v>-6.4384322442421441E-2</v>
      </c>
      <c r="V16" s="1">
        <v>8.3822571379206054E-2</v>
      </c>
      <c r="W16" s="1">
        <v>2.831651869974806E-2</v>
      </c>
      <c r="X16" s="1">
        <v>0.1277986523364206</v>
      </c>
      <c r="Y16" s="1">
        <v>-6.8094060338572918E-2</v>
      </c>
      <c r="Z16" s="1">
        <v>5.7637897665484869E-2</v>
      </c>
      <c r="AA16" s="1">
        <v>-6.0309840576622163E-2</v>
      </c>
      <c r="AB16" s="1">
        <v>-2.2355648781720871E-2</v>
      </c>
      <c r="AC16" s="1">
        <v>5.4444415481463393E-2</v>
      </c>
      <c r="AD16" s="1">
        <v>5.7438046880184009E-2</v>
      </c>
      <c r="AE16" s="1">
        <v>-7.2580449827190736E-3</v>
      </c>
      <c r="AF16" s="1">
        <v>8.1801274312337413E-2</v>
      </c>
      <c r="AG16" s="1">
        <v>1.4926615924635161E-2</v>
      </c>
      <c r="AH16" s="1">
        <v>5.3626233484945211E-2</v>
      </c>
      <c r="AI16" s="1">
        <v>3.5066940928293898E-2</v>
      </c>
      <c r="AJ16" s="1">
        <v>-5.1816742462122561E-2</v>
      </c>
      <c r="AK16" s="1">
        <v>-4.1525247776717789E-3</v>
      </c>
      <c r="AL16" s="1">
        <v>-4.6535754812804628E-2</v>
      </c>
      <c r="AM16" s="1">
        <v>-9.4781192520911189E-3</v>
      </c>
      <c r="AN16" s="1">
        <v>5.5765618301277041E-2</v>
      </c>
      <c r="AO16" s="1">
        <v>9.4186589184313801E-2</v>
      </c>
      <c r="AP16" s="1">
        <v>9.9920695505144097E-2</v>
      </c>
      <c r="AQ16" s="1">
        <v>-5.0805168318504401E-2</v>
      </c>
      <c r="AR16" s="1">
        <v>1.229785222315019E-3</v>
      </c>
      <c r="AS16" s="1">
        <v>2.703621042110629E-2</v>
      </c>
      <c r="AT16" s="1">
        <v>4.8790114954067057E-2</v>
      </c>
      <c r="AU16" s="1">
        <v>6.7695631626617278E-2</v>
      </c>
      <c r="AV16" s="1">
        <v>1.3733897959462411E-2</v>
      </c>
      <c r="AW16" s="1">
        <v>-1.1039673153081721E-2</v>
      </c>
      <c r="AX16" s="1">
        <v>-5.0981307307583913E-2</v>
      </c>
      <c r="AY16" s="1">
        <v>2.6631767607181158E-3</v>
      </c>
      <c r="AZ16" s="1">
        <v>2.7737744917522431E-2</v>
      </c>
      <c r="BA16" s="1">
        <v>4.5884347515848613E-2</v>
      </c>
      <c r="BB16" s="1">
        <v>-7.5778122313249166E-2</v>
      </c>
      <c r="BC16" s="1">
        <v>-1.0768669191959099E-2</v>
      </c>
      <c r="BD16" s="1">
        <v>1.277375455662046E-2</v>
      </c>
      <c r="BE16" s="1">
        <v>-2.4146215947675239E-2</v>
      </c>
      <c r="BF16" s="1">
        <v>-1.8930014748027291E-2</v>
      </c>
      <c r="BG16" s="1">
        <v>0.1137209120495135</v>
      </c>
      <c r="BH16" s="1">
        <v>7.9477942411801811E-2</v>
      </c>
      <c r="BI16" s="1">
        <v>-3.2589580643495243E-2</v>
      </c>
      <c r="BJ16" s="1">
        <v>2.7633015698675281E-2</v>
      </c>
      <c r="BK16" s="1">
        <v>-6.9484527620235735E-4</v>
      </c>
      <c r="BL16" s="1">
        <v>5.6804528866638018E-2</v>
      </c>
      <c r="BM16" s="1">
        <v>-2.7617856149896518E-2</v>
      </c>
      <c r="BN16" s="1">
        <v>-3.0461513176331602E-3</v>
      </c>
      <c r="BO16" s="1">
        <v>2.763985361389484E-2</v>
      </c>
      <c r="BP16" s="1">
        <v>-3.0210810117034709E-2</v>
      </c>
      <c r="BQ16" s="1">
        <v>-5.0559145726183224E-4</v>
      </c>
      <c r="BR16" s="1">
        <v>-5.8199490310676012E-2</v>
      </c>
      <c r="BS16" s="1">
        <v>-5.5107336456218358E-3</v>
      </c>
      <c r="BT16" s="1">
        <v>1.7843106391868389E-2</v>
      </c>
      <c r="BU16" s="1">
        <v>-6.7283366885981771E-2</v>
      </c>
      <c r="BV16" s="1">
        <v>4.9970336364474302E-2</v>
      </c>
      <c r="BW16" s="1">
        <v>7.0527627233221382E-2</v>
      </c>
      <c r="BX16" s="1">
        <v>5.7285338999715357E-3</v>
      </c>
      <c r="BY16" s="1">
        <v>-1.5902052712845751E-2</v>
      </c>
      <c r="BZ16" s="1">
        <v>-0.15633859816250201</v>
      </c>
      <c r="CA16" s="1">
        <v>-2.098904428922976E-2</v>
      </c>
      <c r="CB16" s="1">
        <v>0.10418671512514011</v>
      </c>
      <c r="CC16" s="1">
        <v>-1.8939468902021601E-2</v>
      </c>
      <c r="CD16" s="1">
        <v>-1.6308734895199871E-2</v>
      </c>
      <c r="CE16" s="1">
        <v>-1.059372754539796E-2</v>
      </c>
      <c r="CF16" s="1">
        <v>5.0093062441636173E-2</v>
      </c>
      <c r="CG16" s="1">
        <v>1.9273752608439641E-2</v>
      </c>
      <c r="CH16" s="1">
        <v>7.2727222949223444E-2</v>
      </c>
      <c r="CI16" s="1">
        <v>-4.1301238700170023E-3</v>
      </c>
      <c r="CJ16" s="1">
        <v>-5.7972358587692521E-2</v>
      </c>
      <c r="CK16" s="1">
        <v>-2.8418168391926971E-2</v>
      </c>
      <c r="CL16" s="1">
        <v>1.075403688069604E-2</v>
      </c>
      <c r="CM16" s="1">
        <v>-9.1045092583896536E-3</v>
      </c>
      <c r="CN16" s="1">
        <v>5.1951452352930992E-2</v>
      </c>
      <c r="CO16" s="1">
        <v>-0.25772069399181818</v>
      </c>
      <c r="CP16" s="1">
        <v>6.3466725591944634E-2</v>
      </c>
      <c r="CQ16" s="1">
        <v>7.5875372410948855E-2</v>
      </c>
      <c r="CR16" s="1">
        <v>3.6317551755856922E-2</v>
      </c>
      <c r="CS16" s="1">
        <v>1.1683432419078561E-2</v>
      </c>
      <c r="CT16" s="1">
        <v>2.0884057510195789E-2</v>
      </c>
      <c r="CU16" s="1">
        <v>-5.2882078764690123E-2</v>
      </c>
      <c r="CV16" s="1">
        <v>7.8280245384373601E-2</v>
      </c>
      <c r="CW16" s="1">
        <v>-4.2458824352500042E-2</v>
      </c>
      <c r="CX16" s="1">
        <v>-1.6928206648302999E-2</v>
      </c>
      <c r="CY16" s="1">
        <v>-3.3918997426767099E-3</v>
      </c>
      <c r="CZ16" s="1">
        <v>1.117362624071264E-2</v>
      </c>
      <c r="DA16" s="1">
        <v>8.9709910526813624E-2</v>
      </c>
      <c r="DB16" s="1">
        <v>-3.2418327087427978E-2</v>
      </c>
      <c r="DC16" s="1">
        <v>-7.3101271088768696E-2</v>
      </c>
      <c r="DD16" s="1">
        <v>3.1441519472561498E-2</v>
      </c>
      <c r="DE16" s="1">
        <v>4.1191263972065913E-2</v>
      </c>
      <c r="DF16" s="1">
        <v>-5.9121178871739087E-3</v>
      </c>
      <c r="DG16" s="1">
        <v>4.3652211854054067E-2</v>
      </c>
      <c r="DH16" s="1">
        <v>-9.7363273482593271E-3</v>
      </c>
      <c r="DI16" s="1">
        <v>-2.682237683504975E-2</v>
      </c>
      <c r="DJ16" s="1">
        <v>2.405697769970408E-2</v>
      </c>
      <c r="DK16" s="1">
        <v>-2.38718464800469E-2</v>
      </c>
      <c r="DL16" s="1">
        <v>7.5602360586701584E-2</v>
      </c>
      <c r="DM16" s="1">
        <v>6.5888565910216926E-2</v>
      </c>
      <c r="DN16" s="1">
        <v>2.2779566462627208E-2</v>
      </c>
      <c r="DO16" s="1">
        <v>2.515654018407797E-2</v>
      </c>
      <c r="DP16" s="1">
        <v>0.1027040857027449</v>
      </c>
      <c r="DQ16" s="1">
        <v>-5.3317921772458032E-3</v>
      </c>
      <c r="DR16" s="1">
        <v>1.3077887059973E-2</v>
      </c>
      <c r="DS16" s="1">
        <v>4.7859331313109682E-2</v>
      </c>
      <c r="DT16" s="1">
        <v>5.2444823779446842E-3</v>
      </c>
      <c r="DU16" s="1">
        <v>-6.0000535385044034E-3</v>
      </c>
      <c r="DV16" s="1">
        <v>-8.9001163195018343E-3</v>
      </c>
      <c r="DW16" s="1">
        <v>-4.5234728758911068E-2</v>
      </c>
      <c r="DX16" s="1">
        <v>-6.5065008836441091E-2</v>
      </c>
      <c r="DY16" s="1">
        <v>5.1806172273173981E-2</v>
      </c>
      <c r="DZ16" s="1">
        <v>1.9932609044117471E-2</v>
      </c>
      <c r="EA16" s="1">
        <v>-2.0036386306752991E-2</v>
      </c>
      <c r="EB16" s="1">
        <v>3.6505305995321508E-2</v>
      </c>
      <c r="EC16" s="1">
        <v>-1.275869489115797E-2</v>
      </c>
      <c r="ED16" s="1">
        <v>-0.10727840805198979</v>
      </c>
      <c r="EE16" s="1">
        <v>2.0466068176899919E-2</v>
      </c>
      <c r="EF16" s="1">
        <v>5.5540104414594532E-2</v>
      </c>
    </row>
    <row r="17" spans="1:136" s="3" customFormat="1" ht="16" customHeight="1">
      <c r="A17" s="6">
        <v>100</v>
      </c>
      <c r="B17" s="6">
        <v>10</v>
      </c>
      <c r="C17" s="7">
        <v>0.50963263247614221</v>
      </c>
      <c r="D17" s="7">
        <v>8.6134769072445591E-2</v>
      </c>
      <c r="E17" s="7">
        <v>0.1163592927473716</v>
      </c>
      <c r="F17" s="7">
        <v>0.1238883365653194</v>
      </c>
      <c r="G17" s="7">
        <v>-4.1898536699117993E-2</v>
      </c>
      <c r="H17" s="7">
        <v>1.6722660122594251E-2</v>
      </c>
      <c r="I17" s="7">
        <v>1.903121134867909E-3</v>
      </c>
      <c r="J17" s="7">
        <v>-0.1082798871111649</v>
      </c>
      <c r="K17" s="7">
        <v>1.3580150000629501E-2</v>
      </c>
      <c r="L17" s="2">
        <v>-3.0743088869340969E-2</v>
      </c>
      <c r="M17" s="2">
        <v>-1.9381987215215529E-3</v>
      </c>
      <c r="N17" s="2">
        <v>3.8835440104682248E-2</v>
      </c>
      <c r="O17" s="1">
        <v>-0.10936427033651561</v>
      </c>
      <c r="P17" s="1">
        <v>-3.5283862317142529E-3</v>
      </c>
      <c r="Q17" s="1">
        <v>0.1109272408363246</v>
      </c>
      <c r="R17" s="1">
        <v>-2.463545982837732E-2</v>
      </c>
      <c r="S17" s="1">
        <v>-3.8573823965212438E-2</v>
      </c>
      <c r="T17" s="1">
        <v>-0.1191956976019487</v>
      </c>
      <c r="U17" s="1">
        <v>-7.4637876672229653E-2</v>
      </c>
      <c r="V17" s="1">
        <v>7.2037822412506877E-2</v>
      </c>
      <c r="W17" s="1">
        <v>3.1653053966707367E-2</v>
      </c>
      <c r="X17" s="1">
        <v>0.1596196330830093</v>
      </c>
      <c r="Y17" s="1">
        <v>-3.6213757610016509E-2</v>
      </c>
      <c r="Z17" s="1">
        <v>7.5771436263281158E-2</v>
      </c>
      <c r="AA17" s="1">
        <v>-4.9234814186867482E-2</v>
      </c>
      <c r="AB17" s="1">
        <v>-8.1263033673187213E-2</v>
      </c>
      <c r="AC17" s="1">
        <v>-7.8230350736763626E-3</v>
      </c>
      <c r="AD17" s="1">
        <v>0.1076413049493174</v>
      </c>
      <c r="AE17" s="1">
        <v>6.9098690180301958E-2</v>
      </c>
      <c r="AF17" s="1">
        <v>0.1643056005659472</v>
      </c>
      <c r="AG17" s="1">
        <v>3.0476060955777769E-2</v>
      </c>
      <c r="AH17" s="1">
        <v>9.1088555147289654E-2</v>
      </c>
      <c r="AI17" s="1">
        <v>5.9059741190524942E-2</v>
      </c>
      <c r="AJ17" s="1">
        <v>-7.5443776687240283E-2</v>
      </c>
      <c r="AK17" s="1">
        <v>-5.7078795647298022E-2</v>
      </c>
      <c r="AL17" s="1">
        <v>-3.0628476540704681E-2</v>
      </c>
      <c r="AM17" s="1">
        <v>1.66958932268307E-2</v>
      </c>
      <c r="AN17" s="1">
        <v>0.109529380633848</v>
      </c>
      <c r="AO17" s="1">
        <v>3.1342987186244807E-2</v>
      </c>
      <c r="AP17" s="1">
        <v>0.1595167978914451</v>
      </c>
      <c r="AQ17" s="1">
        <v>1.979007696713584E-2</v>
      </c>
      <c r="AR17" s="1">
        <v>-1.231699850513091E-2</v>
      </c>
      <c r="AS17" s="1">
        <v>3.35332571444368E-2</v>
      </c>
      <c r="AT17" s="1">
        <v>6.1883130919442378E-2</v>
      </c>
      <c r="AU17" s="1">
        <v>0.1219240857398674</v>
      </c>
      <c r="AV17" s="1">
        <v>6.2329574306457441E-2</v>
      </c>
      <c r="AW17" s="1">
        <v>-6.6359576924053365E-2</v>
      </c>
      <c r="AX17" s="1">
        <v>-0.1236012420805665</v>
      </c>
      <c r="AY17" s="1">
        <v>-6.306289298215273E-2</v>
      </c>
      <c r="AZ17" s="1">
        <v>3.8641920538847571E-3</v>
      </c>
      <c r="BA17" s="1">
        <v>5.8925129102665147E-2</v>
      </c>
      <c r="BB17" s="1">
        <v>-6.4575667590301714E-2</v>
      </c>
      <c r="BC17" s="1">
        <v>-5.9050624857144483E-2</v>
      </c>
      <c r="BD17" s="1">
        <v>4.9337598828686552E-3</v>
      </c>
      <c r="BE17" s="1">
        <v>-5.135532937875701E-2</v>
      </c>
      <c r="BF17" s="1">
        <v>-6.5913548009749467E-2</v>
      </c>
      <c r="BG17" s="1">
        <v>0.207481828681715</v>
      </c>
      <c r="BH17" s="1">
        <v>0.10304016228444279</v>
      </c>
      <c r="BI17" s="1">
        <v>-8.4653602515191731E-2</v>
      </c>
      <c r="BJ17" s="1">
        <v>9.4970025903513111E-2</v>
      </c>
      <c r="BK17" s="1">
        <v>-8.0679030634640686E-2</v>
      </c>
      <c r="BL17" s="1">
        <v>7.0933492801614401E-2</v>
      </c>
      <c r="BM17" s="1">
        <v>-4.7822373365954053E-2</v>
      </c>
      <c r="BN17" s="1">
        <v>-1.163489181275747E-2</v>
      </c>
      <c r="BO17" s="1">
        <v>4.4885187635185869E-2</v>
      </c>
      <c r="BP17" s="1">
        <v>-7.4309656207778907E-2</v>
      </c>
      <c r="BQ17" s="1">
        <v>-1.3935079513492271E-2</v>
      </c>
      <c r="BR17" s="1">
        <v>-8.4186912015716708E-2</v>
      </c>
      <c r="BS17" s="1">
        <v>-2.547799591430867E-2</v>
      </c>
      <c r="BT17" s="1">
        <v>3.6163396263106988E-2</v>
      </c>
      <c r="BU17" s="1">
        <v>-0.11559593219072541</v>
      </c>
      <c r="BV17" s="1">
        <v>0.11357476637329179</v>
      </c>
      <c r="BW17" s="1">
        <v>6.5299710187394638E-3</v>
      </c>
      <c r="BX17" s="1">
        <v>-3.3894650633188368E-2</v>
      </c>
      <c r="BY17" s="1">
        <v>-1.173452215275653E-2</v>
      </c>
      <c r="BZ17" s="1">
        <v>-0.21130279627815729</v>
      </c>
      <c r="CA17" s="1">
        <v>1.076636666582859E-2</v>
      </c>
      <c r="CB17" s="1">
        <v>0.169787912918757</v>
      </c>
      <c r="CC17" s="1">
        <v>-7.6848067693474603E-2</v>
      </c>
      <c r="CD17" s="1">
        <v>1.0926920866664131E-2</v>
      </c>
      <c r="CE17" s="1">
        <v>2.6910354566873278E-2</v>
      </c>
      <c r="CF17" s="1">
        <v>5.8110394451751722E-2</v>
      </c>
      <c r="CG17" s="1">
        <v>-3.4672545903397578E-2</v>
      </c>
      <c r="CH17" s="1">
        <v>-1.5482572028531229E-2</v>
      </c>
      <c r="CI17" s="1">
        <v>-6.1386930704584473E-2</v>
      </c>
      <c r="CJ17" s="1">
        <v>-4.5160923809792683E-3</v>
      </c>
      <c r="CK17" s="1">
        <v>-5.4737817401960383E-2</v>
      </c>
      <c r="CL17" s="1">
        <v>-4.2775614709949783E-3</v>
      </c>
      <c r="CM17" s="1">
        <v>1.414193595474909E-2</v>
      </c>
      <c r="CN17" s="1">
        <v>0.13090359190456641</v>
      </c>
      <c r="CO17" s="1">
        <v>-0.25772294060580991</v>
      </c>
      <c r="CP17" s="1">
        <v>-9.2378909765236904E-3</v>
      </c>
      <c r="CQ17" s="1">
        <v>0.14317006960822151</v>
      </c>
      <c r="CR17" s="1">
        <v>1.435562112541801E-2</v>
      </c>
      <c r="CS17" s="1">
        <v>-1.3686281575421301E-2</v>
      </c>
      <c r="CT17" s="1">
        <v>1.2291504050392371E-2</v>
      </c>
      <c r="CU17" s="1">
        <v>-7.312866153502684E-3</v>
      </c>
      <c r="CV17" s="1">
        <v>7.1491322256358902E-2</v>
      </c>
      <c r="CW17" s="1">
        <v>-8.7529690641498403E-2</v>
      </c>
      <c r="CX17" s="1">
        <v>-2.8312885625995279E-2</v>
      </c>
      <c r="CY17" s="1">
        <v>-9.6508702822914127E-2</v>
      </c>
      <c r="CZ17" s="1">
        <v>0.1025220032321552</v>
      </c>
      <c r="DA17" s="1">
        <v>5.3909115680044237E-2</v>
      </c>
      <c r="DB17" s="1">
        <v>-5.3103264321111433E-2</v>
      </c>
      <c r="DC17" s="1">
        <v>-2.1095691412415251E-2</v>
      </c>
      <c r="DD17" s="1">
        <v>1.104542435056532E-2</v>
      </c>
      <c r="DE17" s="1">
        <v>5.6922538101784881E-3</v>
      </c>
      <c r="DF17" s="1">
        <v>4.7468407140964456E-3</v>
      </c>
      <c r="DG17" s="1">
        <v>1.9375269464082918E-2</v>
      </c>
      <c r="DH17" s="1">
        <v>6.1046924066453928E-4</v>
      </c>
      <c r="DI17" s="1">
        <v>-7.0920161021678668E-2</v>
      </c>
      <c r="DJ17" s="1">
        <v>2.2842502594240741E-2</v>
      </c>
      <c r="DK17" s="1">
        <v>-6.9562201639682228E-2</v>
      </c>
      <c r="DL17" s="1">
        <v>9.418749700263504E-2</v>
      </c>
      <c r="DM17" s="1">
        <v>3.036833083999824E-2</v>
      </c>
      <c r="DN17" s="1">
        <v>8.5354151030096817E-3</v>
      </c>
      <c r="DO17" s="1">
        <v>4.9867111335128347E-2</v>
      </c>
      <c r="DP17" s="1">
        <v>0.14910843391290229</v>
      </c>
      <c r="DQ17" s="1">
        <v>-2.352068064723287E-2</v>
      </c>
      <c r="DR17" s="1">
        <v>1.317572582552246E-2</v>
      </c>
      <c r="DS17" s="1">
        <v>1.565757535665788E-2</v>
      </c>
      <c r="DT17" s="1">
        <v>-6.4505640309963114E-2</v>
      </c>
      <c r="DU17" s="1">
        <v>-1.08636888681136E-2</v>
      </c>
      <c r="DV17" s="1">
        <v>3.0822068049881919E-2</v>
      </c>
      <c r="DW17" s="1">
        <v>-7.2424393720780106E-2</v>
      </c>
      <c r="DX17" s="1">
        <v>-2.8167187520708709E-2</v>
      </c>
      <c r="DY17" s="1">
        <v>-4.4816442419606181E-3</v>
      </c>
      <c r="DZ17" s="1">
        <v>1.5832414901523751E-2</v>
      </c>
      <c r="EA17" s="1">
        <v>1.374310873701712E-2</v>
      </c>
      <c r="EB17" s="1">
        <v>6.2355439841266798E-2</v>
      </c>
      <c r="EC17" s="1">
        <v>6.1254631275555742E-2</v>
      </c>
      <c r="ED17" s="1">
        <v>-1.2052379021119891E-2</v>
      </c>
      <c r="EE17" s="1">
        <v>5.2714580459423323E-2</v>
      </c>
      <c r="EF17" s="1">
        <v>5.3122745857381463E-2</v>
      </c>
    </row>
    <row r="18" spans="1:136" s="3" customFormat="1" ht="16" customHeight="1">
      <c r="A18" s="6">
        <v>107</v>
      </c>
      <c r="B18" s="6">
        <v>9</v>
      </c>
      <c r="C18" s="7">
        <v>0.51201375227854862</v>
      </c>
      <c r="D18" s="7">
        <v>9.8100164148114621E-2</v>
      </c>
      <c r="E18" s="7">
        <v>0.1049087225937506</v>
      </c>
      <c r="F18" s="7">
        <v>8.3179581569059149E-2</v>
      </c>
      <c r="G18" s="7">
        <v>-8.0315666872937619E-2</v>
      </c>
      <c r="H18" s="7">
        <v>4.0809523473091372E-2</v>
      </c>
      <c r="I18" s="7">
        <v>-1.4943266888156351E-2</v>
      </c>
      <c r="J18" s="7">
        <v>-0.13392275485827379</v>
      </c>
      <c r="K18" s="7">
        <v>5.1003247568137962E-2</v>
      </c>
      <c r="L18" s="2">
        <v>-4.6414239867103878E-2</v>
      </c>
      <c r="M18" s="2">
        <v>3.1926632893036391E-2</v>
      </c>
      <c r="N18" s="2">
        <v>6.0385450279062933E-2</v>
      </c>
      <c r="O18" s="1">
        <v>-0.1118630227968721</v>
      </c>
      <c r="P18" s="1">
        <v>-2.1373521068225108E-3</v>
      </c>
      <c r="Q18" s="1">
        <v>0.1198425153752295</v>
      </c>
      <c r="R18" s="1">
        <v>-2.2870169120329738E-2</v>
      </c>
      <c r="S18" s="1">
        <v>-4.1951785536675383E-2</v>
      </c>
      <c r="T18" s="1">
        <v>-9.8217945283724212E-2</v>
      </c>
      <c r="U18" s="1">
        <v>-8.225098197096041E-2</v>
      </c>
      <c r="V18" s="1">
        <v>6.0606656217663119E-2</v>
      </c>
      <c r="W18" s="1">
        <v>2.0143563610466941E-2</v>
      </c>
      <c r="X18" s="1">
        <v>0.157784169189638</v>
      </c>
      <c r="Y18" s="1">
        <v>-3.9654898970414229E-2</v>
      </c>
      <c r="Z18" s="1">
        <v>7.5980169070904116E-2</v>
      </c>
      <c r="AA18" s="1">
        <v>-4.4378814231681517E-2</v>
      </c>
      <c r="AB18" s="1">
        <v>-6.3508542750286556E-2</v>
      </c>
      <c r="AC18" s="1">
        <v>3.7460612054713428E-3</v>
      </c>
      <c r="AD18" s="1">
        <v>0.15515337146840119</v>
      </c>
      <c r="AE18" s="1">
        <v>7.8294658008787738E-2</v>
      </c>
      <c r="AF18" s="1">
        <v>0.1747910150483469</v>
      </c>
      <c r="AG18" s="1">
        <v>4.6222111440842387E-2</v>
      </c>
      <c r="AH18" s="1">
        <v>7.9200829815942175E-2</v>
      </c>
      <c r="AI18" s="1">
        <v>1.2752397556693841E-2</v>
      </c>
      <c r="AJ18" s="1">
        <v>-8.0168785094773487E-2</v>
      </c>
      <c r="AK18" s="1">
        <v>-5.7142952542228641E-2</v>
      </c>
      <c r="AL18" s="1">
        <v>-3.7035213028892573E-2</v>
      </c>
      <c r="AM18" s="1">
        <v>1.308635743317264E-2</v>
      </c>
      <c r="AN18" s="1">
        <v>0.13054665963810511</v>
      </c>
      <c r="AO18" s="1">
        <v>2.9132007089662949E-2</v>
      </c>
      <c r="AP18" s="1">
        <v>0.18046781284792099</v>
      </c>
      <c r="AQ18" s="1">
        <v>3.4863251436399977E-2</v>
      </c>
      <c r="AR18" s="1">
        <v>-7.4643598043199928E-3</v>
      </c>
      <c r="AS18" s="1">
        <v>4.0032869159295978E-3</v>
      </c>
      <c r="AT18" s="1">
        <v>4.9783605765876759E-2</v>
      </c>
      <c r="AU18" s="1">
        <v>0.1137599670481214</v>
      </c>
      <c r="AV18" s="1">
        <v>5.0567442174840382E-2</v>
      </c>
      <c r="AW18" s="1">
        <v>-3.4622584805437062E-2</v>
      </c>
      <c r="AX18" s="1">
        <v>-0.15275227944580011</v>
      </c>
      <c r="AY18" s="1">
        <v>-7.5347580197417857E-2</v>
      </c>
      <c r="AZ18" s="1">
        <v>1.2737381434282149E-2</v>
      </c>
      <c r="BA18" s="1">
        <v>7.5696171477108082E-2</v>
      </c>
      <c r="BB18" s="1">
        <v>-5.921035723057913E-2</v>
      </c>
      <c r="BC18" s="1">
        <v>-7.1737981521588431E-2</v>
      </c>
      <c r="BD18" s="1">
        <v>1.5101634182006831E-2</v>
      </c>
      <c r="BE18" s="1">
        <v>-5.0446333368869917E-2</v>
      </c>
      <c r="BF18" s="1">
        <v>-6.1747525506609217E-2</v>
      </c>
      <c r="BG18" s="1">
        <v>0.2131394489121777</v>
      </c>
      <c r="BH18" s="1">
        <v>0.11762020750405559</v>
      </c>
      <c r="BI18" s="1">
        <v>-0.12838512888739079</v>
      </c>
      <c r="BJ18" s="1">
        <v>0.1074799742058065</v>
      </c>
      <c r="BK18" s="1">
        <v>-7.3976121335238579E-2</v>
      </c>
      <c r="BL18" s="1">
        <v>6.8955643680664591E-2</v>
      </c>
      <c r="BM18" s="1">
        <v>-3.195779120255008E-2</v>
      </c>
      <c r="BN18" s="1">
        <v>-6.8211148718685969E-3</v>
      </c>
      <c r="BO18" s="1">
        <v>4.1217397266832982E-2</v>
      </c>
      <c r="BP18" s="1">
        <v>-9.3985404220168087E-2</v>
      </c>
      <c r="BQ18" s="1">
        <v>-6.1185914843690903E-2</v>
      </c>
      <c r="BR18" s="1">
        <v>-0.1098652637180382</v>
      </c>
      <c r="BS18" s="1">
        <v>-2.0749424647186231E-2</v>
      </c>
      <c r="BT18" s="1">
        <v>5.5003394562053817E-2</v>
      </c>
      <c r="BU18" s="1">
        <v>-0.12401299407061769</v>
      </c>
      <c r="BV18" s="1">
        <v>0.1118956199177355</v>
      </c>
      <c r="BW18" s="1">
        <v>6.0190310673690323E-2</v>
      </c>
      <c r="BX18" s="1">
        <v>-4.9871167665849869E-2</v>
      </c>
      <c r="BY18" s="1">
        <v>-6.1980391944288747E-2</v>
      </c>
      <c r="BZ18" s="1">
        <v>-0.25329021539194629</v>
      </c>
      <c r="CA18" s="1">
        <v>3.4296846008246418E-4</v>
      </c>
      <c r="CB18" s="1">
        <v>0.194523207968893</v>
      </c>
      <c r="CC18" s="1">
        <v>-7.6255124657839277E-2</v>
      </c>
      <c r="CD18" s="1">
        <v>6.6582598333677412E-2</v>
      </c>
      <c r="CE18" s="1">
        <v>3.1430835409417393E-2</v>
      </c>
      <c r="CF18" s="1">
        <v>4.9680013871015373E-2</v>
      </c>
      <c r="CG18" s="1">
        <v>5.2967690145819521E-2</v>
      </c>
      <c r="CH18" s="1">
        <v>-3.7796611289095977E-2</v>
      </c>
      <c r="CI18" s="1">
        <v>-7.4929091529711514E-2</v>
      </c>
      <c r="CJ18" s="1">
        <v>1.8279830426988431E-2</v>
      </c>
      <c r="CK18" s="1">
        <v>-6.6249791206648298E-2</v>
      </c>
      <c r="CL18" s="1">
        <v>-6.4150788581502222E-2</v>
      </c>
      <c r="CM18" s="1">
        <v>2.3304938756074908E-2</v>
      </c>
      <c r="CN18" s="1">
        <v>4.4786615503316952E-2</v>
      </c>
      <c r="CO18" s="1">
        <v>-0.2337278370065218</v>
      </c>
      <c r="CP18" s="1">
        <v>-1.036015600923524E-2</v>
      </c>
      <c r="CQ18" s="1">
        <v>0.1585305538746393</v>
      </c>
      <c r="CR18" s="1">
        <v>-7.9564432531855495E-3</v>
      </c>
      <c r="CS18" s="1">
        <v>-3.1643100070074863E-2</v>
      </c>
      <c r="CT18" s="1">
        <v>-5.556105028458852E-3</v>
      </c>
      <c r="CU18" s="1">
        <v>9.771064400380669E-4</v>
      </c>
      <c r="CV18" s="1">
        <v>3.6441512769039008E-2</v>
      </c>
      <c r="CW18" s="1">
        <v>-6.8855905390522637E-2</v>
      </c>
      <c r="CX18" s="1">
        <v>6.3875863876605016E-3</v>
      </c>
      <c r="CY18" s="1">
        <v>-0.1103849405104457</v>
      </c>
      <c r="CZ18" s="1">
        <v>0.1184193263903154</v>
      </c>
      <c r="DA18" s="1">
        <v>3.7097760097459728E-2</v>
      </c>
      <c r="DB18" s="1">
        <v>-4.8833266628053831E-2</v>
      </c>
      <c r="DC18" s="1">
        <v>-1.377493653870902E-2</v>
      </c>
      <c r="DD18" s="1">
        <v>3.50786190901984E-3</v>
      </c>
      <c r="DE18" s="1">
        <v>-5.9766027589367027E-3</v>
      </c>
      <c r="DF18" s="1">
        <v>9.3120480805031595E-3</v>
      </c>
      <c r="DG18" s="1">
        <v>2.8115335041844769E-3</v>
      </c>
      <c r="DH18" s="1">
        <v>3.1782925091869002E-3</v>
      </c>
      <c r="DI18" s="1">
        <v>-7.8149422327083426E-2</v>
      </c>
      <c r="DJ18" s="1">
        <v>-2.0142525365052542E-2</v>
      </c>
      <c r="DK18" s="1">
        <v>-9.5577695493278325E-2</v>
      </c>
      <c r="DL18" s="1">
        <v>0.10972129102573409</v>
      </c>
      <c r="DM18" s="1">
        <v>-2.3729882268812019E-2</v>
      </c>
      <c r="DN18" s="1">
        <v>3.2410308860478028E-2</v>
      </c>
      <c r="DO18" s="1">
        <v>6.2355840405013907E-2</v>
      </c>
      <c r="DP18" s="1">
        <v>0.1114644008370007</v>
      </c>
      <c r="DQ18" s="1">
        <v>-3.1162599784494389E-2</v>
      </c>
      <c r="DR18" s="1">
        <v>1.45788894751994E-2</v>
      </c>
      <c r="DS18" s="1">
        <v>1.6731203764303109E-3</v>
      </c>
      <c r="DT18" s="1">
        <v>-6.5526979669452007E-2</v>
      </c>
      <c r="DU18" s="1">
        <v>9.96252040416791E-3</v>
      </c>
      <c r="DV18" s="1">
        <v>1.6931497756610899E-2</v>
      </c>
      <c r="DW18" s="1">
        <v>-8.2644502783823848E-2</v>
      </c>
      <c r="DX18" s="1">
        <v>-1.9118756406488299E-2</v>
      </c>
      <c r="DY18" s="1">
        <v>-3.5916483664406702E-2</v>
      </c>
      <c r="DZ18" s="1">
        <v>-1.358469490957071E-3</v>
      </c>
      <c r="EA18" s="1">
        <v>4.2287554042412107E-2</v>
      </c>
      <c r="EB18" s="1">
        <v>9.2113310921237507E-2</v>
      </c>
      <c r="EC18" s="1">
        <v>9.5294098186915074E-2</v>
      </c>
      <c r="ED18" s="1">
        <v>-2.1275906234533432E-3</v>
      </c>
      <c r="EE18" s="1">
        <v>6.364516558615825E-2</v>
      </c>
      <c r="EF18" s="1">
        <v>6.6379839641500654E-2</v>
      </c>
    </row>
    <row r="19" spans="1:136" s="3" customFormat="1" ht="16" customHeight="1">
      <c r="A19" s="6">
        <v>120</v>
      </c>
      <c r="B19" s="6">
        <v>8</v>
      </c>
      <c r="C19" s="7">
        <v>0.52985771388284164</v>
      </c>
      <c r="D19" s="7">
        <v>7.606114459542522E-2</v>
      </c>
      <c r="E19" s="7">
        <v>0.1044040819233399</v>
      </c>
      <c r="F19" s="7">
        <v>-6.7178579577600345E-2</v>
      </c>
      <c r="G19" s="7">
        <v>-8.2735777488667867E-2</v>
      </c>
      <c r="H19" s="7">
        <v>4.8538574369903907E-2</v>
      </c>
      <c r="I19" s="7">
        <v>1.7228103923745668E-2</v>
      </c>
      <c r="J19" s="7">
        <v>-8.3716559483896932E-2</v>
      </c>
      <c r="K19" s="7">
        <v>4.3504555325471699E-2</v>
      </c>
      <c r="L19" s="2">
        <v>-3.6605614451994242E-2</v>
      </c>
      <c r="M19" s="2">
        <v>2.3588566035926212E-2</v>
      </c>
      <c r="N19" s="2">
        <v>4.7668104236650112E-2</v>
      </c>
      <c r="O19" s="1">
        <v>-0.1223112838733728</v>
      </c>
      <c r="P19" s="1">
        <v>-6.8552530519521253E-3</v>
      </c>
      <c r="Q19" s="1">
        <v>0.13676182705223269</v>
      </c>
      <c r="R19" s="1">
        <v>-4.9627206271754341E-2</v>
      </c>
      <c r="S19" s="1">
        <v>-5.3140615771096397E-4</v>
      </c>
      <c r="T19" s="1">
        <v>-7.2801924084221648E-2</v>
      </c>
      <c r="U19" s="1">
        <v>-0.12705135612186089</v>
      </c>
      <c r="V19" s="1">
        <v>4.7642475637007707E-2</v>
      </c>
      <c r="W19" s="1">
        <v>1.5115430167798481E-2</v>
      </c>
      <c r="X19" s="1">
        <v>0.20221850515772691</v>
      </c>
      <c r="Y19" s="1">
        <v>-3.059537503249524E-2</v>
      </c>
      <c r="Z19" s="1">
        <v>7.0802848871364898E-2</v>
      </c>
      <c r="AA19" s="1">
        <v>-4.9593905559245637E-2</v>
      </c>
      <c r="AB19" s="1">
        <v>-5.9192406677882489E-2</v>
      </c>
      <c r="AC19" s="1">
        <v>1.9701800175298679E-3</v>
      </c>
      <c r="AD19" s="1">
        <v>0.13969010742237609</v>
      </c>
      <c r="AE19" s="1">
        <v>0.12090141308640449</v>
      </c>
      <c r="AF19" s="1">
        <v>0.14528083883742729</v>
      </c>
      <c r="AG19" s="1">
        <v>5.9824625339323742E-2</v>
      </c>
      <c r="AH19" s="1">
        <v>7.9034205157837586E-2</v>
      </c>
      <c r="AI19" s="1">
        <v>-6.9087254328882358E-3</v>
      </c>
      <c r="AJ19" s="1">
        <v>-8.864082741225654E-2</v>
      </c>
      <c r="AK19" s="1">
        <v>-4.8049495122023861E-2</v>
      </c>
      <c r="AL19" s="1">
        <v>-4.048526633941419E-2</v>
      </c>
      <c r="AM19" s="1">
        <v>9.4500960206069483E-3</v>
      </c>
      <c r="AN19" s="1">
        <v>0.13954237203814029</v>
      </c>
      <c r="AO19" s="1">
        <v>2.7062280042456109E-2</v>
      </c>
      <c r="AP19" s="1">
        <v>0.21064131117414109</v>
      </c>
      <c r="AQ19" s="1">
        <v>4.1535869588320279E-4</v>
      </c>
      <c r="AR19" s="1">
        <v>6.2558705656035728E-3</v>
      </c>
      <c r="AS19" s="1">
        <v>1.2558767024983149E-2</v>
      </c>
      <c r="AT19" s="1">
        <v>6.3393400536012168E-2</v>
      </c>
      <c r="AU19" s="1">
        <v>0.14079770068027611</v>
      </c>
      <c r="AV19" s="1">
        <v>4.1395756927523591E-2</v>
      </c>
      <c r="AW19" s="1">
        <v>-1.2224798363977151E-2</v>
      </c>
      <c r="AX19" s="1">
        <v>-0.18435485347764191</v>
      </c>
      <c r="AY19" s="1">
        <v>-0.12809128079360091</v>
      </c>
      <c r="AZ19" s="1">
        <v>5.9507400561648917E-3</v>
      </c>
      <c r="BA19" s="1">
        <v>3.9079089491862458E-2</v>
      </c>
      <c r="BB19" s="1">
        <v>-5.6778910148877947E-2</v>
      </c>
      <c r="BC19" s="1">
        <v>-6.2312335923788841E-2</v>
      </c>
      <c r="BD19" s="1">
        <v>9.9495227641921147E-3</v>
      </c>
      <c r="BE19" s="1">
        <v>-5.1416418151372982E-2</v>
      </c>
      <c r="BF19" s="1">
        <v>-1.5788925078600659E-2</v>
      </c>
      <c r="BG19" s="1">
        <v>0.20140512776274039</v>
      </c>
      <c r="BH19" s="1">
        <v>0.13969196921431151</v>
      </c>
      <c r="BI19" s="1">
        <v>-0.1019831192821241</v>
      </c>
      <c r="BJ19" s="1">
        <v>0.1197019982339094</v>
      </c>
      <c r="BK19" s="1">
        <v>-9.6687990345080771E-2</v>
      </c>
      <c r="BL19" s="1">
        <v>8.1805321366100595E-2</v>
      </c>
      <c r="BM19" s="1">
        <v>-3.3466951428687677E-2</v>
      </c>
      <c r="BN19" s="1">
        <v>4.0575034845889459E-3</v>
      </c>
      <c r="BO19" s="1">
        <v>4.8053365314032301E-2</v>
      </c>
      <c r="BP19" s="1">
        <v>-0.1358951325975345</v>
      </c>
      <c r="BQ19" s="1">
        <v>-6.6896046592159919E-2</v>
      </c>
      <c r="BR19" s="1">
        <v>-0.1122995832229548</v>
      </c>
      <c r="BS19" s="1">
        <v>-2.0453666654292411E-2</v>
      </c>
      <c r="BT19" s="1">
        <v>6.372679340534014E-2</v>
      </c>
      <c r="BU19" s="1">
        <v>-0.12846364583262621</v>
      </c>
      <c r="BV19" s="1">
        <v>0.1324630390931302</v>
      </c>
      <c r="BW19" s="1">
        <v>3.1768333085046653E-2</v>
      </c>
      <c r="BX19" s="1">
        <v>-3.8230486466470807E-2</v>
      </c>
      <c r="BY19" s="1">
        <v>-7.9758185075038346E-2</v>
      </c>
      <c r="BZ19" s="1">
        <v>-0.26753930961093247</v>
      </c>
      <c r="CA19" s="1">
        <v>2.0565278569038069E-3</v>
      </c>
      <c r="CB19" s="1">
        <v>0.22563407062198529</v>
      </c>
      <c r="CC19" s="1">
        <v>-0.1064402388602793</v>
      </c>
      <c r="CD19" s="1">
        <v>-5.0873354382964808E-2</v>
      </c>
      <c r="CE19" s="1">
        <v>-3.9737204916551368E-2</v>
      </c>
      <c r="CF19" s="1">
        <v>5.2853072612742018E-2</v>
      </c>
      <c r="CG19" s="1">
        <v>8.1574797148804529E-2</v>
      </c>
      <c r="CH19" s="1">
        <v>-4.2530618783028662E-2</v>
      </c>
      <c r="CI19" s="1">
        <v>-0.1172574532925659</v>
      </c>
      <c r="CJ19" s="1">
        <v>1.7113110177263219E-2</v>
      </c>
      <c r="CK19" s="1">
        <v>-6.9748368400156677E-2</v>
      </c>
      <c r="CL19" s="1">
        <v>-9.3128030340507567E-3</v>
      </c>
      <c r="CM19" s="1">
        <v>5.1487871031026061E-2</v>
      </c>
      <c r="CN19" s="1">
        <v>2.2772360898600279E-2</v>
      </c>
      <c r="CO19" s="1">
        <v>-0.16747504621716061</v>
      </c>
      <c r="CP19" s="1">
        <v>-3.0928958587737979E-2</v>
      </c>
      <c r="CQ19" s="1">
        <v>0.20310225576849711</v>
      </c>
      <c r="CR19" s="1">
        <v>2.3181979012384151E-2</v>
      </c>
      <c r="CS19" s="1">
        <v>-8.677051161408246E-3</v>
      </c>
      <c r="CT19" s="1">
        <v>-3.7899251577478518E-2</v>
      </c>
      <c r="CU19" s="1">
        <v>-1.117104610197894E-2</v>
      </c>
      <c r="CV19" s="1">
        <v>4.0180728808857313E-2</v>
      </c>
      <c r="CW19" s="1">
        <v>-7.3503677384137364E-2</v>
      </c>
      <c r="CX19" s="1">
        <v>1.52933721307392E-2</v>
      </c>
      <c r="CY19" s="1">
        <v>-9.956896893530981E-2</v>
      </c>
      <c r="CZ19" s="1">
        <v>0.14849635563290681</v>
      </c>
      <c r="DA19" s="1">
        <v>5.7245568060076427E-2</v>
      </c>
      <c r="DB19" s="1">
        <v>-6.4871693575877326E-2</v>
      </c>
      <c r="DC19" s="1">
        <v>-1.7668363597428571E-2</v>
      </c>
      <c r="DD19" s="1">
        <v>-5.7846515845768331E-3</v>
      </c>
      <c r="DE19" s="1">
        <v>-2.2127287703609749E-2</v>
      </c>
      <c r="DF19" s="1">
        <v>2.1587741028577131E-2</v>
      </c>
      <c r="DG19" s="1">
        <v>2.50605213895452E-2</v>
      </c>
      <c r="DH19" s="1">
        <v>8.2975077290860649E-3</v>
      </c>
      <c r="DI19" s="1">
        <v>-8.3131858926023122E-2</v>
      </c>
      <c r="DJ19" s="1">
        <v>-1.021914161730497E-2</v>
      </c>
      <c r="DK19" s="1">
        <v>-9.5570532961836083E-2</v>
      </c>
      <c r="DL19" s="1">
        <v>7.2422409651386341E-2</v>
      </c>
      <c r="DM19" s="1">
        <v>-2.9633363960826501E-2</v>
      </c>
      <c r="DN19" s="1">
        <v>4.0703783299673058E-2</v>
      </c>
      <c r="DO19" s="1">
        <v>6.6922478713572903E-2</v>
      </c>
      <c r="DP19" s="1">
        <v>0.1081164031287932</v>
      </c>
      <c r="DQ19" s="1">
        <v>-5.3077385897817242E-2</v>
      </c>
      <c r="DR19" s="1">
        <v>-6.1282000565750731E-3</v>
      </c>
      <c r="DS19" s="1">
        <v>-1.8473526735799679E-2</v>
      </c>
      <c r="DT19" s="1">
        <v>-8.4857002698624007E-2</v>
      </c>
      <c r="DU19" s="1">
        <v>3.7965007145035763E-2</v>
      </c>
      <c r="DV19" s="1">
        <v>2.216627487265381E-2</v>
      </c>
      <c r="DW19" s="1">
        <v>-8.3543442481245234E-2</v>
      </c>
      <c r="DX19" s="1">
        <v>1.1892608351825649E-2</v>
      </c>
      <c r="DY19" s="1">
        <v>4.4396718777992741E-2</v>
      </c>
      <c r="DZ19" s="1">
        <v>-4.8075572134409217E-3</v>
      </c>
      <c r="EA19" s="1">
        <v>4.6144540153720381E-2</v>
      </c>
      <c r="EB19" s="1">
        <v>8.8177280274375311E-2</v>
      </c>
      <c r="EC19" s="1">
        <v>9.8773806039907458E-2</v>
      </c>
      <c r="ED19" s="1">
        <v>-2.3581202558429419E-3</v>
      </c>
      <c r="EE19" s="1">
        <v>7.4006134219565672E-2</v>
      </c>
      <c r="EF19" s="1">
        <v>7.9478952762728511E-2</v>
      </c>
    </row>
    <row r="20" spans="1:136" s="3" customFormat="1" ht="16" customHeight="1">
      <c r="A20" s="6">
        <v>137</v>
      </c>
      <c r="B20" s="6">
        <v>7</v>
      </c>
      <c r="C20" s="7">
        <v>0.59702667278137145</v>
      </c>
      <c r="D20" s="7">
        <v>0.11234221936693491</v>
      </c>
      <c r="E20" s="7">
        <v>0.1197725365506753</v>
      </c>
      <c r="F20" s="7">
        <v>-5.2670133397916298E-2</v>
      </c>
      <c r="G20" s="7">
        <v>-8.5104962662982564E-2</v>
      </c>
      <c r="H20" s="7">
        <v>4.2588982474377139E-2</v>
      </c>
      <c r="I20" s="7">
        <v>2.5934439245554001E-2</v>
      </c>
      <c r="J20" s="7">
        <v>-0.1029108869557044</v>
      </c>
      <c r="K20" s="7">
        <v>6.0254316673198652E-2</v>
      </c>
      <c r="L20" s="2">
        <v>-3.5141143896704398E-2</v>
      </c>
      <c r="M20" s="2">
        <v>6.5944909541795493E-2</v>
      </c>
      <c r="N20" s="2">
        <v>4.8725311120705869E-2</v>
      </c>
      <c r="O20" s="1">
        <v>-0.12114281037219241</v>
      </c>
      <c r="P20" s="1">
        <v>1.8580166149108561E-2</v>
      </c>
      <c r="Q20" s="1">
        <v>0.17007991347821641</v>
      </c>
      <c r="R20" s="1">
        <v>-5.0666745042941358E-2</v>
      </c>
      <c r="S20" s="1">
        <v>-7.8891291449357769E-3</v>
      </c>
      <c r="T20" s="1">
        <v>-7.7583719572652865E-2</v>
      </c>
      <c r="U20" s="1">
        <v>-0.1209528052220873</v>
      </c>
      <c r="V20" s="1">
        <v>6.0617934574949087E-2</v>
      </c>
      <c r="W20" s="1">
        <v>3.4031799072117293E-2</v>
      </c>
      <c r="X20" s="1">
        <v>0.1190217784711801</v>
      </c>
      <c r="Y20" s="1">
        <v>-5.9172970092658893E-2</v>
      </c>
      <c r="Z20" s="1">
        <v>4.6364348181295492E-2</v>
      </c>
      <c r="AA20" s="1">
        <v>-5.6977897443421202E-2</v>
      </c>
      <c r="AB20" s="1">
        <v>-5.7732291256740439E-2</v>
      </c>
      <c r="AC20" s="1">
        <v>3.8247064643999497E-2</v>
      </c>
      <c r="AD20" s="1">
        <v>0.1217428524407692</v>
      </c>
      <c r="AE20" s="1">
        <v>9.5786686787273867E-2</v>
      </c>
      <c r="AF20" s="1">
        <v>0.1479382388745345</v>
      </c>
      <c r="AG20" s="1">
        <v>4.0076151119528967E-2</v>
      </c>
      <c r="AH20" s="1">
        <v>0.106020302698056</v>
      </c>
      <c r="AI20" s="1">
        <v>8.8415766908152144E-3</v>
      </c>
      <c r="AJ20" s="1">
        <v>-9.1660718633092109E-2</v>
      </c>
      <c r="AK20" s="1">
        <v>-6.2903544872766892E-2</v>
      </c>
      <c r="AL20" s="1">
        <v>-2.309007460483441E-2</v>
      </c>
      <c r="AM20" s="1">
        <v>5.9551740840478699E-3</v>
      </c>
      <c r="AN20" s="1">
        <v>0.152458962691954</v>
      </c>
      <c r="AO20" s="1">
        <v>4.2447332126794302E-2</v>
      </c>
      <c r="AP20" s="1">
        <v>0.2357291195786122</v>
      </c>
      <c r="AQ20" s="1">
        <v>-1.663019803151139E-2</v>
      </c>
      <c r="AR20" s="1">
        <v>-3.7023840807480071E-2</v>
      </c>
      <c r="AS20" s="1">
        <v>-3.1522233124704473E-2</v>
      </c>
      <c r="AT20" s="1">
        <v>7.3773101585260931E-2</v>
      </c>
      <c r="AU20" s="1">
        <v>0.17022873784680079</v>
      </c>
      <c r="AV20" s="1">
        <v>3.643790011794025E-2</v>
      </c>
      <c r="AW20" s="1">
        <v>-1.0287419822355461E-2</v>
      </c>
      <c r="AX20" s="1">
        <v>-0.2164680401289017</v>
      </c>
      <c r="AY20" s="1">
        <v>-0.15878962532956489</v>
      </c>
      <c r="AZ20" s="1">
        <v>-7.324379403333825E-2</v>
      </c>
      <c r="BA20" s="1">
        <v>3.9030252359922808E-2</v>
      </c>
      <c r="BB20" s="1">
        <v>-2.9833766921272521E-2</v>
      </c>
      <c r="BC20" s="1">
        <v>-6.7232690806448892E-2</v>
      </c>
      <c r="BD20" s="1">
        <v>1.036935787865673E-2</v>
      </c>
      <c r="BE20" s="1">
        <v>-5.8332098441467098E-2</v>
      </c>
      <c r="BF20" s="1">
        <v>-4.8237820598293082E-2</v>
      </c>
      <c r="BG20" s="1">
        <v>0.20384241149921259</v>
      </c>
      <c r="BH20" s="1">
        <v>0.1273112567320058</v>
      </c>
      <c r="BI20" s="1">
        <v>-3.098202296822003E-2</v>
      </c>
      <c r="BJ20" s="1">
        <v>0.16854184093634139</v>
      </c>
      <c r="BK20" s="1">
        <v>-4.3284730993697493E-2</v>
      </c>
      <c r="BL20" s="1">
        <v>8.0872492458574308E-2</v>
      </c>
      <c r="BM20" s="1">
        <v>-2.8591581017167109E-2</v>
      </c>
      <c r="BN20" s="1">
        <v>3.7674701284938487E-2</v>
      </c>
      <c r="BO20" s="1">
        <v>3.4438569960882723E-2</v>
      </c>
      <c r="BP20" s="1">
        <v>-0.16345065394954891</v>
      </c>
      <c r="BQ20" s="1">
        <v>-8.8234249991517383E-2</v>
      </c>
      <c r="BR20" s="1">
        <v>-0.1293701536439707</v>
      </c>
      <c r="BS20" s="1">
        <v>-8.0267960268135922E-3</v>
      </c>
      <c r="BT20" s="1">
        <v>0.12060036429644951</v>
      </c>
      <c r="BU20" s="1">
        <v>-5.9011248442753038E-2</v>
      </c>
      <c r="BV20" s="1">
        <v>8.1313722210328093E-2</v>
      </c>
      <c r="BW20" s="1">
        <v>2.3036325727925841E-2</v>
      </c>
      <c r="BX20" s="1">
        <v>-6.4435825459256024E-2</v>
      </c>
      <c r="BY20" s="1">
        <v>-7.9395837496174626E-2</v>
      </c>
      <c r="BZ20" s="1">
        <v>-0.22233142698347291</v>
      </c>
      <c r="CA20" s="1">
        <v>-3.3634168523635771E-4</v>
      </c>
      <c r="CB20" s="1">
        <v>0.20437026802972921</v>
      </c>
      <c r="CC20" s="1">
        <v>-0.15077475535434021</v>
      </c>
      <c r="CD20" s="1">
        <v>-6.9076708806004083E-2</v>
      </c>
      <c r="CE20" s="1">
        <v>-5.355746735818509E-2</v>
      </c>
      <c r="CF20" s="1">
        <v>5.9428907467108563E-2</v>
      </c>
      <c r="CG20" s="1">
        <v>9.6535295486986181E-2</v>
      </c>
      <c r="CH20" s="1">
        <v>-7.0558228734936557E-2</v>
      </c>
      <c r="CI20" s="1">
        <v>-0.1231602352291763</v>
      </c>
      <c r="CJ20" s="1">
        <v>-2.5520870006066811E-2</v>
      </c>
      <c r="CK20" s="1">
        <v>-5.9404697811491269E-2</v>
      </c>
      <c r="CL20" s="1">
        <v>-1.5808280838525941E-2</v>
      </c>
      <c r="CM20" s="1">
        <v>2.7441990317854641E-2</v>
      </c>
      <c r="CN20" s="1">
        <v>1.0380079190252189E-2</v>
      </c>
      <c r="CO20" s="1">
        <v>-0.15292230080527561</v>
      </c>
      <c r="CP20" s="1">
        <v>-3.6841766872279837E-2</v>
      </c>
      <c r="CQ20" s="1">
        <v>0.24824017915228971</v>
      </c>
      <c r="CR20" s="1">
        <v>1.680162258796726E-3</v>
      </c>
      <c r="CS20" s="1">
        <v>1.2760754616223389E-2</v>
      </c>
      <c r="CT20" s="1">
        <v>-3.9989379297291218E-2</v>
      </c>
      <c r="CU20" s="1">
        <v>-1.696481475059727E-2</v>
      </c>
      <c r="CV20" s="1">
        <v>1.716021957517519E-2</v>
      </c>
      <c r="CW20" s="1">
        <v>-7.6679092980754246E-2</v>
      </c>
      <c r="CX20" s="1">
        <v>2.7565591105232309E-2</v>
      </c>
      <c r="CY20" s="1">
        <v>-9.7612475923228928E-2</v>
      </c>
      <c r="CZ20" s="1">
        <v>0.14601579504619591</v>
      </c>
      <c r="DA20" s="1">
        <v>6.1880194891662757E-2</v>
      </c>
      <c r="DB20" s="1">
        <v>-5.8935191510231681E-2</v>
      </c>
      <c r="DC20" s="1">
        <v>-1.025350901048128E-2</v>
      </c>
      <c r="DD20" s="1">
        <v>2.4323833134546689E-2</v>
      </c>
      <c r="DE20" s="1">
        <v>-3.1841768526823078E-2</v>
      </c>
      <c r="DF20" s="1">
        <v>3.2191641048882523E-2</v>
      </c>
      <c r="DG20" s="1">
        <v>2.5642305509314001E-2</v>
      </c>
      <c r="DH20" s="1">
        <v>2.2638178068234149E-3</v>
      </c>
      <c r="DI20" s="1">
        <v>-7.242630788583615E-2</v>
      </c>
      <c r="DJ20" s="1">
        <v>-2.590562526044627E-2</v>
      </c>
      <c r="DK20" s="1">
        <v>-5.4742386737940699E-2</v>
      </c>
      <c r="DL20" s="1">
        <v>8.4636771302964042E-2</v>
      </c>
      <c r="DM20" s="1">
        <v>-2.1697178918153062E-2</v>
      </c>
      <c r="DN20" s="1">
        <v>5.1943745878360349E-2</v>
      </c>
      <c r="DO20" s="1">
        <v>5.6454224375718648E-2</v>
      </c>
      <c r="DP20" s="1">
        <v>0.1198453474670783</v>
      </c>
      <c r="DQ20" s="1">
        <v>-0.1078235697289589</v>
      </c>
      <c r="DR20" s="1">
        <v>-2.0824984855461141E-2</v>
      </c>
      <c r="DS20" s="1">
        <v>-1.109328694780422E-2</v>
      </c>
      <c r="DT20" s="1">
        <v>-0.11481388041814421</v>
      </c>
      <c r="DU20" s="1">
        <v>6.442826538568322E-2</v>
      </c>
      <c r="DV20" s="1">
        <v>3.7284648111438362E-2</v>
      </c>
      <c r="DW20" s="1">
        <v>-5.125154360586083E-2</v>
      </c>
      <c r="DX20" s="1">
        <v>1.4207202321125E-2</v>
      </c>
      <c r="DY20" s="1">
        <v>8.1730371780071698E-2</v>
      </c>
      <c r="DZ20" s="1">
        <v>3.5042142391611623E-2</v>
      </c>
      <c r="EA20" s="1">
        <v>8.1965449773626173E-2</v>
      </c>
      <c r="EB20" s="1">
        <v>9.9856613074363609E-2</v>
      </c>
      <c r="EC20" s="1">
        <v>0.1228366294337465</v>
      </c>
      <c r="ED20" s="1">
        <v>-3.040228867206889E-2</v>
      </c>
      <c r="EE20" s="1">
        <v>7.403257421735307E-2</v>
      </c>
      <c r="EF20" s="1">
        <v>9.0060189910511484E-2</v>
      </c>
    </row>
    <row r="21" spans="1:136" s="3" customFormat="1" ht="16" customHeight="1">
      <c r="A21" s="6">
        <v>160</v>
      </c>
      <c r="B21" s="6">
        <v>6</v>
      </c>
      <c r="C21" s="7">
        <v>0.58903403281196909</v>
      </c>
      <c r="D21" s="7">
        <v>0.12101827357069039</v>
      </c>
      <c r="E21" s="7">
        <v>0.14904739401283079</v>
      </c>
      <c r="F21" s="7">
        <v>-5.1161742317699321E-2</v>
      </c>
      <c r="G21" s="7">
        <v>-7.6143150171010282E-2</v>
      </c>
      <c r="H21" s="7">
        <v>5.2045692476819762E-2</v>
      </c>
      <c r="I21" s="7">
        <v>-1.432377580913397E-2</v>
      </c>
      <c r="J21" s="7">
        <v>-8.7658147607000594E-2</v>
      </c>
      <c r="K21" s="7">
        <v>0.1099956178304537</v>
      </c>
      <c r="L21" s="2">
        <v>-1.035004657503855E-2</v>
      </c>
      <c r="M21" s="2">
        <v>9.5319388467231814E-2</v>
      </c>
      <c r="N21" s="2">
        <v>5.1909196996975181E-2</v>
      </c>
      <c r="O21" s="1">
        <v>-0.14279045921132891</v>
      </c>
      <c r="P21" s="1">
        <v>1.191346010455689E-2</v>
      </c>
      <c r="Q21" s="1">
        <v>0.1729966344587163</v>
      </c>
      <c r="R21" s="1">
        <v>-6.0054947219745289E-2</v>
      </c>
      <c r="S21" s="1">
        <v>2.9282474972151841E-3</v>
      </c>
      <c r="T21" s="1">
        <v>-8.4714245424777956E-2</v>
      </c>
      <c r="U21" s="1">
        <v>-0.14008402649132559</v>
      </c>
      <c r="V21" s="1">
        <v>5.2065874780098317E-2</v>
      </c>
      <c r="W21" s="1">
        <v>3.2223956188135172E-2</v>
      </c>
      <c r="X21" s="1">
        <v>7.2460969620781815E-2</v>
      </c>
      <c r="Y21" s="1">
        <v>-4.6392706644715273E-2</v>
      </c>
      <c r="Z21" s="1">
        <v>4.6385963543429803E-2</v>
      </c>
      <c r="AA21" s="1">
        <v>-4.7376075486697353E-2</v>
      </c>
      <c r="AB21" s="1">
        <v>-5.6662465739489229E-2</v>
      </c>
      <c r="AC21" s="1">
        <v>4.1917627253081381E-2</v>
      </c>
      <c r="AD21" s="1">
        <v>0.14347554027338991</v>
      </c>
      <c r="AE21" s="1">
        <v>0.13393968668568329</v>
      </c>
      <c r="AF21" s="1">
        <v>0.13976035152501559</v>
      </c>
      <c r="AG21" s="1">
        <v>5.8270038152253463E-2</v>
      </c>
      <c r="AH21" s="1">
        <v>0.11058398042845589</v>
      </c>
      <c r="AI21" s="1">
        <v>2.5698748549666469E-2</v>
      </c>
      <c r="AJ21" s="1">
        <v>-0.1253408299387378</v>
      </c>
      <c r="AK21" s="1">
        <v>2.1712837673108311E-2</v>
      </c>
      <c r="AL21" s="1">
        <v>2.243921565155526E-2</v>
      </c>
      <c r="AM21" s="1">
        <v>2.8344363863544629E-2</v>
      </c>
      <c r="AN21" s="1">
        <v>0.17393219307805241</v>
      </c>
      <c r="AO21" s="1">
        <v>7.5256079452157149E-2</v>
      </c>
      <c r="AP21" s="1">
        <v>0.1155275161697433</v>
      </c>
      <c r="AQ21" s="1">
        <v>-4.0305129381898001E-2</v>
      </c>
      <c r="AR21" s="1">
        <v>-2.4064234683638022E-2</v>
      </c>
      <c r="AS21" s="1">
        <v>-8.2810152372720214E-2</v>
      </c>
      <c r="AT21" s="1">
        <v>8.5553942160940422E-2</v>
      </c>
      <c r="AU21" s="1">
        <v>0.1982489823443383</v>
      </c>
      <c r="AV21" s="1">
        <v>5.0253807103562413E-2</v>
      </c>
      <c r="AW21" s="1">
        <v>-5.9856918334762081E-2</v>
      </c>
      <c r="AX21" s="1">
        <v>-0.23920274972162181</v>
      </c>
      <c r="AY21" s="1">
        <v>-0.19532085096308241</v>
      </c>
      <c r="AZ21" s="1">
        <v>-7.3820170135597607E-2</v>
      </c>
      <c r="BA21" s="1">
        <v>2.049420727928469E-2</v>
      </c>
      <c r="BB21" s="1">
        <v>-7.7932698138736836E-2</v>
      </c>
      <c r="BC21" s="1">
        <v>-7.5595123894411836E-2</v>
      </c>
      <c r="BD21" s="1">
        <v>6.2471472143848048E-3</v>
      </c>
      <c r="BE21" s="1">
        <v>-5.3023861905270607E-2</v>
      </c>
      <c r="BF21" s="1">
        <v>-3.2345344705284482E-2</v>
      </c>
      <c r="BG21" s="1">
        <v>0.2616088061803753</v>
      </c>
      <c r="BH21" s="1">
        <v>8.1861771387665927E-2</v>
      </c>
      <c r="BI21" s="1">
        <v>5.7666495271492257E-3</v>
      </c>
      <c r="BJ21" s="1">
        <v>0.18255109159587901</v>
      </c>
      <c r="BK21" s="1">
        <v>-5.1200608248704343E-2</v>
      </c>
      <c r="BL21" s="1">
        <v>8.2581646666011158E-2</v>
      </c>
      <c r="BM21" s="1">
        <v>1.444774623437696E-2</v>
      </c>
      <c r="BN21" s="1">
        <v>2.165565355507474E-2</v>
      </c>
      <c r="BO21" s="1">
        <v>4.6419083913034093E-2</v>
      </c>
      <c r="BP21" s="1">
        <v>-0.15934268145173219</v>
      </c>
      <c r="BQ21" s="1">
        <v>-8.0440695493297326E-2</v>
      </c>
      <c r="BR21" s="1">
        <v>-0.16823038916444699</v>
      </c>
      <c r="BS21" s="1">
        <v>-3.0264806454827931E-2</v>
      </c>
      <c r="BT21" s="1">
        <v>0.1360334534211089</v>
      </c>
      <c r="BU21" s="1">
        <v>-5.1609421768894922E-2</v>
      </c>
      <c r="BV21" s="1">
        <v>7.2476835192650996E-2</v>
      </c>
      <c r="BW21" s="1">
        <v>7.8441973622419281E-3</v>
      </c>
      <c r="BX21" s="1">
        <v>-5.572108398444181E-2</v>
      </c>
      <c r="BY21" s="1">
        <v>-9.836306096639158E-2</v>
      </c>
      <c r="BZ21" s="1">
        <v>-0.19991688637233779</v>
      </c>
      <c r="CA21" s="1">
        <v>3.7753679099692891E-2</v>
      </c>
      <c r="CB21" s="1">
        <v>0.20379029017723199</v>
      </c>
      <c r="CC21" s="1">
        <v>-0.1881871410523587</v>
      </c>
      <c r="CD21" s="1">
        <v>-7.4047646097463463E-2</v>
      </c>
      <c r="CE21" s="1">
        <v>-5.729090439367289E-2</v>
      </c>
      <c r="CF21" s="1">
        <v>0.1061386862889501</v>
      </c>
      <c r="CG21" s="1">
        <v>4.5719747780819803E-2</v>
      </c>
      <c r="CH21" s="1">
        <v>-0.13243064348335001</v>
      </c>
      <c r="CI21" s="1">
        <v>-0.1728337503291914</v>
      </c>
      <c r="CJ21" s="1">
        <v>-3.1519170084702432E-2</v>
      </c>
      <c r="CK21" s="1">
        <v>-7.846832161370218E-2</v>
      </c>
      <c r="CL21" s="1">
        <v>-4.5994719068803112E-2</v>
      </c>
      <c r="CM21" s="1">
        <v>3.0084792981625499E-2</v>
      </c>
      <c r="CN21" s="1">
        <v>-2.675995535338313E-2</v>
      </c>
      <c r="CO21" s="1">
        <v>-0.15204785401687071</v>
      </c>
      <c r="CP21" s="1">
        <v>-3.6223362581746903E-2</v>
      </c>
      <c r="CQ21" s="1">
        <v>0.32077597833093879</v>
      </c>
      <c r="CR21" s="1">
        <v>-1.4852951961960211E-2</v>
      </c>
      <c r="CS21" s="1">
        <v>-3.800571072133233E-3</v>
      </c>
      <c r="CT21" s="1">
        <v>-5.0488758539439058E-2</v>
      </c>
      <c r="CU21" s="1">
        <v>2.772852896333633E-2</v>
      </c>
      <c r="CV21" s="1">
        <v>1.631175317851043E-2</v>
      </c>
      <c r="CW21" s="1">
        <v>-5.5317417529942257E-2</v>
      </c>
      <c r="CX21" s="1">
        <v>6.626357166004361E-2</v>
      </c>
      <c r="CY21" s="1">
        <v>-0.1034562029475023</v>
      </c>
      <c r="CZ21" s="1">
        <v>0.1151965851684672</v>
      </c>
      <c r="DA21" s="1">
        <v>6.7471710136868784E-2</v>
      </c>
      <c r="DB21" s="1">
        <v>-4.2268358095446608E-2</v>
      </c>
      <c r="DC21" s="1">
        <v>-1.7345489932320459E-2</v>
      </c>
      <c r="DD21" s="1">
        <v>3.8316496184252723E-2</v>
      </c>
      <c r="DE21" s="1">
        <v>-3.3452283391425558E-2</v>
      </c>
      <c r="DF21" s="1">
        <v>2.1548498987132288E-2</v>
      </c>
      <c r="DG21" s="1">
        <v>4.0422527447722269E-2</v>
      </c>
      <c r="DH21" s="1">
        <v>6.698980327418988E-3</v>
      </c>
      <c r="DI21" s="1">
        <v>-6.9408931196461271E-2</v>
      </c>
      <c r="DJ21" s="1">
        <v>-3.8777371664047711E-2</v>
      </c>
      <c r="DK21" s="1">
        <v>-3.1601871810755168E-2</v>
      </c>
      <c r="DL21" s="1">
        <v>3.7777794200072393E-2</v>
      </c>
      <c r="DM21" s="1">
        <v>-6.5635413012892746E-2</v>
      </c>
      <c r="DN21" s="1">
        <v>3.7554488735781967E-2</v>
      </c>
      <c r="DO21" s="1">
        <v>5.6910690758857477E-2</v>
      </c>
      <c r="DP21" s="1">
        <v>0.1210362219239956</v>
      </c>
      <c r="DQ21" s="1">
        <v>-9.8994752598079258E-2</v>
      </c>
      <c r="DR21" s="1">
        <v>-1.105439389948963E-2</v>
      </c>
      <c r="DS21" s="1">
        <v>-3.4647926539093099E-2</v>
      </c>
      <c r="DT21" s="1">
        <v>-0.1176244305829813</v>
      </c>
      <c r="DU21" s="1">
        <v>-4.9037940345314383E-2</v>
      </c>
      <c r="DV21" s="1">
        <v>8.0006969321902537E-3</v>
      </c>
      <c r="DW21" s="1">
        <v>0.1049080925113872</v>
      </c>
      <c r="DX21" s="1">
        <v>7.6399910328450768E-2</v>
      </c>
      <c r="DY21" s="1">
        <v>1.20945648352834E-2</v>
      </c>
      <c r="DZ21" s="1">
        <v>1.1537309442656161E-2</v>
      </c>
      <c r="EA21" s="1">
        <v>6.0595957978916572E-2</v>
      </c>
      <c r="EB21" s="1">
        <v>0.12693198878329359</v>
      </c>
      <c r="EC21" s="1">
        <v>0.1146354347162972</v>
      </c>
      <c r="ED21" s="1">
        <v>-4.4745872872576378E-2</v>
      </c>
      <c r="EE21" s="1">
        <v>8.5076635375619367E-2</v>
      </c>
      <c r="EF21" s="1">
        <v>9.2928816222345167E-2</v>
      </c>
    </row>
    <row r="22" spans="1:136" s="3" customFormat="1" ht="16" customHeight="1">
      <c r="A22" s="6">
        <v>192</v>
      </c>
      <c r="B22" s="6">
        <v>5</v>
      </c>
      <c r="C22" s="7">
        <v>0.48688322582293853</v>
      </c>
      <c r="D22" s="7">
        <v>0.14754147693319361</v>
      </c>
      <c r="E22" s="7">
        <v>0.1580591925614189</v>
      </c>
      <c r="F22" s="7">
        <v>-6.9019270158793528E-2</v>
      </c>
      <c r="G22" s="7">
        <v>-7.7451021016070876E-2</v>
      </c>
      <c r="H22" s="7">
        <v>-7.1708540797783974E-3</v>
      </c>
      <c r="I22" s="7">
        <v>-3.367232025404468E-2</v>
      </c>
      <c r="J22" s="7">
        <v>-7.142734024751618E-2</v>
      </c>
      <c r="K22" s="7">
        <v>0.1301425268548369</v>
      </c>
      <c r="L22" s="2">
        <v>-6.0974844488373793E-2</v>
      </c>
      <c r="M22" s="2">
        <v>1.0482041887898849E-2</v>
      </c>
      <c r="N22" s="2">
        <v>0.10127857954702529</v>
      </c>
      <c r="O22" s="1">
        <v>-0.13009359149030519</v>
      </c>
      <c r="P22" s="1">
        <v>2.981198345716337E-2</v>
      </c>
      <c r="Q22" s="1">
        <v>0.1735657571157197</v>
      </c>
      <c r="R22" s="1">
        <v>-6.1256067481286473E-2</v>
      </c>
      <c r="S22" s="1">
        <v>-5.0269767699292313E-3</v>
      </c>
      <c r="T22" s="1">
        <v>-7.2740848747512007E-2</v>
      </c>
      <c r="U22" s="1">
        <v>-0.16648222329568799</v>
      </c>
      <c r="V22" s="1">
        <v>5.4648868223752978E-2</v>
      </c>
      <c r="W22" s="1">
        <v>5.1064791431282459E-2</v>
      </c>
      <c r="X22" s="1">
        <v>0.107013872364101</v>
      </c>
      <c r="Y22" s="1">
        <v>-8.223002527887377E-2</v>
      </c>
      <c r="Z22" s="1">
        <v>4.2910791838235977E-2</v>
      </c>
      <c r="AA22" s="1">
        <v>-5.5683174127092401E-2</v>
      </c>
      <c r="AB22" s="1">
        <v>-5.7372285980288519E-2</v>
      </c>
      <c r="AC22" s="1">
        <v>6.6093905690228036E-2</v>
      </c>
      <c r="AD22" s="1">
        <v>0.18714059520720691</v>
      </c>
      <c r="AE22" s="1">
        <v>0.15411462408316329</v>
      </c>
      <c r="AF22" s="1">
        <v>0.10085415839664311</v>
      </c>
      <c r="AG22" s="1">
        <v>5.6049469204330828E-2</v>
      </c>
      <c r="AH22" s="1">
        <v>0.1799512953027648</v>
      </c>
      <c r="AI22" s="1">
        <v>4.6677776767189288E-2</v>
      </c>
      <c r="AJ22" s="1">
        <v>-0.14950342437542849</v>
      </c>
      <c r="AK22" s="1">
        <v>2.8893065216786529E-2</v>
      </c>
      <c r="AL22" s="1">
        <v>2.1185373996549121E-2</v>
      </c>
      <c r="AM22" s="1">
        <v>4.7696200956436882E-2</v>
      </c>
      <c r="AN22" s="1">
        <v>0.1917840364821233</v>
      </c>
      <c r="AO22" s="1">
        <v>0.11257276586185209</v>
      </c>
      <c r="AP22" s="1">
        <v>0.13425491293070099</v>
      </c>
      <c r="AQ22" s="1">
        <v>-9.0084251236176208E-2</v>
      </c>
      <c r="AR22" s="1">
        <v>-5.3467098623218363E-2</v>
      </c>
      <c r="AS22" s="1">
        <v>-9.7146620460031002E-2</v>
      </c>
      <c r="AT22" s="1">
        <v>9.3996823566875859E-2</v>
      </c>
      <c r="AU22" s="1">
        <v>0.2380216891340666</v>
      </c>
      <c r="AV22" s="1">
        <v>8.3251118017112241E-2</v>
      </c>
      <c r="AW22" s="1">
        <v>-7.7055991150767597E-2</v>
      </c>
      <c r="AX22" s="1">
        <v>-8.6651292737586233E-2</v>
      </c>
      <c r="AY22" s="1">
        <v>-0.2253926262096661</v>
      </c>
      <c r="AZ22" s="1">
        <v>-4.1420954356361173E-2</v>
      </c>
      <c r="BA22" s="1">
        <v>4.7296849578048319E-2</v>
      </c>
      <c r="BB22" s="1">
        <v>-5.1572867064496847E-2</v>
      </c>
      <c r="BC22" s="1">
        <v>-0.16524945680508579</v>
      </c>
      <c r="BD22" s="1">
        <v>1.843945838807443E-3</v>
      </c>
      <c r="BE22" s="1">
        <v>-6.6886542580330721E-2</v>
      </c>
      <c r="BF22" s="1">
        <v>-1.233526736437574E-2</v>
      </c>
      <c r="BG22" s="1">
        <v>0.2812353354004723</v>
      </c>
      <c r="BH22" s="1">
        <v>3.4445877399436942E-2</v>
      </c>
      <c r="BI22" s="1">
        <v>-2.466265510728308E-2</v>
      </c>
      <c r="BJ22" s="1">
        <v>0.15111531287975419</v>
      </c>
      <c r="BK22" s="1">
        <v>-8.3923623735165209E-2</v>
      </c>
      <c r="BL22" s="1">
        <v>7.4116349004211435E-2</v>
      </c>
      <c r="BM22" s="1">
        <v>2.6508862889894329E-2</v>
      </c>
      <c r="BN22" s="1">
        <v>3.5781099962245627E-2</v>
      </c>
      <c r="BO22" s="1">
        <v>0.15662004981836819</v>
      </c>
      <c r="BP22" s="1">
        <v>-0.17357038350810541</v>
      </c>
      <c r="BQ22" s="1">
        <v>-9.0739882705406505E-2</v>
      </c>
      <c r="BR22" s="1">
        <v>-0.22251481911417539</v>
      </c>
      <c r="BS22" s="1">
        <v>-3.8373753869743378E-2</v>
      </c>
      <c r="BT22" s="1">
        <v>0.15364436173804261</v>
      </c>
      <c r="BU22" s="1">
        <v>-1.2638170442735351E-2</v>
      </c>
      <c r="BV22" s="1">
        <v>8.6466279647522001E-2</v>
      </c>
      <c r="BW22" s="1">
        <v>-2.0441635768526589E-2</v>
      </c>
      <c r="BX22" s="1">
        <v>-3.2103213957611593E-2</v>
      </c>
      <c r="BY22" s="1">
        <v>1.2763253942176389E-2</v>
      </c>
      <c r="BZ22" s="1">
        <v>-0.1181287106344095</v>
      </c>
      <c r="CA22" s="1">
        <v>0.1136496497073229</v>
      </c>
      <c r="CB22" s="1">
        <v>0.243629432276395</v>
      </c>
      <c r="CC22" s="1">
        <v>-0.21009104689364069</v>
      </c>
      <c r="CD22" s="1">
        <v>-4.1779842327800423E-2</v>
      </c>
      <c r="CE22" s="1">
        <v>-7.3621298532384249E-2</v>
      </c>
      <c r="CF22" s="1">
        <v>0.1156772352334404</v>
      </c>
      <c r="CG22" s="1">
        <v>7.4854351398972563E-2</v>
      </c>
      <c r="CH22" s="1">
        <v>-0.18972820869241699</v>
      </c>
      <c r="CI22" s="1">
        <v>-0.18107813264152831</v>
      </c>
      <c r="CJ22" s="1">
        <v>-2.2311851337462829E-2</v>
      </c>
      <c r="CK22" s="1">
        <v>-6.5085949978683194E-2</v>
      </c>
      <c r="CL22" s="1">
        <v>-9.386000512820139E-2</v>
      </c>
      <c r="CM22" s="1">
        <v>3.4557342359168561E-2</v>
      </c>
      <c r="CN22" s="1">
        <v>-1.877108050605258E-3</v>
      </c>
      <c r="CO22" s="1">
        <v>-0.15150333761277521</v>
      </c>
      <c r="CP22" s="1">
        <v>-5.2175816537098359E-2</v>
      </c>
      <c r="CQ22" s="1">
        <v>0.41254719304985638</v>
      </c>
      <c r="CR22" s="1">
        <v>-2.63478295575428E-2</v>
      </c>
      <c r="CS22" s="1">
        <v>-0.13075548480370161</v>
      </c>
      <c r="CT22" s="1">
        <v>-5.4838636822552703E-2</v>
      </c>
      <c r="CU22" s="1">
        <v>1.596723427634128E-2</v>
      </c>
      <c r="CV22" s="1">
        <v>3.5487819003994218E-2</v>
      </c>
      <c r="CW22" s="1">
        <v>-5.1113616575753508E-2</v>
      </c>
      <c r="CX22" s="1">
        <v>0.11061619681962249</v>
      </c>
      <c r="CY22" s="1">
        <v>-8.9499376428674851E-2</v>
      </c>
      <c r="CZ22" s="1">
        <v>0.14483605203706251</v>
      </c>
      <c r="DA22" s="1">
        <v>4.0398834490908801E-2</v>
      </c>
      <c r="DB22" s="1">
        <v>-6.3717545318723409E-2</v>
      </c>
      <c r="DC22" s="1">
        <v>-1.108101842050443E-2</v>
      </c>
      <c r="DD22" s="1">
        <v>5.1746286959909397E-2</v>
      </c>
      <c r="DE22" s="1">
        <v>-7.0844489047537026E-2</v>
      </c>
      <c r="DF22" s="1">
        <v>1.548085057288839E-2</v>
      </c>
      <c r="DG22" s="1">
        <v>5.1069304115687643E-2</v>
      </c>
      <c r="DH22" s="1">
        <v>6.1205473713496772E-3</v>
      </c>
      <c r="DI22" s="1">
        <v>-0.1008503185616548</v>
      </c>
      <c r="DJ22" s="1">
        <v>-1.796427865825509E-2</v>
      </c>
      <c r="DK22" s="1">
        <v>3.951057966400346E-2</v>
      </c>
      <c r="DL22" s="1">
        <v>2.634758018786762E-2</v>
      </c>
      <c r="DM22" s="1">
        <v>-5.2430565019941131E-2</v>
      </c>
      <c r="DN22" s="1">
        <v>8.1760970411069556E-2</v>
      </c>
      <c r="DO22" s="1">
        <v>2.733815119804393E-2</v>
      </c>
      <c r="DP22" s="1">
        <v>0.1104631448099482</v>
      </c>
      <c r="DQ22" s="1">
        <v>-9.4540332326265297E-2</v>
      </c>
      <c r="DR22" s="1">
        <v>6.4571324483128668E-3</v>
      </c>
      <c r="DS22" s="1">
        <v>-6.2147272896757047E-2</v>
      </c>
      <c r="DT22" s="1">
        <v>-0.1221363818537777</v>
      </c>
      <c r="DU22" s="1">
        <v>-4.3957437913701436E-3</v>
      </c>
      <c r="DV22" s="1">
        <v>1.214864147411425E-2</v>
      </c>
      <c r="DW22" s="1">
        <v>5.8291235254893763E-2</v>
      </c>
      <c r="DX22" s="1">
        <v>1.428522006143987E-2</v>
      </c>
      <c r="DY22" s="1">
        <v>4.9379797885354897E-2</v>
      </c>
      <c r="DZ22" s="1">
        <v>9.5009896474805566E-3</v>
      </c>
      <c r="EA22" s="1">
        <v>8.2111352678250288E-2</v>
      </c>
      <c r="EB22" s="1">
        <v>0.1805485769842492</v>
      </c>
      <c r="EC22" s="1">
        <v>9.8542770159439075E-2</v>
      </c>
      <c r="ED22" s="1">
        <v>-7.0199935245968084E-2</v>
      </c>
      <c r="EE22" s="1">
        <v>8.8819048849398646E-2</v>
      </c>
      <c r="EF22" s="1">
        <v>7.1103802343328748E-2</v>
      </c>
    </row>
    <row r="23" spans="1:136" s="3" customFormat="1" ht="16" customHeight="1">
      <c r="A23" s="6">
        <v>241</v>
      </c>
      <c r="B23" s="6">
        <v>4</v>
      </c>
      <c r="C23" s="7">
        <v>0.49455411274555888</v>
      </c>
      <c r="D23" s="7">
        <v>0.25549016437270278</v>
      </c>
      <c r="E23" s="7">
        <v>0.15834077194362101</v>
      </c>
      <c r="F23" s="7">
        <v>-4.8048284969420499E-2</v>
      </c>
      <c r="G23" s="7">
        <v>-5.546565259671199E-2</v>
      </c>
      <c r="H23" s="7">
        <v>-3.7401184582448802E-2</v>
      </c>
      <c r="I23" s="7">
        <v>-9.0799176725719133E-2</v>
      </c>
      <c r="J23" s="7">
        <v>-4.1272484788307383E-2</v>
      </c>
      <c r="K23" s="7">
        <v>0.1334437372417587</v>
      </c>
      <c r="L23" s="2">
        <v>-5.7040399413203442E-2</v>
      </c>
      <c r="M23" s="2">
        <v>8.4348636561889109E-2</v>
      </c>
      <c r="N23" s="2">
        <v>0.1219150469294894</v>
      </c>
      <c r="O23" s="1">
        <v>-0.16028548375909549</v>
      </c>
      <c r="P23" s="1">
        <v>3.047723205496649E-2</v>
      </c>
      <c r="Q23" s="1">
        <v>0.20165287327626499</v>
      </c>
      <c r="R23" s="1">
        <v>1.7838854586553581E-2</v>
      </c>
      <c r="S23" s="1">
        <v>-9.0925954030938047E-2</v>
      </c>
      <c r="T23" s="1">
        <v>-5.7105512053671127E-2</v>
      </c>
      <c r="U23" s="1">
        <v>-0.2188403378535938</v>
      </c>
      <c r="V23" s="1">
        <v>4.8176244033356637E-2</v>
      </c>
      <c r="W23" s="1">
        <v>-2.537830674888383E-2</v>
      </c>
      <c r="X23" s="1">
        <v>0.1337673404551262</v>
      </c>
      <c r="Y23" s="1">
        <v>-8.4925714870380906E-2</v>
      </c>
      <c r="Z23" s="1">
        <v>3.0428853261492542E-2</v>
      </c>
      <c r="AA23" s="1">
        <v>-9.8444598841917197E-2</v>
      </c>
      <c r="AB23" s="1">
        <v>-0.1047239418846956</v>
      </c>
      <c r="AC23" s="1">
        <v>6.5264697701046806E-3</v>
      </c>
      <c r="AD23" s="1">
        <v>0.22178514907835351</v>
      </c>
      <c r="AE23" s="1">
        <v>0.22483230663553841</v>
      </c>
      <c r="AF23" s="1">
        <v>0.1176473159336113</v>
      </c>
      <c r="AG23" s="1">
        <v>7.9354631448053103E-2</v>
      </c>
      <c r="AH23" s="1">
        <v>0.20961706153392801</v>
      </c>
      <c r="AI23" s="1">
        <v>1.504995265131606E-2</v>
      </c>
      <c r="AJ23" s="1">
        <v>-0.15440734122194921</v>
      </c>
      <c r="AK23" s="1">
        <v>1.7776042199912731E-2</v>
      </c>
      <c r="AL23" s="1">
        <v>3.5338826030651332E-2</v>
      </c>
      <c r="AM23" s="1">
        <v>6.762476349240204E-2</v>
      </c>
      <c r="AN23" s="1">
        <v>0.30187139187690182</v>
      </c>
      <c r="AO23" s="1">
        <v>0.1442762567467071</v>
      </c>
      <c r="AP23" s="1">
        <v>0.11872683118554141</v>
      </c>
      <c r="AQ23" s="1">
        <v>-0.12985515529885219</v>
      </c>
      <c r="AR23" s="1">
        <v>-5.1272934048936077E-2</v>
      </c>
      <c r="AS23" s="1">
        <v>-2.5222117139012869E-2</v>
      </c>
      <c r="AT23" s="1">
        <v>8.8378856393405522E-2</v>
      </c>
      <c r="AU23" s="1">
        <v>0.119504482926775</v>
      </c>
      <c r="AV23" s="1">
        <v>0.11850127850662261</v>
      </c>
      <c r="AW23" s="1">
        <v>-9.5095302568752732E-2</v>
      </c>
      <c r="AX23" s="1">
        <v>-5.4032246653861707E-2</v>
      </c>
      <c r="AY23" s="1">
        <v>-0.31667605326168269</v>
      </c>
      <c r="AZ23" s="1">
        <v>-0.1115537492106666</v>
      </c>
      <c r="BA23" s="1">
        <v>6.2276260204671578E-2</v>
      </c>
      <c r="BB23" s="1">
        <v>-6.0739284801462193E-2</v>
      </c>
      <c r="BC23" s="1">
        <v>-0.18197002643509971</v>
      </c>
      <c r="BD23" s="1">
        <v>1.6487272502177391E-2</v>
      </c>
      <c r="BE23" s="1">
        <v>-8.5046601275006226E-2</v>
      </c>
      <c r="BF23" s="1">
        <v>-1.250869045159817E-2</v>
      </c>
      <c r="BG23" s="1">
        <v>3.5545250672823617E-2</v>
      </c>
      <c r="BH23" s="1">
        <v>-1.426228822113523E-2</v>
      </c>
      <c r="BI23" s="1">
        <v>2.705506928059553E-2</v>
      </c>
      <c r="BJ23" s="1">
        <v>0.2053819293205425</v>
      </c>
      <c r="BK23" s="1">
        <v>-8.909615974970822E-2</v>
      </c>
      <c r="BL23" s="1">
        <v>0.108285285089395</v>
      </c>
      <c r="BM23" s="1">
        <v>9.8666559364165185E-2</v>
      </c>
      <c r="BN23" s="1">
        <v>2.573819434730425E-2</v>
      </c>
      <c r="BO23" s="1">
        <v>0.1931097549234074</v>
      </c>
      <c r="BP23" s="1">
        <v>-0.21630846284976479</v>
      </c>
      <c r="BQ23" s="1">
        <v>-1.343801830958205E-2</v>
      </c>
      <c r="BR23" s="1">
        <v>-0.19820838215091999</v>
      </c>
      <c r="BS23" s="1">
        <v>-9.3364095288899149E-2</v>
      </c>
      <c r="BT23" s="1">
        <v>0.15332668391242041</v>
      </c>
      <c r="BU23" s="1">
        <v>-4.6041939589734147E-2</v>
      </c>
      <c r="BV23" s="1">
        <v>8.2497857319876772E-2</v>
      </c>
      <c r="BW23" s="1">
        <v>3.0004933958021441E-2</v>
      </c>
      <c r="BX23" s="1">
        <v>-5.6023329389614573E-2</v>
      </c>
      <c r="BY23" s="1">
        <v>-4.5250524577279162E-2</v>
      </c>
      <c r="BZ23" s="1">
        <v>-9.7177663783348994E-2</v>
      </c>
      <c r="CA23" s="1">
        <v>0.16491170294429999</v>
      </c>
      <c r="CB23" s="1">
        <v>0.23163171690613241</v>
      </c>
      <c r="CC23" s="1">
        <v>-0.26165595303916189</v>
      </c>
      <c r="CD23" s="1">
        <v>4.5386284051441947E-2</v>
      </c>
      <c r="CE23" s="1">
        <v>-4.4601753630798102E-2</v>
      </c>
      <c r="CF23" s="1">
        <v>0.14649217546725421</v>
      </c>
      <c r="CG23" s="1">
        <v>0.10613072866947081</v>
      </c>
      <c r="CH23" s="1">
        <v>-0.35777318656169399</v>
      </c>
      <c r="CI23" s="1">
        <v>-0.21143660882920359</v>
      </c>
      <c r="CJ23" s="1">
        <v>-5.1861204135235373E-4</v>
      </c>
      <c r="CK23" s="1">
        <v>-0.1145994124654181</v>
      </c>
      <c r="CL23" s="1">
        <v>-2.637292339660571E-2</v>
      </c>
      <c r="CM23" s="1">
        <v>9.4255198520289851E-2</v>
      </c>
      <c r="CN23" s="1">
        <v>-1.6665579574944241E-2</v>
      </c>
      <c r="CO23" s="1">
        <v>-0.21855023226299289</v>
      </c>
      <c r="CP23" s="1">
        <v>-4.6121270583943871E-3</v>
      </c>
      <c r="CQ23" s="1">
        <v>0.23044091892284241</v>
      </c>
      <c r="CR23" s="1">
        <v>-5.2596478692150297E-2</v>
      </c>
      <c r="CS23" s="1">
        <v>-0.13055596140251299</v>
      </c>
      <c r="CT23" s="1">
        <v>-5.3826873757523402E-2</v>
      </c>
      <c r="CU23" s="1">
        <v>-2.3500924795251649E-2</v>
      </c>
      <c r="CV23" s="1">
        <v>6.3140271580050214E-2</v>
      </c>
      <c r="CW23" s="1">
        <v>-3.4635845076202737E-2</v>
      </c>
      <c r="CX23" s="1">
        <v>0.13351105261361559</v>
      </c>
      <c r="CY23" s="1">
        <v>-3.8264235518458312E-2</v>
      </c>
      <c r="CZ23" s="1">
        <v>0.226677078643576</v>
      </c>
      <c r="DA23" s="1">
        <v>-1.4277420876855089E-2</v>
      </c>
      <c r="DB23" s="1">
        <v>-7.5096340427971475E-2</v>
      </c>
      <c r="DC23" s="1">
        <v>-0.12726115499613011</v>
      </c>
      <c r="DD23" s="1">
        <v>4.2416125076133113E-2</v>
      </c>
      <c r="DE23" s="1">
        <v>-8.4058720441278975E-2</v>
      </c>
      <c r="DF23" s="1">
        <v>2.2440721240524208E-5</v>
      </c>
      <c r="DG23" s="1">
        <v>-7.1756513010956119E-3</v>
      </c>
      <c r="DH23" s="1">
        <v>-2.581954025074713E-2</v>
      </c>
      <c r="DI23" s="1">
        <v>-0.1213565543351946</v>
      </c>
      <c r="DJ23" s="1">
        <v>-4.798458942401175E-2</v>
      </c>
      <c r="DK23" s="1">
        <v>-3.6226718751409537E-2</v>
      </c>
      <c r="DL23" s="1">
        <v>-9.9343053102206175E-3</v>
      </c>
      <c r="DM23" s="1">
        <v>-7.8205930312392091E-2</v>
      </c>
      <c r="DN23" s="1">
        <v>6.1683486137003071E-2</v>
      </c>
      <c r="DO23" s="1">
        <v>1.4290032484906319E-2</v>
      </c>
      <c r="DP23" s="1">
        <v>0.1554864606627043</v>
      </c>
      <c r="DQ23" s="1">
        <v>-3.7687783086182702E-2</v>
      </c>
      <c r="DR23" s="1">
        <v>1.1516950439040269E-2</v>
      </c>
      <c r="DS23" s="1">
        <v>-1.380360708202848E-2</v>
      </c>
      <c r="DT23" s="1">
        <v>-0.15441164625939091</v>
      </c>
      <c r="DU23" s="1">
        <v>2.8426183306070701E-2</v>
      </c>
      <c r="DV23" s="1">
        <v>-4.3643310164740608E-2</v>
      </c>
      <c r="DW23" s="1">
        <v>4.3162557892998353E-2</v>
      </c>
      <c r="DX23" s="1">
        <v>3.0487677037492111E-2</v>
      </c>
      <c r="DY23" s="1">
        <v>-9.0037410837492476E-2</v>
      </c>
      <c r="DZ23" s="1">
        <v>5.334633921383003E-3</v>
      </c>
      <c r="EA23" s="1">
        <v>5.3941845994853209E-2</v>
      </c>
      <c r="EB23" s="1">
        <v>0.27542733664840152</v>
      </c>
      <c r="EC23" s="1">
        <v>0.1524410979413707</v>
      </c>
      <c r="ED23" s="1">
        <v>-5.9708549744422558E-2</v>
      </c>
      <c r="EE23" s="1">
        <v>0.12689120454891481</v>
      </c>
      <c r="EF23" s="1">
        <v>7.8128208512559222E-2</v>
      </c>
    </row>
    <row r="24" spans="1:136" s="3" customFormat="1" ht="16" customHeight="1">
      <c r="A24" s="6">
        <v>321</v>
      </c>
      <c r="B24" s="6">
        <v>3</v>
      </c>
      <c r="C24" s="7">
        <v>0.63578987634030326</v>
      </c>
      <c r="D24" s="7">
        <v>0.14371046463086509</v>
      </c>
      <c r="E24" s="7">
        <v>0.25678370108897258</v>
      </c>
      <c r="F24" s="7">
        <v>-3.091207340805668E-2</v>
      </c>
      <c r="G24" s="7">
        <v>6.6425395343863394E-2</v>
      </c>
      <c r="H24" s="7">
        <v>-2.2668733043027339E-2</v>
      </c>
      <c r="I24" s="7">
        <v>-0.18400393100245979</v>
      </c>
      <c r="J24" s="7">
        <v>2.1578763532024152E-3</v>
      </c>
      <c r="K24" s="7">
        <v>5.1847408244608692E-2</v>
      </c>
      <c r="L24" s="2">
        <v>-4.7982675762510529E-2</v>
      </c>
      <c r="M24" s="2">
        <v>6.6596073974841227E-2</v>
      </c>
      <c r="N24" s="2">
        <v>0.16484966483458291</v>
      </c>
      <c r="O24" s="1">
        <v>-0.2092321181090103</v>
      </c>
      <c r="P24" s="1">
        <v>1.960691121998041E-2</v>
      </c>
      <c r="Q24" s="1">
        <v>0.23377538941463849</v>
      </c>
      <c r="R24" s="1">
        <v>-0.1094456368920696</v>
      </c>
      <c r="S24" s="1">
        <v>-0.18376368417278161</v>
      </c>
      <c r="T24" s="1">
        <v>-4.1002740318112268E-2</v>
      </c>
      <c r="U24" s="1">
        <v>-0.21689707057601401</v>
      </c>
      <c r="V24" s="1">
        <v>7.6605298980166187E-2</v>
      </c>
      <c r="W24" s="1">
        <v>-4.7616795567339311E-2</v>
      </c>
      <c r="X24" s="1">
        <v>0.13134145303225561</v>
      </c>
      <c r="Y24" s="1">
        <v>-0.1082884504443431</v>
      </c>
      <c r="Z24" s="1">
        <v>1.8824963725856399E-2</v>
      </c>
      <c r="AA24" s="1">
        <v>-5.8828849764427087E-2</v>
      </c>
      <c r="AB24" s="1">
        <v>-7.0771132367036679E-2</v>
      </c>
      <c r="AC24" s="1">
        <v>9.8352653841909277E-2</v>
      </c>
      <c r="AD24" s="1">
        <v>0.15048828199102329</v>
      </c>
      <c r="AE24" s="1">
        <v>0.29118074879957201</v>
      </c>
      <c r="AF24" s="1">
        <v>0.18423825932356719</v>
      </c>
      <c r="AG24" s="1">
        <v>0.1625318947095051</v>
      </c>
      <c r="AH24" s="1">
        <v>0.28196453711494018</v>
      </c>
      <c r="AI24" s="1">
        <v>5.2095578737365207E-2</v>
      </c>
      <c r="AJ24" s="1">
        <v>2.8392331053948689E-2</v>
      </c>
      <c r="AK24" s="1">
        <v>5.4611139405859987E-2</v>
      </c>
      <c r="AL24" s="1">
        <v>1.33505297201311E-2</v>
      </c>
      <c r="AM24" s="1">
        <v>7.3700391560718267E-2</v>
      </c>
      <c r="AN24" s="1">
        <v>0.38458143049380561</v>
      </c>
      <c r="AO24" s="1">
        <v>0.1675605822055718</v>
      </c>
      <c r="AP24" s="1">
        <v>7.7961907087717802E-2</v>
      </c>
      <c r="AQ24" s="1">
        <v>4.7467038805331131E-3</v>
      </c>
      <c r="AR24" s="1">
        <v>-0.11584375003166381</v>
      </c>
      <c r="AS24" s="1">
        <v>-3.4990462933614672E-2</v>
      </c>
      <c r="AT24" s="1">
        <v>9.6233718822648251E-2</v>
      </c>
      <c r="AU24" s="1">
        <v>0.10418083374855951</v>
      </c>
      <c r="AV24" s="1">
        <v>0.16684895038680719</v>
      </c>
      <c r="AW24" s="1">
        <v>-0.11911500702049919</v>
      </c>
      <c r="AX24" s="1">
        <v>-3.9664867331456168E-2</v>
      </c>
      <c r="AY24" s="1">
        <v>-0.25357516044757239</v>
      </c>
      <c r="AZ24" s="1">
        <v>-8.8068891397931545E-2</v>
      </c>
      <c r="BA24" s="1">
        <v>2.802367283770545E-2</v>
      </c>
      <c r="BB24" s="1">
        <v>-0.1322664856807915</v>
      </c>
      <c r="BC24" s="1">
        <v>-5.9704552587574941E-2</v>
      </c>
      <c r="BD24" s="1">
        <v>5.7338230600120291E-2</v>
      </c>
      <c r="BE24" s="1">
        <v>-8.3243522438208678E-2</v>
      </c>
      <c r="BF24" s="1">
        <v>-4.5390059739520691E-2</v>
      </c>
      <c r="BG24" s="1">
        <v>-1.6352671457068479E-2</v>
      </c>
      <c r="BH24" s="1">
        <v>-3.3326011616193529E-2</v>
      </c>
      <c r="BI24" s="1">
        <v>7.8567866294927291E-2</v>
      </c>
      <c r="BJ24" s="1">
        <v>0.27686460361156301</v>
      </c>
      <c r="BK24" s="1">
        <v>-9.2238538549811872E-2</v>
      </c>
      <c r="BL24" s="1">
        <v>7.5908850803523456E-2</v>
      </c>
      <c r="BM24" s="1">
        <v>0.1160136897835294</v>
      </c>
      <c r="BN24" s="1">
        <v>0.17452606003798879</v>
      </c>
      <c r="BO24" s="1">
        <v>0.15927908810010591</v>
      </c>
      <c r="BP24" s="1">
        <v>-0.23874023760560231</v>
      </c>
      <c r="BQ24" s="1">
        <v>-0.18380547330118799</v>
      </c>
      <c r="BR24" s="1">
        <v>-0.1496473155709524</v>
      </c>
      <c r="BS24" s="1">
        <v>-1.7276843594583109E-2</v>
      </c>
      <c r="BT24" s="1">
        <v>0.16689297608862011</v>
      </c>
      <c r="BU24" s="1">
        <v>-0.1008986614638035</v>
      </c>
      <c r="BV24" s="1">
        <v>0.1067897150280358</v>
      </c>
      <c r="BW24" s="1">
        <v>3.4558380829928792E-2</v>
      </c>
      <c r="BX24" s="1">
        <v>-1.342759405530362E-2</v>
      </c>
      <c r="BY24" s="1">
        <v>2.4780026255834389E-2</v>
      </c>
      <c r="BZ24" s="1">
        <v>-0.12405056830434399</v>
      </c>
      <c r="CA24" s="1">
        <v>0.1950966929512625</v>
      </c>
      <c r="CB24" s="1">
        <v>0.25718022266820328</v>
      </c>
      <c r="CC24" s="1">
        <v>-0.20779280691246821</v>
      </c>
      <c r="CD24" s="1">
        <v>0.127704432130162</v>
      </c>
      <c r="CE24" s="1">
        <v>-2.9309541156912491E-2</v>
      </c>
      <c r="CF24" s="1">
        <v>0.20617324084980551</v>
      </c>
      <c r="CG24" s="1">
        <v>0.19038218540405361</v>
      </c>
      <c r="CH24" s="1">
        <v>-0.1602148645475448</v>
      </c>
      <c r="CI24" s="1">
        <v>-0.26603980806991351</v>
      </c>
      <c r="CJ24" s="1">
        <v>1.272413732523525E-2</v>
      </c>
      <c r="CK24" s="1">
        <v>-0.13025631987226391</v>
      </c>
      <c r="CL24" s="1">
        <v>-0.1423749467704612</v>
      </c>
      <c r="CM24" s="1">
        <v>8.2145297451975394E-2</v>
      </c>
      <c r="CN24" s="1">
        <v>-0.1106970702849933</v>
      </c>
      <c r="CO24" s="1">
        <v>-0.2144803344857836</v>
      </c>
      <c r="CP24" s="1">
        <v>-3.0343543021157771E-2</v>
      </c>
      <c r="CQ24" s="1">
        <v>0.22095957785296089</v>
      </c>
      <c r="CR24" s="1">
        <v>-5.5866838813871958E-2</v>
      </c>
      <c r="CS24" s="1">
        <v>-0.20536497884718391</v>
      </c>
      <c r="CT24" s="1">
        <v>-0.12512942072181649</v>
      </c>
      <c r="CU24" s="1">
        <v>3.4810787240541458E-2</v>
      </c>
      <c r="CV24" s="1">
        <v>5.5587282591835999E-2</v>
      </c>
      <c r="CW24" s="1">
        <v>-0.13643920251384939</v>
      </c>
      <c r="CX24" s="1">
        <v>0.19894507224284849</v>
      </c>
      <c r="CY24" s="1">
        <v>-5.2274474956436681E-2</v>
      </c>
      <c r="CZ24" s="1">
        <v>0.25591543799497091</v>
      </c>
      <c r="DA24" s="1">
        <v>-1.8551744920915561E-4</v>
      </c>
      <c r="DB24" s="1">
        <v>-6.6834040685536222E-2</v>
      </c>
      <c r="DC24" s="1">
        <v>-0.10172515339893209</v>
      </c>
      <c r="DD24" s="1">
        <v>0.1199191003942684</v>
      </c>
      <c r="DE24" s="1">
        <v>-6.7892566580220706E-2</v>
      </c>
      <c r="DF24" s="1">
        <v>1.343753031118817E-2</v>
      </c>
      <c r="DG24" s="1">
        <v>-4.0187434352161253E-2</v>
      </c>
      <c r="DH24" s="1">
        <v>-5.7238887022004671E-2</v>
      </c>
      <c r="DI24" s="1">
        <v>-0.13025366359990001</v>
      </c>
      <c r="DJ24" s="1">
        <v>-2.3864622131395351E-2</v>
      </c>
      <c r="DK24" s="1">
        <v>5.0528029845839713E-2</v>
      </c>
      <c r="DL24" s="1">
        <v>1.340285561989016E-2</v>
      </c>
      <c r="DM24" s="1">
        <v>-4.774955156402369E-2</v>
      </c>
      <c r="DN24" s="1">
        <v>8.3437946356488629E-2</v>
      </c>
      <c r="DO24" s="1">
        <v>3.2817615302067019E-2</v>
      </c>
      <c r="DP24" s="1">
        <v>4.8987677276530847E-2</v>
      </c>
      <c r="DQ24" s="1">
        <v>-9.4489695807501203E-2</v>
      </c>
      <c r="DR24" s="1">
        <v>2.4757378429291609E-2</v>
      </c>
      <c r="DS24" s="1">
        <v>-0.1241942433906784</v>
      </c>
      <c r="DT24" s="1">
        <v>-0.18313964943644581</v>
      </c>
      <c r="DU24" s="1">
        <v>-7.3840121983160976E-3</v>
      </c>
      <c r="DV24" s="1">
        <v>-0.12607024837264011</v>
      </c>
      <c r="DW24" s="1">
        <v>-2.5817603174205232E-2</v>
      </c>
      <c r="DX24" s="1">
        <v>4.144974831024667E-2</v>
      </c>
      <c r="DY24" s="1">
        <v>-0.14035837943416959</v>
      </c>
      <c r="DZ24" s="1">
        <v>-6.3554288775004741E-2</v>
      </c>
      <c r="EA24" s="1">
        <v>0.2157226876313921</v>
      </c>
      <c r="EB24" s="1">
        <v>0.24680453518279441</v>
      </c>
      <c r="EC24" s="1">
        <v>0.1772523382766025</v>
      </c>
      <c r="ED24" s="1">
        <v>-6.8676606653522029E-2</v>
      </c>
      <c r="EE24" s="1">
        <v>0.12488533381679939</v>
      </c>
      <c r="EF24" s="1">
        <v>0.11931066577229241</v>
      </c>
    </row>
    <row r="25" spans="1:136" s="3" customFormat="1" ht="16" customHeight="1">
      <c r="A25" s="6">
        <v>482</v>
      </c>
      <c r="B25" s="6">
        <v>2</v>
      </c>
      <c r="C25" s="7">
        <v>0.63761017581609125</v>
      </c>
      <c r="D25" s="7">
        <v>0.23795575305243799</v>
      </c>
      <c r="E25" s="7">
        <v>0.1231289100100532</v>
      </c>
      <c r="F25" s="7">
        <v>-7.5190132826951278E-2</v>
      </c>
      <c r="G25" s="7">
        <v>0.26530323939738559</v>
      </c>
      <c r="H25" s="7">
        <v>-0.115774041861354</v>
      </c>
      <c r="I25" s="7">
        <v>-0.1113168839686655</v>
      </c>
      <c r="J25" s="7">
        <v>3.6649810434936328E-2</v>
      </c>
      <c r="K25" s="7">
        <v>3.4438286855212573E-2</v>
      </c>
      <c r="L25" s="2">
        <v>-7.5470114772076477E-3</v>
      </c>
      <c r="M25" s="2">
        <v>-5.613776211317438E-2</v>
      </c>
      <c r="N25" s="2">
        <v>0.1906614340199857</v>
      </c>
      <c r="O25" s="1">
        <v>-0.24659808609745679</v>
      </c>
      <c r="P25" s="1">
        <v>2.1837911556605728E-2</v>
      </c>
      <c r="Q25" s="1">
        <v>0.31415974193520219</v>
      </c>
      <c r="R25" s="1">
        <v>-0.187530749693439</v>
      </c>
      <c r="S25" s="1">
        <v>-0.21928765005719</v>
      </c>
      <c r="T25" s="1">
        <v>-3.6889939087128523E-2</v>
      </c>
      <c r="U25" s="1">
        <v>-0.20997191658184949</v>
      </c>
      <c r="V25" s="1">
        <v>-3.8262635215882287E-2</v>
      </c>
      <c r="W25" s="1">
        <v>1.094414976703499E-2</v>
      </c>
      <c r="X25" s="1">
        <v>0.103564202696449</v>
      </c>
      <c r="Y25" s="1">
        <v>-0.1492565378803232</v>
      </c>
      <c r="Z25" s="1">
        <v>-2.1502548424958929E-2</v>
      </c>
      <c r="AA25" s="1">
        <v>-0.1281020465899354</v>
      </c>
      <c r="AB25" s="1">
        <v>-9.9403582198505924E-2</v>
      </c>
      <c r="AC25" s="1">
        <v>0.178399967373888</v>
      </c>
      <c r="AD25" s="1">
        <v>0.15341672734284559</v>
      </c>
      <c r="AE25" s="1">
        <v>0.38007623360283221</v>
      </c>
      <c r="AF25" s="1">
        <v>0.13433220120388351</v>
      </c>
      <c r="AG25" s="1">
        <v>0.20974022377238</v>
      </c>
      <c r="AH25" s="1">
        <v>0.39274117982276252</v>
      </c>
      <c r="AI25" s="1">
        <v>7.2208869020209357E-2</v>
      </c>
      <c r="AJ25" s="1">
        <v>3.6800054993400472E-2</v>
      </c>
      <c r="AK25" s="1">
        <v>6.4113781381682833E-2</v>
      </c>
      <c r="AL25" s="1">
        <v>7.6627557057570919E-2</v>
      </c>
      <c r="AM25" s="1">
        <v>2.9941228066446561E-3</v>
      </c>
      <c r="AN25" s="1">
        <v>0.37729158440151361</v>
      </c>
      <c r="AO25" s="1">
        <v>0.16261603456561791</v>
      </c>
      <c r="AP25" s="1">
        <v>0.23285455304384861</v>
      </c>
      <c r="AQ25" s="1">
        <v>3.4840126941562508E-2</v>
      </c>
      <c r="AR25" s="1">
        <v>-0.20324626678036189</v>
      </c>
      <c r="AS25" s="1">
        <v>-6.0066014515762683E-2</v>
      </c>
      <c r="AT25" s="1">
        <v>0.12536021144086501</v>
      </c>
      <c r="AU25" s="1">
        <v>7.9172046069442295E-2</v>
      </c>
      <c r="AV25" s="1">
        <v>0.24185871881817109</v>
      </c>
      <c r="AW25" s="1">
        <v>-0.19133981498995989</v>
      </c>
      <c r="AX25" s="1">
        <v>-2.2886686893145991E-3</v>
      </c>
      <c r="AY25" s="1">
        <v>-0.31417847733372051</v>
      </c>
      <c r="AZ25" s="1">
        <v>-0.1182689007421045</v>
      </c>
      <c r="BA25" s="1">
        <v>1.9837024829938949E-2</v>
      </c>
      <c r="BB25" s="1">
        <v>-0.28483808771256752</v>
      </c>
      <c r="BC25" s="1">
        <v>-8.8808885585570985E-2</v>
      </c>
      <c r="BD25" s="1">
        <v>4.4158357317706551E-2</v>
      </c>
      <c r="BE25" s="1">
        <v>2.109434879991719E-2</v>
      </c>
      <c r="BF25" s="1">
        <v>-4.9158473120816969E-2</v>
      </c>
      <c r="BG25" s="1">
        <v>-3.9297025476939487E-2</v>
      </c>
      <c r="BH25" s="1">
        <v>-6.6703560249822658E-2</v>
      </c>
      <c r="BI25" s="1">
        <v>-0.2451241891443367</v>
      </c>
      <c r="BJ25" s="1">
        <v>0.3162796721550854</v>
      </c>
      <c r="BK25" s="1">
        <v>-2.0279976801506599E-2</v>
      </c>
      <c r="BL25" s="1">
        <v>3.2574742533974368E-2</v>
      </c>
      <c r="BM25" s="1">
        <v>0.1674256798598536</v>
      </c>
      <c r="BN25" s="1">
        <v>0.19132554590727949</v>
      </c>
      <c r="BO25" s="1">
        <v>0.1243960031915565</v>
      </c>
      <c r="BP25" s="1">
        <v>-0.36320678579356519</v>
      </c>
      <c r="BQ25" s="1">
        <v>-0.20320176351039149</v>
      </c>
      <c r="BR25" s="1">
        <v>-0.24421961336665571</v>
      </c>
      <c r="BS25" s="1">
        <v>-5.5589737668519053E-2</v>
      </c>
      <c r="BT25" s="1">
        <v>0.2498934718655223</v>
      </c>
      <c r="BU25" s="1">
        <v>7.317372583827933E-2</v>
      </c>
      <c r="BV25" s="1">
        <v>0.24729164762365899</v>
      </c>
      <c r="BW25" s="1">
        <v>0.10416765234660549</v>
      </c>
      <c r="BX25" s="1">
        <v>-2.311111475069379E-2</v>
      </c>
      <c r="BY25" s="1">
        <v>0.1406178916077494</v>
      </c>
      <c r="BZ25" s="1">
        <v>-0.16944195608220439</v>
      </c>
      <c r="CA25" s="1">
        <v>0.17663953862712839</v>
      </c>
      <c r="CB25" s="1">
        <v>0.17587602648765541</v>
      </c>
      <c r="CC25" s="1">
        <v>-0.16161905668179091</v>
      </c>
      <c r="CD25" s="1">
        <v>0.2528772228670283</v>
      </c>
      <c r="CE25" s="1">
        <v>-0.1168784701831946</v>
      </c>
      <c r="CF25" s="1">
        <v>-1.516570996382216E-2</v>
      </c>
      <c r="CG25" s="1">
        <v>8.5242684661509985E-2</v>
      </c>
      <c r="CH25" s="1">
        <v>1.386267800246041E-2</v>
      </c>
      <c r="CI25" s="1">
        <v>-0.41183998367885771</v>
      </c>
      <c r="CJ25" s="1">
        <v>8.6061869715106931E-2</v>
      </c>
      <c r="CK25" s="1">
        <v>-0.17142840377094479</v>
      </c>
      <c r="CL25" s="1">
        <v>-6.1435079783759103E-2</v>
      </c>
      <c r="CM25" s="1">
        <v>5.3674129419881762E-2</v>
      </c>
      <c r="CN25" s="1">
        <v>-7.6448358513841519E-2</v>
      </c>
      <c r="CO25" s="1">
        <v>-0.27279202734249791</v>
      </c>
      <c r="CP25" s="1">
        <v>-0.15239380698745719</v>
      </c>
      <c r="CQ25" s="1">
        <v>0.30257491192373992</v>
      </c>
      <c r="CR25" s="1">
        <v>-0.18127479120250201</v>
      </c>
      <c r="CS25" s="1">
        <v>-0.1076030124072125</v>
      </c>
      <c r="CT25" s="1">
        <v>-8.5021072796564387E-2</v>
      </c>
      <c r="CU25" s="1">
        <v>9.2479556603494203E-2</v>
      </c>
      <c r="CV25" s="1">
        <v>5.6899201599058161E-2</v>
      </c>
      <c r="CW25" s="1">
        <v>-0.13986948545120431</v>
      </c>
      <c r="CX25" s="1">
        <v>0.2056092441906098</v>
      </c>
      <c r="CY25" s="1">
        <v>-6.9752467129273132E-2</v>
      </c>
      <c r="CZ25" s="1">
        <v>0.34609706741108381</v>
      </c>
      <c r="DA25" s="1">
        <v>5.3805968570914797E-2</v>
      </c>
      <c r="DB25" s="1">
        <v>-0.1020075622189601</v>
      </c>
      <c r="DC25" s="1">
        <v>-0.1723578666581056</v>
      </c>
      <c r="DD25" s="1">
        <v>9.7288583847165128E-2</v>
      </c>
      <c r="DE25" s="1">
        <v>-0.2388119228082054</v>
      </c>
      <c r="DF25" s="1">
        <v>3.8070251841280177E-2</v>
      </c>
      <c r="DG25" s="1">
        <v>-9.2525535031189307E-2</v>
      </c>
      <c r="DH25" s="1">
        <v>-5.4769436884424531E-2</v>
      </c>
      <c r="DI25" s="1">
        <v>-0.19520490277293559</v>
      </c>
      <c r="DJ25" s="1">
        <v>-1.201949419326185E-2</v>
      </c>
      <c r="DK25" s="1">
        <v>8.71520241814705E-2</v>
      </c>
      <c r="DL25" s="1">
        <v>3.0551630144163899E-2</v>
      </c>
      <c r="DM25" s="1">
        <v>0.16855435121418061</v>
      </c>
      <c r="DN25" s="1">
        <v>-0.1217377987719785</v>
      </c>
      <c r="DO25" s="1">
        <v>2.4981967808604399E-4</v>
      </c>
      <c r="DP25" s="1">
        <v>-5.3165158647507052E-2</v>
      </c>
      <c r="DQ25" s="1">
        <v>-6.9051618575489082E-2</v>
      </c>
      <c r="DR25" s="1">
        <v>6.2495103523815682E-2</v>
      </c>
      <c r="DS25" s="1">
        <v>-0.2354105848777242</v>
      </c>
      <c r="DT25" s="1">
        <v>-0.2300877605936249</v>
      </c>
      <c r="DU25" s="1">
        <v>-6.4384180265167429E-2</v>
      </c>
      <c r="DV25" s="1">
        <v>-0.14230301545553151</v>
      </c>
      <c r="DW25" s="1">
        <v>-3.929130887330063E-2</v>
      </c>
      <c r="DX25" s="1">
        <v>0.1099687733856525</v>
      </c>
      <c r="DY25" s="1">
        <v>-8.2071739965677987E-2</v>
      </c>
      <c r="DZ25" s="1">
        <v>-3.9346196222146558E-2</v>
      </c>
      <c r="EA25" s="1">
        <v>0.25845567022132471</v>
      </c>
      <c r="EB25" s="1">
        <v>0.34685488319178043</v>
      </c>
      <c r="EC25" s="1">
        <v>0.185114120513963</v>
      </c>
      <c r="ED25" s="1">
        <v>-9.7611133665207711E-2</v>
      </c>
      <c r="EE25" s="1">
        <v>9.9797777521361472E-2</v>
      </c>
      <c r="EF25" s="1">
        <v>5.9802184444327638E-2</v>
      </c>
    </row>
    <row r="26" spans="1:136" s="3" customFormat="1" ht="16" customHeight="1">
      <c r="A26" s="6">
        <v>964</v>
      </c>
      <c r="B26" s="6">
        <v>1</v>
      </c>
      <c r="C26" s="7">
        <v>0.90919897806039884</v>
      </c>
      <c r="D26" s="7">
        <v>0.38824496627627719</v>
      </c>
      <c r="E26" s="7">
        <v>0.12947489984501559</v>
      </c>
      <c r="F26" s="7">
        <v>-0.13645906116360029</v>
      </c>
      <c r="G26" s="7">
        <v>0.47209973857913029</v>
      </c>
      <c r="H26" s="7">
        <v>0.20906099113000509</v>
      </c>
      <c r="I26" s="7">
        <v>-0.32592603053109831</v>
      </c>
      <c r="J26" s="7">
        <v>-0.19062398198333369</v>
      </c>
      <c r="K26" s="7">
        <v>4.4331791706471287E-2</v>
      </c>
      <c r="L26" s="2">
        <v>0.25204889474800851</v>
      </c>
      <c r="M26" s="2">
        <v>0.14165758384397259</v>
      </c>
      <c r="N26" s="2">
        <v>0.17345200062582741</v>
      </c>
      <c r="O26" s="1">
        <v>-0.41072690101760662</v>
      </c>
      <c r="P26" s="1">
        <v>6.9342394674760388E-2</v>
      </c>
      <c r="Q26" s="1">
        <v>0.60927025362317977</v>
      </c>
      <c r="R26" s="1">
        <v>-0.29178114371900488</v>
      </c>
      <c r="S26" s="1">
        <v>-0.29392431927171631</v>
      </c>
      <c r="T26" s="1">
        <v>3.8801158321576913E-2</v>
      </c>
      <c r="U26" s="1">
        <v>-0.42322996396686702</v>
      </c>
      <c r="V26" s="1">
        <v>0.1637271802704669</v>
      </c>
      <c r="W26" s="1">
        <v>8.7206145507862431E-2</v>
      </c>
      <c r="X26" s="1">
        <v>0.13162844247843661</v>
      </c>
      <c r="Y26" s="1">
        <v>-0.1243224535392126</v>
      </c>
      <c r="Z26" s="1">
        <v>5.7154149464510598E-2</v>
      </c>
      <c r="AA26" s="1">
        <v>2.953965267384533E-2</v>
      </c>
      <c r="AB26" s="1">
        <v>-9.2340447112654739E-2</v>
      </c>
      <c r="AC26" s="1">
        <v>0.40329999647619208</v>
      </c>
      <c r="AD26" s="1">
        <v>0.49910073935146271</v>
      </c>
      <c r="AE26" s="1">
        <v>0.18904454299141221</v>
      </c>
      <c r="AF26" s="1">
        <v>3.5461655124420939E-4</v>
      </c>
      <c r="AG26" s="1">
        <v>0.31121717222897222</v>
      </c>
      <c r="AH26" s="1">
        <v>0.90293804642974995</v>
      </c>
      <c r="AI26" s="1">
        <v>9.6799750790772104E-2</v>
      </c>
      <c r="AJ26" s="1">
        <v>8.0096079751057203E-2</v>
      </c>
      <c r="AK26" s="1">
        <v>0.26078300550212857</v>
      </c>
      <c r="AL26" s="1">
        <v>4.6054409760418663E-2</v>
      </c>
      <c r="AM26" s="1">
        <v>2.3701914066940041E-2</v>
      </c>
      <c r="AN26" s="1">
        <v>0.13267245806478051</v>
      </c>
      <c r="AO26" s="1">
        <v>0.1021895330198999</v>
      </c>
      <c r="AP26" s="1">
        <v>8.5535447392672506E-2</v>
      </c>
      <c r="AQ26" s="1">
        <v>-9.9630652383908808E-2</v>
      </c>
      <c r="AR26" s="1">
        <v>-0.42212427925242041</v>
      </c>
      <c r="AS26" s="1">
        <v>-0.33629716777157398</v>
      </c>
      <c r="AT26" s="1">
        <v>0.33042944046886991</v>
      </c>
      <c r="AU26" s="1">
        <v>0.103071285394397</v>
      </c>
      <c r="AV26" s="1">
        <v>0.3831266247368238</v>
      </c>
      <c r="AW26" s="1">
        <v>-0.12669497247646769</v>
      </c>
      <c r="AX26" s="1">
        <v>7.3511500267142232E-2</v>
      </c>
      <c r="AY26" s="1">
        <v>-0.7108145557313934</v>
      </c>
      <c r="AZ26" s="1">
        <v>-0.19139485299962941</v>
      </c>
      <c r="BA26" s="1">
        <v>-8.3940740207336703E-2</v>
      </c>
      <c r="BB26" s="1">
        <v>-0.66158881637085643</v>
      </c>
      <c r="BC26" s="1">
        <v>-0.1964010318344353</v>
      </c>
      <c r="BD26" s="1">
        <v>3.7331159902545319E-2</v>
      </c>
      <c r="BE26" s="1">
        <v>-9.0417066484089287E-2</v>
      </c>
      <c r="BF26" s="1">
        <v>1.1230242063098351E-2</v>
      </c>
      <c r="BG26" s="1">
        <v>-0.13985385836400971</v>
      </c>
      <c r="BH26" s="1">
        <v>-3.2588391045238377E-2</v>
      </c>
      <c r="BI26" s="1">
        <v>-5.786612795299767E-2</v>
      </c>
      <c r="BJ26" s="1">
        <v>0.38745341807196049</v>
      </c>
      <c r="BK26" s="1">
        <v>1.00197269490701E-2</v>
      </c>
      <c r="BL26" s="1">
        <v>4.5146220361479202E-2</v>
      </c>
      <c r="BM26" s="1">
        <v>8.409378816085733E-2</v>
      </c>
      <c r="BN26" s="1">
        <v>0.18512837368855381</v>
      </c>
      <c r="BO26" s="1">
        <v>-2.6668247082161409E-2</v>
      </c>
      <c r="BP26" s="1">
        <v>-0.83639399894724664</v>
      </c>
      <c r="BQ26" s="1">
        <v>-0.13694109225188511</v>
      </c>
      <c r="BR26" s="1">
        <v>-0.38171493555785158</v>
      </c>
      <c r="BS26" s="1">
        <v>-0.1216210365296066</v>
      </c>
      <c r="BT26" s="1">
        <v>-5.5799256308256592E-2</v>
      </c>
      <c r="BU26" s="1">
        <v>-5.0687688186090402E-2</v>
      </c>
      <c r="BV26" s="1">
        <v>-7.442795028732932E-2</v>
      </c>
      <c r="BW26" s="1">
        <v>5.7307859270791593E-2</v>
      </c>
      <c r="BX26" s="1">
        <v>6.6604643749852199E-2</v>
      </c>
      <c r="BY26" s="1">
        <v>0.15739858213872671</v>
      </c>
      <c r="BZ26" s="1">
        <v>-0.41150141241439819</v>
      </c>
      <c r="CA26" s="1">
        <v>5.3526593047127979E-2</v>
      </c>
      <c r="CB26" s="1">
        <v>0.33692898140486782</v>
      </c>
      <c r="CC26" s="1">
        <v>-0.22069348351070209</v>
      </c>
      <c r="CD26" s="1">
        <v>0.55059298656639766</v>
      </c>
      <c r="CE26" s="1">
        <v>0.17967254862237761</v>
      </c>
      <c r="CF26" s="1">
        <v>-2.0033171211306669E-2</v>
      </c>
      <c r="CG26" s="1">
        <v>9.5486531096555027E-2</v>
      </c>
      <c r="CH26" s="1">
        <v>-0.47591534631106008</v>
      </c>
      <c r="CI26" s="1">
        <v>7.209077729075844E-2</v>
      </c>
      <c r="CJ26" s="1">
        <v>0.30472255046157221</v>
      </c>
      <c r="CK26" s="1">
        <v>-5.5315861277314783E-2</v>
      </c>
      <c r="CL26" s="1">
        <v>-3.7249281063807982E-2</v>
      </c>
      <c r="CM26" s="1">
        <v>0.20229817995532751</v>
      </c>
      <c r="CN26" s="1">
        <v>6.4923289237675125E-2</v>
      </c>
      <c r="CO26" s="1">
        <v>-0.25478149345547751</v>
      </c>
      <c r="CP26" s="1">
        <v>6.2154233393892713E-2</v>
      </c>
      <c r="CQ26" s="1">
        <v>0.64177463130302681</v>
      </c>
      <c r="CR26" s="1">
        <v>-0.35399521030834519</v>
      </c>
      <c r="CS26" s="1">
        <v>-5.8364981302311929E-2</v>
      </c>
      <c r="CT26" s="1">
        <v>-0.12660379649564399</v>
      </c>
      <c r="CU26" s="1">
        <v>6.422361009733682E-2</v>
      </c>
      <c r="CV26" s="1">
        <v>0.1073440096096302</v>
      </c>
      <c r="CW26" s="1">
        <v>-0.2273536637066367</v>
      </c>
      <c r="CX26" s="1">
        <v>0.17994577081897531</v>
      </c>
      <c r="CY26" s="1">
        <v>4.5783885834750487E-3</v>
      </c>
      <c r="CZ26" s="1">
        <v>0.41467479656372219</v>
      </c>
      <c r="DA26" s="1">
        <v>-0.28742784593458598</v>
      </c>
      <c r="DB26" s="1">
        <v>-0.1535343427905804</v>
      </c>
      <c r="DC26" s="1">
        <v>-0.13150656910472081</v>
      </c>
      <c r="DD26" s="1">
        <v>0.16487823571849361</v>
      </c>
      <c r="DE26" s="1">
        <v>-0.2415251951862539</v>
      </c>
      <c r="DF26" s="1">
        <v>-1.238370087625275E-2</v>
      </c>
      <c r="DG26" s="1">
        <v>-0.116663342315528</v>
      </c>
      <c r="DH26" s="1">
        <v>0.1018129394233231</v>
      </c>
      <c r="DI26" s="1">
        <v>-0.11728017935047221</v>
      </c>
      <c r="DJ26" s="1">
        <v>6.0056651286184537E-2</v>
      </c>
      <c r="DK26" s="1">
        <v>2.8211667638246282E-2</v>
      </c>
      <c r="DL26" s="1">
        <v>-0.1805119705933268</v>
      </c>
      <c r="DM26" s="1">
        <v>-9.7547557843266269E-2</v>
      </c>
      <c r="DN26" s="1">
        <v>5.0940226312263998E-2</v>
      </c>
      <c r="DO26" s="1">
        <v>-0.10084895562472999</v>
      </c>
      <c r="DP26" s="1">
        <v>9.8496164179871115E-2</v>
      </c>
      <c r="DQ26" s="1">
        <v>-5.8675277433714007E-2</v>
      </c>
      <c r="DR26" s="1">
        <v>2.189760803225654E-2</v>
      </c>
      <c r="DS26" s="1">
        <v>-0.26938035488673279</v>
      </c>
      <c r="DT26" s="1">
        <v>-0.42208360842640391</v>
      </c>
      <c r="DU26" s="1">
        <v>-7.512700208927163E-2</v>
      </c>
      <c r="DV26" s="1">
        <v>-0.20834032668240829</v>
      </c>
      <c r="DW26" s="1">
        <v>-1.457728777068896E-2</v>
      </c>
      <c r="DX26" s="1">
        <v>0.42756103255364469</v>
      </c>
      <c r="DY26" s="1">
        <v>-0.10249300170764709</v>
      </c>
      <c r="DZ26" s="1">
        <v>4.1473997534895717E-2</v>
      </c>
      <c r="EA26" s="1">
        <v>0.59865800799217128</v>
      </c>
      <c r="EB26" s="1">
        <v>0.21117526178136181</v>
      </c>
      <c r="EC26" s="1">
        <v>0.51950017923042358</v>
      </c>
      <c r="ED26" s="1">
        <v>-0.1025489477527048</v>
      </c>
      <c r="EE26" s="1">
        <v>0.1081328928425101</v>
      </c>
      <c r="EF26" s="1">
        <v>9.6235607880825802E-2</v>
      </c>
    </row>
    <row r="27" spans="1:136" s="3" customFormat="1" ht="16" customHeight="1">
      <c r="A27" s="6" t="s">
        <v>147</v>
      </c>
      <c r="B27" s="6" t="s">
        <v>148</v>
      </c>
      <c r="C27" s="17">
        <v>-1.7446770539390338E-2</v>
      </c>
      <c r="D27" s="17">
        <v>2.070106053181563E-2</v>
      </c>
      <c r="E27" s="17">
        <v>2.3982129254766709E-2</v>
      </c>
      <c r="F27" s="17">
        <v>-6.557578972823077E-3</v>
      </c>
      <c r="G27" s="17">
        <v>3.1845129800519692E-2</v>
      </c>
      <c r="H27" s="17">
        <v>3.4348532736990518E-2</v>
      </c>
      <c r="I27" s="17">
        <v>-8.2549327813252367E-3</v>
      </c>
      <c r="J27" s="17">
        <v>1.2843524394052759E-2</v>
      </c>
      <c r="K27" s="17">
        <v>-5.1018524626790823E-2</v>
      </c>
      <c r="L27" s="17">
        <v>8.7394274103658827E-4</v>
      </c>
      <c r="M27" s="17">
        <v>2.3389575505495919E-2</v>
      </c>
      <c r="N27" s="17">
        <v>1.2988972200332851E-2</v>
      </c>
      <c r="O27" s="17">
        <v>5.8545887256348812E-3</v>
      </c>
      <c r="P27" s="17">
        <v>2.7413206571790558E-2</v>
      </c>
      <c r="Q27" s="17">
        <v>-3.7129361176928542E-3</v>
      </c>
      <c r="R27" s="17">
        <v>2.4076614047823328E-2</v>
      </c>
      <c r="S27" s="17">
        <v>-1.219002529903996E-2</v>
      </c>
      <c r="T27" s="17">
        <v>-3.9749578159589592E-2</v>
      </c>
      <c r="U27" s="17">
        <v>-7.3155449831649552E-2</v>
      </c>
      <c r="V27" s="17">
        <v>-5.8260229910114661E-2</v>
      </c>
      <c r="W27" s="17">
        <v>7.7279756550837221E-4</v>
      </c>
      <c r="X27" s="17">
        <v>4.459152113521897E-2</v>
      </c>
      <c r="Y27" s="17">
        <v>-2.7699680050213091E-2</v>
      </c>
      <c r="Z27" s="17">
        <v>2.0950059497436462E-3</v>
      </c>
      <c r="AA27" s="17">
        <v>-2.340055099256411E-2</v>
      </c>
      <c r="AB27" s="17">
        <v>3.2129371097322189E-2</v>
      </c>
      <c r="AC27" s="17">
        <v>3.890327309406643E-2</v>
      </c>
      <c r="AD27" s="17">
        <v>-4.286538217110427E-2</v>
      </c>
      <c r="AE27" s="17">
        <v>1.8647194550152159E-2</v>
      </c>
      <c r="AF27" s="17">
        <v>1.5229768322528949E-2</v>
      </c>
      <c r="AG27" s="17">
        <v>3.6016603778892417E-2</v>
      </c>
      <c r="AH27" s="17">
        <v>9.3546113853161701E-3</v>
      </c>
      <c r="AI27" s="17">
        <v>1.0748251336838139E-2</v>
      </c>
      <c r="AJ27" s="17">
        <v>1.335775405308097E-2</v>
      </c>
      <c r="AK27" s="17">
        <v>-5.3327473290953921E-3</v>
      </c>
      <c r="AL27" s="17">
        <v>1.383135807261675E-3</v>
      </c>
      <c r="AM27" s="17">
        <v>2.079592842007446E-2</v>
      </c>
      <c r="AN27" s="17">
        <v>3.1517702220390638E-2</v>
      </c>
      <c r="AO27" s="17">
        <v>6.2417165333294418E-3</v>
      </c>
      <c r="AP27" s="17">
        <v>6.1452616535713897E-3</v>
      </c>
      <c r="AQ27" s="17">
        <v>1.694635767669651E-2</v>
      </c>
      <c r="AR27" s="17">
        <v>3.4682830454308228E-2</v>
      </c>
      <c r="AS27" s="17">
        <v>3.0985886171969678E-3</v>
      </c>
      <c r="AT27" s="17">
        <v>1.508134714348611E-2</v>
      </c>
      <c r="AU27" s="17">
        <v>-1.9251209229863991E-2</v>
      </c>
      <c r="AV27" s="17">
        <v>3.8711513387631437E-2</v>
      </c>
      <c r="AW27" s="17">
        <v>-2.1856951135736599E-2</v>
      </c>
      <c r="AX27" s="17">
        <v>7.7743007097896798E-3</v>
      </c>
      <c r="AY27" s="17">
        <v>4.2397246695325942E-2</v>
      </c>
      <c r="AZ27" s="17">
        <v>-2.630897486115975E-2</v>
      </c>
      <c r="BA27" s="17">
        <v>9.5717493087162323E-3</v>
      </c>
      <c r="BB27" s="17">
        <v>-2.424974126627483E-2</v>
      </c>
      <c r="BC27" s="17">
        <v>2.0163374143915822E-2</v>
      </c>
      <c r="BD27" s="17">
        <v>-3.5049987821160239E-3</v>
      </c>
      <c r="BE27" s="17">
        <v>2.0151935098542271E-2</v>
      </c>
      <c r="BF27" s="17">
        <v>5.8133623077027128E-4</v>
      </c>
      <c r="BG27" s="17">
        <v>-5.2197009532526043E-3</v>
      </c>
      <c r="BH27" s="17">
        <v>-0.11587176140213</v>
      </c>
      <c r="BI27" s="17">
        <v>8.7252256924373536E-3</v>
      </c>
      <c r="BJ27" s="17">
        <v>-1.6377260977822151E-2</v>
      </c>
      <c r="BK27" s="17">
        <v>2.0840371600260421E-2</v>
      </c>
      <c r="BL27" s="17">
        <v>4.4975872102114713E-2</v>
      </c>
      <c r="BM27" s="17">
        <v>2.3954306081863871E-2</v>
      </c>
      <c r="BN27" s="17">
        <v>3.0239101391442601E-2</v>
      </c>
      <c r="BO27" s="17">
        <v>-4.372588759108751E-2</v>
      </c>
      <c r="BP27" s="17">
        <v>2.1889469568198618E-2</v>
      </c>
      <c r="BQ27" s="17">
        <v>8.6274302635084028E-3</v>
      </c>
      <c r="BR27" s="17">
        <v>-1.9192953994658781E-2</v>
      </c>
      <c r="BS27" s="17">
        <v>1.973512988813305E-2</v>
      </c>
      <c r="BT27" s="17">
        <v>4.7694337483699438E-2</v>
      </c>
      <c r="BU27" s="17">
        <v>1.145481680658339E-2</v>
      </c>
      <c r="BV27" s="17">
        <v>4.3228620735213191E-2</v>
      </c>
      <c r="BW27" s="17">
        <v>-4.2747430436922793E-2</v>
      </c>
      <c r="BX27" s="17">
        <v>-1.781129242779457E-2</v>
      </c>
      <c r="BY27" s="17">
        <v>-0.1511530968690756</v>
      </c>
      <c r="BZ27" s="17">
        <v>0.12422400361957529</v>
      </c>
      <c r="CA27" s="17">
        <v>-4.5572538445296431E-3</v>
      </c>
      <c r="CB27" s="17">
        <v>6.0211240204911178E-2</v>
      </c>
      <c r="CC27" s="17">
        <v>8.5992033482502284E-2</v>
      </c>
      <c r="CD27" s="17">
        <v>-5.8084795823660634E-3</v>
      </c>
      <c r="CE27" s="17">
        <v>-6.0413469889680736E-3</v>
      </c>
      <c r="CF27" s="17">
        <v>2.4523243722520739E-3</v>
      </c>
      <c r="CG27" s="17">
        <v>8.963625193702289E-2</v>
      </c>
      <c r="CH27" s="17">
        <v>7.099273252675789E-2</v>
      </c>
      <c r="CI27" s="17">
        <v>2.7170642901783448E-2</v>
      </c>
      <c r="CJ27" s="17">
        <v>5.2468428425330033E-2</v>
      </c>
      <c r="CK27" s="17">
        <v>2.9480660943049509E-2</v>
      </c>
      <c r="CL27" s="17">
        <v>6.6825081060201283E-2</v>
      </c>
      <c r="CM27" s="17">
        <v>-2.8772229019816971E-2</v>
      </c>
      <c r="CN27" s="17">
        <v>3.9462515901637851E-2</v>
      </c>
      <c r="CO27" s="17">
        <v>-2.9031086977359909E-2</v>
      </c>
      <c r="CP27" s="17">
        <v>1.3983882519467901E-2</v>
      </c>
      <c r="CQ27" s="17">
        <v>-3.2276964959333833E-2</v>
      </c>
      <c r="CR27" s="17">
        <v>3.1035766128940231E-3</v>
      </c>
      <c r="CS27" s="17">
        <v>2.5591855767083171E-2</v>
      </c>
      <c r="CT27" s="17">
        <v>4.4391886287193302E-2</v>
      </c>
      <c r="CU27" s="17">
        <v>-3.0338958549577438E-2</v>
      </c>
      <c r="CV27" s="17">
        <v>-1.2579764545717069E-3</v>
      </c>
      <c r="CW27" s="17">
        <v>2.336356455857952E-3</v>
      </c>
      <c r="CX27" s="17">
        <v>-6.4264144925906069E-2</v>
      </c>
      <c r="CY27" s="17">
        <v>1.2909779458992439E-2</v>
      </c>
      <c r="CZ27" s="17">
        <v>-0.12547709467085871</v>
      </c>
      <c r="DA27" s="17">
        <v>1.1690682939792569E-2</v>
      </c>
      <c r="DB27" s="17">
        <v>6.3378437007417512E-3</v>
      </c>
      <c r="DC27" s="17">
        <v>-0.1173053564693855</v>
      </c>
      <c r="DD27" s="17">
        <v>-3.6010872049446613E-2</v>
      </c>
      <c r="DE27" s="17">
        <v>0.1389113040722679</v>
      </c>
      <c r="DF27" s="17">
        <v>-5.1143506226105737E-2</v>
      </c>
      <c r="DG27" s="17">
        <v>7.6731447181969059E-2</v>
      </c>
      <c r="DH27" s="17">
        <v>1.550878219700816E-2</v>
      </c>
      <c r="DI27" s="17">
        <v>2.3223773674755831E-2</v>
      </c>
      <c r="DJ27" s="17">
        <v>-1.8372876361227891E-2</v>
      </c>
      <c r="DK27" s="17">
        <v>6.2199014085099431E-2</v>
      </c>
      <c r="DL27" s="17">
        <v>2.0098304486957191E-2</v>
      </c>
      <c r="DM27" s="17">
        <v>1.349893974806809E-2</v>
      </c>
      <c r="DN27" s="17">
        <v>-3.025221272842088E-2</v>
      </c>
      <c r="DO27" s="17">
        <v>-1.7022835708053841E-2</v>
      </c>
      <c r="DP27" s="17">
        <v>-2.1788523272461981E-2</v>
      </c>
      <c r="DQ27" s="17">
        <v>8.5745624585137223E-2</v>
      </c>
      <c r="DR27" s="17">
        <v>2.8106743604973752E-2</v>
      </c>
      <c r="DS27" s="17">
        <v>-2.3031598073594501E-3</v>
      </c>
      <c r="DT27" s="17">
        <v>5.8471198131487503E-2</v>
      </c>
      <c r="DU27" s="17">
        <v>6.7658949048647651E-2</v>
      </c>
      <c r="DV27" s="17">
        <v>5.0207706404322644E-3</v>
      </c>
      <c r="DW27" s="17">
        <v>3.7416183675207063E-2</v>
      </c>
      <c r="DX27" s="17">
        <v>8.4111003746042121E-2</v>
      </c>
      <c r="DY27" s="17">
        <v>-3.6832398544012837E-2</v>
      </c>
      <c r="DZ27" s="17">
        <v>3.0917028169369942E-3</v>
      </c>
      <c r="EA27" s="17">
        <v>-1.957628214294549E-3</v>
      </c>
      <c r="EB27" s="17">
        <v>2.6459103603519739E-2</v>
      </c>
      <c r="EC27" s="17">
        <v>-2.4752538760690269E-2</v>
      </c>
      <c r="ED27" s="17">
        <v>3.4115490982559941E-2</v>
      </c>
      <c r="EE27" s="17">
        <v>2.1061973989032982E-2</v>
      </c>
      <c r="EF27" s="17">
        <v>-2.0277392706005919E-2</v>
      </c>
    </row>
    <row r="28" spans="1:136" s="3" customFormat="1"/>
    <row r="34" spans="3:136" ht="16" customHeight="1"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</row>
    <row r="35" spans="3:136" ht="16" customHeight="1"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</row>
    <row r="36" spans="3:136" ht="16" customHeight="1"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</row>
    <row r="37" spans="3:136" ht="16" customHeight="1"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</row>
    <row r="38" spans="3:136" ht="16" customHeight="1"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</row>
    <row r="39" spans="3:136" ht="16" customHeight="1"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</row>
    <row r="40" spans="3:136" ht="16" customHeight="1"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</row>
    <row r="41" spans="3:136" ht="16" customHeight="1"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</row>
    <row r="42" spans="3:136" ht="16" customHeight="1"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</row>
    <row r="43" spans="3:136" ht="16" customHeight="1"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</row>
    <row r="44" spans="3:136" ht="16" customHeight="1"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</row>
    <row r="45" spans="3:136" ht="16" customHeight="1"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</row>
    <row r="46" spans="3:136" ht="16" customHeight="1"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</row>
  </sheetData>
  <mergeCells count="2">
    <mergeCell ref="A8:B8"/>
    <mergeCell ref="A12:B12"/>
  </mergeCells>
  <phoneticPr fontId="2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0:EH28"/>
  <sheetViews>
    <sheetView workbookViewId="0">
      <selection activeCell="EB31" sqref="EB31"/>
    </sheetView>
  </sheetViews>
  <sheetFormatPr baseColWidth="10" defaultColWidth="8.83203125" defaultRowHeight="15"/>
  <cols>
    <col min="1" max="1" width="8.33203125" style="18" customWidth="1"/>
    <col min="2" max="3" width="9.33203125" style="18" customWidth="1"/>
    <col min="11" max="11" width="8.1640625" style="18" customWidth="1"/>
    <col min="64" max="64" width="8.33203125" style="18" customWidth="1"/>
  </cols>
  <sheetData>
    <row r="10" spans="1:138" ht="16" customHeight="1">
      <c r="A10" s="50" t="s">
        <v>142</v>
      </c>
      <c r="B10" s="51"/>
      <c r="C10" s="8" t="s">
        <v>143</v>
      </c>
      <c r="D10" s="8">
        <v>964</v>
      </c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</row>
    <row r="11" spans="1:138" ht="16" customHeight="1">
      <c r="A11" s="6" t="s">
        <v>144</v>
      </c>
      <c r="B11" s="6" t="s">
        <v>145</v>
      </c>
      <c r="C11" s="10" t="s">
        <v>3</v>
      </c>
      <c r="D11" s="10" t="s">
        <v>4</v>
      </c>
      <c r="E11" s="10" t="s">
        <v>5</v>
      </c>
      <c r="F11" s="10" t="s">
        <v>6</v>
      </c>
      <c r="G11" s="10" t="s">
        <v>7</v>
      </c>
      <c r="H11" s="10" t="s">
        <v>8</v>
      </c>
      <c r="I11" s="10" t="s">
        <v>9</v>
      </c>
      <c r="J11" s="10" t="s">
        <v>10</v>
      </c>
      <c r="K11" s="10" t="s">
        <v>11</v>
      </c>
      <c r="L11" s="10" t="s">
        <v>12</v>
      </c>
      <c r="M11" s="10" t="s">
        <v>13</v>
      </c>
      <c r="N11" s="10" t="s">
        <v>14</v>
      </c>
      <c r="O11" s="10" t="s">
        <v>15</v>
      </c>
      <c r="P11" s="10" t="s">
        <v>16</v>
      </c>
      <c r="Q11" s="10" t="s">
        <v>17</v>
      </c>
      <c r="R11" s="10" t="s">
        <v>18</v>
      </c>
      <c r="S11" s="10" t="s">
        <v>19</v>
      </c>
      <c r="T11" s="10" t="s">
        <v>20</v>
      </c>
      <c r="U11" s="10" t="s">
        <v>21</v>
      </c>
      <c r="V11" s="10" t="s">
        <v>22</v>
      </c>
      <c r="W11" s="10" t="s">
        <v>23</v>
      </c>
      <c r="X11" s="10" t="s">
        <v>24</v>
      </c>
      <c r="Y11" s="10" t="s">
        <v>25</v>
      </c>
      <c r="Z11" s="10" t="s">
        <v>26</v>
      </c>
      <c r="AA11" s="10" t="s">
        <v>27</v>
      </c>
      <c r="AB11" s="10" t="s">
        <v>28</v>
      </c>
      <c r="AC11" s="10" t="s">
        <v>29</v>
      </c>
      <c r="AD11" s="10" t="s">
        <v>30</v>
      </c>
      <c r="AE11" s="10" t="s">
        <v>31</v>
      </c>
      <c r="AF11" s="10" t="s">
        <v>32</v>
      </c>
      <c r="AG11" s="10" t="s">
        <v>33</v>
      </c>
      <c r="AH11" s="10" t="s">
        <v>34</v>
      </c>
      <c r="AI11" s="10" t="s">
        <v>35</v>
      </c>
      <c r="AJ11" s="10" t="s">
        <v>36</v>
      </c>
      <c r="AK11" s="10" t="s">
        <v>37</v>
      </c>
      <c r="AL11" s="10" t="s">
        <v>38</v>
      </c>
      <c r="AM11" s="10" t="s">
        <v>39</v>
      </c>
      <c r="AN11" s="10" t="s">
        <v>40</v>
      </c>
      <c r="AO11" s="10" t="s">
        <v>41</v>
      </c>
      <c r="AP11" s="10" t="s">
        <v>42</v>
      </c>
      <c r="AQ11" s="10" t="s">
        <v>43</v>
      </c>
      <c r="AR11" s="10" t="s">
        <v>44</v>
      </c>
      <c r="AS11" s="10" t="s">
        <v>45</v>
      </c>
      <c r="AT11" s="10" t="s">
        <v>46</v>
      </c>
      <c r="AU11" s="10" t="s">
        <v>47</v>
      </c>
      <c r="AV11" s="10" t="s">
        <v>48</v>
      </c>
      <c r="AW11" s="10" t="s">
        <v>49</v>
      </c>
      <c r="AX11" s="10" t="s">
        <v>50</v>
      </c>
      <c r="AY11" s="10" t="s">
        <v>51</v>
      </c>
      <c r="AZ11" s="10" t="s">
        <v>52</v>
      </c>
      <c r="BA11" s="10" t="s">
        <v>53</v>
      </c>
      <c r="BB11" s="10" t="s">
        <v>54</v>
      </c>
      <c r="BC11" s="10" t="s">
        <v>55</v>
      </c>
      <c r="BD11" s="10" t="s">
        <v>56</v>
      </c>
      <c r="BE11" s="10" t="s">
        <v>57</v>
      </c>
      <c r="BF11" s="10" t="s">
        <v>58</v>
      </c>
      <c r="BG11" s="10" t="s">
        <v>59</v>
      </c>
      <c r="BH11" s="10" t="s">
        <v>60</v>
      </c>
      <c r="BI11" s="10" t="s">
        <v>61</v>
      </c>
      <c r="BJ11" s="10" t="s">
        <v>62</v>
      </c>
      <c r="BK11" s="10" t="s">
        <v>63</v>
      </c>
      <c r="BL11" s="10" t="s">
        <v>64</v>
      </c>
      <c r="BM11" s="10" t="s">
        <v>65</v>
      </c>
      <c r="BN11" s="10" t="s">
        <v>66</v>
      </c>
      <c r="BO11" s="10" t="s">
        <v>67</v>
      </c>
      <c r="BP11" s="10" t="s">
        <v>68</v>
      </c>
      <c r="BQ11" s="10" t="s">
        <v>69</v>
      </c>
      <c r="BR11" s="10" t="s">
        <v>70</v>
      </c>
      <c r="BS11" s="10" t="s">
        <v>71</v>
      </c>
      <c r="BT11" s="10" t="s">
        <v>72</v>
      </c>
      <c r="BU11" s="10" t="s">
        <v>73</v>
      </c>
      <c r="BV11" s="10" t="s">
        <v>74</v>
      </c>
      <c r="BW11" s="10" t="s">
        <v>75</v>
      </c>
      <c r="BX11" s="10" t="s">
        <v>76</v>
      </c>
      <c r="BY11" s="10" t="s">
        <v>77</v>
      </c>
      <c r="BZ11" s="10" t="s">
        <v>78</v>
      </c>
      <c r="CA11" s="10" t="s">
        <v>79</v>
      </c>
      <c r="CB11" s="10" t="s">
        <v>80</v>
      </c>
      <c r="CC11" s="10" t="s">
        <v>81</v>
      </c>
      <c r="CD11" s="10" t="s">
        <v>82</v>
      </c>
      <c r="CE11" s="10" t="s">
        <v>83</v>
      </c>
      <c r="CF11" s="10" t="s">
        <v>84</v>
      </c>
      <c r="CG11" s="10" t="s">
        <v>85</v>
      </c>
      <c r="CH11" s="10" t="s">
        <v>86</v>
      </c>
      <c r="CI11" s="10" t="s">
        <v>87</v>
      </c>
      <c r="CJ11" s="10" t="s">
        <v>88</v>
      </c>
      <c r="CK11" s="10" t="s">
        <v>89</v>
      </c>
      <c r="CL11" s="10" t="s">
        <v>90</v>
      </c>
      <c r="CM11" s="10" t="s">
        <v>91</v>
      </c>
      <c r="CN11" s="10" t="s">
        <v>92</v>
      </c>
      <c r="CO11" s="10" t="s">
        <v>93</v>
      </c>
      <c r="CP11" s="10" t="s">
        <v>94</v>
      </c>
      <c r="CQ11" s="10" t="s">
        <v>95</v>
      </c>
      <c r="CR11" s="10" t="s">
        <v>96</v>
      </c>
      <c r="CS11" s="10" t="s">
        <v>97</v>
      </c>
      <c r="CT11" s="10" t="s">
        <v>98</v>
      </c>
      <c r="CU11" s="10" t="s">
        <v>99</v>
      </c>
      <c r="CV11" s="10" t="s">
        <v>100</v>
      </c>
      <c r="CW11" s="10" t="s">
        <v>101</v>
      </c>
      <c r="CX11" s="10" t="s">
        <v>102</v>
      </c>
      <c r="CY11" s="10" t="s">
        <v>103</v>
      </c>
      <c r="CZ11" s="10" t="s">
        <v>104</v>
      </c>
      <c r="DA11" s="10" t="s">
        <v>105</v>
      </c>
      <c r="DB11" s="10" t="s">
        <v>106</v>
      </c>
      <c r="DC11" s="10" t="s">
        <v>107</v>
      </c>
      <c r="DD11" s="10" t="s">
        <v>108</v>
      </c>
      <c r="DE11" s="10" t="s">
        <v>109</v>
      </c>
      <c r="DF11" s="10" t="s">
        <v>110</v>
      </c>
      <c r="DG11" s="10" t="s">
        <v>111</v>
      </c>
      <c r="DH11" s="10" t="s">
        <v>112</v>
      </c>
      <c r="DI11" s="10" t="s">
        <v>113</v>
      </c>
      <c r="DJ11" s="10" t="s">
        <v>114</v>
      </c>
      <c r="DK11" s="10" t="s">
        <v>115</v>
      </c>
      <c r="DL11" s="10" t="s">
        <v>116</v>
      </c>
      <c r="DM11" s="10" t="s">
        <v>117</v>
      </c>
      <c r="DN11" s="10" t="s">
        <v>118</v>
      </c>
      <c r="DO11" s="10" t="s">
        <v>119</v>
      </c>
      <c r="DP11" s="10" t="s">
        <v>120</v>
      </c>
      <c r="DQ11" s="10" t="s">
        <v>121</v>
      </c>
      <c r="DR11" s="10" t="s">
        <v>122</v>
      </c>
      <c r="DS11" s="10" t="s">
        <v>123</v>
      </c>
      <c r="DT11" s="10" t="s">
        <v>124</v>
      </c>
      <c r="DU11" s="10" t="s">
        <v>125</v>
      </c>
      <c r="DV11" s="10" t="s">
        <v>126</v>
      </c>
      <c r="DW11" s="10" t="s">
        <v>127</v>
      </c>
      <c r="DX11" s="10" t="s">
        <v>128</v>
      </c>
      <c r="DY11" s="10" t="s">
        <v>129</v>
      </c>
      <c r="DZ11" s="10" t="s">
        <v>130</v>
      </c>
      <c r="EA11" s="10" t="s">
        <v>131</v>
      </c>
      <c r="EB11" s="10" t="s">
        <v>132</v>
      </c>
      <c r="EC11" s="10" t="s">
        <v>133</v>
      </c>
      <c r="ED11" s="10" t="s">
        <v>134</v>
      </c>
      <c r="EE11" s="10" t="s">
        <v>135</v>
      </c>
      <c r="EF11" s="10" t="s">
        <v>146</v>
      </c>
      <c r="EG11" s="10" t="s">
        <v>149</v>
      </c>
      <c r="EH11" s="10" t="s">
        <v>150</v>
      </c>
    </row>
    <row r="12" spans="1:138" ht="16" customHeight="1">
      <c r="A12" s="6">
        <v>10</v>
      </c>
      <c r="B12" s="6">
        <v>96</v>
      </c>
      <c r="C12" s="9">
        <f>IF(預測IC!C14&gt;預測IC!C$27,1,0)</f>
        <v>1</v>
      </c>
      <c r="D12" s="9">
        <f>IF(預測IC!D14&gt;預測IC!D$27,1,0)</f>
        <v>1</v>
      </c>
      <c r="E12" s="9">
        <f>IF(預測IC!E14&gt;預測IC!E$27,1,0)</f>
        <v>0</v>
      </c>
      <c r="F12" s="9">
        <f>IF(預測IC!F14&gt;預測IC!F$27,1,0)</f>
        <v>0</v>
      </c>
      <c r="G12" s="9">
        <f>IF(預測IC!G14&gt;預測IC!G$27,1,0)</f>
        <v>0</v>
      </c>
      <c r="H12" s="9">
        <f>IF(預測IC!H14&gt;預測IC!H$27,1,0)</f>
        <v>0</v>
      </c>
      <c r="I12" s="9">
        <f>IF(預測IC!I14&gt;預測IC!I$27,1,0)</f>
        <v>1</v>
      </c>
      <c r="J12" s="9">
        <f>IF(預測IC!J14&gt;預測IC!J$27,1,0)</f>
        <v>0</v>
      </c>
      <c r="K12" s="9">
        <f>IF(預測IC!K14&gt;預測IC!K$27,1,0)</f>
        <v>1</v>
      </c>
      <c r="L12" s="9">
        <f>IF(預測IC!L14&gt;預測IC!L$27,1,0)</f>
        <v>1</v>
      </c>
      <c r="M12" s="9">
        <f>IF(預測IC!M14&gt;預測IC!M$27,1,0)</f>
        <v>0</v>
      </c>
      <c r="N12" s="9">
        <f>IF(預測IC!N14&gt;預測IC!N$27,1,0)</f>
        <v>0</v>
      </c>
      <c r="O12" s="9">
        <f>IF(預測IC!O14&gt;預測IC!O$27,1,0)</f>
        <v>0</v>
      </c>
      <c r="P12" s="9">
        <f>IF(預測IC!P14&gt;預測IC!P$27,1,0)</f>
        <v>0</v>
      </c>
      <c r="Q12" s="9">
        <f>IF(預測IC!Q14&gt;預測IC!Q$27,1,0)</f>
        <v>0</v>
      </c>
      <c r="R12" s="9">
        <f>IF(預測IC!R14&gt;預測IC!R$27,1,0)</f>
        <v>0</v>
      </c>
      <c r="S12" s="9">
        <f>IF(預測IC!S14&gt;預測IC!S$27,1,0)</f>
        <v>1</v>
      </c>
      <c r="T12" s="9">
        <f>IF(預測IC!T14&gt;預測IC!T$27,1,0)</f>
        <v>1</v>
      </c>
      <c r="U12" s="9">
        <f>IF(預測IC!U14&gt;預測IC!U$27,1,0)</f>
        <v>1</v>
      </c>
      <c r="V12" s="9">
        <f>IF(預測IC!V14&gt;預測IC!V$27,1,0)</f>
        <v>1</v>
      </c>
      <c r="W12" s="9">
        <f>IF(預測IC!W14&gt;預測IC!W$27,1,0)</f>
        <v>0</v>
      </c>
      <c r="X12" s="9">
        <f>IF(預測IC!X14&gt;預測IC!X$27,1,0)</f>
        <v>1</v>
      </c>
      <c r="Y12" s="9">
        <f>IF(預測IC!Y14&gt;預測IC!Y$27,1,0)</f>
        <v>0</v>
      </c>
      <c r="Z12" s="9">
        <f>IF(預測IC!Z14&gt;預測IC!Z$27,1,0)</f>
        <v>1</v>
      </c>
      <c r="AA12" s="9">
        <f>IF(預測IC!AA14&gt;預測IC!AA$27,1,0)</f>
        <v>1</v>
      </c>
      <c r="AB12" s="9">
        <f>IF(預測IC!AB14&gt;預測IC!AB$27,1,0)</f>
        <v>0</v>
      </c>
      <c r="AC12" s="9">
        <f>IF(預測IC!AC14&gt;預測IC!AC$27,1,0)</f>
        <v>0</v>
      </c>
      <c r="AD12" s="9">
        <f>IF(預測IC!AD14&gt;預測IC!AD$27,1,0)</f>
        <v>1</v>
      </c>
      <c r="AE12" s="9">
        <f>IF(預測IC!AE14&gt;預測IC!AE$27,1,0)</f>
        <v>0</v>
      </c>
      <c r="AF12" s="9">
        <f>IF(預測IC!AF14&gt;預測IC!AF$27,1,0)</f>
        <v>0</v>
      </c>
      <c r="AG12" s="9">
        <f>IF(預測IC!AG14&gt;預測IC!AG$27,1,0)</f>
        <v>0</v>
      </c>
      <c r="AH12" s="9">
        <f>IF(預測IC!AH14&gt;預測IC!AH$27,1,0)</f>
        <v>1</v>
      </c>
      <c r="AI12" s="9">
        <f>IF(預測IC!AI14&gt;預測IC!AI$27,1,0)</f>
        <v>0</v>
      </c>
      <c r="AJ12" s="9">
        <f>IF(預測IC!AJ14&gt;預測IC!AJ$27,1,0)</f>
        <v>0</v>
      </c>
      <c r="AK12" s="9">
        <f>IF(預測IC!AK14&gt;預測IC!AK$27,1,0)</f>
        <v>0</v>
      </c>
      <c r="AL12" s="9">
        <f>IF(預測IC!AL14&gt;預測IC!AL$27,1,0)</f>
        <v>0</v>
      </c>
      <c r="AM12" s="9">
        <f>IF(預測IC!AM14&gt;預測IC!AM$27,1,0)</f>
        <v>0</v>
      </c>
      <c r="AN12" s="9">
        <f>IF(預測IC!AN14&gt;預測IC!AN$27,1,0)</f>
        <v>0</v>
      </c>
      <c r="AO12" s="9">
        <f>IF(預測IC!AO14&gt;預測IC!AO$27,1,0)</f>
        <v>1</v>
      </c>
      <c r="AP12" s="9">
        <f>IF(預測IC!AP14&gt;預測IC!AP$27,1,0)</f>
        <v>1</v>
      </c>
      <c r="AQ12" s="9">
        <f>IF(預測IC!AQ14&gt;預測IC!AQ$27,1,0)</f>
        <v>1</v>
      </c>
      <c r="AR12" s="9">
        <f>IF(預測IC!AR14&gt;預測IC!AR$27,1,0)</f>
        <v>0</v>
      </c>
      <c r="AS12" s="9">
        <f>IF(預測IC!AS14&gt;預測IC!AS$27,1,0)</f>
        <v>1</v>
      </c>
      <c r="AT12" s="9">
        <f>IF(預測IC!AT14&gt;預測IC!AT$27,1,0)</f>
        <v>0</v>
      </c>
      <c r="AU12" s="9">
        <f>IF(預測IC!AU14&gt;預測IC!AU$27,1,0)</f>
        <v>1</v>
      </c>
      <c r="AV12" s="9">
        <f>IF(預測IC!AV14&gt;預測IC!AV$27,1,0)</f>
        <v>0</v>
      </c>
      <c r="AW12" s="9">
        <f>IF(預測IC!AW14&gt;預測IC!AW$27,1,0)</f>
        <v>1</v>
      </c>
      <c r="AX12" s="9">
        <f>IF(預測IC!AX14&gt;預測IC!AX$27,1,0)</f>
        <v>0</v>
      </c>
      <c r="AY12" s="9">
        <f>IF(預測IC!AY14&gt;預測IC!AY$27,1,0)</f>
        <v>0</v>
      </c>
      <c r="AZ12" s="9">
        <f>IF(預測IC!AZ14&gt;預測IC!AZ$27,1,0)</f>
        <v>1</v>
      </c>
      <c r="BA12" s="9">
        <f>IF(預測IC!BA14&gt;預測IC!BA$27,1,0)</f>
        <v>1</v>
      </c>
      <c r="BB12" s="9">
        <f>IF(預測IC!BB14&gt;預測IC!BB$27,1,0)</f>
        <v>1</v>
      </c>
      <c r="BC12" s="9">
        <f>IF(預測IC!BC14&gt;預測IC!BC$27,1,0)</f>
        <v>0</v>
      </c>
      <c r="BD12" s="9">
        <f>IF(預測IC!BD14&gt;預測IC!BD$27,1,0)</f>
        <v>1</v>
      </c>
      <c r="BE12" s="9">
        <f>IF(預測IC!BE14&gt;預測IC!BE$27,1,0)</f>
        <v>0</v>
      </c>
      <c r="BF12" s="9">
        <f>IF(預測IC!BF14&gt;預測IC!BF$27,1,0)</f>
        <v>1</v>
      </c>
      <c r="BG12" s="9">
        <f>IF(預測IC!BG14&gt;預測IC!BG$27,1,0)</f>
        <v>1</v>
      </c>
      <c r="BH12" s="9">
        <f>IF(預測IC!BH14&gt;預測IC!BH$27,1,0)</f>
        <v>1</v>
      </c>
      <c r="BI12" s="9">
        <f>IF(預測IC!BI14&gt;預測IC!BI$27,1,0)</f>
        <v>0</v>
      </c>
      <c r="BJ12" s="9">
        <f>IF(預測IC!BJ14&gt;預測IC!BJ$27,1,0)</f>
        <v>1</v>
      </c>
      <c r="BK12" s="9">
        <f>IF(預測IC!BK14&gt;預測IC!BK$27,1,0)</f>
        <v>0</v>
      </c>
      <c r="BL12" s="9">
        <f>IF(預測IC!BL14&gt;預測IC!BL$27,1,0)</f>
        <v>0</v>
      </c>
      <c r="BM12" s="9">
        <f>IF(預測IC!BM14&gt;預測IC!BM$27,1,0)</f>
        <v>0</v>
      </c>
      <c r="BN12" s="9">
        <f>IF(預測IC!BN14&gt;預測IC!BN$27,1,0)</f>
        <v>0</v>
      </c>
      <c r="BO12" s="9">
        <f>IF(預測IC!BO14&gt;預測IC!BO$27,1,0)</f>
        <v>1</v>
      </c>
      <c r="BP12" s="9">
        <f>IF(預測IC!BP14&gt;預測IC!BP$27,1,0)</f>
        <v>0</v>
      </c>
      <c r="BQ12" s="9">
        <f>IF(預測IC!BQ14&gt;預測IC!BQ$27,1,0)</f>
        <v>0</v>
      </c>
      <c r="BR12" s="9">
        <f>IF(預測IC!BR14&gt;預測IC!BR$27,1,0)</f>
        <v>1</v>
      </c>
      <c r="BS12" s="9">
        <f>IF(預測IC!BS14&gt;預測IC!BS$27,1,0)</f>
        <v>0</v>
      </c>
      <c r="BT12" s="9">
        <f>IF(預測IC!BT14&gt;預測IC!BT$27,1,0)</f>
        <v>0</v>
      </c>
      <c r="BU12" s="9">
        <f>IF(預測IC!BU14&gt;預測IC!BU$27,1,0)</f>
        <v>1</v>
      </c>
      <c r="BV12" s="9">
        <f>IF(預測IC!BV14&gt;預測IC!BV$27,1,0)</f>
        <v>0</v>
      </c>
      <c r="BW12" s="9">
        <f>IF(預測IC!BW14&gt;預測IC!BW$27,1,0)</f>
        <v>1</v>
      </c>
      <c r="BX12" s="9">
        <f>IF(預測IC!BX14&gt;預測IC!BX$27,1,0)</f>
        <v>1</v>
      </c>
      <c r="BY12" s="9">
        <f>IF(預測IC!BY14&gt;預測IC!BY$27,1,0)</f>
        <v>1</v>
      </c>
      <c r="BZ12" s="9">
        <f>IF(預測IC!BZ14&gt;預測IC!BZ$27,1,0)</f>
        <v>0</v>
      </c>
      <c r="CA12" s="9">
        <f>IF(預測IC!CA14&gt;預測IC!CA$27,1,0)</f>
        <v>1</v>
      </c>
      <c r="CB12" s="9">
        <f>IF(預測IC!CB14&gt;預測IC!CB$27,1,0)</f>
        <v>0</v>
      </c>
      <c r="CC12" s="9">
        <f>IF(預測IC!CC14&gt;預測IC!CC$27,1,0)</f>
        <v>0</v>
      </c>
      <c r="CD12" s="9">
        <f>IF(預測IC!CD14&gt;預測IC!CD$27,1,0)</f>
        <v>0</v>
      </c>
      <c r="CE12" s="9">
        <f>IF(預測IC!CE14&gt;預測IC!CE$27,1,0)</f>
        <v>1</v>
      </c>
      <c r="CF12" s="9">
        <f>IF(預測IC!CF14&gt;預測IC!CF$27,1,0)</f>
        <v>1</v>
      </c>
      <c r="CG12" s="9">
        <f>IF(預測IC!CG14&gt;預測IC!CG$27,1,0)</f>
        <v>0</v>
      </c>
      <c r="CH12" s="9">
        <f>IF(預測IC!CH14&gt;預測IC!CH$27,1,0)</f>
        <v>0</v>
      </c>
      <c r="CI12" s="9">
        <f>IF(預測IC!CI14&gt;預測IC!CI$27,1,0)</f>
        <v>0</v>
      </c>
      <c r="CJ12" s="9">
        <f>IF(預測IC!CJ14&gt;預測IC!CJ$27,1,0)</f>
        <v>0</v>
      </c>
      <c r="CK12" s="9">
        <f>IF(預測IC!CK14&gt;預測IC!CK$27,1,0)</f>
        <v>0</v>
      </c>
      <c r="CL12" s="9">
        <f>IF(預測IC!CL14&gt;預測IC!CL$27,1,0)</f>
        <v>1</v>
      </c>
      <c r="CM12" s="9">
        <f>IF(預測IC!CM14&gt;預測IC!CM$27,1,0)</f>
        <v>1</v>
      </c>
      <c r="CN12" s="9">
        <f>IF(預測IC!CN14&gt;預測IC!CN$27,1,0)</f>
        <v>0</v>
      </c>
      <c r="CO12" s="9">
        <f>IF(預測IC!CO14&gt;預測IC!CO$27,1,0)</f>
        <v>0</v>
      </c>
      <c r="CP12" s="9">
        <f>IF(預測IC!CP14&gt;預測IC!CP$27,1,0)</f>
        <v>0</v>
      </c>
      <c r="CQ12" s="9">
        <f>IF(預測IC!CQ14&gt;預測IC!CQ$27,1,0)</f>
        <v>1</v>
      </c>
      <c r="CR12" s="9">
        <f>IF(預測IC!CR14&gt;預測IC!CR$27,1,0)</f>
        <v>0</v>
      </c>
      <c r="CS12" s="9">
        <f>IF(預測IC!CS14&gt;預測IC!CS$27,1,0)</f>
        <v>0</v>
      </c>
      <c r="CT12" s="9">
        <f>IF(預測IC!CT14&gt;預測IC!CT$27,1,0)</f>
        <v>0</v>
      </c>
      <c r="CU12" s="9">
        <f>IF(預測IC!CU14&gt;預測IC!CU$27,1,0)</f>
        <v>0</v>
      </c>
      <c r="CV12" s="9">
        <f>IF(預測IC!CV14&gt;預測IC!CV$27,1,0)</f>
        <v>1</v>
      </c>
      <c r="CW12" s="9">
        <f>IF(預測IC!CW14&gt;預測IC!CW$27,1,0)</f>
        <v>0</v>
      </c>
      <c r="CX12" s="9">
        <f>IF(預測IC!CX14&gt;預測IC!CX$27,1,0)</f>
        <v>1</v>
      </c>
      <c r="CY12" s="9">
        <f>IF(預測IC!CY14&gt;預測IC!CY$27,1,0)</f>
        <v>0</v>
      </c>
      <c r="CZ12" s="9">
        <f>IF(預測IC!CZ14&gt;預測IC!CZ$27,1,0)</f>
        <v>1</v>
      </c>
      <c r="DA12" s="9">
        <f>IF(預測IC!DA14&gt;預測IC!DA$27,1,0)</f>
        <v>1</v>
      </c>
      <c r="DB12" s="9">
        <f>IF(預測IC!DB14&gt;預測IC!DB$27,1,0)</f>
        <v>1</v>
      </c>
      <c r="DC12" s="9">
        <f>IF(預測IC!DC14&gt;預測IC!DC$27,1,0)</f>
        <v>1</v>
      </c>
      <c r="DD12" s="9">
        <f>IF(預測IC!DD14&gt;預測IC!DD$27,1,0)</f>
        <v>1</v>
      </c>
      <c r="DE12" s="9">
        <f>IF(預測IC!DE14&gt;預測IC!DE$27,1,0)</f>
        <v>0</v>
      </c>
      <c r="DF12" s="9">
        <f>IF(預測IC!DF14&gt;預測IC!DF$27,1,0)</f>
        <v>1</v>
      </c>
      <c r="DG12" s="9">
        <f>IF(預測IC!DG14&gt;預測IC!DG$27,1,0)</f>
        <v>0</v>
      </c>
      <c r="DH12" s="9">
        <f>IF(預測IC!DH14&gt;預測IC!DH$27,1,0)</f>
        <v>0</v>
      </c>
      <c r="DI12" s="9">
        <f>IF(預測IC!DI14&gt;預測IC!DI$27,1,0)</f>
        <v>1</v>
      </c>
      <c r="DJ12" s="9">
        <f>IF(預測IC!DJ14&gt;預測IC!DJ$27,1,0)</f>
        <v>1</v>
      </c>
      <c r="DK12" s="9">
        <f>IF(預測IC!DK14&gt;預測IC!DK$27,1,0)</f>
        <v>0</v>
      </c>
      <c r="DL12" s="9">
        <f>IF(預測IC!DL14&gt;預測IC!DL$27,1,0)</f>
        <v>0</v>
      </c>
      <c r="DM12" s="9">
        <f>IF(預測IC!DM14&gt;預測IC!DM$27,1,0)</f>
        <v>1</v>
      </c>
      <c r="DN12" s="9">
        <f>IF(預測IC!DN14&gt;預測IC!DN$27,1,0)</f>
        <v>0</v>
      </c>
      <c r="DO12" s="9">
        <f>IF(預測IC!DO14&gt;預測IC!DO$27,1,0)</f>
        <v>1</v>
      </c>
      <c r="DP12" s="9">
        <f>IF(預測IC!DP14&gt;預測IC!DP$27,1,0)</f>
        <v>1</v>
      </c>
      <c r="DQ12" s="9">
        <f>IF(預測IC!DQ14&gt;預測IC!DQ$27,1,0)</f>
        <v>0</v>
      </c>
      <c r="DR12" s="9">
        <f>IF(預測IC!DR14&gt;預測IC!DR$27,1,0)</f>
        <v>0</v>
      </c>
      <c r="DS12" s="9">
        <f>IF(預測IC!DS14&gt;預測IC!DS$27,1,0)</f>
        <v>1</v>
      </c>
      <c r="DT12" s="9">
        <f>IF(預測IC!DT14&gt;預測IC!DT$27,1,0)</f>
        <v>0</v>
      </c>
      <c r="DU12" s="9">
        <f>IF(預測IC!DU14&gt;預測IC!DU$27,1,0)</f>
        <v>0</v>
      </c>
      <c r="DV12" s="9">
        <f>IF(預測IC!DV14&gt;預測IC!DV$27,1,0)</f>
        <v>0</v>
      </c>
      <c r="DW12" s="9">
        <f>IF(預測IC!DW14&gt;預測IC!DW$27,1,0)</f>
        <v>0</v>
      </c>
      <c r="DX12" s="9">
        <f>IF(預測IC!DX14&gt;預測IC!DX$27,1,0)</f>
        <v>0</v>
      </c>
      <c r="DY12" s="9">
        <f>IF(預測IC!DY14&gt;預測IC!DY$27,1,0)</f>
        <v>1</v>
      </c>
      <c r="DZ12" s="9">
        <f>IF(預測IC!DZ14&gt;預測IC!DZ$27,1,0)</f>
        <v>1</v>
      </c>
      <c r="EA12" s="9">
        <f>IF(預測IC!EA14&gt;預測IC!EA$27,1,0)</f>
        <v>0</v>
      </c>
      <c r="EB12" s="9">
        <f>IF(預測IC!EB14&gt;預測IC!EB$27,1,0)</f>
        <v>0</v>
      </c>
      <c r="EC12" s="9">
        <f>IF(預測IC!EC14&gt;預測IC!EC$27,1,0)</f>
        <v>1</v>
      </c>
      <c r="ED12" s="9">
        <f>IF(預測IC!ED14&gt;預測IC!ED$27,1,0)</f>
        <v>0</v>
      </c>
      <c r="EE12" s="9">
        <f>IF(預測IC!EE14&gt;預測IC!EE$27,1,0)</f>
        <v>0</v>
      </c>
      <c r="EF12" s="9">
        <f>IF(預測IC!EF14&gt;預測IC!EF$27,1,0)</f>
        <v>1</v>
      </c>
      <c r="EG12" s="1">
        <f t="shared" ref="EG12:EG24" si="0">SUM(C12:EF12)</f>
        <v>58</v>
      </c>
      <c r="EH12" s="2">
        <f t="shared" ref="EH12:EH24" si="1">SUM(C12:EF12)/134</f>
        <v>0.43283582089552236</v>
      </c>
    </row>
    <row r="13" spans="1:138" ht="16" customHeight="1">
      <c r="A13" s="6">
        <v>20</v>
      </c>
      <c r="B13" s="6">
        <v>48</v>
      </c>
      <c r="C13" s="9">
        <f>IF(預測IC!C15&gt;預測IC!C$27,1,0)</f>
        <v>1</v>
      </c>
      <c r="D13" s="9">
        <f>IF(預測IC!D15&gt;預測IC!D$27,1,0)</f>
        <v>1</v>
      </c>
      <c r="E13" s="9">
        <f>IF(預測IC!E15&gt;預測IC!E$27,1,0)</f>
        <v>0</v>
      </c>
      <c r="F13" s="9">
        <f>IF(預測IC!F15&gt;預測IC!F$27,1,0)</f>
        <v>1</v>
      </c>
      <c r="G13" s="9">
        <f>IF(預測IC!G15&gt;預測IC!G$27,1,0)</f>
        <v>0</v>
      </c>
      <c r="H13" s="9">
        <f>IF(預測IC!H15&gt;預測IC!H$27,1,0)</f>
        <v>0</v>
      </c>
      <c r="I13" s="9">
        <f>IF(預測IC!I15&gt;預測IC!I$27,1,0)</f>
        <v>1</v>
      </c>
      <c r="J13" s="9">
        <f>IF(預測IC!J15&gt;預測IC!J$27,1,0)</f>
        <v>0</v>
      </c>
      <c r="K13" s="9">
        <f>IF(預測IC!K15&gt;預測IC!K$27,1,0)</f>
        <v>1</v>
      </c>
      <c r="L13" s="9">
        <f>IF(預測IC!L15&gt;預測IC!L$27,1,0)</f>
        <v>1</v>
      </c>
      <c r="M13" s="9">
        <f>IF(預測IC!M15&gt;預測IC!M$27,1,0)</f>
        <v>0</v>
      </c>
      <c r="N13" s="9">
        <f>IF(預測IC!N15&gt;預測IC!N$27,1,0)</f>
        <v>0</v>
      </c>
      <c r="O13" s="9">
        <f>IF(預測IC!O15&gt;預測IC!O$27,1,0)</f>
        <v>0</v>
      </c>
      <c r="P13" s="9">
        <f>IF(預測IC!P15&gt;預測IC!P$27,1,0)</f>
        <v>0</v>
      </c>
      <c r="Q13" s="9">
        <f>IF(預測IC!Q15&gt;預測IC!Q$27,1,0)</f>
        <v>1</v>
      </c>
      <c r="R13" s="9">
        <f>IF(預測IC!R15&gt;預測IC!R$27,1,0)</f>
        <v>0</v>
      </c>
      <c r="S13" s="9">
        <f>IF(預測IC!S15&gt;預測IC!S$27,1,0)</f>
        <v>1</v>
      </c>
      <c r="T13" s="9">
        <f>IF(預測IC!T15&gt;預測IC!T$27,1,0)</f>
        <v>1</v>
      </c>
      <c r="U13" s="9">
        <f>IF(預測IC!U15&gt;預測IC!U$27,1,0)</f>
        <v>1</v>
      </c>
      <c r="V13" s="9">
        <f>IF(預測IC!V15&gt;預測IC!V$27,1,0)</f>
        <v>1</v>
      </c>
      <c r="W13" s="9">
        <f>IF(預測IC!W15&gt;預測IC!W$27,1,0)</f>
        <v>1</v>
      </c>
      <c r="X13" s="9">
        <f>IF(預測IC!X15&gt;預測IC!X$27,1,0)</f>
        <v>1</v>
      </c>
      <c r="Y13" s="9">
        <f>IF(預測IC!Y15&gt;預測IC!Y$27,1,0)</f>
        <v>0</v>
      </c>
      <c r="Z13" s="9">
        <f>IF(預測IC!Z15&gt;預測IC!Z$27,1,0)</f>
        <v>1</v>
      </c>
      <c r="AA13" s="9">
        <f>IF(預測IC!AA15&gt;預測IC!AA$27,1,0)</f>
        <v>1</v>
      </c>
      <c r="AB13" s="9">
        <f>IF(預測IC!AB15&gt;預測IC!AB$27,1,0)</f>
        <v>0</v>
      </c>
      <c r="AC13" s="9">
        <f>IF(預測IC!AC15&gt;預測IC!AC$27,1,0)</f>
        <v>0</v>
      </c>
      <c r="AD13" s="9">
        <f>IF(預測IC!AD15&gt;預測IC!AD$27,1,0)</f>
        <v>1</v>
      </c>
      <c r="AE13" s="9">
        <f>IF(預測IC!AE15&gt;預測IC!AE$27,1,0)</f>
        <v>0</v>
      </c>
      <c r="AF13" s="9">
        <f>IF(預測IC!AF15&gt;預測IC!AF$27,1,0)</f>
        <v>1</v>
      </c>
      <c r="AG13" s="9">
        <f>IF(預測IC!AG15&gt;預測IC!AG$27,1,0)</f>
        <v>0</v>
      </c>
      <c r="AH13" s="9">
        <f>IF(預測IC!AH15&gt;預測IC!AH$27,1,0)</f>
        <v>1</v>
      </c>
      <c r="AI13" s="9">
        <f>IF(預測IC!AI15&gt;預測IC!AI$27,1,0)</f>
        <v>0</v>
      </c>
      <c r="AJ13" s="9">
        <f>IF(預測IC!AJ15&gt;預測IC!AJ$27,1,0)</f>
        <v>0</v>
      </c>
      <c r="AK13" s="9">
        <f>IF(預測IC!AK15&gt;預測IC!AK$27,1,0)</f>
        <v>0</v>
      </c>
      <c r="AL13" s="9">
        <f>IF(預測IC!AL15&gt;預測IC!AL$27,1,0)</f>
        <v>0</v>
      </c>
      <c r="AM13" s="9">
        <f>IF(預測IC!AM15&gt;預測IC!AM$27,1,0)</f>
        <v>0</v>
      </c>
      <c r="AN13" s="9">
        <f>IF(預測IC!AN15&gt;預測IC!AN$27,1,0)</f>
        <v>0</v>
      </c>
      <c r="AO13" s="9">
        <f>IF(預測IC!AO15&gt;預測IC!AO$27,1,0)</f>
        <v>1</v>
      </c>
      <c r="AP13" s="9">
        <f>IF(預測IC!AP15&gt;預測IC!AP$27,1,0)</f>
        <v>1</v>
      </c>
      <c r="AQ13" s="9">
        <f>IF(預測IC!AQ15&gt;預測IC!AQ$27,1,0)</f>
        <v>0</v>
      </c>
      <c r="AR13" s="9">
        <f>IF(預測IC!AR15&gt;預測IC!AR$27,1,0)</f>
        <v>0</v>
      </c>
      <c r="AS13" s="9">
        <f>IF(預測IC!AS15&gt;預測IC!AS$27,1,0)</f>
        <v>1</v>
      </c>
      <c r="AT13" s="9">
        <f>IF(預測IC!AT15&gt;預測IC!AT$27,1,0)</f>
        <v>0</v>
      </c>
      <c r="AU13" s="9">
        <f>IF(預測IC!AU15&gt;預測IC!AU$27,1,0)</f>
        <v>1</v>
      </c>
      <c r="AV13" s="9">
        <f>IF(預測IC!AV15&gt;預測IC!AV$27,1,0)</f>
        <v>0</v>
      </c>
      <c r="AW13" s="9">
        <f>IF(預測IC!AW15&gt;預測IC!AW$27,1,0)</f>
        <v>0</v>
      </c>
      <c r="AX13" s="9">
        <f>IF(預測IC!AX15&gt;預測IC!AX$27,1,0)</f>
        <v>0</v>
      </c>
      <c r="AY13" s="9">
        <f>IF(預測IC!AY15&gt;預測IC!AY$27,1,0)</f>
        <v>0</v>
      </c>
      <c r="AZ13" s="9">
        <f>IF(預測IC!AZ15&gt;預測IC!AZ$27,1,0)</f>
        <v>1</v>
      </c>
      <c r="BA13" s="9">
        <f>IF(預測IC!BA15&gt;預測IC!BA$27,1,0)</f>
        <v>1</v>
      </c>
      <c r="BB13" s="9">
        <f>IF(預測IC!BB15&gt;預測IC!BB$27,1,0)</f>
        <v>0</v>
      </c>
      <c r="BC13" s="9">
        <f>IF(預測IC!BC15&gt;預測IC!BC$27,1,0)</f>
        <v>0</v>
      </c>
      <c r="BD13" s="9">
        <f>IF(預測IC!BD15&gt;預測IC!BD$27,1,0)</f>
        <v>1</v>
      </c>
      <c r="BE13" s="9">
        <f>IF(預測IC!BE15&gt;預測IC!BE$27,1,0)</f>
        <v>0</v>
      </c>
      <c r="BF13" s="9">
        <f>IF(預測IC!BF15&gt;預測IC!BF$27,1,0)</f>
        <v>0</v>
      </c>
      <c r="BG13" s="9">
        <f>IF(預測IC!BG15&gt;預測IC!BG$27,1,0)</f>
        <v>1</v>
      </c>
      <c r="BH13" s="9">
        <f>IF(預測IC!BH15&gt;預測IC!BH$27,1,0)</f>
        <v>1</v>
      </c>
      <c r="BI13" s="9">
        <f>IF(預測IC!BI15&gt;預測IC!BI$27,1,0)</f>
        <v>1</v>
      </c>
      <c r="BJ13" s="9">
        <f>IF(預測IC!BJ15&gt;預測IC!BJ$27,1,0)</f>
        <v>1</v>
      </c>
      <c r="BK13" s="9">
        <f>IF(預測IC!BK15&gt;預測IC!BK$27,1,0)</f>
        <v>0</v>
      </c>
      <c r="BL13" s="9">
        <f>IF(預測IC!BL15&gt;預測IC!BL$27,1,0)</f>
        <v>0</v>
      </c>
      <c r="BM13" s="9">
        <f>IF(預測IC!BM15&gt;預測IC!BM$27,1,0)</f>
        <v>0</v>
      </c>
      <c r="BN13" s="9">
        <f>IF(預測IC!BN15&gt;預測IC!BN$27,1,0)</f>
        <v>0</v>
      </c>
      <c r="BO13" s="9">
        <f>IF(預測IC!BO15&gt;預測IC!BO$27,1,0)</f>
        <v>1</v>
      </c>
      <c r="BP13" s="9">
        <f>IF(預測IC!BP15&gt;預測IC!BP$27,1,0)</f>
        <v>0</v>
      </c>
      <c r="BQ13" s="9">
        <f>IF(預測IC!BQ15&gt;預測IC!BQ$27,1,0)</f>
        <v>0</v>
      </c>
      <c r="BR13" s="9">
        <f>IF(預測IC!BR15&gt;預測IC!BR$27,1,0)</f>
        <v>1</v>
      </c>
      <c r="BS13" s="9">
        <f>IF(預測IC!BS15&gt;預測IC!BS$27,1,0)</f>
        <v>0</v>
      </c>
      <c r="BT13" s="9">
        <f>IF(預測IC!BT15&gt;預測IC!BT$27,1,0)</f>
        <v>1</v>
      </c>
      <c r="BU13" s="9">
        <f>IF(預測IC!BU15&gt;預測IC!BU$27,1,0)</f>
        <v>0</v>
      </c>
      <c r="BV13" s="9">
        <f>IF(預測IC!BV15&gt;預測IC!BV$27,1,0)</f>
        <v>0</v>
      </c>
      <c r="BW13" s="9">
        <f>IF(預測IC!BW15&gt;預測IC!BW$27,1,0)</f>
        <v>1</v>
      </c>
      <c r="BX13" s="9">
        <f>IF(預測IC!BX15&gt;預測IC!BX$27,1,0)</f>
        <v>1</v>
      </c>
      <c r="BY13" s="9">
        <f>IF(預測IC!BY15&gt;預測IC!BY$27,1,0)</f>
        <v>1</v>
      </c>
      <c r="BZ13" s="9">
        <f>IF(預測IC!BZ15&gt;預測IC!BZ$27,1,0)</f>
        <v>0</v>
      </c>
      <c r="CA13" s="9">
        <f>IF(預測IC!CA15&gt;預測IC!CA$27,1,0)</f>
        <v>0</v>
      </c>
      <c r="CB13" s="9">
        <f>IF(預測IC!CB15&gt;預測IC!CB$27,1,0)</f>
        <v>0</v>
      </c>
      <c r="CC13" s="9">
        <f>IF(預測IC!CC15&gt;預測IC!CC$27,1,0)</f>
        <v>0</v>
      </c>
      <c r="CD13" s="9">
        <f>IF(預測IC!CD15&gt;預測IC!CD$27,1,0)</f>
        <v>0</v>
      </c>
      <c r="CE13" s="9">
        <f>IF(預測IC!CE15&gt;預測IC!CE$27,1,0)</f>
        <v>1</v>
      </c>
      <c r="CF13" s="9">
        <f>IF(預測IC!CF15&gt;預測IC!CF$27,1,0)</f>
        <v>1</v>
      </c>
      <c r="CG13" s="9">
        <f>IF(預測IC!CG15&gt;預測IC!CG$27,1,0)</f>
        <v>0</v>
      </c>
      <c r="CH13" s="9">
        <f>IF(預測IC!CH15&gt;預測IC!CH$27,1,0)</f>
        <v>0</v>
      </c>
      <c r="CI13" s="9">
        <f>IF(預測IC!CI15&gt;預測IC!CI$27,1,0)</f>
        <v>0</v>
      </c>
      <c r="CJ13" s="9">
        <f>IF(預測IC!CJ15&gt;預測IC!CJ$27,1,0)</f>
        <v>0</v>
      </c>
      <c r="CK13" s="9">
        <f>IF(預測IC!CK15&gt;預測IC!CK$27,1,0)</f>
        <v>0</v>
      </c>
      <c r="CL13" s="9">
        <f>IF(預測IC!CL15&gt;預測IC!CL$27,1,0)</f>
        <v>0</v>
      </c>
      <c r="CM13" s="9">
        <f>IF(預測IC!CM15&gt;預測IC!CM$27,1,0)</f>
        <v>1</v>
      </c>
      <c r="CN13" s="9">
        <f>IF(預測IC!CN15&gt;預測IC!CN$27,1,0)</f>
        <v>0</v>
      </c>
      <c r="CO13" s="9">
        <f>IF(預測IC!CO15&gt;預測IC!CO$27,1,0)</f>
        <v>0</v>
      </c>
      <c r="CP13" s="9">
        <f>IF(預測IC!CP15&gt;預測IC!CP$27,1,0)</f>
        <v>0</v>
      </c>
      <c r="CQ13" s="9">
        <f>IF(預測IC!CQ15&gt;預測IC!CQ$27,1,0)</f>
        <v>1</v>
      </c>
      <c r="CR13" s="9">
        <f>IF(預測IC!CR15&gt;預測IC!CR$27,1,0)</f>
        <v>0</v>
      </c>
      <c r="CS13" s="9">
        <f>IF(預測IC!CS15&gt;預測IC!CS$27,1,0)</f>
        <v>0</v>
      </c>
      <c r="CT13" s="9">
        <f>IF(預測IC!CT15&gt;預測IC!CT$27,1,0)</f>
        <v>0</v>
      </c>
      <c r="CU13" s="9">
        <f>IF(預測IC!CU15&gt;預測IC!CU$27,1,0)</f>
        <v>0</v>
      </c>
      <c r="CV13" s="9">
        <f>IF(預測IC!CV15&gt;預測IC!CV$27,1,0)</f>
        <v>1</v>
      </c>
      <c r="CW13" s="9">
        <f>IF(預測IC!CW15&gt;預測IC!CW$27,1,0)</f>
        <v>0</v>
      </c>
      <c r="CX13" s="9">
        <f>IF(預測IC!CX15&gt;預測IC!CX$27,1,0)</f>
        <v>1</v>
      </c>
      <c r="CY13" s="9">
        <f>IF(預測IC!CY15&gt;預測IC!CY$27,1,0)</f>
        <v>0</v>
      </c>
      <c r="CZ13" s="9">
        <f>IF(預測IC!CZ15&gt;預測IC!CZ$27,1,0)</f>
        <v>1</v>
      </c>
      <c r="DA13" s="9">
        <f>IF(預測IC!DA15&gt;預測IC!DA$27,1,0)</f>
        <v>1</v>
      </c>
      <c r="DB13" s="9">
        <f>IF(預測IC!DB15&gt;預測IC!DB$27,1,0)</f>
        <v>1</v>
      </c>
      <c r="DC13" s="9">
        <f>IF(預測IC!DC15&gt;預測IC!DC$27,1,0)</f>
        <v>1</v>
      </c>
      <c r="DD13" s="9">
        <f>IF(預測IC!DD15&gt;預測IC!DD$27,1,0)</f>
        <v>1</v>
      </c>
      <c r="DE13" s="9">
        <f>IF(預測IC!DE15&gt;預測IC!DE$27,1,0)</f>
        <v>0</v>
      </c>
      <c r="DF13" s="9">
        <f>IF(預測IC!DF15&gt;預測IC!DF$27,1,0)</f>
        <v>1</v>
      </c>
      <c r="DG13" s="9">
        <f>IF(預測IC!DG15&gt;預測IC!DG$27,1,0)</f>
        <v>0</v>
      </c>
      <c r="DH13" s="9">
        <f>IF(預測IC!DH15&gt;預測IC!DH$27,1,0)</f>
        <v>1</v>
      </c>
      <c r="DI13" s="9">
        <f>IF(預測IC!DI15&gt;預測IC!DI$27,1,0)</f>
        <v>0</v>
      </c>
      <c r="DJ13" s="9">
        <f>IF(預測IC!DJ15&gt;預測IC!DJ$27,1,0)</f>
        <v>1</v>
      </c>
      <c r="DK13" s="9">
        <f>IF(預測IC!DK15&gt;預測IC!DK$27,1,0)</f>
        <v>0</v>
      </c>
      <c r="DL13" s="9">
        <f>IF(預測IC!DL15&gt;預測IC!DL$27,1,0)</f>
        <v>1</v>
      </c>
      <c r="DM13" s="9">
        <f>IF(預測IC!DM15&gt;預測IC!DM$27,1,0)</f>
        <v>1</v>
      </c>
      <c r="DN13" s="9">
        <f>IF(預測IC!DN15&gt;預測IC!DN$27,1,0)</f>
        <v>1</v>
      </c>
      <c r="DO13" s="9">
        <f>IF(預測IC!DO15&gt;預測IC!DO$27,1,0)</f>
        <v>1</v>
      </c>
      <c r="DP13" s="9">
        <f>IF(預測IC!DP15&gt;預測IC!DP$27,1,0)</f>
        <v>1</v>
      </c>
      <c r="DQ13" s="9">
        <f>IF(預測IC!DQ15&gt;預測IC!DQ$27,1,0)</f>
        <v>0</v>
      </c>
      <c r="DR13" s="9">
        <f>IF(預測IC!DR15&gt;預測IC!DR$27,1,0)</f>
        <v>1</v>
      </c>
      <c r="DS13" s="9">
        <f>IF(預測IC!DS15&gt;預測IC!DS$27,1,0)</f>
        <v>1</v>
      </c>
      <c r="DT13" s="9">
        <f>IF(預測IC!DT15&gt;預測IC!DT$27,1,0)</f>
        <v>0</v>
      </c>
      <c r="DU13" s="9">
        <f>IF(預測IC!DU15&gt;預測IC!DU$27,1,0)</f>
        <v>0</v>
      </c>
      <c r="DV13" s="9">
        <f>IF(預測IC!DV15&gt;預測IC!DV$27,1,0)</f>
        <v>0</v>
      </c>
      <c r="DW13" s="9">
        <f>IF(預測IC!DW15&gt;預測IC!DW$27,1,0)</f>
        <v>0</v>
      </c>
      <c r="DX13" s="9">
        <f>IF(預測IC!DX15&gt;預測IC!DX$27,1,0)</f>
        <v>0</v>
      </c>
      <c r="DY13" s="9">
        <f>IF(預測IC!DY15&gt;預測IC!DY$27,1,0)</f>
        <v>1</v>
      </c>
      <c r="DZ13" s="9">
        <f>IF(預測IC!DZ15&gt;預測IC!DZ$27,1,0)</f>
        <v>1</v>
      </c>
      <c r="EA13" s="9">
        <f>IF(預測IC!EA15&gt;預測IC!EA$27,1,0)</f>
        <v>0</v>
      </c>
      <c r="EB13" s="9">
        <f>IF(預測IC!EB15&gt;預測IC!EB$27,1,0)</f>
        <v>1</v>
      </c>
      <c r="EC13" s="9">
        <f>IF(預測IC!EC15&gt;預測IC!EC$27,1,0)</f>
        <v>0</v>
      </c>
      <c r="ED13" s="9">
        <f>IF(預測IC!ED15&gt;預測IC!ED$27,1,0)</f>
        <v>0</v>
      </c>
      <c r="EE13" s="9">
        <f>IF(預測IC!EE15&gt;預測IC!EE$27,1,0)</f>
        <v>0</v>
      </c>
      <c r="EF13" s="9">
        <f>IF(預測IC!EF15&gt;預測IC!EF$27,1,0)</f>
        <v>1</v>
      </c>
      <c r="EG13" s="1">
        <f t="shared" si="0"/>
        <v>60</v>
      </c>
      <c r="EH13" s="2">
        <f t="shared" si="1"/>
        <v>0.44776119402985076</v>
      </c>
    </row>
    <row r="14" spans="1:138" ht="16" customHeight="1">
      <c r="A14" s="6">
        <v>50</v>
      </c>
      <c r="B14" s="6">
        <v>19</v>
      </c>
      <c r="C14" s="9">
        <f>IF(預測IC!C16&gt;預測IC!C$27,1,0)</f>
        <v>1</v>
      </c>
      <c r="D14" s="9">
        <f>IF(預測IC!D16&gt;預測IC!D$27,1,0)</f>
        <v>1</v>
      </c>
      <c r="E14" s="9">
        <f>IF(預測IC!E16&gt;預測IC!E$27,1,0)</f>
        <v>0</v>
      </c>
      <c r="F14" s="9">
        <f>IF(預測IC!F16&gt;預測IC!F$27,1,0)</f>
        <v>1</v>
      </c>
      <c r="G14" s="9">
        <f>IF(預測IC!G16&gt;預測IC!G$27,1,0)</f>
        <v>0</v>
      </c>
      <c r="H14" s="9">
        <f>IF(預測IC!H16&gt;預測IC!H$27,1,0)</f>
        <v>0</v>
      </c>
      <c r="I14" s="9">
        <f>IF(預測IC!I16&gt;預測IC!I$27,1,0)</f>
        <v>0</v>
      </c>
      <c r="J14" s="9">
        <f>IF(預測IC!J16&gt;預測IC!J$27,1,0)</f>
        <v>0</v>
      </c>
      <c r="K14" s="9">
        <f>IF(預測IC!K16&gt;預測IC!K$27,1,0)</f>
        <v>1</v>
      </c>
      <c r="L14" s="9">
        <f>IF(預測IC!L16&gt;預測IC!L$27,1,0)</f>
        <v>1</v>
      </c>
      <c r="M14" s="9">
        <f>IF(預測IC!M16&gt;預測IC!M$27,1,0)</f>
        <v>0</v>
      </c>
      <c r="N14" s="9">
        <f>IF(預測IC!N16&gt;預測IC!N$27,1,0)</f>
        <v>0</v>
      </c>
      <c r="O14" s="9">
        <f>IF(預測IC!O16&gt;預測IC!O$27,1,0)</f>
        <v>0</v>
      </c>
      <c r="P14" s="9">
        <f>IF(預測IC!P16&gt;預測IC!P$27,1,0)</f>
        <v>0</v>
      </c>
      <c r="Q14" s="9">
        <f>IF(預測IC!Q16&gt;預測IC!Q$27,1,0)</f>
        <v>1</v>
      </c>
      <c r="R14" s="9">
        <f>IF(預測IC!R16&gt;預測IC!R$27,1,0)</f>
        <v>0</v>
      </c>
      <c r="S14" s="9">
        <f>IF(預測IC!S16&gt;預測IC!S$27,1,0)</f>
        <v>0</v>
      </c>
      <c r="T14" s="9">
        <f>IF(預測IC!T16&gt;預測IC!T$27,1,0)</f>
        <v>0</v>
      </c>
      <c r="U14" s="9">
        <f>IF(預測IC!U16&gt;預測IC!U$27,1,0)</f>
        <v>1</v>
      </c>
      <c r="V14" s="9">
        <f>IF(預測IC!V16&gt;預測IC!V$27,1,0)</f>
        <v>1</v>
      </c>
      <c r="W14" s="9">
        <f>IF(預測IC!W16&gt;預測IC!W$27,1,0)</f>
        <v>1</v>
      </c>
      <c r="X14" s="9">
        <f>IF(預測IC!X16&gt;預測IC!X$27,1,0)</f>
        <v>1</v>
      </c>
      <c r="Y14" s="9">
        <f>IF(預測IC!Y16&gt;預測IC!Y$27,1,0)</f>
        <v>0</v>
      </c>
      <c r="Z14" s="9">
        <f>IF(預測IC!Z16&gt;預測IC!Z$27,1,0)</f>
        <v>1</v>
      </c>
      <c r="AA14" s="9">
        <f>IF(預測IC!AA16&gt;預測IC!AA$27,1,0)</f>
        <v>0</v>
      </c>
      <c r="AB14" s="9">
        <f>IF(預測IC!AB16&gt;預測IC!AB$27,1,0)</f>
        <v>0</v>
      </c>
      <c r="AC14" s="9">
        <f>IF(預測IC!AC16&gt;預測IC!AC$27,1,0)</f>
        <v>1</v>
      </c>
      <c r="AD14" s="9">
        <f>IF(預測IC!AD16&gt;預測IC!AD$27,1,0)</f>
        <v>1</v>
      </c>
      <c r="AE14" s="9">
        <f>IF(預測IC!AE16&gt;預測IC!AE$27,1,0)</f>
        <v>0</v>
      </c>
      <c r="AF14" s="9">
        <f>IF(預測IC!AF16&gt;預測IC!AF$27,1,0)</f>
        <v>1</v>
      </c>
      <c r="AG14" s="9">
        <f>IF(預測IC!AG16&gt;預測IC!AG$27,1,0)</f>
        <v>0</v>
      </c>
      <c r="AH14" s="9">
        <f>IF(預測IC!AH16&gt;預測IC!AH$27,1,0)</f>
        <v>1</v>
      </c>
      <c r="AI14" s="9">
        <f>IF(預測IC!AI16&gt;預測IC!AI$27,1,0)</f>
        <v>1</v>
      </c>
      <c r="AJ14" s="9">
        <f>IF(預測IC!AJ16&gt;預測IC!AJ$27,1,0)</f>
        <v>0</v>
      </c>
      <c r="AK14" s="9">
        <f>IF(預測IC!AK16&gt;預測IC!AK$27,1,0)</f>
        <v>1</v>
      </c>
      <c r="AL14" s="9">
        <f>IF(預測IC!AL16&gt;預測IC!AL$27,1,0)</f>
        <v>0</v>
      </c>
      <c r="AM14" s="9">
        <f>IF(預測IC!AM16&gt;預測IC!AM$27,1,0)</f>
        <v>0</v>
      </c>
      <c r="AN14" s="9">
        <f>IF(預測IC!AN16&gt;預測IC!AN$27,1,0)</f>
        <v>1</v>
      </c>
      <c r="AO14" s="9">
        <f>IF(預測IC!AO16&gt;預測IC!AO$27,1,0)</f>
        <v>1</v>
      </c>
      <c r="AP14" s="9">
        <f>IF(預測IC!AP16&gt;預測IC!AP$27,1,0)</f>
        <v>1</v>
      </c>
      <c r="AQ14" s="9">
        <f>IF(預測IC!AQ16&gt;預測IC!AQ$27,1,0)</f>
        <v>0</v>
      </c>
      <c r="AR14" s="9">
        <f>IF(預測IC!AR16&gt;預測IC!AR$27,1,0)</f>
        <v>0</v>
      </c>
      <c r="AS14" s="9">
        <f>IF(預測IC!AS16&gt;預測IC!AS$27,1,0)</f>
        <v>1</v>
      </c>
      <c r="AT14" s="9">
        <f>IF(預測IC!AT16&gt;預測IC!AT$27,1,0)</f>
        <v>1</v>
      </c>
      <c r="AU14" s="9">
        <f>IF(預測IC!AU16&gt;預測IC!AU$27,1,0)</f>
        <v>1</v>
      </c>
      <c r="AV14" s="9">
        <f>IF(預測IC!AV16&gt;預測IC!AV$27,1,0)</f>
        <v>0</v>
      </c>
      <c r="AW14" s="9">
        <f>IF(預測IC!AW16&gt;預測IC!AW$27,1,0)</f>
        <v>1</v>
      </c>
      <c r="AX14" s="9">
        <f>IF(預測IC!AX16&gt;預測IC!AX$27,1,0)</f>
        <v>0</v>
      </c>
      <c r="AY14" s="9">
        <f>IF(預測IC!AY16&gt;預測IC!AY$27,1,0)</f>
        <v>0</v>
      </c>
      <c r="AZ14" s="9">
        <f>IF(預測IC!AZ16&gt;預測IC!AZ$27,1,0)</f>
        <v>1</v>
      </c>
      <c r="BA14" s="9">
        <f>IF(預測IC!BA16&gt;預測IC!BA$27,1,0)</f>
        <v>1</v>
      </c>
      <c r="BB14" s="9">
        <f>IF(預測IC!BB16&gt;預測IC!BB$27,1,0)</f>
        <v>0</v>
      </c>
      <c r="BC14" s="9">
        <f>IF(預測IC!BC16&gt;預測IC!BC$27,1,0)</f>
        <v>0</v>
      </c>
      <c r="BD14" s="9">
        <f>IF(預測IC!BD16&gt;預測IC!BD$27,1,0)</f>
        <v>1</v>
      </c>
      <c r="BE14" s="9">
        <f>IF(預測IC!BE16&gt;預測IC!BE$27,1,0)</f>
        <v>0</v>
      </c>
      <c r="BF14" s="9">
        <f>IF(預測IC!BF16&gt;預測IC!BF$27,1,0)</f>
        <v>0</v>
      </c>
      <c r="BG14" s="9">
        <f>IF(預測IC!BG16&gt;預測IC!BG$27,1,0)</f>
        <v>1</v>
      </c>
      <c r="BH14" s="9">
        <f>IF(預測IC!BH16&gt;預測IC!BH$27,1,0)</f>
        <v>1</v>
      </c>
      <c r="BI14" s="9">
        <f>IF(預測IC!BI16&gt;預測IC!BI$27,1,0)</f>
        <v>0</v>
      </c>
      <c r="BJ14" s="9">
        <f>IF(預測IC!BJ16&gt;預測IC!BJ$27,1,0)</f>
        <v>1</v>
      </c>
      <c r="BK14" s="9">
        <f>IF(預測IC!BK16&gt;預測IC!BK$27,1,0)</f>
        <v>0</v>
      </c>
      <c r="BL14" s="9">
        <f>IF(預測IC!BL16&gt;預測IC!BL$27,1,0)</f>
        <v>1</v>
      </c>
      <c r="BM14" s="9">
        <f>IF(預測IC!BM16&gt;預測IC!BM$27,1,0)</f>
        <v>0</v>
      </c>
      <c r="BN14" s="9">
        <f>IF(預測IC!BN16&gt;預測IC!BN$27,1,0)</f>
        <v>0</v>
      </c>
      <c r="BO14" s="9">
        <f>IF(預測IC!BO16&gt;預測IC!BO$27,1,0)</f>
        <v>1</v>
      </c>
      <c r="BP14" s="9">
        <f>IF(預測IC!BP16&gt;預測IC!BP$27,1,0)</f>
        <v>0</v>
      </c>
      <c r="BQ14" s="9">
        <f>IF(預測IC!BQ16&gt;預測IC!BQ$27,1,0)</f>
        <v>0</v>
      </c>
      <c r="BR14" s="9">
        <f>IF(預測IC!BR16&gt;預測IC!BR$27,1,0)</f>
        <v>0</v>
      </c>
      <c r="BS14" s="9">
        <f>IF(預測IC!BS16&gt;預測IC!BS$27,1,0)</f>
        <v>0</v>
      </c>
      <c r="BT14" s="9">
        <f>IF(預測IC!BT16&gt;預測IC!BT$27,1,0)</f>
        <v>0</v>
      </c>
      <c r="BU14" s="9">
        <f>IF(預測IC!BU16&gt;預測IC!BU$27,1,0)</f>
        <v>0</v>
      </c>
      <c r="BV14" s="9">
        <f>IF(預測IC!BV16&gt;預測IC!BV$27,1,0)</f>
        <v>1</v>
      </c>
      <c r="BW14" s="9">
        <f>IF(預測IC!BW16&gt;預測IC!BW$27,1,0)</f>
        <v>1</v>
      </c>
      <c r="BX14" s="9">
        <f>IF(預測IC!BX16&gt;預測IC!BX$27,1,0)</f>
        <v>1</v>
      </c>
      <c r="BY14" s="9">
        <f>IF(預測IC!BY16&gt;預測IC!BY$27,1,0)</f>
        <v>1</v>
      </c>
      <c r="BZ14" s="9">
        <f>IF(預測IC!BZ16&gt;預測IC!BZ$27,1,0)</f>
        <v>0</v>
      </c>
      <c r="CA14" s="9">
        <f>IF(預測IC!CA16&gt;預測IC!CA$27,1,0)</f>
        <v>0</v>
      </c>
      <c r="CB14" s="9">
        <f>IF(預測IC!CB16&gt;預測IC!CB$27,1,0)</f>
        <v>1</v>
      </c>
      <c r="CC14" s="9">
        <f>IF(預測IC!CC16&gt;預測IC!CC$27,1,0)</f>
        <v>0</v>
      </c>
      <c r="CD14" s="9">
        <f>IF(預測IC!CD16&gt;預測IC!CD$27,1,0)</f>
        <v>0</v>
      </c>
      <c r="CE14" s="9">
        <f>IF(預測IC!CE16&gt;預測IC!CE$27,1,0)</f>
        <v>0</v>
      </c>
      <c r="CF14" s="9">
        <f>IF(預測IC!CF16&gt;預測IC!CF$27,1,0)</f>
        <v>1</v>
      </c>
      <c r="CG14" s="9">
        <f>IF(預測IC!CG16&gt;預測IC!CG$27,1,0)</f>
        <v>0</v>
      </c>
      <c r="CH14" s="9">
        <f>IF(預測IC!CH16&gt;預測IC!CH$27,1,0)</f>
        <v>1</v>
      </c>
      <c r="CI14" s="9">
        <f>IF(預測IC!CI16&gt;預測IC!CI$27,1,0)</f>
        <v>0</v>
      </c>
      <c r="CJ14" s="9">
        <f>IF(預測IC!CJ16&gt;預測IC!CJ$27,1,0)</f>
        <v>0</v>
      </c>
      <c r="CK14" s="9">
        <f>IF(預測IC!CK16&gt;預測IC!CK$27,1,0)</f>
        <v>0</v>
      </c>
      <c r="CL14" s="9">
        <f>IF(預測IC!CL16&gt;預測IC!CL$27,1,0)</f>
        <v>0</v>
      </c>
      <c r="CM14" s="9">
        <f>IF(預測IC!CM16&gt;預測IC!CM$27,1,0)</f>
        <v>1</v>
      </c>
      <c r="CN14" s="9">
        <f>IF(預測IC!CN16&gt;預測IC!CN$27,1,0)</f>
        <v>1</v>
      </c>
      <c r="CO14" s="9">
        <f>IF(預測IC!CO16&gt;預測IC!CO$27,1,0)</f>
        <v>0</v>
      </c>
      <c r="CP14" s="9">
        <f>IF(預測IC!CP16&gt;預測IC!CP$27,1,0)</f>
        <v>1</v>
      </c>
      <c r="CQ14" s="9">
        <f>IF(預測IC!CQ16&gt;預測IC!CQ$27,1,0)</f>
        <v>1</v>
      </c>
      <c r="CR14" s="9">
        <f>IF(預測IC!CR16&gt;預測IC!CR$27,1,0)</f>
        <v>1</v>
      </c>
      <c r="CS14" s="9">
        <f>IF(預測IC!CS16&gt;預測IC!CS$27,1,0)</f>
        <v>0</v>
      </c>
      <c r="CT14" s="9">
        <f>IF(預測IC!CT16&gt;預測IC!CT$27,1,0)</f>
        <v>0</v>
      </c>
      <c r="CU14" s="9">
        <f>IF(預測IC!CU16&gt;預測IC!CU$27,1,0)</f>
        <v>0</v>
      </c>
      <c r="CV14" s="9">
        <f>IF(預測IC!CV16&gt;預測IC!CV$27,1,0)</f>
        <v>1</v>
      </c>
      <c r="CW14" s="9">
        <f>IF(預測IC!CW16&gt;預測IC!CW$27,1,0)</f>
        <v>0</v>
      </c>
      <c r="CX14" s="9">
        <f>IF(預測IC!CX16&gt;預測IC!CX$27,1,0)</f>
        <v>1</v>
      </c>
      <c r="CY14" s="9">
        <f>IF(預測IC!CY16&gt;預測IC!CY$27,1,0)</f>
        <v>0</v>
      </c>
      <c r="CZ14" s="9">
        <f>IF(預測IC!CZ16&gt;預測IC!CZ$27,1,0)</f>
        <v>1</v>
      </c>
      <c r="DA14" s="9">
        <f>IF(預測IC!DA16&gt;預測IC!DA$27,1,0)</f>
        <v>1</v>
      </c>
      <c r="DB14" s="9">
        <f>IF(預測IC!DB16&gt;預測IC!DB$27,1,0)</f>
        <v>0</v>
      </c>
      <c r="DC14" s="9">
        <f>IF(預測IC!DC16&gt;預測IC!DC$27,1,0)</f>
        <v>1</v>
      </c>
      <c r="DD14" s="9">
        <f>IF(預測IC!DD16&gt;預測IC!DD$27,1,0)</f>
        <v>1</v>
      </c>
      <c r="DE14" s="9">
        <f>IF(預測IC!DE16&gt;預測IC!DE$27,1,0)</f>
        <v>0</v>
      </c>
      <c r="DF14" s="9">
        <f>IF(預測IC!DF16&gt;預測IC!DF$27,1,0)</f>
        <v>1</v>
      </c>
      <c r="DG14" s="9">
        <f>IF(預測IC!DG16&gt;預測IC!DG$27,1,0)</f>
        <v>0</v>
      </c>
      <c r="DH14" s="9">
        <f>IF(預測IC!DH16&gt;預測IC!DH$27,1,0)</f>
        <v>0</v>
      </c>
      <c r="DI14" s="9">
        <f>IF(預測IC!DI16&gt;預測IC!DI$27,1,0)</f>
        <v>0</v>
      </c>
      <c r="DJ14" s="9">
        <f>IF(預測IC!DJ16&gt;預測IC!DJ$27,1,0)</f>
        <v>1</v>
      </c>
      <c r="DK14" s="9">
        <f>IF(預測IC!DK16&gt;預測IC!DK$27,1,0)</f>
        <v>0</v>
      </c>
      <c r="DL14" s="9">
        <f>IF(預測IC!DL16&gt;預測IC!DL$27,1,0)</f>
        <v>1</v>
      </c>
      <c r="DM14" s="9">
        <f>IF(預測IC!DM16&gt;預測IC!DM$27,1,0)</f>
        <v>1</v>
      </c>
      <c r="DN14" s="9">
        <f>IF(預測IC!DN16&gt;預測IC!DN$27,1,0)</f>
        <v>1</v>
      </c>
      <c r="DO14" s="9">
        <f>IF(預測IC!DO16&gt;預測IC!DO$27,1,0)</f>
        <v>1</v>
      </c>
      <c r="DP14" s="9">
        <f>IF(預測IC!DP16&gt;預測IC!DP$27,1,0)</f>
        <v>1</v>
      </c>
      <c r="DQ14" s="9">
        <f>IF(預測IC!DQ16&gt;預測IC!DQ$27,1,0)</f>
        <v>0</v>
      </c>
      <c r="DR14" s="9">
        <f>IF(預測IC!DR16&gt;預測IC!DR$27,1,0)</f>
        <v>0</v>
      </c>
      <c r="DS14" s="9">
        <f>IF(預測IC!DS16&gt;預測IC!DS$27,1,0)</f>
        <v>1</v>
      </c>
      <c r="DT14" s="9">
        <f>IF(預測IC!DT16&gt;預測IC!DT$27,1,0)</f>
        <v>0</v>
      </c>
      <c r="DU14" s="9">
        <f>IF(預測IC!DU16&gt;預測IC!DU$27,1,0)</f>
        <v>0</v>
      </c>
      <c r="DV14" s="9">
        <f>IF(預測IC!DV16&gt;預測IC!DV$27,1,0)</f>
        <v>0</v>
      </c>
      <c r="DW14" s="9">
        <f>IF(預測IC!DW16&gt;預測IC!DW$27,1,0)</f>
        <v>0</v>
      </c>
      <c r="DX14" s="9">
        <f>IF(預測IC!DX16&gt;預測IC!DX$27,1,0)</f>
        <v>0</v>
      </c>
      <c r="DY14" s="9">
        <f>IF(預測IC!DY16&gt;預測IC!DY$27,1,0)</f>
        <v>1</v>
      </c>
      <c r="DZ14" s="9">
        <f>IF(預測IC!DZ16&gt;預測IC!DZ$27,1,0)</f>
        <v>1</v>
      </c>
      <c r="EA14" s="9">
        <f>IF(預測IC!EA16&gt;預測IC!EA$27,1,0)</f>
        <v>0</v>
      </c>
      <c r="EB14" s="9">
        <f>IF(預測IC!EB16&gt;預測IC!EB$27,1,0)</f>
        <v>1</v>
      </c>
      <c r="EC14" s="9">
        <f>IF(預測IC!EC16&gt;預測IC!EC$27,1,0)</f>
        <v>1</v>
      </c>
      <c r="ED14" s="9">
        <f>IF(預測IC!ED16&gt;預測IC!ED$27,1,0)</f>
        <v>0</v>
      </c>
      <c r="EE14" s="9">
        <f>IF(預測IC!EE16&gt;預測IC!EE$27,1,0)</f>
        <v>0</v>
      </c>
      <c r="EF14" s="9">
        <f>IF(預測IC!EF16&gt;預測IC!EF$27,1,0)</f>
        <v>1</v>
      </c>
      <c r="EG14" s="1">
        <f t="shared" si="0"/>
        <v>63</v>
      </c>
      <c r="EH14" s="2">
        <f t="shared" si="1"/>
        <v>0.47014925373134331</v>
      </c>
    </row>
    <row r="15" spans="1:138" ht="16" customHeight="1">
      <c r="A15" s="6">
        <v>100</v>
      </c>
      <c r="B15" s="6">
        <v>10</v>
      </c>
      <c r="C15" s="9">
        <f>IF(預測IC!C17&gt;預測IC!C$27,1,0)</f>
        <v>1</v>
      </c>
      <c r="D15" s="9">
        <f>IF(預測IC!D17&gt;預測IC!D$27,1,0)</f>
        <v>1</v>
      </c>
      <c r="E15" s="9">
        <f>IF(預測IC!E17&gt;預測IC!E$27,1,0)</f>
        <v>1</v>
      </c>
      <c r="F15" s="9">
        <f>IF(預測IC!F17&gt;預測IC!F$27,1,0)</f>
        <v>1</v>
      </c>
      <c r="G15" s="9">
        <f>IF(預測IC!G17&gt;預測IC!G$27,1,0)</f>
        <v>0</v>
      </c>
      <c r="H15" s="9">
        <f>IF(預測IC!H17&gt;預測IC!H$27,1,0)</f>
        <v>0</v>
      </c>
      <c r="I15" s="9">
        <f>IF(預測IC!I17&gt;預測IC!I$27,1,0)</f>
        <v>1</v>
      </c>
      <c r="J15" s="9">
        <f>IF(預測IC!J17&gt;預測IC!J$27,1,0)</f>
        <v>0</v>
      </c>
      <c r="K15" s="9">
        <f>IF(預測IC!K17&gt;預測IC!K$27,1,0)</f>
        <v>1</v>
      </c>
      <c r="L15" s="9">
        <f>IF(預測IC!L17&gt;預測IC!L$27,1,0)</f>
        <v>0</v>
      </c>
      <c r="M15" s="9">
        <f>IF(預測IC!M17&gt;預測IC!M$27,1,0)</f>
        <v>0</v>
      </c>
      <c r="N15" s="9">
        <f>IF(預測IC!N17&gt;預測IC!N$27,1,0)</f>
        <v>1</v>
      </c>
      <c r="O15" s="9">
        <f>IF(預測IC!O17&gt;預測IC!O$27,1,0)</f>
        <v>0</v>
      </c>
      <c r="P15" s="9">
        <f>IF(預測IC!P17&gt;預測IC!P$27,1,0)</f>
        <v>0</v>
      </c>
      <c r="Q15" s="9">
        <f>IF(預測IC!Q17&gt;預測IC!Q$27,1,0)</f>
        <v>1</v>
      </c>
      <c r="R15" s="9">
        <f>IF(預測IC!R17&gt;預測IC!R$27,1,0)</f>
        <v>0</v>
      </c>
      <c r="S15" s="9">
        <f>IF(預測IC!S17&gt;預測IC!S$27,1,0)</f>
        <v>0</v>
      </c>
      <c r="T15" s="9">
        <f>IF(預測IC!T17&gt;預測IC!T$27,1,0)</f>
        <v>0</v>
      </c>
      <c r="U15" s="9">
        <f>IF(預測IC!U17&gt;預測IC!U$27,1,0)</f>
        <v>0</v>
      </c>
      <c r="V15" s="9">
        <f>IF(預測IC!V17&gt;預測IC!V$27,1,0)</f>
        <v>1</v>
      </c>
      <c r="W15" s="9">
        <f>IF(預測IC!W17&gt;預測IC!W$27,1,0)</f>
        <v>1</v>
      </c>
      <c r="X15" s="9">
        <f>IF(預測IC!X17&gt;預測IC!X$27,1,0)</f>
        <v>1</v>
      </c>
      <c r="Y15" s="9">
        <f>IF(預測IC!Y17&gt;預測IC!Y$27,1,0)</f>
        <v>0</v>
      </c>
      <c r="Z15" s="9">
        <f>IF(預測IC!Z17&gt;預測IC!Z$27,1,0)</f>
        <v>1</v>
      </c>
      <c r="AA15" s="9">
        <f>IF(預測IC!AA17&gt;預測IC!AA$27,1,0)</f>
        <v>0</v>
      </c>
      <c r="AB15" s="9">
        <f>IF(預測IC!AB17&gt;預測IC!AB$27,1,0)</f>
        <v>0</v>
      </c>
      <c r="AC15" s="9">
        <f>IF(預測IC!AC17&gt;預測IC!AC$27,1,0)</f>
        <v>0</v>
      </c>
      <c r="AD15" s="9">
        <f>IF(預測IC!AD17&gt;預測IC!AD$27,1,0)</f>
        <v>1</v>
      </c>
      <c r="AE15" s="9">
        <f>IF(預測IC!AE17&gt;預測IC!AE$27,1,0)</f>
        <v>1</v>
      </c>
      <c r="AF15" s="9">
        <f>IF(預測IC!AF17&gt;預測IC!AF$27,1,0)</f>
        <v>1</v>
      </c>
      <c r="AG15" s="9">
        <f>IF(預測IC!AG17&gt;預測IC!AG$27,1,0)</f>
        <v>0</v>
      </c>
      <c r="AH15" s="9">
        <f>IF(預測IC!AH17&gt;預測IC!AH$27,1,0)</f>
        <v>1</v>
      </c>
      <c r="AI15" s="9">
        <f>IF(預測IC!AI17&gt;預測IC!AI$27,1,0)</f>
        <v>1</v>
      </c>
      <c r="AJ15" s="9">
        <f>IF(預測IC!AJ17&gt;預測IC!AJ$27,1,0)</f>
        <v>0</v>
      </c>
      <c r="AK15" s="9">
        <f>IF(預測IC!AK17&gt;預測IC!AK$27,1,0)</f>
        <v>0</v>
      </c>
      <c r="AL15" s="9">
        <f>IF(預測IC!AL17&gt;預測IC!AL$27,1,0)</f>
        <v>0</v>
      </c>
      <c r="AM15" s="9">
        <f>IF(預測IC!AM17&gt;預測IC!AM$27,1,0)</f>
        <v>0</v>
      </c>
      <c r="AN15" s="9">
        <f>IF(預測IC!AN17&gt;預測IC!AN$27,1,0)</f>
        <v>1</v>
      </c>
      <c r="AO15" s="9">
        <f>IF(預測IC!AO17&gt;預測IC!AO$27,1,0)</f>
        <v>1</v>
      </c>
      <c r="AP15" s="9">
        <f>IF(預測IC!AP17&gt;預測IC!AP$27,1,0)</f>
        <v>1</v>
      </c>
      <c r="AQ15" s="9">
        <f>IF(預測IC!AQ17&gt;預測IC!AQ$27,1,0)</f>
        <v>1</v>
      </c>
      <c r="AR15" s="9">
        <f>IF(預測IC!AR17&gt;預測IC!AR$27,1,0)</f>
        <v>0</v>
      </c>
      <c r="AS15" s="9">
        <f>IF(預測IC!AS17&gt;預測IC!AS$27,1,0)</f>
        <v>1</v>
      </c>
      <c r="AT15" s="9">
        <f>IF(預測IC!AT17&gt;預測IC!AT$27,1,0)</f>
        <v>1</v>
      </c>
      <c r="AU15" s="9">
        <f>IF(預測IC!AU17&gt;預測IC!AU$27,1,0)</f>
        <v>1</v>
      </c>
      <c r="AV15" s="9">
        <f>IF(預測IC!AV17&gt;預測IC!AV$27,1,0)</f>
        <v>1</v>
      </c>
      <c r="AW15" s="9">
        <f>IF(預測IC!AW17&gt;預測IC!AW$27,1,0)</f>
        <v>0</v>
      </c>
      <c r="AX15" s="9">
        <f>IF(預測IC!AX17&gt;預測IC!AX$27,1,0)</f>
        <v>0</v>
      </c>
      <c r="AY15" s="9">
        <f>IF(預測IC!AY17&gt;預測IC!AY$27,1,0)</f>
        <v>0</v>
      </c>
      <c r="AZ15" s="9">
        <f>IF(預測IC!AZ17&gt;預測IC!AZ$27,1,0)</f>
        <v>1</v>
      </c>
      <c r="BA15" s="9">
        <f>IF(預測IC!BA17&gt;預測IC!BA$27,1,0)</f>
        <v>1</v>
      </c>
      <c r="BB15" s="9">
        <f>IF(預測IC!BB17&gt;預測IC!BB$27,1,0)</f>
        <v>0</v>
      </c>
      <c r="BC15" s="9">
        <f>IF(預測IC!BC17&gt;預測IC!BC$27,1,0)</f>
        <v>0</v>
      </c>
      <c r="BD15" s="9">
        <f>IF(預測IC!BD17&gt;預測IC!BD$27,1,0)</f>
        <v>1</v>
      </c>
      <c r="BE15" s="9">
        <f>IF(預測IC!BE17&gt;預測IC!BE$27,1,0)</f>
        <v>0</v>
      </c>
      <c r="BF15" s="9">
        <f>IF(預測IC!BF17&gt;預測IC!BF$27,1,0)</f>
        <v>0</v>
      </c>
      <c r="BG15" s="9">
        <f>IF(預測IC!BG17&gt;預測IC!BG$27,1,0)</f>
        <v>1</v>
      </c>
      <c r="BH15" s="9">
        <f>IF(預測IC!BH17&gt;預測IC!BH$27,1,0)</f>
        <v>1</v>
      </c>
      <c r="BI15" s="9">
        <f>IF(預測IC!BI17&gt;預測IC!BI$27,1,0)</f>
        <v>0</v>
      </c>
      <c r="BJ15" s="9">
        <f>IF(預測IC!BJ17&gt;預測IC!BJ$27,1,0)</f>
        <v>1</v>
      </c>
      <c r="BK15" s="9">
        <f>IF(預測IC!BK17&gt;預測IC!BK$27,1,0)</f>
        <v>0</v>
      </c>
      <c r="BL15" s="9">
        <f>IF(預測IC!BL17&gt;預測IC!BL$27,1,0)</f>
        <v>1</v>
      </c>
      <c r="BM15" s="9">
        <f>IF(預測IC!BM17&gt;預測IC!BM$27,1,0)</f>
        <v>0</v>
      </c>
      <c r="BN15" s="9">
        <f>IF(預測IC!BN17&gt;預測IC!BN$27,1,0)</f>
        <v>0</v>
      </c>
      <c r="BO15" s="9">
        <f>IF(預測IC!BO17&gt;預測IC!BO$27,1,0)</f>
        <v>1</v>
      </c>
      <c r="BP15" s="9">
        <f>IF(預測IC!BP17&gt;預測IC!BP$27,1,0)</f>
        <v>0</v>
      </c>
      <c r="BQ15" s="9">
        <f>IF(預測IC!BQ17&gt;預測IC!BQ$27,1,0)</f>
        <v>0</v>
      </c>
      <c r="BR15" s="9">
        <f>IF(預測IC!BR17&gt;預測IC!BR$27,1,0)</f>
        <v>0</v>
      </c>
      <c r="BS15" s="9">
        <f>IF(預測IC!BS17&gt;預測IC!BS$27,1,0)</f>
        <v>0</v>
      </c>
      <c r="BT15" s="9">
        <f>IF(預測IC!BT17&gt;預測IC!BT$27,1,0)</f>
        <v>0</v>
      </c>
      <c r="BU15" s="9">
        <f>IF(預測IC!BU17&gt;預測IC!BU$27,1,0)</f>
        <v>0</v>
      </c>
      <c r="BV15" s="9">
        <f>IF(預測IC!BV17&gt;預測IC!BV$27,1,0)</f>
        <v>1</v>
      </c>
      <c r="BW15" s="9">
        <f>IF(預測IC!BW17&gt;預測IC!BW$27,1,0)</f>
        <v>1</v>
      </c>
      <c r="BX15" s="9">
        <f>IF(預測IC!BX17&gt;預測IC!BX$27,1,0)</f>
        <v>0</v>
      </c>
      <c r="BY15" s="9">
        <f>IF(預測IC!BY17&gt;預測IC!BY$27,1,0)</f>
        <v>1</v>
      </c>
      <c r="BZ15" s="9">
        <f>IF(預測IC!BZ17&gt;預測IC!BZ$27,1,0)</f>
        <v>0</v>
      </c>
      <c r="CA15" s="9">
        <f>IF(預測IC!CA17&gt;預測IC!CA$27,1,0)</f>
        <v>1</v>
      </c>
      <c r="CB15" s="9">
        <f>IF(預測IC!CB17&gt;預測IC!CB$27,1,0)</f>
        <v>1</v>
      </c>
      <c r="CC15" s="9">
        <f>IF(預測IC!CC17&gt;預測IC!CC$27,1,0)</f>
        <v>0</v>
      </c>
      <c r="CD15" s="9">
        <f>IF(預測IC!CD17&gt;預測IC!CD$27,1,0)</f>
        <v>1</v>
      </c>
      <c r="CE15" s="9">
        <f>IF(預測IC!CE17&gt;預測IC!CE$27,1,0)</f>
        <v>1</v>
      </c>
      <c r="CF15" s="9">
        <f>IF(預測IC!CF17&gt;預測IC!CF$27,1,0)</f>
        <v>1</v>
      </c>
      <c r="CG15" s="9">
        <f>IF(預測IC!CG17&gt;預測IC!CG$27,1,0)</f>
        <v>0</v>
      </c>
      <c r="CH15" s="9">
        <f>IF(預測IC!CH17&gt;預測IC!CH$27,1,0)</f>
        <v>0</v>
      </c>
      <c r="CI15" s="9">
        <f>IF(預測IC!CI17&gt;預測IC!CI$27,1,0)</f>
        <v>0</v>
      </c>
      <c r="CJ15" s="9">
        <f>IF(預測IC!CJ17&gt;預測IC!CJ$27,1,0)</f>
        <v>0</v>
      </c>
      <c r="CK15" s="9">
        <f>IF(預測IC!CK17&gt;預測IC!CK$27,1,0)</f>
        <v>0</v>
      </c>
      <c r="CL15" s="9">
        <f>IF(預測IC!CL17&gt;預測IC!CL$27,1,0)</f>
        <v>0</v>
      </c>
      <c r="CM15" s="9">
        <f>IF(預測IC!CM17&gt;預測IC!CM$27,1,0)</f>
        <v>1</v>
      </c>
      <c r="CN15" s="9">
        <f>IF(預測IC!CN17&gt;預測IC!CN$27,1,0)</f>
        <v>1</v>
      </c>
      <c r="CO15" s="9">
        <f>IF(預測IC!CO17&gt;預測IC!CO$27,1,0)</f>
        <v>0</v>
      </c>
      <c r="CP15" s="9">
        <f>IF(預測IC!CP17&gt;預測IC!CP$27,1,0)</f>
        <v>0</v>
      </c>
      <c r="CQ15" s="9">
        <f>IF(預測IC!CQ17&gt;預測IC!CQ$27,1,0)</f>
        <v>1</v>
      </c>
      <c r="CR15" s="9">
        <f>IF(預測IC!CR17&gt;預測IC!CR$27,1,0)</f>
        <v>1</v>
      </c>
      <c r="CS15" s="9">
        <f>IF(預測IC!CS17&gt;預測IC!CS$27,1,0)</f>
        <v>0</v>
      </c>
      <c r="CT15" s="9">
        <f>IF(預測IC!CT17&gt;預測IC!CT$27,1,0)</f>
        <v>0</v>
      </c>
      <c r="CU15" s="9">
        <f>IF(預測IC!CU17&gt;預測IC!CU$27,1,0)</f>
        <v>1</v>
      </c>
      <c r="CV15" s="9">
        <f>IF(預測IC!CV17&gt;預測IC!CV$27,1,0)</f>
        <v>1</v>
      </c>
      <c r="CW15" s="9">
        <f>IF(預測IC!CW17&gt;預測IC!CW$27,1,0)</f>
        <v>0</v>
      </c>
      <c r="CX15" s="9">
        <f>IF(預測IC!CX17&gt;預測IC!CX$27,1,0)</f>
        <v>1</v>
      </c>
      <c r="CY15" s="9">
        <f>IF(預測IC!CY17&gt;預測IC!CY$27,1,0)</f>
        <v>0</v>
      </c>
      <c r="CZ15" s="9">
        <f>IF(預測IC!CZ17&gt;預測IC!CZ$27,1,0)</f>
        <v>1</v>
      </c>
      <c r="DA15" s="9">
        <f>IF(預測IC!DA17&gt;預測IC!DA$27,1,0)</f>
        <v>1</v>
      </c>
      <c r="DB15" s="9">
        <f>IF(預測IC!DB17&gt;預測IC!DB$27,1,0)</f>
        <v>0</v>
      </c>
      <c r="DC15" s="9">
        <f>IF(預測IC!DC17&gt;預測IC!DC$27,1,0)</f>
        <v>1</v>
      </c>
      <c r="DD15" s="9">
        <f>IF(預測IC!DD17&gt;預測IC!DD$27,1,0)</f>
        <v>1</v>
      </c>
      <c r="DE15" s="9">
        <f>IF(預測IC!DE17&gt;預測IC!DE$27,1,0)</f>
        <v>0</v>
      </c>
      <c r="DF15" s="9">
        <f>IF(預測IC!DF17&gt;預測IC!DF$27,1,0)</f>
        <v>1</v>
      </c>
      <c r="DG15" s="9">
        <f>IF(預測IC!DG17&gt;預測IC!DG$27,1,0)</f>
        <v>0</v>
      </c>
      <c r="DH15" s="9">
        <f>IF(預測IC!DH17&gt;預測IC!DH$27,1,0)</f>
        <v>0</v>
      </c>
      <c r="DI15" s="9">
        <f>IF(預測IC!DI17&gt;預測IC!DI$27,1,0)</f>
        <v>0</v>
      </c>
      <c r="DJ15" s="9">
        <f>IF(預測IC!DJ17&gt;預測IC!DJ$27,1,0)</f>
        <v>1</v>
      </c>
      <c r="DK15" s="9">
        <f>IF(預測IC!DK17&gt;預測IC!DK$27,1,0)</f>
        <v>0</v>
      </c>
      <c r="DL15" s="9">
        <f>IF(預測IC!DL17&gt;預測IC!DL$27,1,0)</f>
        <v>1</v>
      </c>
      <c r="DM15" s="9">
        <f>IF(預測IC!DM17&gt;預測IC!DM$27,1,0)</f>
        <v>1</v>
      </c>
      <c r="DN15" s="9">
        <f>IF(預測IC!DN17&gt;預測IC!DN$27,1,0)</f>
        <v>1</v>
      </c>
      <c r="DO15" s="9">
        <f>IF(預測IC!DO17&gt;預測IC!DO$27,1,0)</f>
        <v>1</v>
      </c>
      <c r="DP15" s="9">
        <f>IF(預測IC!DP17&gt;預測IC!DP$27,1,0)</f>
        <v>1</v>
      </c>
      <c r="DQ15" s="9">
        <f>IF(預測IC!DQ17&gt;預測IC!DQ$27,1,0)</f>
        <v>0</v>
      </c>
      <c r="DR15" s="9">
        <f>IF(預測IC!DR17&gt;預測IC!DR$27,1,0)</f>
        <v>0</v>
      </c>
      <c r="DS15" s="9">
        <f>IF(預測IC!DS17&gt;預測IC!DS$27,1,0)</f>
        <v>1</v>
      </c>
      <c r="DT15" s="9">
        <f>IF(預測IC!DT17&gt;預測IC!DT$27,1,0)</f>
        <v>0</v>
      </c>
      <c r="DU15" s="9">
        <f>IF(預測IC!DU17&gt;預測IC!DU$27,1,0)</f>
        <v>0</v>
      </c>
      <c r="DV15" s="9">
        <f>IF(預測IC!DV17&gt;預測IC!DV$27,1,0)</f>
        <v>1</v>
      </c>
      <c r="DW15" s="9">
        <f>IF(預測IC!DW17&gt;預測IC!DW$27,1,0)</f>
        <v>0</v>
      </c>
      <c r="DX15" s="9">
        <f>IF(預測IC!DX17&gt;預測IC!DX$27,1,0)</f>
        <v>0</v>
      </c>
      <c r="DY15" s="9">
        <f>IF(預測IC!DY17&gt;預測IC!DY$27,1,0)</f>
        <v>1</v>
      </c>
      <c r="DZ15" s="9">
        <f>IF(預測IC!DZ17&gt;預測IC!DZ$27,1,0)</f>
        <v>1</v>
      </c>
      <c r="EA15" s="9">
        <f>IF(預測IC!EA17&gt;預測IC!EA$27,1,0)</f>
        <v>1</v>
      </c>
      <c r="EB15" s="9">
        <f>IF(預測IC!EB17&gt;預測IC!EB$27,1,0)</f>
        <v>1</v>
      </c>
      <c r="EC15" s="9">
        <f>IF(預測IC!EC17&gt;預測IC!EC$27,1,0)</f>
        <v>1</v>
      </c>
      <c r="ED15" s="9">
        <f>IF(預測IC!ED17&gt;預測IC!ED$27,1,0)</f>
        <v>0</v>
      </c>
      <c r="EE15" s="9">
        <f>IF(預測IC!EE17&gt;預測IC!EE$27,1,0)</f>
        <v>1</v>
      </c>
      <c r="EF15" s="9">
        <f>IF(預測IC!EF17&gt;預測IC!EF$27,1,0)</f>
        <v>1</v>
      </c>
      <c r="EG15" s="1">
        <f t="shared" si="0"/>
        <v>68</v>
      </c>
      <c r="EH15" s="47">
        <f t="shared" si="1"/>
        <v>0.5074626865671642</v>
      </c>
    </row>
    <row r="16" spans="1:138" ht="16" customHeight="1">
      <c r="A16" s="6">
        <v>107</v>
      </c>
      <c r="B16" s="6">
        <v>9</v>
      </c>
      <c r="C16" s="9">
        <f>IF(預測IC!C18&gt;預測IC!C$27,1,0)</f>
        <v>1</v>
      </c>
      <c r="D16" s="9">
        <f>IF(預測IC!D18&gt;預測IC!D$27,1,0)</f>
        <v>1</v>
      </c>
      <c r="E16" s="9">
        <f>IF(預測IC!E18&gt;預測IC!E$27,1,0)</f>
        <v>1</v>
      </c>
      <c r="F16" s="9">
        <f>IF(預測IC!F18&gt;預測IC!F$27,1,0)</f>
        <v>1</v>
      </c>
      <c r="G16" s="9">
        <f>IF(預測IC!G18&gt;預測IC!G$27,1,0)</f>
        <v>0</v>
      </c>
      <c r="H16" s="9">
        <f>IF(預測IC!H18&gt;預測IC!H$27,1,0)</f>
        <v>1</v>
      </c>
      <c r="I16" s="9">
        <f>IF(預測IC!I18&gt;預測IC!I$27,1,0)</f>
        <v>0</v>
      </c>
      <c r="J16" s="9">
        <f>IF(預測IC!J18&gt;預測IC!J$27,1,0)</f>
        <v>0</v>
      </c>
      <c r="K16" s="9">
        <f>IF(預測IC!K18&gt;預測IC!K$27,1,0)</f>
        <v>1</v>
      </c>
      <c r="L16" s="9">
        <f>IF(預測IC!L18&gt;預測IC!L$27,1,0)</f>
        <v>0</v>
      </c>
      <c r="M16" s="9">
        <f>IF(預測IC!M18&gt;預測IC!M$27,1,0)</f>
        <v>1</v>
      </c>
      <c r="N16" s="9">
        <f>IF(預測IC!N18&gt;預測IC!N$27,1,0)</f>
        <v>1</v>
      </c>
      <c r="O16" s="9">
        <f>IF(預測IC!O18&gt;預測IC!O$27,1,0)</f>
        <v>0</v>
      </c>
      <c r="P16" s="9">
        <f>IF(預測IC!P18&gt;預測IC!P$27,1,0)</f>
        <v>0</v>
      </c>
      <c r="Q16" s="9">
        <f>IF(預測IC!Q18&gt;預測IC!Q$27,1,0)</f>
        <v>1</v>
      </c>
      <c r="R16" s="9">
        <f>IF(預測IC!R18&gt;預測IC!R$27,1,0)</f>
        <v>0</v>
      </c>
      <c r="S16" s="9">
        <f>IF(預測IC!S18&gt;預測IC!S$27,1,0)</f>
        <v>0</v>
      </c>
      <c r="T16" s="9">
        <f>IF(預測IC!T18&gt;預測IC!T$27,1,0)</f>
        <v>0</v>
      </c>
      <c r="U16" s="9">
        <f>IF(預測IC!U18&gt;預測IC!U$27,1,0)</f>
        <v>0</v>
      </c>
      <c r="V16" s="9">
        <f>IF(預測IC!V18&gt;預測IC!V$27,1,0)</f>
        <v>1</v>
      </c>
      <c r="W16" s="9">
        <f>IF(預測IC!W18&gt;預測IC!W$27,1,0)</f>
        <v>1</v>
      </c>
      <c r="X16" s="9">
        <f>IF(預測IC!X18&gt;預測IC!X$27,1,0)</f>
        <v>1</v>
      </c>
      <c r="Y16" s="9">
        <f>IF(預測IC!Y18&gt;預測IC!Y$27,1,0)</f>
        <v>0</v>
      </c>
      <c r="Z16" s="9">
        <f>IF(預測IC!Z18&gt;預測IC!Z$27,1,0)</f>
        <v>1</v>
      </c>
      <c r="AA16" s="9">
        <f>IF(預測IC!AA18&gt;預測IC!AA$27,1,0)</f>
        <v>0</v>
      </c>
      <c r="AB16" s="9">
        <f>IF(預測IC!AB18&gt;預測IC!AB$27,1,0)</f>
        <v>0</v>
      </c>
      <c r="AC16" s="9">
        <f>IF(預測IC!AC18&gt;預測IC!AC$27,1,0)</f>
        <v>0</v>
      </c>
      <c r="AD16" s="9">
        <f>IF(預測IC!AD18&gt;預測IC!AD$27,1,0)</f>
        <v>1</v>
      </c>
      <c r="AE16" s="9">
        <f>IF(預測IC!AE18&gt;預測IC!AE$27,1,0)</f>
        <v>1</v>
      </c>
      <c r="AF16" s="9">
        <f>IF(預測IC!AF18&gt;預測IC!AF$27,1,0)</f>
        <v>1</v>
      </c>
      <c r="AG16" s="9">
        <f>IF(預測IC!AG18&gt;預測IC!AG$27,1,0)</f>
        <v>1</v>
      </c>
      <c r="AH16" s="9">
        <f>IF(預測IC!AH18&gt;預測IC!AH$27,1,0)</f>
        <v>1</v>
      </c>
      <c r="AI16" s="9">
        <f>IF(預測IC!AI18&gt;預測IC!AI$27,1,0)</f>
        <v>1</v>
      </c>
      <c r="AJ16" s="9">
        <f>IF(預測IC!AJ18&gt;預測IC!AJ$27,1,0)</f>
        <v>0</v>
      </c>
      <c r="AK16" s="9">
        <f>IF(預測IC!AK18&gt;預測IC!AK$27,1,0)</f>
        <v>0</v>
      </c>
      <c r="AL16" s="9">
        <f>IF(預測IC!AL18&gt;預測IC!AL$27,1,0)</f>
        <v>0</v>
      </c>
      <c r="AM16" s="9">
        <f>IF(預測IC!AM18&gt;預測IC!AM$27,1,0)</f>
        <v>0</v>
      </c>
      <c r="AN16" s="9">
        <f>IF(預測IC!AN18&gt;預測IC!AN$27,1,0)</f>
        <v>1</v>
      </c>
      <c r="AO16" s="9">
        <f>IF(預測IC!AO18&gt;預測IC!AO$27,1,0)</f>
        <v>1</v>
      </c>
      <c r="AP16" s="9">
        <f>IF(預測IC!AP18&gt;預測IC!AP$27,1,0)</f>
        <v>1</v>
      </c>
      <c r="AQ16" s="9">
        <f>IF(預測IC!AQ18&gt;預測IC!AQ$27,1,0)</f>
        <v>1</v>
      </c>
      <c r="AR16" s="9">
        <f>IF(預測IC!AR18&gt;預測IC!AR$27,1,0)</f>
        <v>0</v>
      </c>
      <c r="AS16" s="9">
        <f>IF(預測IC!AS18&gt;預測IC!AS$27,1,0)</f>
        <v>1</v>
      </c>
      <c r="AT16" s="9">
        <f>IF(預測IC!AT18&gt;預測IC!AT$27,1,0)</f>
        <v>1</v>
      </c>
      <c r="AU16" s="9">
        <f>IF(預測IC!AU18&gt;預測IC!AU$27,1,0)</f>
        <v>1</v>
      </c>
      <c r="AV16" s="9">
        <f>IF(預測IC!AV18&gt;預測IC!AV$27,1,0)</f>
        <v>1</v>
      </c>
      <c r="AW16" s="9">
        <f>IF(預測IC!AW18&gt;預測IC!AW$27,1,0)</f>
        <v>0</v>
      </c>
      <c r="AX16" s="9">
        <f>IF(預測IC!AX18&gt;預測IC!AX$27,1,0)</f>
        <v>0</v>
      </c>
      <c r="AY16" s="9">
        <f>IF(預測IC!AY18&gt;預測IC!AY$27,1,0)</f>
        <v>0</v>
      </c>
      <c r="AZ16" s="9">
        <f>IF(預測IC!AZ18&gt;預測IC!AZ$27,1,0)</f>
        <v>1</v>
      </c>
      <c r="BA16" s="9">
        <f>IF(預測IC!BA18&gt;預測IC!BA$27,1,0)</f>
        <v>1</v>
      </c>
      <c r="BB16" s="9">
        <f>IF(預測IC!BB18&gt;預測IC!BB$27,1,0)</f>
        <v>0</v>
      </c>
      <c r="BC16" s="9">
        <f>IF(預測IC!BC18&gt;預測IC!BC$27,1,0)</f>
        <v>0</v>
      </c>
      <c r="BD16" s="9">
        <f>IF(預測IC!BD18&gt;預測IC!BD$27,1,0)</f>
        <v>1</v>
      </c>
      <c r="BE16" s="9">
        <f>IF(預測IC!BE18&gt;預測IC!BE$27,1,0)</f>
        <v>0</v>
      </c>
      <c r="BF16" s="9">
        <f>IF(預測IC!BF18&gt;預測IC!BF$27,1,0)</f>
        <v>0</v>
      </c>
      <c r="BG16" s="9">
        <f>IF(預測IC!BG18&gt;預測IC!BG$27,1,0)</f>
        <v>1</v>
      </c>
      <c r="BH16" s="9">
        <f>IF(預測IC!BH18&gt;預測IC!BH$27,1,0)</f>
        <v>1</v>
      </c>
      <c r="BI16" s="9">
        <f>IF(預測IC!BI18&gt;預測IC!BI$27,1,0)</f>
        <v>0</v>
      </c>
      <c r="BJ16" s="9">
        <f>IF(預測IC!BJ18&gt;預測IC!BJ$27,1,0)</f>
        <v>1</v>
      </c>
      <c r="BK16" s="9">
        <f>IF(預測IC!BK18&gt;預測IC!BK$27,1,0)</f>
        <v>0</v>
      </c>
      <c r="BL16" s="9">
        <f>IF(預測IC!BL18&gt;預測IC!BL$27,1,0)</f>
        <v>1</v>
      </c>
      <c r="BM16" s="9">
        <f>IF(預測IC!BM18&gt;預測IC!BM$27,1,0)</f>
        <v>0</v>
      </c>
      <c r="BN16" s="9">
        <f>IF(預測IC!BN18&gt;預測IC!BN$27,1,0)</f>
        <v>0</v>
      </c>
      <c r="BO16" s="9">
        <f>IF(預測IC!BO18&gt;預測IC!BO$27,1,0)</f>
        <v>1</v>
      </c>
      <c r="BP16" s="9">
        <f>IF(預測IC!BP18&gt;預測IC!BP$27,1,0)</f>
        <v>0</v>
      </c>
      <c r="BQ16" s="9">
        <f>IF(預測IC!BQ18&gt;預測IC!BQ$27,1,0)</f>
        <v>0</v>
      </c>
      <c r="BR16" s="9">
        <f>IF(預測IC!BR18&gt;預測IC!BR$27,1,0)</f>
        <v>0</v>
      </c>
      <c r="BS16" s="9">
        <f>IF(預測IC!BS18&gt;預測IC!BS$27,1,0)</f>
        <v>0</v>
      </c>
      <c r="BT16" s="9">
        <f>IF(預測IC!BT18&gt;預測IC!BT$27,1,0)</f>
        <v>1</v>
      </c>
      <c r="BU16" s="9">
        <f>IF(預測IC!BU18&gt;預測IC!BU$27,1,0)</f>
        <v>0</v>
      </c>
      <c r="BV16" s="9">
        <f>IF(預測IC!BV18&gt;預測IC!BV$27,1,0)</f>
        <v>1</v>
      </c>
      <c r="BW16" s="9">
        <f>IF(預測IC!BW18&gt;預測IC!BW$27,1,0)</f>
        <v>1</v>
      </c>
      <c r="BX16" s="9">
        <f>IF(預測IC!BX18&gt;預測IC!BX$27,1,0)</f>
        <v>0</v>
      </c>
      <c r="BY16" s="9">
        <f>IF(預測IC!BY18&gt;預測IC!BY$27,1,0)</f>
        <v>1</v>
      </c>
      <c r="BZ16" s="9">
        <f>IF(預測IC!BZ18&gt;預測IC!BZ$27,1,0)</f>
        <v>0</v>
      </c>
      <c r="CA16" s="9">
        <f>IF(預測IC!CA18&gt;預測IC!CA$27,1,0)</f>
        <v>1</v>
      </c>
      <c r="CB16" s="9">
        <f>IF(預測IC!CB18&gt;預測IC!CB$27,1,0)</f>
        <v>1</v>
      </c>
      <c r="CC16" s="9">
        <f>IF(預測IC!CC18&gt;預測IC!CC$27,1,0)</f>
        <v>0</v>
      </c>
      <c r="CD16" s="9">
        <f>IF(預測IC!CD18&gt;預測IC!CD$27,1,0)</f>
        <v>1</v>
      </c>
      <c r="CE16" s="9">
        <f>IF(預測IC!CE18&gt;預測IC!CE$27,1,0)</f>
        <v>1</v>
      </c>
      <c r="CF16" s="9">
        <f>IF(預測IC!CF18&gt;預測IC!CF$27,1,0)</f>
        <v>1</v>
      </c>
      <c r="CG16" s="9">
        <f>IF(預測IC!CG18&gt;預測IC!CG$27,1,0)</f>
        <v>0</v>
      </c>
      <c r="CH16" s="9">
        <f>IF(預測IC!CH18&gt;預測IC!CH$27,1,0)</f>
        <v>0</v>
      </c>
      <c r="CI16" s="9">
        <f>IF(預測IC!CI18&gt;預測IC!CI$27,1,0)</f>
        <v>0</v>
      </c>
      <c r="CJ16" s="9">
        <f>IF(預測IC!CJ18&gt;預測IC!CJ$27,1,0)</f>
        <v>0</v>
      </c>
      <c r="CK16" s="9">
        <f>IF(預測IC!CK18&gt;預測IC!CK$27,1,0)</f>
        <v>0</v>
      </c>
      <c r="CL16" s="9">
        <f>IF(預測IC!CL18&gt;預測IC!CL$27,1,0)</f>
        <v>0</v>
      </c>
      <c r="CM16" s="9">
        <f>IF(預測IC!CM18&gt;預測IC!CM$27,1,0)</f>
        <v>1</v>
      </c>
      <c r="CN16" s="9">
        <f>IF(預測IC!CN18&gt;預測IC!CN$27,1,0)</f>
        <v>1</v>
      </c>
      <c r="CO16" s="9">
        <f>IF(預測IC!CO18&gt;預測IC!CO$27,1,0)</f>
        <v>0</v>
      </c>
      <c r="CP16" s="9">
        <f>IF(預測IC!CP18&gt;預測IC!CP$27,1,0)</f>
        <v>0</v>
      </c>
      <c r="CQ16" s="9">
        <f>IF(預測IC!CQ18&gt;預測IC!CQ$27,1,0)</f>
        <v>1</v>
      </c>
      <c r="CR16" s="9">
        <f>IF(預測IC!CR18&gt;預測IC!CR$27,1,0)</f>
        <v>0</v>
      </c>
      <c r="CS16" s="9">
        <f>IF(預測IC!CS18&gt;預測IC!CS$27,1,0)</f>
        <v>0</v>
      </c>
      <c r="CT16" s="9">
        <f>IF(預測IC!CT18&gt;預測IC!CT$27,1,0)</f>
        <v>0</v>
      </c>
      <c r="CU16" s="9">
        <f>IF(預測IC!CU18&gt;預測IC!CU$27,1,0)</f>
        <v>1</v>
      </c>
      <c r="CV16" s="9">
        <f>IF(預測IC!CV18&gt;預測IC!CV$27,1,0)</f>
        <v>1</v>
      </c>
      <c r="CW16" s="9">
        <f>IF(預測IC!CW18&gt;預測IC!CW$27,1,0)</f>
        <v>0</v>
      </c>
      <c r="CX16" s="9">
        <f>IF(預測IC!CX18&gt;預測IC!CX$27,1,0)</f>
        <v>1</v>
      </c>
      <c r="CY16" s="9">
        <f>IF(預測IC!CY18&gt;預測IC!CY$27,1,0)</f>
        <v>0</v>
      </c>
      <c r="CZ16" s="9">
        <f>IF(預測IC!CZ18&gt;預測IC!CZ$27,1,0)</f>
        <v>1</v>
      </c>
      <c r="DA16" s="9">
        <f>IF(預測IC!DA18&gt;預測IC!DA$27,1,0)</f>
        <v>1</v>
      </c>
      <c r="DB16" s="9">
        <f>IF(預測IC!DB18&gt;預測IC!DB$27,1,0)</f>
        <v>0</v>
      </c>
      <c r="DC16" s="9">
        <f>IF(預測IC!DC18&gt;預測IC!DC$27,1,0)</f>
        <v>1</v>
      </c>
      <c r="DD16" s="9">
        <f>IF(預測IC!DD18&gt;預測IC!DD$27,1,0)</f>
        <v>1</v>
      </c>
      <c r="DE16" s="9">
        <f>IF(預測IC!DE18&gt;預測IC!DE$27,1,0)</f>
        <v>0</v>
      </c>
      <c r="DF16" s="9">
        <f>IF(預測IC!DF18&gt;預測IC!DF$27,1,0)</f>
        <v>1</v>
      </c>
      <c r="DG16" s="9">
        <f>IF(預測IC!DG18&gt;預測IC!DG$27,1,0)</f>
        <v>0</v>
      </c>
      <c r="DH16" s="9">
        <f>IF(預測IC!DH18&gt;預測IC!DH$27,1,0)</f>
        <v>0</v>
      </c>
      <c r="DI16" s="9">
        <f>IF(預測IC!DI18&gt;預測IC!DI$27,1,0)</f>
        <v>0</v>
      </c>
      <c r="DJ16" s="9">
        <f>IF(預測IC!DJ18&gt;預測IC!DJ$27,1,0)</f>
        <v>0</v>
      </c>
      <c r="DK16" s="9">
        <f>IF(預測IC!DK18&gt;預測IC!DK$27,1,0)</f>
        <v>0</v>
      </c>
      <c r="DL16" s="9">
        <f>IF(預測IC!DL18&gt;預測IC!DL$27,1,0)</f>
        <v>1</v>
      </c>
      <c r="DM16" s="9">
        <f>IF(預測IC!DM18&gt;預測IC!DM$27,1,0)</f>
        <v>0</v>
      </c>
      <c r="DN16" s="9">
        <f>IF(預測IC!DN18&gt;預測IC!DN$27,1,0)</f>
        <v>1</v>
      </c>
      <c r="DO16" s="9">
        <f>IF(預測IC!DO18&gt;預測IC!DO$27,1,0)</f>
        <v>1</v>
      </c>
      <c r="DP16" s="9">
        <f>IF(預測IC!DP18&gt;預測IC!DP$27,1,0)</f>
        <v>1</v>
      </c>
      <c r="DQ16" s="9">
        <f>IF(預測IC!DQ18&gt;預測IC!DQ$27,1,0)</f>
        <v>0</v>
      </c>
      <c r="DR16" s="9">
        <f>IF(預測IC!DR18&gt;預測IC!DR$27,1,0)</f>
        <v>0</v>
      </c>
      <c r="DS16" s="9">
        <f>IF(預測IC!DS18&gt;預測IC!DS$27,1,0)</f>
        <v>1</v>
      </c>
      <c r="DT16" s="9">
        <f>IF(預測IC!DT18&gt;預測IC!DT$27,1,0)</f>
        <v>0</v>
      </c>
      <c r="DU16" s="9">
        <f>IF(預測IC!DU18&gt;預測IC!DU$27,1,0)</f>
        <v>0</v>
      </c>
      <c r="DV16" s="9">
        <f>IF(預測IC!DV18&gt;預測IC!DV$27,1,0)</f>
        <v>1</v>
      </c>
      <c r="DW16" s="9">
        <f>IF(預測IC!DW18&gt;預測IC!DW$27,1,0)</f>
        <v>0</v>
      </c>
      <c r="DX16" s="9">
        <f>IF(預測IC!DX18&gt;預測IC!DX$27,1,0)</f>
        <v>0</v>
      </c>
      <c r="DY16" s="9">
        <f>IF(預測IC!DY18&gt;預測IC!DY$27,1,0)</f>
        <v>1</v>
      </c>
      <c r="DZ16" s="9">
        <f>IF(預測IC!DZ18&gt;預測IC!DZ$27,1,0)</f>
        <v>0</v>
      </c>
      <c r="EA16" s="9">
        <f>IF(預測IC!EA18&gt;預測IC!EA$27,1,0)</f>
        <v>1</v>
      </c>
      <c r="EB16" s="9">
        <f>IF(預測IC!EB18&gt;預測IC!EB$27,1,0)</f>
        <v>1</v>
      </c>
      <c r="EC16" s="9">
        <f>IF(預測IC!EC18&gt;預測IC!EC$27,1,0)</f>
        <v>1</v>
      </c>
      <c r="ED16" s="9">
        <f>IF(預測IC!ED18&gt;預測IC!ED$27,1,0)</f>
        <v>0</v>
      </c>
      <c r="EE16" s="9">
        <f>IF(預測IC!EE18&gt;預測IC!EE$27,1,0)</f>
        <v>1</v>
      </c>
      <c r="EF16" s="9">
        <f>IF(預測IC!EF18&gt;預測IC!EF$27,1,0)</f>
        <v>1</v>
      </c>
      <c r="EG16" s="1">
        <f t="shared" si="0"/>
        <v>67</v>
      </c>
      <c r="EH16" s="47">
        <f t="shared" si="1"/>
        <v>0.5</v>
      </c>
    </row>
    <row r="17" spans="1:138" ht="16" customHeight="1">
      <c r="A17" s="6">
        <v>120</v>
      </c>
      <c r="B17" s="6">
        <v>8</v>
      </c>
      <c r="C17" s="9">
        <f>IF(預測IC!C19&gt;預測IC!C$27,1,0)</f>
        <v>1</v>
      </c>
      <c r="D17" s="9">
        <f>IF(預測IC!D19&gt;預測IC!D$27,1,0)</f>
        <v>1</v>
      </c>
      <c r="E17" s="9">
        <f>IF(預測IC!E19&gt;預測IC!E$27,1,0)</f>
        <v>1</v>
      </c>
      <c r="F17" s="9">
        <f>IF(預測IC!F19&gt;預測IC!F$27,1,0)</f>
        <v>0</v>
      </c>
      <c r="G17" s="9">
        <f>IF(預測IC!G19&gt;預測IC!G$27,1,0)</f>
        <v>0</v>
      </c>
      <c r="H17" s="9">
        <f>IF(預測IC!H19&gt;預測IC!H$27,1,0)</f>
        <v>1</v>
      </c>
      <c r="I17" s="9">
        <f>IF(預測IC!I19&gt;預測IC!I$27,1,0)</f>
        <v>1</v>
      </c>
      <c r="J17" s="9">
        <f>IF(預測IC!J19&gt;預測IC!J$27,1,0)</f>
        <v>0</v>
      </c>
      <c r="K17" s="9">
        <f>IF(預測IC!K19&gt;預測IC!K$27,1,0)</f>
        <v>1</v>
      </c>
      <c r="L17" s="9">
        <f>IF(預測IC!L19&gt;預測IC!L$27,1,0)</f>
        <v>0</v>
      </c>
      <c r="M17" s="9">
        <f>IF(預測IC!M19&gt;預測IC!M$27,1,0)</f>
        <v>1</v>
      </c>
      <c r="N17" s="9">
        <f>IF(預測IC!N19&gt;預測IC!N$27,1,0)</f>
        <v>1</v>
      </c>
      <c r="O17" s="9">
        <f>IF(預測IC!O19&gt;預測IC!O$27,1,0)</f>
        <v>0</v>
      </c>
      <c r="P17" s="9">
        <f>IF(預測IC!P19&gt;預測IC!P$27,1,0)</f>
        <v>0</v>
      </c>
      <c r="Q17" s="9">
        <f>IF(預測IC!Q19&gt;預測IC!Q$27,1,0)</f>
        <v>1</v>
      </c>
      <c r="R17" s="9">
        <f>IF(預測IC!R19&gt;預測IC!R$27,1,0)</f>
        <v>0</v>
      </c>
      <c r="S17" s="9">
        <f>IF(預測IC!S19&gt;預測IC!S$27,1,0)</f>
        <v>1</v>
      </c>
      <c r="T17" s="9">
        <f>IF(預測IC!T19&gt;預測IC!T$27,1,0)</f>
        <v>0</v>
      </c>
      <c r="U17" s="9">
        <f>IF(預測IC!U19&gt;預測IC!U$27,1,0)</f>
        <v>0</v>
      </c>
      <c r="V17" s="9">
        <f>IF(預測IC!V19&gt;預測IC!V$27,1,0)</f>
        <v>1</v>
      </c>
      <c r="W17" s="9">
        <f>IF(預測IC!W19&gt;預測IC!W$27,1,0)</f>
        <v>1</v>
      </c>
      <c r="X17" s="9">
        <f>IF(預測IC!X19&gt;預測IC!X$27,1,0)</f>
        <v>1</v>
      </c>
      <c r="Y17" s="9">
        <f>IF(預測IC!Y19&gt;預測IC!Y$27,1,0)</f>
        <v>0</v>
      </c>
      <c r="Z17" s="9">
        <f>IF(預測IC!Z19&gt;預測IC!Z$27,1,0)</f>
        <v>1</v>
      </c>
      <c r="AA17" s="9">
        <f>IF(預測IC!AA19&gt;預測IC!AA$27,1,0)</f>
        <v>0</v>
      </c>
      <c r="AB17" s="9">
        <f>IF(預測IC!AB19&gt;預測IC!AB$27,1,0)</f>
        <v>0</v>
      </c>
      <c r="AC17" s="9">
        <f>IF(預測IC!AC19&gt;預測IC!AC$27,1,0)</f>
        <v>0</v>
      </c>
      <c r="AD17" s="9">
        <f>IF(預測IC!AD19&gt;預測IC!AD$27,1,0)</f>
        <v>1</v>
      </c>
      <c r="AE17" s="9">
        <f>IF(預測IC!AE19&gt;預測IC!AE$27,1,0)</f>
        <v>1</v>
      </c>
      <c r="AF17" s="9">
        <f>IF(預測IC!AF19&gt;預測IC!AF$27,1,0)</f>
        <v>1</v>
      </c>
      <c r="AG17" s="9">
        <f>IF(預測IC!AG19&gt;預測IC!AG$27,1,0)</f>
        <v>1</v>
      </c>
      <c r="AH17" s="9">
        <f>IF(預測IC!AH19&gt;預測IC!AH$27,1,0)</f>
        <v>1</v>
      </c>
      <c r="AI17" s="9">
        <f>IF(預測IC!AI19&gt;預測IC!AI$27,1,0)</f>
        <v>0</v>
      </c>
      <c r="AJ17" s="9">
        <f>IF(預測IC!AJ19&gt;預測IC!AJ$27,1,0)</f>
        <v>0</v>
      </c>
      <c r="AK17" s="9">
        <f>IF(預測IC!AK19&gt;預測IC!AK$27,1,0)</f>
        <v>0</v>
      </c>
      <c r="AL17" s="9">
        <f>IF(預測IC!AL19&gt;預測IC!AL$27,1,0)</f>
        <v>0</v>
      </c>
      <c r="AM17" s="9">
        <f>IF(預測IC!AM19&gt;預測IC!AM$27,1,0)</f>
        <v>0</v>
      </c>
      <c r="AN17" s="9">
        <f>IF(預測IC!AN19&gt;預測IC!AN$27,1,0)</f>
        <v>1</v>
      </c>
      <c r="AO17" s="9">
        <f>IF(預測IC!AO19&gt;預測IC!AO$27,1,0)</f>
        <v>1</v>
      </c>
      <c r="AP17" s="9">
        <f>IF(預測IC!AP19&gt;預測IC!AP$27,1,0)</f>
        <v>1</v>
      </c>
      <c r="AQ17" s="9">
        <f>IF(預測IC!AQ19&gt;預測IC!AQ$27,1,0)</f>
        <v>0</v>
      </c>
      <c r="AR17" s="9">
        <f>IF(預測IC!AR19&gt;預測IC!AR$27,1,0)</f>
        <v>0</v>
      </c>
      <c r="AS17" s="9">
        <f>IF(預測IC!AS19&gt;預測IC!AS$27,1,0)</f>
        <v>1</v>
      </c>
      <c r="AT17" s="9">
        <f>IF(預測IC!AT19&gt;預測IC!AT$27,1,0)</f>
        <v>1</v>
      </c>
      <c r="AU17" s="9">
        <f>IF(預測IC!AU19&gt;預測IC!AU$27,1,0)</f>
        <v>1</v>
      </c>
      <c r="AV17" s="9">
        <f>IF(預測IC!AV19&gt;預測IC!AV$27,1,0)</f>
        <v>1</v>
      </c>
      <c r="AW17" s="9">
        <f>IF(預測IC!AW19&gt;預測IC!AW$27,1,0)</f>
        <v>1</v>
      </c>
      <c r="AX17" s="9">
        <f>IF(預測IC!AX19&gt;預測IC!AX$27,1,0)</f>
        <v>0</v>
      </c>
      <c r="AY17" s="9">
        <f>IF(預測IC!AY19&gt;預測IC!AY$27,1,0)</f>
        <v>0</v>
      </c>
      <c r="AZ17" s="9">
        <f>IF(預測IC!AZ19&gt;預測IC!AZ$27,1,0)</f>
        <v>1</v>
      </c>
      <c r="BA17" s="9">
        <f>IF(預測IC!BA19&gt;預測IC!BA$27,1,0)</f>
        <v>1</v>
      </c>
      <c r="BB17" s="9">
        <f>IF(預測IC!BB19&gt;預測IC!BB$27,1,0)</f>
        <v>0</v>
      </c>
      <c r="BC17" s="9">
        <f>IF(預測IC!BC19&gt;預測IC!BC$27,1,0)</f>
        <v>0</v>
      </c>
      <c r="BD17" s="9">
        <f>IF(預測IC!BD19&gt;預測IC!BD$27,1,0)</f>
        <v>1</v>
      </c>
      <c r="BE17" s="9">
        <f>IF(預測IC!BE19&gt;預測IC!BE$27,1,0)</f>
        <v>0</v>
      </c>
      <c r="BF17" s="9">
        <f>IF(預測IC!BF19&gt;預測IC!BF$27,1,0)</f>
        <v>0</v>
      </c>
      <c r="BG17" s="9">
        <f>IF(預測IC!BG19&gt;預測IC!BG$27,1,0)</f>
        <v>1</v>
      </c>
      <c r="BH17" s="9">
        <f>IF(預測IC!BH19&gt;預測IC!BH$27,1,0)</f>
        <v>1</v>
      </c>
      <c r="BI17" s="9">
        <f>IF(預測IC!BI19&gt;預測IC!BI$27,1,0)</f>
        <v>0</v>
      </c>
      <c r="BJ17" s="9">
        <f>IF(預測IC!BJ19&gt;預測IC!BJ$27,1,0)</f>
        <v>1</v>
      </c>
      <c r="BK17" s="9">
        <f>IF(預測IC!BK19&gt;預測IC!BK$27,1,0)</f>
        <v>0</v>
      </c>
      <c r="BL17" s="9">
        <f>IF(預測IC!BL19&gt;預測IC!BL$27,1,0)</f>
        <v>1</v>
      </c>
      <c r="BM17" s="9">
        <f>IF(預測IC!BM19&gt;預測IC!BM$27,1,0)</f>
        <v>0</v>
      </c>
      <c r="BN17" s="9">
        <f>IF(預測IC!BN19&gt;預測IC!BN$27,1,0)</f>
        <v>0</v>
      </c>
      <c r="BO17" s="9">
        <f>IF(預測IC!BO19&gt;預測IC!BO$27,1,0)</f>
        <v>1</v>
      </c>
      <c r="BP17" s="9">
        <f>IF(預測IC!BP19&gt;預測IC!BP$27,1,0)</f>
        <v>0</v>
      </c>
      <c r="BQ17" s="9">
        <f>IF(預測IC!BQ19&gt;預測IC!BQ$27,1,0)</f>
        <v>0</v>
      </c>
      <c r="BR17" s="9">
        <f>IF(預測IC!BR19&gt;預測IC!BR$27,1,0)</f>
        <v>0</v>
      </c>
      <c r="BS17" s="9">
        <f>IF(預測IC!BS19&gt;預測IC!BS$27,1,0)</f>
        <v>0</v>
      </c>
      <c r="BT17" s="9">
        <f>IF(預測IC!BT19&gt;預測IC!BT$27,1,0)</f>
        <v>1</v>
      </c>
      <c r="BU17" s="9">
        <f>IF(預測IC!BU19&gt;預測IC!BU$27,1,0)</f>
        <v>0</v>
      </c>
      <c r="BV17" s="9">
        <f>IF(預測IC!BV19&gt;預測IC!BV$27,1,0)</f>
        <v>1</v>
      </c>
      <c r="BW17" s="9">
        <f>IF(預測IC!BW19&gt;預測IC!BW$27,1,0)</f>
        <v>1</v>
      </c>
      <c r="BX17" s="9">
        <f>IF(預測IC!BX19&gt;預測IC!BX$27,1,0)</f>
        <v>0</v>
      </c>
      <c r="BY17" s="9">
        <f>IF(預測IC!BY19&gt;預測IC!BY$27,1,0)</f>
        <v>1</v>
      </c>
      <c r="BZ17" s="9">
        <f>IF(預測IC!BZ19&gt;預測IC!BZ$27,1,0)</f>
        <v>0</v>
      </c>
      <c r="CA17" s="9">
        <f>IF(預測IC!CA19&gt;預測IC!CA$27,1,0)</f>
        <v>1</v>
      </c>
      <c r="CB17" s="9">
        <f>IF(預測IC!CB19&gt;預測IC!CB$27,1,0)</f>
        <v>1</v>
      </c>
      <c r="CC17" s="9">
        <f>IF(預測IC!CC19&gt;預測IC!CC$27,1,0)</f>
        <v>0</v>
      </c>
      <c r="CD17" s="9">
        <f>IF(預測IC!CD19&gt;預測IC!CD$27,1,0)</f>
        <v>0</v>
      </c>
      <c r="CE17" s="9">
        <f>IF(預測IC!CE19&gt;預測IC!CE$27,1,0)</f>
        <v>0</v>
      </c>
      <c r="CF17" s="9">
        <f>IF(預測IC!CF19&gt;預測IC!CF$27,1,0)</f>
        <v>1</v>
      </c>
      <c r="CG17" s="9">
        <f>IF(預測IC!CG19&gt;預測IC!CG$27,1,0)</f>
        <v>0</v>
      </c>
      <c r="CH17" s="9">
        <f>IF(預測IC!CH19&gt;預測IC!CH$27,1,0)</f>
        <v>0</v>
      </c>
      <c r="CI17" s="9">
        <f>IF(預測IC!CI19&gt;預測IC!CI$27,1,0)</f>
        <v>0</v>
      </c>
      <c r="CJ17" s="9">
        <f>IF(預測IC!CJ19&gt;預測IC!CJ$27,1,0)</f>
        <v>0</v>
      </c>
      <c r="CK17" s="9">
        <f>IF(預測IC!CK19&gt;預測IC!CK$27,1,0)</f>
        <v>0</v>
      </c>
      <c r="CL17" s="9">
        <f>IF(預測IC!CL19&gt;預測IC!CL$27,1,0)</f>
        <v>0</v>
      </c>
      <c r="CM17" s="9">
        <f>IF(預測IC!CM19&gt;預測IC!CM$27,1,0)</f>
        <v>1</v>
      </c>
      <c r="CN17" s="9">
        <f>IF(預測IC!CN19&gt;預測IC!CN$27,1,0)</f>
        <v>0</v>
      </c>
      <c r="CO17" s="9">
        <f>IF(預測IC!CO19&gt;預測IC!CO$27,1,0)</f>
        <v>0</v>
      </c>
      <c r="CP17" s="9">
        <f>IF(預測IC!CP19&gt;預測IC!CP$27,1,0)</f>
        <v>0</v>
      </c>
      <c r="CQ17" s="9">
        <f>IF(預測IC!CQ19&gt;預測IC!CQ$27,1,0)</f>
        <v>1</v>
      </c>
      <c r="CR17" s="9">
        <f>IF(預測IC!CR19&gt;預測IC!CR$27,1,0)</f>
        <v>1</v>
      </c>
      <c r="CS17" s="9">
        <f>IF(預測IC!CS19&gt;預測IC!CS$27,1,0)</f>
        <v>0</v>
      </c>
      <c r="CT17" s="9">
        <f>IF(預測IC!CT19&gt;預測IC!CT$27,1,0)</f>
        <v>0</v>
      </c>
      <c r="CU17" s="9">
        <f>IF(預測IC!CU19&gt;預測IC!CU$27,1,0)</f>
        <v>1</v>
      </c>
      <c r="CV17" s="9">
        <f>IF(預測IC!CV19&gt;預測IC!CV$27,1,0)</f>
        <v>1</v>
      </c>
      <c r="CW17" s="9">
        <f>IF(預測IC!CW19&gt;預測IC!CW$27,1,0)</f>
        <v>0</v>
      </c>
      <c r="CX17" s="9">
        <f>IF(預測IC!CX19&gt;預測IC!CX$27,1,0)</f>
        <v>1</v>
      </c>
      <c r="CY17" s="9">
        <f>IF(預測IC!CY19&gt;預測IC!CY$27,1,0)</f>
        <v>0</v>
      </c>
      <c r="CZ17" s="9">
        <f>IF(預測IC!CZ19&gt;預測IC!CZ$27,1,0)</f>
        <v>1</v>
      </c>
      <c r="DA17" s="9">
        <f>IF(預測IC!DA19&gt;預測IC!DA$27,1,0)</f>
        <v>1</v>
      </c>
      <c r="DB17" s="9">
        <f>IF(預測IC!DB19&gt;預測IC!DB$27,1,0)</f>
        <v>0</v>
      </c>
      <c r="DC17" s="9">
        <f>IF(預測IC!DC19&gt;預測IC!DC$27,1,0)</f>
        <v>1</v>
      </c>
      <c r="DD17" s="9">
        <f>IF(預測IC!DD19&gt;預測IC!DD$27,1,0)</f>
        <v>1</v>
      </c>
      <c r="DE17" s="9">
        <f>IF(預測IC!DE19&gt;預測IC!DE$27,1,0)</f>
        <v>0</v>
      </c>
      <c r="DF17" s="9">
        <f>IF(預測IC!DF19&gt;預測IC!DF$27,1,0)</f>
        <v>1</v>
      </c>
      <c r="DG17" s="9">
        <f>IF(預測IC!DG19&gt;預測IC!DG$27,1,0)</f>
        <v>0</v>
      </c>
      <c r="DH17" s="9">
        <f>IF(預測IC!DH19&gt;預測IC!DH$27,1,0)</f>
        <v>0</v>
      </c>
      <c r="DI17" s="9">
        <f>IF(預測IC!DI19&gt;預測IC!DI$27,1,0)</f>
        <v>0</v>
      </c>
      <c r="DJ17" s="9">
        <f>IF(預測IC!DJ19&gt;預測IC!DJ$27,1,0)</f>
        <v>1</v>
      </c>
      <c r="DK17" s="9">
        <f>IF(預測IC!DK19&gt;預測IC!DK$27,1,0)</f>
        <v>0</v>
      </c>
      <c r="DL17" s="9">
        <f>IF(預測IC!DL19&gt;預測IC!DL$27,1,0)</f>
        <v>1</v>
      </c>
      <c r="DM17" s="9">
        <v>1</v>
      </c>
      <c r="DN17" s="9">
        <f>IF(預測IC!DN19&gt;預測IC!DN$27,1,0)</f>
        <v>1</v>
      </c>
      <c r="DO17" s="9">
        <f>IF(預測IC!DO19&gt;預測IC!DO$27,1,0)</f>
        <v>1</v>
      </c>
      <c r="DP17" s="9">
        <f>IF(預測IC!DP19&gt;預測IC!DP$27,1,0)</f>
        <v>1</v>
      </c>
      <c r="DQ17" s="9">
        <f>IF(預測IC!DQ19&gt;預測IC!DQ$27,1,0)</f>
        <v>0</v>
      </c>
      <c r="DR17" s="9">
        <v>1</v>
      </c>
      <c r="DS17" s="9">
        <f>IF(預測IC!DS19&gt;預測IC!DS$27,1,0)</f>
        <v>0</v>
      </c>
      <c r="DT17" s="9">
        <v>1</v>
      </c>
      <c r="DU17" s="9">
        <f>IF(預測IC!DU19&gt;預測IC!DU$27,1,0)</f>
        <v>0</v>
      </c>
      <c r="DV17" s="9">
        <f>IF(預測IC!DV19&gt;預測IC!DV$27,1,0)</f>
        <v>1</v>
      </c>
      <c r="DW17" s="9">
        <f>IF(預測IC!DW19&gt;預測IC!DW$27,1,0)</f>
        <v>0</v>
      </c>
      <c r="DX17" s="9">
        <f>IF(預測IC!DX19&gt;預測IC!DX$27,1,0)</f>
        <v>0</v>
      </c>
      <c r="DY17" s="9">
        <f>IF(預測IC!DY19&gt;預測IC!DY$27,1,0)</f>
        <v>1</v>
      </c>
      <c r="DZ17" s="9">
        <f>IF(預測IC!DZ19&gt;預測IC!DZ$27,1,0)</f>
        <v>0</v>
      </c>
      <c r="EA17" s="9">
        <f>IF(預測IC!EA19&gt;預測IC!EA$27,1,0)</f>
        <v>1</v>
      </c>
      <c r="EB17" s="9">
        <f>IF(預測IC!EB19&gt;預測IC!EB$27,1,0)</f>
        <v>1</v>
      </c>
      <c r="EC17" s="9">
        <f>IF(預測IC!EC19&gt;預測IC!EC$27,1,0)</f>
        <v>1</v>
      </c>
      <c r="ED17" s="9">
        <f>IF(預測IC!ED19&gt;預測IC!ED$27,1,0)</f>
        <v>0</v>
      </c>
      <c r="EE17" s="9">
        <f>IF(預測IC!EE19&gt;預測IC!EE$27,1,0)</f>
        <v>1</v>
      </c>
      <c r="EF17" s="9">
        <f>IF(預測IC!EF19&gt;預測IC!EF$27,1,0)</f>
        <v>1</v>
      </c>
      <c r="EG17" s="1">
        <f t="shared" si="0"/>
        <v>68</v>
      </c>
      <c r="EH17" s="47">
        <f t="shared" si="1"/>
        <v>0.5074626865671642</v>
      </c>
    </row>
    <row r="18" spans="1:138" ht="16" customHeight="1">
      <c r="A18" s="6">
        <v>137</v>
      </c>
      <c r="B18" s="6">
        <v>7</v>
      </c>
      <c r="C18" s="9">
        <f>IF(預測IC!C20&gt;預測IC!C$27,1,0)</f>
        <v>1</v>
      </c>
      <c r="D18" s="9">
        <f>IF(預測IC!D20&gt;預測IC!D$27,1,0)</f>
        <v>1</v>
      </c>
      <c r="E18" s="9">
        <f>IF(預測IC!E20&gt;預測IC!E$27,1,0)</f>
        <v>1</v>
      </c>
      <c r="F18" s="9">
        <f>IF(預測IC!F20&gt;預測IC!F$27,1,0)</f>
        <v>0</v>
      </c>
      <c r="G18" s="9">
        <f>IF(預測IC!G20&gt;預測IC!G$27,1,0)</f>
        <v>0</v>
      </c>
      <c r="H18" s="9">
        <f>IF(預測IC!H20&gt;預測IC!H$27,1,0)</f>
        <v>1</v>
      </c>
      <c r="I18" s="9">
        <f>IF(預測IC!I20&gt;預測IC!I$27,1,0)</f>
        <v>1</v>
      </c>
      <c r="J18" s="9">
        <f>IF(預測IC!J20&gt;預測IC!J$27,1,0)</f>
        <v>0</v>
      </c>
      <c r="K18" s="9">
        <f>IF(預測IC!K20&gt;預測IC!K$27,1,0)</f>
        <v>1</v>
      </c>
      <c r="L18" s="9">
        <f>IF(預測IC!L20&gt;預測IC!L$27,1,0)</f>
        <v>0</v>
      </c>
      <c r="M18" s="9">
        <f>IF(預測IC!M20&gt;預測IC!M$27,1,0)</f>
        <v>1</v>
      </c>
      <c r="N18" s="9">
        <f>IF(預測IC!N20&gt;預測IC!N$27,1,0)</f>
        <v>1</v>
      </c>
      <c r="O18" s="9">
        <f>IF(預測IC!O20&gt;預測IC!O$27,1,0)</f>
        <v>0</v>
      </c>
      <c r="P18" s="9">
        <f>IF(預測IC!P20&gt;預測IC!P$27,1,0)</f>
        <v>0</v>
      </c>
      <c r="Q18" s="9">
        <f>IF(預測IC!Q20&gt;預測IC!Q$27,1,0)</f>
        <v>1</v>
      </c>
      <c r="R18" s="9">
        <f>IF(預測IC!R20&gt;預測IC!R$27,1,0)</f>
        <v>0</v>
      </c>
      <c r="S18" s="9">
        <f>IF(預測IC!S20&gt;預測IC!S$27,1,0)</f>
        <v>1</v>
      </c>
      <c r="T18" s="9">
        <f>IF(預測IC!T20&gt;預測IC!T$27,1,0)</f>
        <v>0</v>
      </c>
      <c r="U18" s="9">
        <f>IF(預測IC!U20&gt;預測IC!U$27,1,0)</f>
        <v>0</v>
      </c>
      <c r="V18" s="9">
        <f>IF(預測IC!V20&gt;預測IC!V$27,1,0)</f>
        <v>1</v>
      </c>
      <c r="W18" s="9">
        <f>IF(預測IC!W20&gt;預測IC!W$27,1,0)</f>
        <v>1</v>
      </c>
      <c r="X18" s="9">
        <f>IF(預測IC!X20&gt;預測IC!X$27,1,0)</f>
        <v>1</v>
      </c>
      <c r="Y18" s="9">
        <f>IF(預測IC!Y20&gt;預測IC!Y$27,1,0)</f>
        <v>0</v>
      </c>
      <c r="Z18" s="9">
        <f>IF(預測IC!Z20&gt;預測IC!Z$27,1,0)</f>
        <v>1</v>
      </c>
      <c r="AA18" s="9">
        <f>IF(預測IC!AA20&gt;預測IC!AA$27,1,0)</f>
        <v>0</v>
      </c>
      <c r="AB18" s="9">
        <f>IF(預測IC!AB20&gt;預測IC!AB$27,1,0)</f>
        <v>0</v>
      </c>
      <c r="AC18" s="9">
        <f>IF(預測IC!AC20&gt;預測IC!AC$27,1,0)</f>
        <v>0</v>
      </c>
      <c r="AD18" s="9">
        <f>IF(預測IC!AD20&gt;預測IC!AD$27,1,0)</f>
        <v>1</v>
      </c>
      <c r="AE18" s="9">
        <f>IF(預測IC!AE20&gt;預測IC!AE$27,1,0)</f>
        <v>1</v>
      </c>
      <c r="AF18" s="9">
        <f>IF(預測IC!AF20&gt;預測IC!AF$27,1,0)</f>
        <v>1</v>
      </c>
      <c r="AG18" s="9">
        <f>IF(預測IC!AG20&gt;預測IC!AG$27,1,0)</f>
        <v>1</v>
      </c>
      <c r="AH18" s="9">
        <f>IF(預測IC!AH20&gt;預測IC!AH$27,1,0)</f>
        <v>1</v>
      </c>
      <c r="AI18" s="9">
        <f>IF(預測IC!AI20&gt;預測IC!AI$27,1,0)</f>
        <v>0</v>
      </c>
      <c r="AJ18" s="9">
        <f>IF(預測IC!AJ20&gt;預測IC!AJ$27,1,0)</f>
        <v>0</v>
      </c>
      <c r="AK18" s="9">
        <f>IF(預測IC!AK20&gt;預測IC!AK$27,1,0)</f>
        <v>0</v>
      </c>
      <c r="AL18" s="9">
        <f>IF(預測IC!AL20&gt;預測IC!AL$27,1,0)</f>
        <v>0</v>
      </c>
      <c r="AM18" s="9">
        <f>IF(預測IC!AM20&gt;預測IC!AM$27,1,0)</f>
        <v>0</v>
      </c>
      <c r="AN18" s="9">
        <f>IF(預測IC!AN20&gt;預測IC!AN$27,1,0)</f>
        <v>1</v>
      </c>
      <c r="AO18" s="9">
        <f>IF(預測IC!AO20&gt;預測IC!AO$27,1,0)</f>
        <v>1</v>
      </c>
      <c r="AP18" s="9">
        <f>IF(預測IC!AP20&gt;預測IC!AP$27,1,0)</f>
        <v>1</v>
      </c>
      <c r="AQ18" s="9">
        <f>IF(預測IC!AQ20&gt;預測IC!AQ$27,1,0)</f>
        <v>0</v>
      </c>
      <c r="AR18" s="9">
        <f>IF(預測IC!AR20&gt;預測IC!AR$27,1,0)</f>
        <v>0</v>
      </c>
      <c r="AS18" s="9">
        <f>IF(預測IC!AS20&gt;預測IC!AS$27,1,0)</f>
        <v>0</v>
      </c>
      <c r="AT18" s="9">
        <f>IF(預測IC!AT20&gt;預測IC!AT$27,1,0)</f>
        <v>1</v>
      </c>
      <c r="AU18" s="9">
        <f>IF(預測IC!AU20&gt;預測IC!AU$27,1,0)</f>
        <v>1</v>
      </c>
      <c r="AV18" s="9">
        <f>IF(預測IC!AV20&gt;預測IC!AV$27,1,0)</f>
        <v>0</v>
      </c>
      <c r="AW18" s="9">
        <f>IF(預測IC!AW20&gt;預測IC!AW$27,1,0)</f>
        <v>1</v>
      </c>
      <c r="AX18" s="9">
        <f>IF(預測IC!AX20&gt;預測IC!AX$27,1,0)</f>
        <v>0</v>
      </c>
      <c r="AY18" s="9">
        <f>IF(預測IC!AY20&gt;預測IC!AY$27,1,0)</f>
        <v>0</v>
      </c>
      <c r="AZ18" s="9">
        <f>IF(預測IC!AZ20&gt;預測IC!AZ$27,1,0)</f>
        <v>0</v>
      </c>
      <c r="BA18" s="9">
        <f>IF(預測IC!BA20&gt;預測IC!BA$27,1,0)</f>
        <v>1</v>
      </c>
      <c r="BB18" s="9">
        <f>IF(預測IC!BB20&gt;預測IC!BB$27,1,0)</f>
        <v>0</v>
      </c>
      <c r="BC18" s="9">
        <f>IF(預測IC!BC20&gt;預測IC!BC$27,1,0)</f>
        <v>0</v>
      </c>
      <c r="BD18" s="9">
        <f>IF(預測IC!BD20&gt;預測IC!BD$27,1,0)</f>
        <v>1</v>
      </c>
      <c r="BE18" s="9">
        <f>IF(預測IC!BE20&gt;預測IC!BE$27,1,0)</f>
        <v>0</v>
      </c>
      <c r="BF18" s="9">
        <f>IF(預測IC!BF20&gt;預測IC!BF$27,1,0)</f>
        <v>0</v>
      </c>
      <c r="BG18" s="9">
        <f>IF(預測IC!BG20&gt;預測IC!BG$27,1,0)</f>
        <v>1</v>
      </c>
      <c r="BH18" s="9">
        <f>IF(預測IC!BH20&gt;預測IC!BH$27,1,0)</f>
        <v>1</v>
      </c>
      <c r="BI18" s="9">
        <f>IF(預測IC!BI20&gt;預測IC!BI$27,1,0)</f>
        <v>0</v>
      </c>
      <c r="BJ18" s="9">
        <f>IF(預測IC!BJ20&gt;預測IC!BJ$27,1,0)</f>
        <v>1</v>
      </c>
      <c r="BK18" s="9">
        <f>IF(預測IC!BK20&gt;預測IC!BK$27,1,0)</f>
        <v>0</v>
      </c>
      <c r="BL18" s="9">
        <f>IF(預測IC!BL20&gt;預測IC!BL$27,1,0)</f>
        <v>1</v>
      </c>
      <c r="BM18" s="9">
        <f>IF(預測IC!BM20&gt;預測IC!BM$27,1,0)</f>
        <v>0</v>
      </c>
      <c r="BN18" s="9">
        <f>IF(預測IC!BN20&gt;預測IC!BN$27,1,0)</f>
        <v>1</v>
      </c>
      <c r="BO18" s="9">
        <f>IF(預測IC!BO20&gt;預測IC!BO$27,1,0)</f>
        <v>1</v>
      </c>
      <c r="BP18" s="9">
        <f>IF(預測IC!BP20&gt;預測IC!BP$27,1,0)</f>
        <v>0</v>
      </c>
      <c r="BQ18" s="9">
        <f>IF(預測IC!BQ20&gt;預測IC!BQ$27,1,0)</f>
        <v>0</v>
      </c>
      <c r="BR18" s="9">
        <f>IF(預測IC!BR20&gt;預測IC!BR$27,1,0)</f>
        <v>0</v>
      </c>
      <c r="BS18" s="9">
        <f>IF(預測IC!BS20&gt;預測IC!BS$27,1,0)</f>
        <v>0</v>
      </c>
      <c r="BT18" s="9">
        <f>IF(預測IC!BT20&gt;預測IC!BT$27,1,0)</f>
        <v>1</v>
      </c>
      <c r="BU18" s="9">
        <f>IF(預測IC!BU20&gt;預測IC!BU$27,1,0)</f>
        <v>0</v>
      </c>
      <c r="BV18" s="9">
        <f>IF(預測IC!BV20&gt;預測IC!BV$27,1,0)</f>
        <v>1</v>
      </c>
      <c r="BW18" s="9">
        <f>IF(預測IC!BW20&gt;預測IC!BW$27,1,0)</f>
        <v>1</v>
      </c>
      <c r="BX18" s="9">
        <f>IF(預測IC!BX20&gt;預測IC!BX$27,1,0)</f>
        <v>0</v>
      </c>
      <c r="BY18" s="9">
        <f>IF(預測IC!BY20&gt;預測IC!BY$27,1,0)</f>
        <v>1</v>
      </c>
      <c r="BZ18" s="9">
        <f>IF(預測IC!BZ20&gt;預測IC!BZ$27,1,0)</f>
        <v>0</v>
      </c>
      <c r="CA18" s="9">
        <f>IF(預測IC!CA20&gt;預測IC!CA$27,1,0)</f>
        <v>1</v>
      </c>
      <c r="CB18" s="9">
        <f>IF(預測IC!CB20&gt;預測IC!CB$27,1,0)</f>
        <v>1</v>
      </c>
      <c r="CC18" s="9">
        <f>IF(預測IC!CC20&gt;預測IC!CC$27,1,0)</f>
        <v>0</v>
      </c>
      <c r="CD18" s="9">
        <f>IF(預測IC!CD20&gt;預測IC!CD$27,1,0)</f>
        <v>0</v>
      </c>
      <c r="CE18" s="9">
        <f>IF(預測IC!CE20&gt;預測IC!CE$27,1,0)</f>
        <v>0</v>
      </c>
      <c r="CF18" s="9">
        <f>IF(預測IC!CF20&gt;預測IC!CF$27,1,0)</f>
        <v>1</v>
      </c>
      <c r="CG18" s="9">
        <f>IF(預測IC!CG20&gt;預測IC!CG$27,1,0)</f>
        <v>1</v>
      </c>
      <c r="CH18" s="9">
        <f>IF(預測IC!CH20&gt;預測IC!CH$27,1,0)</f>
        <v>0</v>
      </c>
      <c r="CI18" s="9">
        <f>IF(預測IC!CI20&gt;預測IC!CI$27,1,0)</f>
        <v>0</v>
      </c>
      <c r="CJ18" s="9">
        <f>IF(預測IC!CJ20&gt;預測IC!CJ$27,1,0)</f>
        <v>0</v>
      </c>
      <c r="CK18" s="9">
        <f>IF(預測IC!CK20&gt;預測IC!CK$27,1,0)</f>
        <v>0</v>
      </c>
      <c r="CL18" s="9">
        <f>IF(預測IC!CL20&gt;預測IC!CL$27,1,0)</f>
        <v>0</v>
      </c>
      <c r="CM18" s="9">
        <f>IF(預測IC!CM20&gt;預測IC!CM$27,1,0)</f>
        <v>1</v>
      </c>
      <c r="CN18" s="9">
        <f>IF(預測IC!CN20&gt;預測IC!CN$27,1,0)</f>
        <v>0</v>
      </c>
      <c r="CO18" s="9">
        <f>IF(預測IC!CO20&gt;預測IC!CO$27,1,0)</f>
        <v>0</v>
      </c>
      <c r="CP18" s="9">
        <f>IF(預測IC!CP20&gt;預測IC!CP$27,1,0)</f>
        <v>0</v>
      </c>
      <c r="CQ18" s="9">
        <f>IF(預測IC!CQ20&gt;預測IC!CQ$27,1,0)</f>
        <v>1</v>
      </c>
      <c r="CR18" s="9">
        <f>IF(預測IC!CR20&gt;預測IC!CR$27,1,0)</f>
        <v>0</v>
      </c>
      <c r="CS18" s="9">
        <f>IF(預測IC!CS20&gt;預測IC!CS$27,1,0)</f>
        <v>0</v>
      </c>
      <c r="CT18" s="9">
        <f>IF(預測IC!CT20&gt;預測IC!CT$27,1,0)</f>
        <v>0</v>
      </c>
      <c r="CU18" s="9">
        <f>IF(預測IC!CU20&gt;預測IC!CU$27,1,0)</f>
        <v>1</v>
      </c>
      <c r="CV18" s="9">
        <f>IF(預測IC!CV20&gt;預測IC!CV$27,1,0)</f>
        <v>1</v>
      </c>
      <c r="CW18" s="9">
        <f>IF(預測IC!CW20&gt;預測IC!CW$27,1,0)</f>
        <v>0</v>
      </c>
      <c r="CX18" s="9">
        <f>IF(預測IC!CX20&gt;預測IC!CX$27,1,0)</f>
        <v>1</v>
      </c>
      <c r="CY18" s="9">
        <f>IF(預測IC!CY20&gt;預測IC!CY$27,1,0)</f>
        <v>0</v>
      </c>
      <c r="CZ18" s="9">
        <f>IF(預測IC!CZ20&gt;預測IC!CZ$27,1,0)</f>
        <v>1</v>
      </c>
      <c r="DA18" s="9">
        <f>IF(預測IC!DA20&gt;預測IC!DA$27,1,0)</f>
        <v>1</v>
      </c>
      <c r="DB18" s="9">
        <f>IF(預測IC!DB20&gt;預測IC!DB$27,1,0)</f>
        <v>0</v>
      </c>
      <c r="DC18" s="9">
        <f>IF(預測IC!DC20&gt;預測IC!DC$27,1,0)</f>
        <v>1</v>
      </c>
      <c r="DD18" s="9">
        <f>IF(預測IC!DD20&gt;預測IC!DD$27,1,0)</f>
        <v>1</v>
      </c>
      <c r="DE18" s="9">
        <f>IF(預測IC!DE20&gt;預測IC!DE$27,1,0)</f>
        <v>0</v>
      </c>
      <c r="DF18" s="9">
        <f>IF(預測IC!DF20&gt;預測IC!DF$27,1,0)</f>
        <v>1</v>
      </c>
      <c r="DG18" s="9">
        <f>IF(預測IC!DG20&gt;預測IC!DG$27,1,0)</f>
        <v>0</v>
      </c>
      <c r="DH18" s="9">
        <f>IF(預測IC!DH20&gt;預測IC!DH$27,1,0)</f>
        <v>0</v>
      </c>
      <c r="DI18" s="9">
        <f>IF(預測IC!DI20&gt;預測IC!DI$27,1,0)</f>
        <v>0</v>
      </c>
      <c r="DJ18" s="9">
        <f>IF(預測IC!DJ20&gt;預測IC!DJ$27,1,0)</f>
        <v>0</v>
      </c>
      <c r="DK18" s="9">
        <f>IF(預測IC!DK20&gt;預測IC!DK$27,1,0)</f>
        <v>0</v>
      </c>
      <c r="DL18" s="9">
        <f>IF(預測IC!DL20&gt;預測IC!DL$27,1,0)</f>
        <v>1</v>
      </c>
      <c r="DM18" s="9">
        <f>IF(預測IC!DM20&gt;預測IC!DM$27,1,0)</f>
        <v>0</v>
      </c>
      <c r="DN18" s="9">
        <f>IF(預測IC!DN20&gt;預測IC!DN$27,1,0)</f>
        <v>1</v>
      </c>
      <c r="DO18" s="9">
        <f>IF(預測IC!DO20&gt;預測IC!DO$27,1,0)</f>
        <v>1</v>
      </c>
      <c r="DP18" s="9">
        <f>IF(預測IC!DP20&gt;預測IC!DP$27,1,0)</f>
        <v>1</v>
      </c>
      <c r="DQ18" s="9">
        <f>IF(預測IC!DQ20&gt;預測IC!DQ$27,1,0)</f>
        <v>0</v>
      </c>
      <c r="DR18" s="9">
        <f>IF(預測IC!DR20&gt;預測IC!DR$27,1,0)</f>
        <v>0</v>
      </c>
      <c r="DS18" s="9">
        <f>IF(預測IC!DS20&gt;預測IC!DS$27,1,0)</f>
        <v>0</v>
      </c>
      <c r="DT18" s="9">
        <f>IF(預測IC!DT20&gt;預測IC!DT$27,1,0)</f>
        <v>0</v>
      </c>
      <c r="DU18" s="9">
        <f>IF(預測IC!DU20&gt;預測IC!DU$27,1,0)</f>
        <v>0</v>
      </c>
      <c r="DV18" s="9">
        <f>IF(預測IC!DV20&gt;預測IC!DV$27,1,0)</f>
        <v>1</v>
      </c>
      <c r="DW18" s="9">
        <f>IF(預測IC!DW20&gt;預測IC!DW$27,1,0)</f>
        <v>0</v>
      </c>
      <c r="DX18" s="9">
        <f>IF(預測IC!DX20&gt;預測IC!DX$27,1,0)</f>
        <v>0</v>
      </c>
      <c r="DY18" s="9">
        <f>IF(預測IC!DY20&gt;預測IC!DY$27,1,0)</f>
        <v>1</v>
      </c>
      <c r="DZ18" s="9">
        <f>IF(預測IC!DZ20&gt;預測IC!DZ$27,1,0)</f>
        <v>1</v>
      </c>
      <c r="EA18" s="9">
        <f>IF(預測IC!EA20&gt;預測IC!EA$27,1,0)</f>
        <v>1</v>
      </c>
      <c r="EB18" s="9">
        <f>IF(預測IC!EB20&gt;預測IC!EB$27,1,0)</f>
        <v>1</v>
      </c>
      <c r="EC18" s="9">
        <f>IF(預測IC!EC20&gt;預測IC!EC$27,1,0)</f>
        <v>1</v>
      </c>
      <c r="ED18" s="9">
        <f>IF(預測IC!ED20&gt;預測IC!ED$27,1,0)</f>
        <v>0</v>
      </c>
      <c r="EE18" s="9">
        <f>IF(預測IC!EE20&gt;預測IC!EE$27,1,0)</f>
        <v>1</v>
      </c>
      <c r="EF18" s="9">
        <f>IF(預測IC!EF20&gt;預測IC!EF$27,1,0)</f>
        <v>1</v>
      </c>
      <c r="EG18" s="1">
        <f t="shared" si="0"/>
        <v>63</v>
      </c>
      <c r="EH18" s="2">
        <f t="shared" si="1"/>
        <v>0.47014925373134331</v>
      </c>
    </row>
    <row r="19" spans="1:138" ht="16" customHeight="1">
      <c r="A19" s="6">
        <v>160</v>
      </c>
      <c r="B19" s="6">
        <v>6</v>
      </c>
      <c r="C19" s="9">
        <f>IF(預測IC!C21&gt;預測IC!C$27,1,0)</f>
        <v>1</v>
      </c>
      <c r="D19" s="9">
        <f>IF(預測IC!D21&gt;預測IC!D$27,1,0)</f>
        <v>1</v>
      </c>
      <c r="E19" s="9">
        <f>IF(預測IC!E21&gt;預測IC!E$27,1,0)</f>
        <v>1</v>
      </c>
      <c r="F19" s="9">
        <f>IF(預測IC!F21&gt;預測IC!F$27,1,0)</f>
        <v>0</v>
      </c>
      <c r="G19" s="9">
        <f>IF(預測IC!G21&gt;預測IC!G$27,1,0)</f>
        <v>0</v>
      </c>
      <c r="H19" s="9">
        <f>IF(預測IC!H21&gt;預測IC!H$27,1,0)</f>
        <v>1</v>
      </c>
      <c r="I19" s="9">
        <f>IF(預測IC!I21&gt;預測IC!I$27,1,0)</f>
        <v>0</v>
      </c>
      <c r="J19" s="9">
        <f>IF(預測IC!J21&gt;預測IC!J$27,1,0)</f>
        <v>0</v>
      </c>
      <c r="K19" s="9">
        <f>IF(預測IC!K21&gt;預測IC!K$27,1,0)</f>
        <v>1</v>
      </c>
      <c r="L19" s="9">
        <f>IF(預測IC!L21&gt;預測IC!L$27,1,0)</f>
        <v>0</v>
      </c>
      <c r="M19" s="9">
        <f>IF(預測IC!M21&gt;預測IC!M$27,1,0)</f>
        <v>1</v>
      </c>
      <c r="N19" s="9">
        <f>IF(預測IC!N21&gt;預測IC!N$27,1,0)</f>
        <v>1</v>
      </c>
      <c r="O19" s="9">
        <f>IF(預測IC!O21&gt;預測IC!O$27,1,0)</f>
        <v>0</v>
      </c>
      <c r="P19" s="9">
        <f>IF(預測IC!P21&gt;預測IC!P$27,1,0)</f>
        <v>0</v>
      </c>
      <c r="Q19" s="9">
        <f>IF(預測IC!Q21&gt;預測IC!Q$27,1,0)</f>
        <v>1</v>
      </c>
      <c r="R19" s="9">
        <f>IF(預測IC!R21&gt;預測IC!R$27,1,0)</f>
        <v>0</v>
      </c>
      <c r="S19" s="9">
        <f>IF(預測IC!S21&gt;預測IC!S$27,1,0)</f>
        <v>1</v>
      </c>
      <c r="T19" s="9">
        <f>IF(預測IC!T21&gt;預測IC!T$27,1,0)</f>
        <v>0</v>
      </c>
      <c r="U19" s="9">
        <f>IF(預測IC!U21&gt;預測IC!U$27,1,0)</f>
        <v>0</v>
      </c>
      <c r="V19" s="9">
        <f>IF(預測IC!V21&gt;預測IC!V$27,1,0)</f>
        <v>1</v>
      </c>
      <c r="W19" s="9">
        <f>IF(預測IC!W21&gt;預測IC!W$27,1,0)</f>
        <v>1</v>
      </c>
      <c r="X19" s="9">
        <f>IF(預測IC!X21&gt;預測IC!X$27,1,0)</f>
        <v>1</v>
      </c>
      <c r="Y19" s="9">
        <f>IF(預測IC!Y21&gt;預測IC!Y$27,1,0)</f>
        <v>0</v>
      </c>
      <c r="Z19" s="9">
        <f>IF(預測IC!Z21&gt;預測IC!Z$27,1,0)</f>
        <v>1</v>
      </c>
      <c r="AA19" s="9">
        <f>IF(預測IC!AA21&gt;預測IC!AA$27,1,0)</f>
        <v>0</v>
      </c>
      <c r="AB19" s="9">
        <f>IF(預測IC!AB21&gt;預測IC!AB$27,1,0)</f>
        <v>0</v>
      </c>
      <c r="AC19" s="9">
        <f>IF(預測IC!AC21&gt;預測IC!AC$27,1,0)</f>
        <v>1</v>
      </c>
      <c r="AD19" s="9">
        <f>IF(預測IC!AD21&gt;預測IC!AD$27,1,0)</f>
        <v>1</v>
      </c>
      <c r="AE19" s="9">
        <f>IF(預測IC!AE21&gt;預測IC!AE$27,1,0)</f>
        <v>1</v>
      </c>
      <c r="AF19" s="9">
        <f>IF(預測IC!AF21&gt;預測IC!AF$27,1,0)</f>
        <v>1</v>
      </c>
      <c r="AG19" s="9">
        <f>IF(預測IC!AG21&gt;預測IC!AG$27,1,0)</f>
        <v>1</v>
      </c>
      <c r="AH19" s="9">
        <f>IF(預測IC!AH21&gt;預測IC!AH$27,1,0)</f>
        <v>1</v>
      </c>
      <c r="AI19" s="9">
        <f>IF(預測IC!AI21&gt;預測IC!AI$27,1,0)</f>
        <v>1</v>
      </c>
      <c r="AJ19" s="9">
        <f>IF(預測IC!AJ21&gt;預測IC!AJ$27,1,0)</f>
        <v>0</v>
      </c>
      <c r="AK19" s="9">
        <f>IF(預測IC!AK21&gt;預測IC!AK$27,1,0)</f>
        <v>1</v>
      </c>
      <c r="AL19" s="9">
        <f>IF(預測IC!AL21&gt;預測IC!AL$27,1,0)</f>
        <v>1</v>
      </c>
      <c r="AM19" s="9">
        <f>IF(預測IC!AM21&gt;預測IC!AM$27,1,0)</f>
        <v>1</v>
      </c>
      <c r="AN19" s="9">
        <f>IF(預測IC!AN21&gt;預測IC!AN$27,1,0)</f>
        <v>1</v>
      </c>
      <c r="AO19" s="9">
        <f>IF(預測IC!AO21&gt;預測IC!AO$27,1,0)</f>
        <v>1</v>
      </c>
      <c r="AP19" s="9">
        <f>IF(預測IC!AP21&gt;預測IC!AP$27,1,0)</f>
        <v>1</v>
      </c>
      <c r="AQ19" s="9">
        <f>IF(預測IC!AQ21&gt;預測IC!AQ$27,1,0)</f>
        <v>0</v>
      </c>
      <c r="AR19" s="9">
        <f>IF(預測IC!AR21&gt;預測IC!AR$27,1,0)</f>
        <v>0</v>
      </c>
      <c r="AS19" s="9">
        <f>IF(預測IC!AS21&gt;預測IC!AS$27,1,0)</f>
        <v>0</v>
      </c>
      <c r="AT19" s="9">
        <f>IF(預測IC!AT21&gt;預測IC!AT$27,1,0)</f>
        <v>1</v>
      </c>
      <c r="AU19" s="9">
        <f>IF(預測IC!AU21&gt;預測IC!AU$27,1,0)</f>
        <v>1</v>
      </c>
      <c r="AV19" s="9">
        <f>IF(預測IC!AV21&gt;預測IC!AV$27,1,0)</f>
        <v>1</v>
      </c>
      <c r="AW19" s="9">
        <f>IF(預測IC!AW21&gt;預測IC!AW$27,1,0)</f>
        <v>0</v>
      </c>
      <c r="AX19" s="9">
        <f>IF(預測IC!AX21&gt;預測IC!AX$27,1,0)</f>
        <v>0</v>
      </c>
      <c r="AY19" s="9">
        <f>IF(預測IC!AY21&gt;預測IC!AY$27,1,0)</f>
        <v>0</v>
      </c>
      <c r="AZ19" s="9">
        <f>IF(預測IC!AZ21&gt;預測IC!AZ$27,1,0)</f>
        <v>0</v>
      </c>
      <c r="BA19" s="9">
        <f>IF(預測IC!BA21&gt;預測IC!BA$27,1,0)</f>
        <v>1</v>
      </c>
      <c r="BB19" s="9">
        <f>IF(預測IC!BB21&gt;預測IC!BB$27,1,0)</f>
        <v>0</v>
      </c>
      <c r="BC19" s="9">
        <f>IF(預測IC!BC21&gt;預測IC!BC$27,1,0)</f>
        <v>0</v>
      </c>
      <c r="BD19" s="9">
        <f>IF(預測IC!BD21&gt;預測IC!BD$27,1,0)</f>
        <v>1</v>
      </c>
      <c r="BE19" s="9">
        <f>IF(預測IC!BE21&gt;預測IC!BE$27,1,0)</f>
        <v>0</v>
      </c>
      <c r="BF19" s="9">
        <f>IF(預測IC!BF21&gt;預測IC!BF$27,1,0)</f>
        <v>0</v>
      </c>
      <c r="BG19" s="9">
        <f>IF(預測IC!BG21&gt;預測IC!BG$27,1,0)</f>
        <v>1</v>
      </c>
      <c r="BH19" s="9">
        <f>IF(預測IC!BH21&gt;預測IC!BH$27,1,0)</f>
        <v>1</v>
      </c>
      <c r="BI19" s="9">
        <f>IF(預測IC!BI21&gt;預測IC!BI$27,1,0)</f>
        <v>0</v>
      </c>
      <c r="BJ19" s="9">
        <f>IF(預測IC!BJ21&gt;預測IC!BJ$27,1,0)</f>
        <v>1</v>
      </c>
      <c r="BK19" s="9">
        <f>IF(預測IC!BK21&gt;預測IC!BK$27,1,0)</f>
        <v>0</v>
      </c>
      <c r="BL19" s="9">
        <f>IF(預測IC!BL21&gt;預測IC!BL$27,1,0)</f>
        <v>1</v>
      </c>
      <c r="BM19" s="9">
        <f>IF(預測IC!BM21&gt;預測IC!BM$27,1,0)</f>
        <v>0</v>
      </c>
      <c r="BN19" s="9">
        <f>IF(預測IC!BN21&gt;預測IC!BN$27,1,0)</f>
        <v>0</v>
      </c>
      <c r="BO19" s="9">
        <f>IF(預測IC!BO21&gt;預測IC!BO$27,1,0)</f>
        <v>1</v>
      </c>
      <c r="BP19" s="9">
        <f>IF(預測IC!BP21&gt;預測IC!BP$27,1,0)</f>
        <v>0</v>
      </c>
      <c r="BQ19" s="9">
        <f>IF(預測IC!BQ21&gt;預測IC!BQ$27,1,0)</f>
        <v>0</v>
      </c>
      <c r="BR19" s="9">
        <f>IF(預測IC!BR21&gt;預測IC!BR$27,1,0)</f>
        <v>0</v>
      </c>
      <c r="BS19" s="9">
        <f>IF(預測IC!BS21&gt;預測IC!BS$27,1,0)</f>
        <v>0</v>
      </c>
      <c r="BT19" s="9">
        <f>IF(預測IC!BT21&gt;預測IC!BT$27,1,0)</f>
        <v>1</v>
      </c>
      <c r="BU19" s="9">
        <f>IF(預測IC!BU21&gt;預測IC!BU$27,1,0)</f>
        <v>0</v>
      </c>
      <c r="BV19" s="9">
        <f>IF(預測IC!BV21&gt;預測IC!BV$27,1,0)</f>
        <v>1</v>
      </c>
      <c r="BW19" s="9">
        <f>IF(預測IC!BW21&gt;預測IC!BW$27,1,0)</f>
        <v>1</v>
      </c>
      <c r="BX19" s="9">
        <f>IF(預測IC!BX21&gt;預測IC!BX$27,1,0)</f>
        <v>0</v>
      </c>
      <c r="BY19" s="9">
        <f>IF(預測IC!BY21&gt;預測IC!BY$27,1,0)</f>
        <v>1</v>
      </c>
      <c r="BZ19" s="9">
        <f>IF(預測IC!BZ21&gt;預測IC!BZ$27,1,0)</f>
        <v>0</v>
      </c>
      <c r="CA19" s="9">
        <f>IF(預測IC!CA21&gt;預測IC!CA$27,1,0)</f>
        <v>1</v>
      </c>
      <c r="CB19" s="9">
        <f>IF(預測IC!CB21&gt;預測IC!CB$27,1,0)</f>
        <v>1</v>
      </c>
      <c r="CC19" s="9">
        <f>IF(預測IC!CC21&gt;預測IC!CC$27,1,0)</f>
        <v>0</v>
      </c>
      <c r="CD19" s="9">
        <f>IF(預測IC!CD21&gt;預測IC!CD$27,1,0)</f>
        <v>0</v>
      </c>
      <c r="CE19" s="9">
        <f>IF(預測IC!CE21&gt;預測IC!CE$27,1,0)</f>
        <v>0</v>
      </c>
      <c r="CF19" s="9">
        <f>IF(預測IC!CF21&gt;預測IC!CF$27,1,0)</f>
        <v>1</v>
      </c>
      <c r="CG19" s="9">
        <f>IF(預測IC!CG21&gt;預測IC!CG$27,1,0)</f>
        <v>0</v>
      </c>
      <c r="CH19" s="9">
        <f>IF(預測IC!CH21&gt;預測IC!CH$27,1,0)</f>
        <v>0</v>
      </c>
      <c r="CI19" s="9">
        <f>IF(預測IC!CI21&gt;預測IC!CI$27,1,0)</f>
        <v>0</v>
      </c>
      <c r="CJ19" s="9">
        <f>IF(預測IC!CJ21&gt;預測IC!CJ$27,1,0)</f>
        <v>0</v>
      </c>
      <c r="CK19" s="9">
        <f>IF(預測IC!CK21&gt;預測IC!CK$27,1,0)</f>
        <v>0</v>
      </c>
      <c r="CL19" s="9">
        <f>IF(預測IC!CL21&gt;預測IC!CL$27,1,0)</f>
        <v>0</v>
      </c>
      <c r="CM19" s="9">
        <f>IF(預測IC!CM21&gt;預測IC!CM$27,1,0)</f>
        <v>1</v>
      </c>
      <c r="CN19" s="9">
        <f>IF(預測IC!CN21&gt;預測IC!CN$27,1,0)</f>
        <v>0</v>
      </c>
      <c r="CO19" s="9">
        <f>IF(預測IC!CO21&gt;預測IC!CO$27,1,0)</f>
        <v>0</v>
      </c>
      <c r="CP19" s="9">
        <f>IF(預測IC!CP21&gt;預測IC!CP$27,1,0)</f>
        <v>0</v>
      </c>
      <c r="CQ19" s="9">
        <f>IF(預測IC!CQ21&gt;預測IC!CQ$27,1,0)</f>
        <v>1</v>
      </c>
      <c r="CR19" s="9">
        <f>IF(預測IC!CR21&gt;預測IC!CR$27,1,0)</f>
        <v>0</v>
      </c>
      <c r="CS19" s="9">
        <f>IF(預測IC!CS21&gt;預測IC!CS$27,1,0)</f>
        <v>0</v>
      </c>
      <c r="CT19" s="9">
        <f>IF(預測IC!CT21&gt;預測IC!CT$27,1,0)</f>
        <v>0</v>
      </c>
      <c r="CU19" s="9">
        <f>IF(預測IC!CU21&gt;預測IC!CU$27,1,0)</f>
        <v>1</v>
      </c>
      <c r="CV19" s="9">
        <f>IF(預測IC!CV21&gt;預測IC!CV$27,1,0)</f>
        <v>1</v>
      </c>
      <c r="CW19" s="9">
        <f>IF(預測IC!CW21&gt;預測IC!CW$27,1,0)</f>
        <v>0</v>
      </c>
      <c r="CX19" s="9">
        <f>IF(預測IC!CX21&gt;預測IC!CX$27,1,0)</f>
        <v>1</v>
      </c>
      <c r="CY19" s="9">
        <f>IF(預測IC!CY21&gt;預測IC!CY$27,1,0)</f>
        <v>0</v>
      </c>
      <c r="CZ19" s="9">
        <f>IF(預測IC!CZ21&gt;預測IC!CZ$27,1,0)</f>
        <v>1</v>
      </c>
      <c r="DA19" s="9">
        <f>IF(預測IC!DA21&gt;預測IC!DA$27,1,0)</f>
        <v>1</v>
      </c>
      <c r="DB19" s="9">
        <f>IF(預測IC!DB21&gt;預測IC!DB$27,1,0)</f>
        <v>0</v>
      </c>
      <c r="DC19" s="9">
        <f>IF(預測IC!DC21&gt;預測IC!DC$27,1,0)</f>
        <v>1</v>
      </c>
      <c r="DD19" s="9">
        <f>IF(預測IC!DD21&gt;預測IC!DD$27,1,0)</f>
        <v>1</v>
      </c>
      <c r="DE19" s="9">
        <f>IF(預測IC!DE21&gt;預測IC!DE$27,1,0)</f>
        <v>0</v>
      </c>
      <c r="DF19" s="9">
        <f>IF(預測IC!DF21&gt;預測IC!DF$27,1,0)</f>
        <v>1</v>
      </c>
      <c r="DG19" s="9">
        <f>IF(預測IC!DG21&gt;預測IC!DG$27,1,0)</f>
        <v>0</v>
      </c>
      <c r="DH19" s="9">
        <f>IF(預測IC!DH21&gt;預測IC!DH$27,1,0)</f>
        <v>0</v>
      </c>
      <c r="DI19" s="9">
        <f>IF(預測IC!DI21&gt;預測IC!DI$27,1,0)</f>
        <v>0</v>
      </c>
      <c r="DJ19" s="9">
        <f>IF(預測IC!DJ21&gt;預測IC!DJ$27,1,0)</f>
        <v>0</v>
      </c>
      <c r="DK19" s="9">
        <f>IF(預測IC!DK21&gt;預測IC!DK$27,1,0)</f>
        <v>0</v>
      </c>
      <c r="DL19" s="9">
        <f>IF(預測IC!DL21&gt;預測IC!DL$27,1,0)</f>
        <v>1</v>
      </c>
      <c r="DM19" s="9">
        <v>1</v>
      </c>
      <c r="DN19" s="9">
        <f>IF(預測IC!DN21&gt;預測IC!DN$27,1,0)</f>
        <v>1</v>
      </c>
      <c r="DO19" s="9">
        <f>IF(預測IC!DO21&gt;預測IC!DO$27,1,0)</f>
        <v>1</v>
      </c>
      <c r="DP19" s="9">
        <f>IF(預測IC!DP21&gt;預測IC!DP$27,1,0)</f>
        <v>1</v>
      </c>
      <c r="DQ19" s="9">
        <f>IF(預測IC!DQ21&gt;預測IC!DQ$27,1,0)</f>
        <v>0</v>
      </c>
      <c r="DR19" s="9">
        <v>1</v>
      </c>
      <c r="DS19" s="9">
        <f>IF(預測IC!DS21&gt;預測IC!DS$27,1,0)</f>
        <v>0</v>
      </c>
      <c r="DT19" s="9">
        <f>IF(預測IC!DT21&gt;預測IC!DT$27,1,0)</f>
        <v>0</v>
      </c>
      <c r="DU19" s="9">
        <f>IF(預測IC!DU21&gt;預測IC!DU$27,1,0)</f>
        <v>0</v>
      </c>
      <c r="DV19" s="9">
        <f>IF(預測IC!DV21&gt;預測IC!DV$27,1,0)</f>
        <v>1</v>
      </c>
      <c r="DW19" s="9">
        <f>IF(預測IC!DW21&gt;預測IC!DW$27,1,0)</f>
        <v>1</v>
      </c>
      <c r="DX19" s="9">
        <v>1</v>
      </c>
      <c r="DY19" s="9">
        <f>IF(預測IC!DY21&gt;預測IC!DY$27,1,0)</f>
        <v>1</v>
      </c>
      <c r="DZ19" s="9">
        <f>IF(預測IC!DZ21&gt;預測IC!DZ$27,1,0)</f>
        <v>1</v>
      </c>
      <c r="EA19" s="9">
        <f>IF(預測IC!EA21&gt;預測IC!EA$27,1,0)</f>
        <v>1</v>
      </c>
      <c r="EB19" s="9">
        <f>IF(預測IC!EB21&gt;預測IC!EB$27,1,0)</f>
        <v>1</v>
      </c>
      <c r="EC19" s="9">
        <f>IF(預測IC!EC21&gt;預測IC!EC$27,1,0)</f>
        <v>1</v>
      </c>
      <c r="ED19" s="9">
        <f>IF(預測IC!ED21&gt;預測IC!ED$27,1,0)</f>
        <v>0</v>
      </c>
      <c r="EE19" s="9">
        <f>IF(預測IC!EE21&gt;預測IC!EE$27,1,0)</f>
        <v>1</v>
      </c>
      <c r="EF19" s="9">
        <f>IF(預測IC!EF21&gt;預測IC!EF$27,1,0)</f>
        <v>1</v>
      </c>
      <c r="EG19" s="1">
        <f t="shared" si="0"/>
        <v>69</v>
      </c>
      <c r="EH19" s="47">
        <f t="shared" si="1"/>
        <v>0.5149253731343284</v>
      </c>
    </row>
    <row r="20" spans="1:138" ht="16" customHeight="1">
      <c r="A20" s="6">
        <v>192</v>
      </c>
      <c r="B20" s="6">
        <v>5</v>
      </c>
      <c r="C20" s="9">
        <f>IF(預測IC!C22&gt;預測IC!C$27,1,0)</f>
        <v>1</v>
      </c>
      <c r="D20" s="9">
        <f>IF(預測IC!D22&gt;預測IC!D$27,1,0)</f>
        <v>1</v>
      </c>
      <c r="E20" s="9">
        <f>IF(預測IC!E22&gt;預測IC!E$27,1,0)</f>
        <v>1</v>
      </c>
      <c r="F20" s="9">
        <f>IF(預測IC!F22&gt;預測IC!F$27,1,0)</f>
        <v>0</v>
      </c>
      <c r="G20" s="9">
        <f>IF(預測IC!G22&gt;預測IC!G$27,1,0)</f>
        <v>0</v>
      </c>
      <c r="H20" s="9">
        <f>IF(預測IC!H22&gt;預測IC!H$27,1,0)</f>
        <v>0</v>
      </c>
      <c r="I20" s="9">
        <f>IF(預測IC!I22&gt;預測IC!I$27,1,0)</f>
        <v>0</v>
      </c>
      <c r="J20" s="9">
        <f>IF(預測IC!J22&gt;預測IC!J$27,1,0)</f>
        <v>0</v>
      </c>
      <c r="K20" s="9">
        <f>IF(預測IC!K22&gt;預測IC!K$27,1,0)</f>
        <v>1</v>
      </c>
      <c r="L20" s="9">
        <f>IF(預測IC!L22&gt;預測IC!L$27,1,0)</f>
        <v>0</v>
      </c>
      <c r="M20" s="9">
        <f>IF(預測IC!M22&gt;預測IC!M$27,1,0)</f>
        <v>0</v>
      </c>
      <c r="N20" s="9">
        <f>IF(預測IC!N22&gt;預測IC!N$27,1,0)</f>
        <v>1</v>
      </c>
      <c r="O20" s="9">
        <f>IF(預測IC!O22&gt;預測IC!O$27,1,0)</f>
        <v>0</v>
      </c>
      <c r="P20" s="9">
        <f>IF(預測IC!P22&gt;預測IC!P$27,1,0)</f>
        <v>1</v>
      </c>
      <c r="Q20" s="9">
        <f>IF(預測IC!Q22&gt;預測IC!Q$27,1,0)</f>
        <v>1</v>
      </c>
      <c r="R20" s="9">
        <f>IF(預測IC!R22&gt;預測IC!R$27,1,0)</f>
        <v>0</v>
      </c>
      <c r="S20" s="9">
        <f>IF(預測IC!S22&gt;預測IC!S$27,1,0)</f>
        <v>1</v>
      </c>
      <c r="T20" s="9">
        <f>IF(預測IC!T22&gt;預測IC!T$27,1,0)</f>
        <v>0</v>
      </c>
      <c r="U20" s="9">
        <f>IF(預測IC!U22&gt;預測IC!U$27,1,0)</f>
        <v>0</v>
      </c>
      <c r="V20" s="9">
        <f>IF(預測IC!V22&gt;預測IC!V$27,1,0)</f>
        <v>1</v>
      </c>
      <c r="W20" s="9">
        <f>IF(預測IC!W22&gt;預測IC!W$27,1,0)</f>
        <v>1</v>
      </c>
      <c r="X20" s="9">
        <f>IF(預測IC!X22&gt;預測IC!X$27,1,0)</f>
        <v>1</v>
      </c>
      <c r="Y20" s="9">
        <f>IF(預測IC!Y22&gt;預測IC!Y$27,1,0)</f>
        <v>0</v>
      </c>
      <c r="Z20" s="9">
        <f>IF(預測IC!Z22&gt;預測IC!Z$27,1,0)</f>
        <v>1</v>
      </c>
      <c r="AA20" s="9">
        <f>IF(預測IC!AA22&gt;預測IC!AA$27,1,0)</f>
        <v>0</v>
      </c>
      <c r="AB20" s="9">
        <f>IF(預測IC!AB22&gt;預測IC!AB$27,1,0)</f>
        <v>0</v>
      </c>
      <c r="AC20" s="9">
        <f>IF(預測IC!AC22&gt;預測IC!AC$27,1,0)</f>
        <v>1</v>
      </c>
      <c r="AD20" s="9">
        <f>IF(預測IC!AD22&gt;預測IC!AD$27,1,0)</f>
        <v>1</v>
      </c>
      <c r="AE20" s="9">
        <f>IF(預測IC!AE22&gt;預測IC!AE$27,1,0)</f>
        <v>1</v>
      </c>
      <c r="AF20" s="9">
        <f>IF(預測IC!AF22&gt;預測IC!AF$27,1,0)</f>
        <v>1</v>
      </c>
      <c r="AG20" s="9">
        <f>IF(預測IC!AG22&gt;預測IC!AG$27,1,0)</f>
        <v>1</v>
      </c>
      <c r="AH20" s="9">
        <f>IF(預測IC!AH22&gt;預測IC!AH$27,1,0)</f>
        <v>1</v>
      </c>
      <c r="AI20" s="9">
        <f>IF(預測IC!AI22&gt;預測IC!AI$27,1,0)</f>
        <v>1</v>
      </c>
      <c r="AJ20" s="9">
        <f>IF(預測IC!AJ22&gt;預測IC!AJ$27,1,0)</f>
        <v>0</v>
      </c>
      <c r="AK20" s="9">
        <f>IF(預測IC!AK22&gt;預測IC!AK$27,1,0)</f>
        <v>1</v>
      </c>
      <c r="AL20" s="9">
        <f>IF(預測IC!AL22&gt;預測IC!AL$27,1,0)</f>
        <v>1</v>
      </c>
      <c r="AM20" s="9">
        <f>IF(預測IC!AM22&gt;預測IC!AM$27,1,0)</f>
        <v>1</v>
      </c>
      <c r="AN20" s="9">
        <f>IF(預測IC!AN22&gt;預測IC!AN$27,1,0)</f>
        <v>1</v>
      </c>
      <c r="AO20" s="9">
        <f>IF(預測IC!AO22&gt;預測IC!AO$27,1,0)</f>
        <v>1</v>
      </c>
      <c r="AP20" s="9">
        <f>IF(預測IC!AP22&gt;預測IC!AP$27,1,0)</f>
        <v>1</v>
      </c>
      <c r="AQ20" s="9">
        <f>IF(預測IC!AQ22&gt;預測IC!AQ$27,1,0)</f>
        <v>0</v>
      </c>
      <c r="AR20" s="9">
        <f>IF(預測IC!AR22&gt;預測IC!AR$27,1,0)</f>
        <v>0</v>
      </c>
      <c r="AS20" s="9">
        <f>IF(預測IC!AS22&gt;預測IC!AS$27,1,0)</f>
        <v>0</v>
      </c>
      <c r="AT20" s="9">
        <f>IF(預測IC!AT22&gt;預測IC!AT$27,1,0)</f>
        <v>1</v>
      </c>
      <c r="AU20" s="9">
        <f>IF(預測IC!AU22&gt;預測IC!AU$27,1,0)</f>
        <v>1</v>
      </c>
      <c r="AV20" s="9">
        <f>IF(預測IC!AV22&gt;預測IC!AV$27,1,0)</f>
        <v>1</v>
      </c>
      <c r="AW20" s="9">
        <f>IF(預測IC!AW22&gt;預測IC!AW$27,1,0)</f>
        <v>0</v>
      </c>
      <c r="AX20" s="9">
        <f>IF(預測IC!AX22&gt;預測IC!AX$27,1,0)</f>
        <v>0</v>
      </c>
      <c r="AY20" s="9">
        <f>IF(預測IC!AY22&gt;預測IC!AY$27,1,0)</f>
        <v>0</v>
      </c>
      <c r="AZ20" s="9">
        <f>IF(預測IC!AZ22&gt;預測IC!AZ$27,1,0)</f>
        <v>0</v>
      </c>
      <c r="BA20" s="9">
        <f>IF(預測IC!BA22&gt;預測IC!BA$27,1,0)</f>
        <v>1</v>
      </c>
      <c r="BB20" s="9">
        <f>IF(預測IC!BB22&gt;預測IC!BB$27,1,0)</f>
        <v>0</v>
      </c>
      <c r="BC20" s="9">
        <f>IF(預測IC!BC22&gt;預測IC!BC$27,1,0)</f>
        <v>0</v>
      </c>
      <c r="BD20" s="9">
        <f>IF(預測IC!BD22&gt;預測IC!BD$27,1,0)</f>
        <v>1</v>
      </c>
      <c r="BE20" s="9">
        <f>IF(預測IC!BE22&gt;預測IC!BE$27,1,0)</f>
        <v>0</v>
      </c>
      <c r="BF20" s="9">
        <f>IF(預測IC!BF22&gt;預測IC!BF$27,1,0)</f>
        <v>0</v>
      </c>
      <c r="BG20" s="9">
        <f>IF(預測IC!BG22&gt;預測IC!BG$27,1,0)</f>
        <v>1</v>
      </c>
      <c r="BH20" s="9">
        <f>IF(預測IC!BH22&gt;預測IC!BH$27,1,0)</f>
        <v>1</v>
      </c>
      <c r="BI20" s="9">
        <f>IF(預測IC!BI22&gt;預測IC!BI$27,1,0)</f>
        <v>0</v>
      </c>
      <c r="BJ20" s="9">
        <f>IF(預測IC!BJ22&gt;預測IC!BJ$27,1,0)</f>
        <v>1</v>
      </c>
      <c r="BK20" s="9">
        <f>IF(預測IC!BK22&gt;預測IC!BK$27,1,0)</f>
        <v>0</v>
      </c>
      <c r="BL20" s="9">
        <f>IF(預測IC!BL22&gt;預測IC!BL$27,1,0)</f>
        <v>1</v>
      </c>
      <c r="BM20" s="9">
        <f>IF(預測IC!BM22&gt;預測IC!BM$27,1,0)</f>
        <v>1</v>
      </c>
      <c r="BN20" s="9">
        <f>IF(預測IC!BN22&gt;預測IC!BN$27,1,0)</f>
        <v>1</v>
      </c>
      <c r="BO20" s="9">
        <f>IF(預測IC!BO22&gt;預測IC!BO$27,1,0)</f>
        <v>1</v>
      </c>
      <c r="BP20" s="9">
        <f>IF(預測IC!BP22&gt;預測IC!BP$27,1,0)</f>
        <v>0</v>
      </c>
      <c r="BQ20" s="9">
        <f>IF(預測IC!BQ22&gt;預測IC!BQ$27,1,0)</f>
        <v>0</v>
      </c>
      <c r="BR20" s="9">
        <f>IF(預測IC!BR22&gt;預測IC!BR$27,1,0)</f>
        <v>0</v>
      </c>
      <c r="BS20" s="9">
        <f>IF(預測IC!BS22&gt;預測IC!BS$27,1,0)</f>
        <v>0</v>
      </c>
      <c r="BT20" s="9">
        <f>IF(預測IC!BT22&gt;預測IC!BT$27,1,0)</f>
        <v>1</v>
      </c>
      <c r="BU20" s="9">
        <f>IF(預測IC!BU22&gt;預測IC!BU$27,1,0)</f>
        <v>0</v>
      </c>
      <c r="BV20" s="9">
        <f>IF(預測IC!BV22&gt;預測IC!BV$27,1,0)</f>
        <v>1</v>
      </c>
      <c r="BW20" s="9">
        <f>IF(預測IC!BW22&gt;預測IC!BW$27,1,0)</f>
        <v>1</v>
      </c>
      <c r="BX20" s="9">
        <f>IF(預測IC!BX22&gt;預測IC!BX$27,1,0)</f>
        <v>0</v>
      </c>
      <c r="BY20" s="9">
        <f>IF(預測IC!BY22&gt;預測IC!BY$27,1,0)</f>
        <v>1</v>
      </c>
      <c r="BZ20" s="9">
        <f>IF(預測IC!BZ22&gt;預測IC!BZ$27,1,0)</f>
        <v>0</v>
      </c>
      <c r="CA20" s="9">
        <f>IF(預測IC!CA22&gt;預測IC!CA$27,1,0)</f>
        <v>1</v>
      </c>
      <c r="CB20" s="9">
        <f>IF(預測IC!CB22&gt;預測IC!CB$27,1,0)</f>
        <v>1</v>
      </c>
      <c r="CC20" s="9">
        <f>IF(預測IC!CC22&gt;預測IC!CC$27,1,0)</f>
        <v>0</v>
      </c>
      <c r="CD20" s="9">
        <f>IF(預測IC!CD22&gt;預測IC!CD$27,1,0)</f>
        <v>0</v>
      </c>
      <c r="CE20" s="9">
        <f>IF(預測IC!CE22&gt;預測IC!CE$27,1,0)</f>
        <v>0</v>
      </c>
      <c r="CF20" s="9">
        <f>IF(預測IC!CF22&gt;預測IC!CF$27,1,0)</f>
        <v>1</v>
      </c>
      <c r="CG20" s="9">
        <f>IF(預測IC!CG22&gt;預測IC!CG$27,1,0)</f>
        <v>0</v>
      </c>
      <c r="CH20" s="9">
        <f>IF(預測IC!CH22&gt;預測IC!CH$27,1,0)</f>
        <v>0</v>
      </c>
      <c r="CI20" s="9">
        <f>IF(預測IC!CI22&gt;預測IC!CI$27,1,0)</f>
        <v>0</v>
      </c>
      <c r="CJ20" s="9">
        <f>IF(預測IC!CJ22&gt;預測IC!CJ$27,1,0)</f>
        <v>0</v>
      </c>
      <c r="CK20" s="9">
        <f>IF(預測IC!CK22&gt;預測IC!CK$27,1,0)</f>
        <v>0</v>
      </c>
      <c r="CL20" s="9">
        <f>IF(預測IC!CL22&gt;預測IC!CL$27,1,0)</f>
        <v>0</v>
      </c>
      <c r="CM20" s="9">
        <f>IF(預測IC!CM22&gt;預測IC!CM$27,1,0)</f>
        <v>1</v>
      </c>
      <c r="CN20" s="9">
        <f>IF(預測IC!CN22&gt;預測IC!CN$27,1,0)</f>
        <v>0</v>
      </c>
      <c r="CO20" s="9">
        <f>IF(預測IC!CO22&gt;預測IC!CO$27,1,0)</f>
        <v>0</v>
      </c>
      <c r="CP20" s="9">
        <f>IF(預測IC!CP22&gt;預測IC!CP$27,1,0)</f>
        <v>0</v>
      </c>
      <c r="CQ20" s="9">
        <f>IF(預測IC!CQ22&gt;預測IC!CQ$27,1,0)</f>
        <v>1</v>
      </c>
      <c r="CR20" s="9">
        <f>IF(預測IC!CR22&gt;預測IC!CR$27,1,0)</f>
        <v>0</v>
      </c>
      <c r="CS20" s="9">
        <f>IF(預測IC!CS22&gt;預測IC!CS$27,1,0)</f>
        <v>0</v>
      </c>
      <c r="CT20" s="9">
        <f>IF(預測IC!CT22&gt;預測IC!CT$27,1,0)</f>
        <v>0</v>
      </c>
      <c r="CU20" s="9">
        <f>IF(預測IC!CU22&gt;預測IC!CU$27,1,0)</f>
        <v>1</v>
      </c>
      <c r="CV20" s="9">
        <f>IF(預測IC!CV22&gt;預測IC!CV$27,1,0)</f>
        <v>1</v>
      </c>
      <c r="CW20" s="9">
        <f>IF(預測IC!CW22&gt;預測IC!CW$27,1,0)</f>
        <v>0</v>
      </c>
      <c r="CX20" s="9">
        <f>IF(預測IC!CX22&gt;預測IC!CX$27,1,0)</f>
        <v>1</v>
      </c>
      <c r="CY20" s="9">
        <f>IF(預測IC!CY22&gt;預測IC!CY$27,1,0)</f>
        <v>0</v>
      </c>
      <c r="CZ20" s="9">
        <f>IF(預測IC!CZ22&gt;預測IC!CZ$27,1,0)</f>
        <v>1</v>
      </c>
      <c r="DA20" s="9">
        <f>IF(預測IC!DA22&gt;預測IC!DA$27,1,0)</f>
        <v>1</v>
      </c>
      <c r="DB20" s="9">
        <f>IF(預測IC!DB22&gt;預測IC!DB$27,1,0)</f>
        <v>0</v>
      </c>
      <c r="DC20" s="9">
        <f>IF(預測IC!DC22&gt;預測IC!DC$27,1,0)</f>
        <v>1</v>
      </c>
      <c r="DD20" s="9">
        <f>IF(預測IC!DD22&gt;預測IC!DD$27,1,0)</f>
        <v>1</v>
      </c>
      <c r="DE20" s="9">
        <f>IF(預測IC!DE22&gt;預測IC!DE$27,1,0)</f>
        <v>0</v>
      </c>
      <c r="DF20" s="9">
        <f>IF(預測IC!DF22&gt;預測IC!DF$27,1,0)</f>
        <v>1</v>
      </c>
      <c r="DG20" s="9">
        <f>IF(預測IC!DG22&gt;預測IC!DG$27,1,0)</f>
        <v>0</v>
      </c>
      <c r="DH20" s="9">
        <f>IF(預測IC!DH22&gt;預測IC!DH$27,1,0)</f>
        <v>0</v>
      </c>
      <c r="DI20" s="9">
        <f>IF(預測IC!DI22&gt;預測IC!DI$27,1,0)</f>
        <v>0</v>
      </c>
      <c r="DJ20" s="9">
        <f>IF(預測IC!DJ22&gt;預測IC!DJ$27,1,0)</f>
        <v>1</v>
      </c>
      <c r="DK20" s="9">
        <f>IF(預測IC!DK22&gt;預測IC!DK$27,1,0)</f>
        <v>0</v>
      </c>
      <c r="DL20" s="9">
        <f>IF(預測IC!DL22&gt;預測IC!DL$27,1,0)</f>
        <v>1</v>
      </c>
      <c r="DM20" s="9">
        <f>IF(預測IC!DM22&gt;預測IC!DM$27,1,0)</f>
        <v>0</v>
      </c>
      <c r="DN20" s="9">
        <f>IF(預測IC!DN22&gt;預測IC!DN$27,1,0)</f>
        <v>1</v>
      </c>
      <c r="DO20" s="9">
        <f>IF(預測IC!DO22&gt;預測IC!DO$27,1,0)</f>
        <v>1</v>
      </c>
      <c r="DP20" s="9">
        <f>IF(預測IC!DP22&gt;預測IC!DP$27,1,0)</f>
        <v>1</v>
      </c>
      <c r="DQ20" s="9">
        <f>IF(預測IC!DQ22&gt;預測IC!DQ$27,1,0)</f>
        <v>0</v>
      </c>
      <c r="DR20" s="9">
        <f>IF(預測IC!DR22&gt;預測IC!DR$27,1,0)</f>
        <v>0</v>
      </c>
      <c r="DS20" s="9">
        <f>IF(預測IC!DS22&gt;預測IC!DS$27,1,0)</f>
        <v>0</v>
      </c>
      <c r="DT20" s="9">
        <f>IF(預測IC!DT22&gt;預測IC!DT$27,1,0)</f>
        <v>0</v>
      </c>
      <c r="DU20" s="9">
        <f>IF(預測IC!DU22&gt;預測IC!DU$27,1,0)</f>
        <v>0</v>
      </c>
      <c r="DV20" s="9">
        <f>IF(預測IC!DV22&gt;預測IC!DV$27,1,0)</f>
        <v>1</v>
      </c>
      <c r="DW20" s="9">
        <f>IF(預測IC!DW22&gt;預測IC!DW$27,1,0)</f>
        <v>1</v>
      </c>
      <c r="DX20" s="9">
        <f>IF(預測IC!DX22&gt;預測IC!DX$27,1,0)</f>
        <v>0</v>
      </c>
      <c r="DY20" s="9">
        <f>IF(預測IC!DY22&gt;預測IC!DY$27,1,0)</f>
        <v>1</v>
      </c>
      <c r="DZ20" s="9">
        <f>IF(預測IC!DZ22&gt;預測IC!DZ$27,1,0)</f>
        <v>1</v>
      </c>
      <c r="EA20" s="9">
        <f>IF(預測IC!EA22&gt;預測IC!EA$27,1,0)</f>
        <v>1</v>
      </c>
      <c r="EB20" s="9">
        <f>IF(預測IC!EB22&gt;預測IC!EB$27,1,0)</f>
        <v>1</v>
      </c>
      <c r="EC20" s="9">
        <f>IF(預測IC!EC22&gt;預測IC!EC$27,1,0)</f>
        <v>1</v>
      </c>
      <c r="ED20" s="9">
        <f>IF(預測IC!ED22&gt;預測IC!ED$27,1,0)</f>
        <v>0</v>
      </c>
      <c r="EE20" s="9">
        <f>IF(預測IC!EE22&gt;預測IC!EE$27,1,0)</f>
        <v>1</v>
      </c>
      <c r="EF20" s="9">
        <f>IF(預測IC!EF22&gt;預測IC!EF$27,1,0)</f>
        <v>1</v>
      </c>
      <c r="EG20" s="1">
        <f t="shared" si="0"/>
        <v>68</v>
      </c>
      <c r="EH20" s="47">
        <f t="shared" si="1"/>
        <v>0.5074626865671642</v>
      </c>
    </row>
    <row r="21" spans="1:138" ht="16" customHeight="1">
      <c r="A21" s="6">
        <v>241</v>
      </c>
      <c r="B21" s="6">
        <v>4</v>
      </c>
      <c r="C21" s="9">
        <f>IF(預測IC!C23&gt;預測IC!C$27,1,0)</f>
        <v>1</v>
      </c>
      <c r="D21" s="9">
        <f>IF(預測IC!D23&gt;預測IC!D$27,1,0)</f>
        <v>1</v>
      </c>
      <c r="E21" s="9">
        <f>IF(預測IC!E23&gt;預測IC!E$27,1,0)</f>
        <v>1</v>
      </c>
      <c r="F21" s="9">
        <f>IF(預測IC!F23&gt;預測IC!F$27,1,0)</f>
        <v>0</v>
      </c>
      <c r="G21" s="9">
        <f>IF(預測IC!G23&gt;預測IC!G$27,1,0)</f>
        <v>0</v>
      </c>
      <c r="H21" s="9">
        <f>IF(預測IC!H23&gt;預測IC!H$27,1,0)</f>
        <v>0</v>
      </c>
      <c r="I21" s="9">
        <f>IF(預測IC!I23&gt;預測IC!I$27,1,0)</f>
        <v>0</v>
      </c>
      <c r="J21" s="9">
        <f>IF(預測IC!J23&gt;預測IC!J$27,1,0)</f>
        <v>0</v>
      </c>
      <c r="K21" s="9">
        <f>IF(預測IC!K23&gt;預測IC!K$27,1,0)</f>
        <v>1</v>
      </c>
      <c r="L21" s="9">
        <f>IF(預測IC!L23&gt;預測IC!L$27,1,0)</f>
        <v>0</v>
      </c>
      <c r="M21" s="9">
        <f>IF(預測IC!M23&gt;預測IC!M$27,1,0)</f>
        <v>1</v>
      </c>
      <c r="N21" s="9">
        <f>IF(預測IC!N23&gt;預測IC!N$27,1,0)</f>
        <v>1</v>
      </c>
      <c r="O21" s="9">
        <f>IF(預測IC!O23&gt;預測IC!O$27,1,0)</f>
        <v>0</v>
      </c>
      <c r="P21" s="9">
        <f>IF(預測IC!P23&gt;預測IC!P$27,1,0)</f>
        <v>1</v>
      </c>
      <c r="Q21" s="9">
        <f>IF(預測IC!Q23&gt;預測IC!Q$27,1,0)</f>
        <v>1</v>
      </c>
      <c r="R21" s="9">
        <f>IF(預測IC!R23&gt;預測IC!R$27,1,0)</f>
        <v>0</v>
      </c>
      <c r="S21" s="9">
        <f>IF(預測IC!S23&gt;預測IC!S$27,1,0)</f>
        <v>0</v>
      </c>
      <c r="T21" s="9">
        <f>IF(預測IC!T23&gt;預測IC!T$27,1,0)</f>
        <v>0</v>
      </c>
      <c r="U21" s="9">
        <f>IF(預測IC!U23&gt;預測IC!U$27,1,0)</f>
        <v>0</v>
      </c>
      <c r="V21" s="9">
        <f>IF(預測IC!V23&gt;預測IC!V$27,1,0)</f>
        <v>1</v>
      </c>
      <c r="W21" s="9">
        <f>IF(預測IC!W23&gt;預測IC!W$27,1,0)</f>
        <v>0</v>
      </c>
      <c r="X21" s="9">
        <f>IF(預測IC!X23&gt;預測IC!X$27,1,0)</f>
        <v>1</v>
      </c>
      <c r="Y21" s="9">
        <f>IF(預測IC!Y23&gt;預測IC!Y$27,1,0)</f>
        <v>0</v>
      </c>
      <c r="Z21" s="9">
        <f>IF(預測IC!Z23&gt;預測IC!Z$27,1,0)</f>
        <v>1</v>
      </c>
      <c r="AA21" s="9">
        <f>IF(預測IC!AA23&gt;預測IC!AA$27,1,0)</f>
        <v>0</v>
      </c>
      <c r="AB21" s="9">
        <f>IF(預測IC!AB23&gt;預測IC!AB$27,1,0)</f>
        <v>0</v>
      </c>
      <c r="AC21" s="9">
        <f>IF(預測IC!AC23&gt;預測IC!AC$27,1,0)</f>
        <v>0</v>
      </c>
      <c r="AD21" s="9">
        <f>IF(預測IC!AD23&gt;預測IC!AD$27,1,0)</f>
        <v>1</v>
      </c>
      <c r="AE21" s="9">
        <f>IF(預測IC!AE23&gt;預測IC!AE$27,1,0)</f>
        <v>1</v>
      </c>
      <c r="AF21" s="9">
        <f>IF(預測IC!AF23&gt;預測IC!AF$27,1,0)</f>
        <v>1</v>
      </c>
      <c r="AG21" s="9">
        <f>IF(預測IC!AG23&gt;預測IC!AG$27,1,0)</f>
        <v>1</v>
      </c>
      <c r="AH21" s="9">
        <f>IF(預測IC!AH23&gt;預測IC!AH$27,1,0)</f>
        <v>1</v>
      </c>
      <c r="AI21" s="9">
        <f>IF(預測IC!AI23&gt;預測IC!AI$27,1,0)</f>
        <v>1</v>
      </c>
      <c r="AJ21" s="9">
        <f>IF(預測IC!AJ23&gt;預測IC!AJ$27,1,0)</f>
        <v>0</v>
      </c>
      <c r="AK21" s="9">
        <f>IF(預測IC!AK23&gt;預測IC!AK$27,1,0)</f>
        <v>1</v>
      </c>
      <c r="AL21" s="9">
        <f>IF(預測IC!AL23&gt;預測IC!AL$27,1,0)</f>
        <v>1</v>
      </c>
      <c r="AM21" s="9">
        <f>IF(預測IC!AM23&gt;預測IC!AM$27,1,0)</f>
        <v>1</v>
      </c>
      <c r="AN21" s="9">
        <f>IF(預測IC!AN23&gt;預測IC!AN$27,1,0)</f>
        <v>1</v>
      </c>
      <c r="AO21" s="9">
        <f>IF(預測IC!AO23&gt;預測IC!AO$27,1,0)</f>
        <v>1</v>
      </c>
      <c r="AP21" s="9">
        <f>IF(預測IC!AP23&gt;預測IC!AP$27,1,0)</f>
        <v>1</v>
      </c>
      <c r="AQ21" s="9">
        <f>IF(預測IC!AQ23&gt;預測IC!AQ$27,1,0)</f>
        <v>0</v>
      </c>
      <c r="AR21" s="9">
        <f>IF(預測IC!AR23&gt;預測IC!AR$27,1,0)</f>
        <v>0</v>
      </c>
      <c r="AS21" s="9">
        <f>IF(預測IC!AS23&gt;預測IC!AS$27,1,0)</f>
        <v>0</v>
      </c>
      <c r="AT21" s="9">
        <f>IF(預測IC!AT23&gt;預測IC!AT$27,1,0)</f>
        <v>1</v>
      </c>
      <c r="AU21" s="9">
        <f>IF(預測IC!AU23&gt;預測IC!AU$27,1,0)</f>
        <v>1</v>
      </c>
      <c r="AV21" s="9">
        <f>IF(預測IC!AV23&gt;預測IC!AV$27,1,0)</f>
        <v>1</v>
      </c>
      <c r="AW21" s="9">
        <f>IF(預測IC!AW23&gt;預測IC!AW$27,1,0)</f>
        <v>0</v>
      </c>
      <c r="AX21" s="9">
        <f>IF(預測IC!AX23&gt;預測IC!AX$27,1,0)</f>
        <v>0</v>
      </c>
      <c r="AY21" s="9">
        <f>IF(預測IC!AY23&gt;預測IC!AY$27,1,0)</f>
        <v>0</v>
      </c>
      <c r="AZ21" s="9">
        <f>IF(預測IC!AZ23&gt;預測IC!AZ$27,1,0)</f>
        <v>0</v>
      </c>
      <c r="BA21" s="9">
        <f>IF(預測IC!BA23&gt;預測IC!BA$27,1,0)</f>
        <v>1</v>
      </c>
      <c r="BB21" s="9">
        <f>IF(預測IC!BB23&gt;預測IC!BB$27,1,0)</f>
        <v>0</v>
      </c>
      <c r="BC21" s="9">
        <f>IF(預測IC!BC23&gt;預測IC!BC$27,1,0)</f>
        <v>0</v>
      </c>
      <c r="BD21" s="9">
        <f>IF(預測IC!BD23&gt;預測IC!BD$27,1,0)</f>
        <v>1</v>
      </c>
      <c r="BE21" s="9">
        <f>IF(預測IC!BE23&gt;預測IC!BE$27,1,0)</f>
        <v>0</v>
      </c>
      <c r="BF21" s="9">
        <f>IF(預測IC!BF23&gt;預測IC!BF$27,1,0)</f>
        <v>0</v>
      </c>
      <c r="BG21" s="9">
        <f>IF(預測IC!BG23&gt;預測IC!BG$27,1,0)</f>
        <v>1</v>
      </c>
      <c r="BH21" s="9">
        <f>IF(預測IC!BH23&gt;預測IC!BH$27,1,0)</f>
        <v>1</v>
      </c>
      <c r="BI21" s="9">
        <f>IF(預測IC!BI23&gt;預測IC!BI$27,1,0)</f>
        <v>1</v>
      </c>
      <c r="BJ21" s="9">
        <f>IF(預測IC!BJ23&gt;預測IC!BJ$27,1,0)</f>
        <v>1</v>
      </c>
      <c r="BK21" s="9">
        <f>IF(預測IC!BK23&gt;預測IC!BK$27,1,0)</f>
        <v>0</v>
      </c>
      <c r="BL21" s="9">
        <f>IF(預測IC!BL23&gt;預測IC!BL$27,1,0)</f>
        <v>1</v>
      </c>
      <c r="BM21" s="9">
        <f>IF(預測IC!BM23&gt;預測IC!BM$27,1,0)</f>
        <v>1</v>
      </c>
      <c r="BN21" s="9">
        <f>IF(預測IC!BN23&gt;預測IC!BN$27,1,0)</f>
        <v>0</v>
      </c>
      <c r="BO21" s="9">
        <f>IF(預測IC!BO23&gt;預測IC!BO$27,1,0)</f>
        <v>1</v>
      </c>
      <c r="BP21" s="9">
        <f>IF(預測IC!BP23&gt;預測IC!BP$27,1,0)</f>
        <v>0</v>
      </c>
      <c r="BQ21" s="9">
        <f>IF(預測IC!BQ23&gt;預測IC!BQ$27,1,0)</f>
        <v>0</v>
      </c>
      <c r="BR21" s="9">
        <f>IF(預測IC!BR23&gt;預測IC!BR$27,1,0)</f>
        <v>0</v>
      </c>
      <c r="BS21" s="9">
        <f>IF(預測IC!BS23&gt;預測IC!BS$27,1,0)</f>
        <v>0</v>
      </c>
      <c r="BT21" s="9">
        <f>IF(預測IC!BT23&gt;預測IC!BT$27,1,0)</f>
        <v>1</v>
      </c>
      <c r="BU21" s="9">
        <f>IF(預測IC!BU23&gt;預測IC!BU$27,1,0)</f>
        <v>0</v>
      </c>
      <c r="BV21" s="9">
        <f>IF(預測IC!BV23&gt;預測IC!BV$27,1,0)</f>
        <v>1</v>
      </c>
      <c r="BW21" s="9">
        <f>IF(預測IC!BW23&gt;預測IC!BW$27,1,0)</f>
        <v>1</v>
      </c>
      <c r="BX21" s="9">
        <f>IF(預測IC!BX23&gt;預測IC!BX$27,1,0)</f>
        <v>0</v>
      </c>
      <c r="BY21" s="9">
        <f>IF(預測IC!BY23&gt;預測IC!BY$27,1,0)</f>
        <v>1</v>
      </c>
      <c r="BZ21" s="9">
        <f>IF(預測IC!BZ23&gt;預測IC!BZ$27,1,0)</f>
        <v>0</v>
      </c>
      <c r="CA21" s="9">
        <f>IF(預測IC!CA23&gt;預測IC!CA$27,1,0)</f>
        <v>1</v>
      </c>
      <c r="CB21" s="9">
        <f>IF(預測IC!CB23&gt;預測IC!CB$27,1,0)</f>
        <v>1</v>
      </c>
      <c r="CC21" s="9">
        <f>IF(預測IC!CC23&gt;預測IC!CC$27,1,0)</f>
        <v>0</v>
      </c>
      <c r="CD21" s="9">
        <f>IF(預測IC!CD23&gt;預測IC!CD$27,1,0)</f>
        <v>1</v>
      </c>
      <c r="CE21" s="9">
        <f>IF(預測IC!CE23&gt;預測IC!CE$27,1,0)</f>
        <v>0</v>
      </c>
      <c r="CF21" s="9">
        <f>IF(預測IC!CF23&gt;預測IC!CF$27,1,0)</f>
        <v>1</v>
      </c>
      <c r="CG21" s="9">
        <f>IF(預測IC!CG23&gt;預測IC!CG$27,1,0)</f>
        <v>1</v>
      </c>
      <c r="CH21" s="9">
        <f>IF(預測IC!CH23&gt;預測IC!CH$27,1,0)</f>
        <v>0</v>
      </c>
      <c r="CI21" s="9">
        <f>IF(預測IC!CI23&gt;預測IC!CI$27,1,0)</f>
        <v>0</v>
      </c>
      <c r="CJ21" s="9">
        <f>IF(預測IC!CJ23&gt;預測IC!CJ$27,1,0)</f>
        <v>0</v>
      </c>
      <c r="CK21" s="9">
        <f>IF(預測IC!CK23&gt;預測IC!CK$27,1,0)</f>
        <v>0</v>
      </c>
      <c r="CL21" s="9">
        <f>IF(預測IC!CL23&gt;預測IC!CL$27,1,0)</f>
        <v>0</v>
      </c>
      <c r="CM21" s="9">
        <f>IF(預測IC!CM23&gt;預測IC!CM$27,1,0)</f>
        <v>1</v>
      </c>
      <c r="CN21" s="9">
        <f>IF(預測IC!CN23&gt;預測IC!CN$27,1,0)</f>
        <v>0</v>
      </c>
      <c r="CO21" s="9">
        <f>IF(預測IC!CO23&gt;預測IC!CO$27,1,0)</f>
        <v>0</v>
      </c>
      <c r="CP21" s="9">
        <f>IF(預測IC!CP23&gt;預測IC!CP$27,1,0)</f>
        <v>0</v>
      </c>
      <c r="CQ21" s="9">
        <f>IF(預測IC!CQ23&gt;預測IC!CQ$27,1,0)</f>
        <v>1</v>
      </c>
      <c r="CR21" s="9">
        <f>IF(預測IC!CR23&gt;預測IC!CR$27,1,0)</f>
        <v>0</v>
      </c>
      <c r="CS21" s="9">
        <f>IF(預測IC!CS23&gt;預測IC!CS$27,1,0)</f>
        <v>0</v>
      </c>
      <c r="CT21" s="9">
        <f>IF(預測IC!CT23&gt;預測IC!CT$27,1,0)</f>
        <v>0</v>
      </c>
      <c r="CU21" s="9">
        <f>IF(預測IC!CU23&gt;預測IC!CU$27,1,0)</f>
        <v>1</v>
      </c>
      <c r="CV21" s="9">
        <f>IF(預測IC!CV23&gt;預測IC!CV$27,1,0)</f>
        <v>1</v>
      </c>
      <c r="CW21" s="9">
        <f>IF(預測IC!CW23&gt;預測IC!CW$27,1,0)</f>
        <v>0</v>
      </c>
      <c r="CX21" s="9">
        <f>IF(預測IC!CX23&gt;預測IC!CX$27,1,0)</f>
        <v>1</v>
      </c>
      <c r="CY21" s="9">
        <f>IF(預測IC!CY23&gt;預測IC!CY$27,1,0)</f>
        <v>0</v>
      </c>
      <c r="CZ21" s="9">
        <f>IF(預測IC!CZ23&gt;預測IC!CZ$27,1,0)</f>
        <v>1</v>
      </c>
      <c r="DA21" s="9">
        <f>IF(預測IC!DA23&gt;預測IC!DA$27,1,0)</f>
        <v>0</v>
      </c>
      <c r="DB21" s="9">
        <f>IF(預測IC!DB23&gt;預測IC!DB$27,1,0)</f>
        <v>0</v>
      </c>
      <c r="DC21" s="9">
        <f>IF(預測IC!DC23&gt;預測IC!DC$27,1,0)</f>
        <v>0</v>
      </c>
      <c r="DD21" s="9">
        <f>IF(預測IC!DD23&gt;預測IC!DD$27,1,0)</f>
        <v>1</v>
      </c>
      <c r="DE21" s="9">
        <f>IF(預測IC!DE23&gt;預測IC!DE$27,1,0)</f>
        <v>0</v>
      </c>
      <c r="DF21" s="9">
        <f>IF(預測IC!DF23&gt;預測IC!DF$27,1,0)</f>
        <v>1</v>
      </c>
      <c r="DG21" s="9">
        <f>IF(預測IC!DG23&gt;預測IC!DG$27,1,0)</f>
        <v>0</v>
      </c>
      <c r="DH21" s="9">
        <f>IF(預測IC!DH23&gt;預測IC!DH$27,1,0)</f>
        <v>0</v>
      </c>
      <c r="DI21" s="9">
        <f>IF(預測IC!DI23&gt;預測IC!DI$27,1,0)</f>
        <v>0</v>
      </c>
      <c r="DJ21" s="9">
        <f>IF(預測IC!DJ23&gt;預測IC!DJ$27,1,0)</f>
        <v>0</v>
      </c>
      <c r="DK21" s="9">
        <f>IF(預測IC!DK23&gt;預測IC!DK$27,1,0)</f>
        <v>0</v>
      </c>
      <c r="DL21" s="9">
        <f>IF(預測IC!DL23&gt;預測IC!DL$27,1,0)</f>
        <v>0</v>
      </c>
      <c r="DM21" s="9">
        <f>IF(預測IC!DM23&gt;預測IC!DM$27,1,0)</f>
        <v>0</v>
      </c>
      <c r="DN21" s="9">
        <f>IF(預測IC!DN23&gt;預測IC!DN$27,1,0)</f>
        <v>1</v>
      </c>
      <c r="DO21" s="9">
        <f>IF(預測IC!DO23&gt;預測IC!DO$27,1,0)</f>
        <v>1</v>
      </c>
      <c r="DP21" s="9">
        <f>IF(預測IC!DP23&gt;預測IC!DP$27,1,0)</f>
        <v>1</v>
      </c>
      <c r="DQ21" s="9">
        <f>IF(預測IC!DQ23&gt;預測IC!DQ$27,1,0)</f>
        <v>0</v>
      </c>
      <c r="DR21" s="9">
        <f>IF(預測IC!DR23&gt;預測IC!DR$27,1,0)</f>
        <v>0</v>
      </c>
      <c r="DS21" s="9">
        <f>IF(預測IC!DS23&gt;預測IC!DS$27,1,0)</f>
        <v>0</v>
      </c>
      <c r="DT21" s="9">
        <f>IF(預測IC!DT23&gt;預測IC!DT$27,1,0)</f>
        <v>0</v>
      </c>
      <c r="DU21" s="9">
        <f>IF(預測IC!DU23&gt;預測IC!DU$27,1,0)</f>
        <v>0</v>
      </c>
      <c r="DV21" s="9">
        <f>IF(預測IC!DV23&gt;預測IC!DV$27,1,0)</f>
        <v>0</v>
      </c>
      <c r="DW21" s="9">
        <f>IF(預測IC!DW23&gt;預測IC!DW$27,1,0)</f>
        <v>1</v>
      </c>
      <c r="DX21" s="9">
        <f>IF(預測IC!DX23&gt;預測IC!DX$27,1,0)</f>
        <v>0</v>
      </c>
      <c r="DY21" s="9">
        <f>IF(預測IC!DY23&gt;預測IC!DY$27,1,0)</f>
        <v>0</v>
      </c>
      <c r="DZ21" s="9">
        <f>IF(預測IC!DZ23&gt;預測IC!DZ$27,1,0)</f>
        <v>1</v>
      </c>
      <c r="EA21" s="9">
        <f>IF(預測IC!EA23&gt;預測IC!EA$27,1,0)</f>
        <v>1</v>
      </c>
      <c r="EB21" s="9">
        <f>IF(預測IC!EB23&gt;預測IC!EB$27,1,0)</f>
        <v>1</v>
      </c>
      <c r="EC21" s="9">
        <f>IF(預測IC!EC23&gt;預測IC!EC$27,1,0)</f>
        <v>1</v>
      </c>
      <c r="ED21" s="9">
        <f>IF(預測IC!ED23&gt;預測IC!ED$27,1,0)</f>
        <v>0</v>
      </c>
      <c r="EE21" s="9">
        <f>IF(預測IC!EE23&gt;預測IC!EE$27,1,0)</f>
        <v>1</v>
      </c>
      <c r="EF21" s="9">
        <f>IF(預測IC!EF23&gt;預測IC!EF$27,1,0)</f>
        <v>1</v>
      </c>
      <c r="EG21" s="1">
        <f t="shared" si="0"/>
        <v>62</v>
      </c>
      <c r="EH21" s="2">
        <f t="shared" si="1"/>
        <v>0.46268656716417911</v>
      </c>
    </row>
    <row r="22" spans="1:138" ht="16" customHeight="1">
      <c r="A22" s="6">
        <v>321</v>
      </c>
      <c r="B22" s="6">
        <v>3</v>
      </c>
      <c r="C22" s="9">
        <f>IF(預測IC!C24&gt;預測IC!C$27,1,0)</f>
        <v>1</v>
      </c>
      <c r="D22" s="9">
        <f>IF(預測IC!D24&gt;預測IC!D$27,1,0)</f>
        <v>1</v>
      </c>
      <c r="E22" s="9">
        <f>IF(預測IC!E24&gt;預測IC!E$27,1,0)</f>
        <v>1</v>
      </c>
      <c r="F22" s="9">
        <f>IF(預測IC!F24&gt;預測IC!F$27,1,0)</f>
        <v>0</v>
      </c>
      <c r="G22" s="9">
        <f>IF(預測IC!G24&gt;預測IC!G$27,1,0)</f>
        <v>1</v>
      </c>
      <c r="H22" s="9">
        <f>IF(預測IC!H24&gt;預測IC!H$27,1,0)</f>
        <v>0</v>
      </c>
      <c r="I22" s="9">
        <f>IF(預測IC!I24&gt;預測IC!I$27,1,0)</f>
        <v>0</v>
      </c>
      <c r="J22" s="9">
        <f>IF(預測IC!J24&gt;預測IC!J$27,1,0)</f>
        <v>0</v>
      </c>
      <c r="K22" s="9">
        <f>IF(預測IC!K24&gt;預測IC!K$27,1,0)</f>
        <v>1</v>
      </c>
      <c r="L22" s="9">
        <f>IF(預測IC!L24&gt;預測IC!L$27,1,0)</f>
        <v>0</v>
      </c>
      <c r="M22" s="9">
        <f>IF(預測IC!M24&gt;預測IC!M$27,1,0)</f>
        <v>1</v>
      </c>
      <c r="N22" s="9">
        <f>IF(預測IC!N24&gt;預測IC!N$27,1,0)</f>
        <v>1</v>
      </c>
      <c r="O22" s="9">
        <f>IF(預測IC!O24&gt;預測IC!O$27,1,0)</f>
        <v>0</v>
      </c>
      <c r="P22" s="9">
        <f>IF(預測IC!P24&gt;預測IC!P$27,1,0)</f>
        <v>0</v>
      </c>
      <c r="Q22" s="9">
        <f>IF(預測IC!Q24&gt;預測IC!Q$27,1,0)</f>
        <v>1</v>
      </c>
      <c r="R22" s="9">
        <f>IF(預測IC!R24&gt;預測IC!R$27,1,0)</f>
        <v>0</v>
      </c>
      <c r="S22" s="9">
        <f>IF(預測IC!S24&gt;預測IC!S$27,1,0)</f>
        <v>0</v>
      </c>
      <c r="T22" s="9">
        <f>IF(預測IC!T24&gt;預測IC!T$27,1,0)</f>
        <v>0</v>
      </c>
      <c r="U22" s="9">
        <f>IF(預測IC!U24&gt;預測IC!U$27,1,0)</f>
        <v>0</v>
      </c>
      <c r="V22" s="9">
        <f>IF(預測IC!V24&gt;預測IC!V$27,1,0)</f>
        <v>1</v>
      </c>
      <c r="W22" s="9">
        <f>IF(預測IC!W24&gt;預測IC!W$27,1,0)</f>
        <v>0</v>
      </c>
      <c r="X22" s="9">
        <f>IF(預測IC!X24&gt;預測IC!X$27,1,0)</f>
        <v>1</v>
      </c>
      <c r="Y22" s="9">
        <f>IF(預測IC!Y24&gt;預測IC!Y$27,1,0)</f>
        <v>0</v>
      </c>
      <c r="Z22" s="9">
        <f>IF(預測IC!Z24&gt;預測IC!Z$27,1,0)</f>
        <v>1</v>
      </c>
      <c r="AA22" s="9">
        <f>IF(預測IC!AA24&gt;預測IC!AA$27,1,0)</f>
        <v>0</v>
      </c>
      <c r="AB22" s="9">
        <f>IF(預測IC!AB24&gt;預測IC!AB$27,1,0)</f>
        <v>0</v>
      </c>
      <c r="AC22" s="9">
        <f>IF(預測IC!AC24&gt;預測IC!AC$27,1,0)</f>
        <v>1</v>
      </c>
      <c r="AD22" s="9">
        <f>IF(預測IC!AD24&gt;預測IC!AD$27,1,0)</f>
        <v>1</v>
      </c>
      <c r="AE22" s="9">
        <f>IF(預測IC!AE24&gt;預測IC!AE$27,1,0)</f>
        <v>1</v>
      </c>
      <c r="AF22" s="9">
        <f>IF(預測IC!AF24&gt;預測IC!AF$27,1,0)</f>
        <v>1</v>
      </c>
      <c r="AG22" s="9">
        <f>IF(預測IC!AG24&gt;預測IC!AG$27,1,0)</f>
        <v>1</v>
      </c>
      <c r="AH22" s="9">
        <f>IF(預測IC!AH24&gt;預測IC!AH$27,1,0)</f>
        <v>1</v>
      </c>
      <c r="AI22" s="9">
        <f>IF(預測IC!AI24&gt;預測IC!AI$27,1,0)</f>
        <v>1</v>
      </c>
      <c r="AJ22" s="9">
        <f>IF(預測IC!AJ24&gt;預測IC!AJ$27,1,0)</f>
        <v>1</v>
      </c>
      <c r="AK22" s="9">
        <f>IF(預測IC!AK24&gt;預測IC!AK$27,1,0)</f>
        <v>1</v>
      </c>
      <c r="AL22" s="9">
        <f>IF(預測IC!AL24&gt;預測IC!AL$27,1,0)</f>
        <v>1</v>
      </c>
      <c r="AM22" s="9">
        <f>IF(預測IC!AM24&gt;預測IC!AM$27,1,0)</f>
        <v>1</v>
      </c>
      <c r="AN22" s="9">
        <f>IF(預測IC!AN24&gt;預測IC!AN$27,1,0)</f>
        <v>1</v>
      </c>
      <c r="AO22" s="9">
        <f>IF(預測IC!AO24&gt;預測IC!AO$27,1,0)</f>
        <v>1</v>
      </c>
      <c r="AP22" s="9">
        <f>IF(預測IC!AP24&gt;預測IC!AP$27,1,0)</f>
        <v>1</v>
      </c>
      <c r="AQ22" s="9">
        <f>IF(預測IC!AQ24&gt;預測IC!AQ$27,1,0)</f>
        <v>0</v>
      </c>
      <c r="AR22" s="9">
        <f>IF(預測IC!AR24&gt;預測IC!AR$27,1,0)</f>
        <v>0</v>
      </c>
      <c r="AS22" s="9">
        <f>IF(預測IC!AS24&gt;預測IC!AS$27,1,0)</f>
        <v>0</v>
      </c>
      <c r="AT22" s="9">
        <f>IF(預測IC!AT24&gt;預測IC!AT$27,1,0)</f>
        <v>1</v>
      </c>
      <c r="AU22" s="9">
        <f>IF(預測IC!AU24&gt;預測IC!AU$27,1,0)</f>
        <v>1</v>
      </c>
      <c r="AV22" s="9">
        <f>IF(預測IC!AV24&gt;預測IC!AV$27,1,0)</f>
        <v>1</v>
      </c>
      <c r="AW22" s="9">
        <f>IF(預測IC!AW24&gt;預測IC!AW$27,1,0)</f>
        <v>0</v>
      </c>
      <c r="AX22" s="9">
        <f>IF(預測IC!AX24&gt;預測IC!AX$27,1,0)</f>
        <v>0</v>
      </c>
      <c r="AY22" s="9">
        <f>IF(預測IC!AY24&gt;預測IC!AY$27,1,0)</f>
        <v>0</v>
      </c>
      <c r="AZ22" s="9">
        <f>IF(預測IC!AZ24&gt;預測IC!AZ$27,1,0)</f>
        <v>0</v>
      </c>
      <c r="BA22" s="9">
        <f>IF(預測IC!BA24&gt;預測IC!BA$27,1,0)</f>
        <v>1</v>
      </c>
      <c r="BB22" s="9">
        <f>IF(預測IC!BB24&gt;預測IC!BB$27,1,0)</f>
        <v>0</v>
      </c>
      <c r="BC22" s="9">
        <f>IF(預測IC!BC24&gt;預測IC!BC$27,1,0)</f>
        <v>0</v>
      </c>
      <c r="BD22" s="9">
        <f>IF(預測IC!BD24&gt;預測IC!BD$27,1,0)</f>
        <v>1</v>
      </c>
      <c r="BE22" s="9">
        <f>IF(預測IC!BE24&gt;預測IC!BE$27,1,0)</f>
        <v>0</v>
      </c>
      <c r="BF22" s="9">
        <f>IF(預測IC!BF24&gt;預測IC!BF$27,1,0)</f>
        <v>0</v>
      </c>
      <c r="BG22" s="9">
        <f>IF(預測IC!BG24&gt;預測IC!BG$27,1,0)</f>
        <v>0</v>
      </c>
      <c r="BH22" s="9">
        <f>IF(預測IC!BH24&gt;預測IC!BH$27,1,0)</f>
        <v>1</v>
      </c>
      <c r="BI22" s="9">
        <f>IF(預測IC!BI24&gt;預測IC!BI$27,1,0)</f>
        <v>1</v>
      </c>
      <c r="BJ22" s="9">
        <f>IF(預測IC!BJ24&gt;預測IC!BJ$27,1,0)</f>
        <v>1</v>
      </c>
      <c r="BK22" s="9">
        <f>IF(預測IC!BK24&gt;預測IC!BK$27,1,0)</f>
        <v>0</v>
      </c>
      <c r="BL22" s="9">
        <f>IF(預測IC!BL24&gt;預測IC!BL$27,1,0)</f>
        <v>1</v>
      </c>
      <c r="BM22" s="9">
        <f>IF(預測IC!BM24&gt;預測IC!BM$27,1,0)</f>
        <v>1</v>
      </c>
      <c r="BN22" s="9">
        <f>IF(預測IC!BN24&gt;預測IC!BN$27,1,0)</f>
        <v>1</v>
      </c>
      <c r="BO22" s="9">
        <f>IF(預測IC!BO24&gt;預測IC!BO$27,1,0)</f>
        <v>1</v>
      </c>
      <c r="BP22" s="9">
        <f>IF(預測IC!BP24&gt;預測IC!BP$27,1,0)</f>
        <v>0</v>
      </c>
      <c r="BQ22" s="9">
        <f>IF(預測IC!BQ24&gt;預測IC!BQ$27,1,0)</f>
        <v>0</v>
      </c>
      <c r="BR22" s="9">
        <f>IF(預測IC!BR24&gt;預測IC!BR$27,1,0)</f>
        <v>0</v>
      </c>
      <c r="BS22" s="9">
        <f>IF(預測IC!BS24&gt;預測IC!BS$27,1,0)</f>
        <v>0</v>
      </c>
      <c r="BT22" s="9">
        <f>IF(預測IC!BT24&gt;預測IC!BT$27,1,0)</f>
        <v>1</v>
      </c>
      <c r="BU22" s="9">
        <f>IF(預測IC!BU24&gt;預測IC!BU$27,1,0)</f>
        <v>0</v>
      </c>
      <c r="BV22" s="9">
        <f>IF(預測IC!BV24&gt;預測IC!BV$27,1,0)</f>
        <v>1</v>
      </c>
      <c r="BW22" s="9">
        <f>IF(預測IC!BW24&gt;預測IC!BW$27,1,0)</f>
        <v>1</v>
      </c>
      <c r="BX22" s="9">
        <f>IF(預測IC!BX24&gt;預測IC!BX$27,1,0)</f>
        <v>1</v>
      </c>
      <c r="BY22" s="9">
        <f>IF(預測IC!BY24&gt;預測IC!BY$27,1,0)</f>
        <v>1</v>
      </c>
      <c r="BZ22" s="9">
        <f>IF(預測IC!BZ24&gt;預測IC!BZ$27,1,0)</f>
        <v>0</v>
      </c>
      <c r="CA22" s="9">
        <f>IF(預測IC!CA24&gt;預測IC!CA$27,1,0)</f>
        <v>1</v>
      </c>
      <c r="CB22" s="9">
        <f>IF(預測IC!CB24&gt;預測IC!CB$27,1,0)</f>
        <v>1</v>
      </c>
      <c r="CC22" s="9">
        <f>IF(預測IC!CC24&gt;預測IC!CC$27,1,0)</f>
        <v>0</v>
      </c>
      <c r="CD22" s="9">
        <f>IF(預測IC!CD24&gt;預測IC!CD$27,1,0)</f>
        <v>1</v>
      </c>
      <c r="CE22" s="9">
        <f>IF(預測IC!CE24&gt;預測IC!CE$27,1,0)</f>
        <v>0</v>
      </c>
      <c r="CF22" s="9">
        <f>IF(預測IC!CF24&gt;預測IC!CF$27,1,0)</f>
        <v>1</v>
      </c>
      <c r="CG22" s="9">
        <f>IF(預測IC!CG24&gt;預測IC!CG$27,1,0)</f>
        <v>1</v>
      </c>
      <c r="CH22" s="9">
        <f>IF(預測IC!CH24&gt;預測IC!CH$27,1,0)</f>
        <v>0</v>
      </c>
      <c r="CI22" s="9">
        <f>IF(預測IC!CI24&gt;預測IC!CI$27,1,0)</f>
        <v>0</v>
      </c>
      <c r="CJ22" s="9">
        <f>IF(預測IC!CJ24&gt;預測IC!CJ$27,1,0)</f>
        <v>0</v>
      </c>
      <c r="CK22" s="9">
        <f>IF(預測IC!CK24&gt;預測IC!CK$27,1,0)</f>
        <v>0</v>
      </c>
      <c r="CL22" s="9">
        <f>IF(預測IC!CL24&gt;預測IC!CL$27,1,0)</f>
        <v>0</v>
      </c>
      <c r="CM22" s="9">
        <f>IF(預測IC!CM24&gt;預測IC!CM$27,1,0)</f>
        <v>1</v>
      </c>
      <c r="CN22" s="9">
        <f>IF(預測IC!CN24&gt;預測IC!CN$27,1,0)</f>
        <v>0</v>
      </c>
      <c r="CO22" s="9">
        <f>IF(預測IC!CO24&gt;預測IC!CO$27,1,0)</f>
        <v>0</v>
      </c>
      <c r="CP22" s="9">
        <f>IF(預測IC!CP24&gt;預測IC!CP$27,1,0)</f>
        <v>0</v>
      </c>
      <c r="CQ22" s="9">
        <f>IF(預測IC!CQ24&gt;預測IC!CQ$27,1,0)</f>
        <v>1</v>
      </c>
      <c r="CR22" s="9">
        <f>IF(預測IC!CR24&gt;預測IC!CR$27,1,0)</f>
        <v>0</v>
      </c>
      <c r="CS22" s="9">
        <f>IF(預測IC!CS24&gt;預測IC!CS$27,1,0)</f>
        <v>0</v>
      </c>
      <c r="CT22" s="9">
        <f>IF(預測IC!CT24&gt;預測IC!CT$27,1,0)</f>
        <v>0</v>
      </c>
      <c r="CU22" s="9">
        <f>IF(預測IC!CU24&gt;預測IC!CU$27,1,0)</f>
        <v>1</v>
      </c>
      <c r="CV22" s="9">
        <f>IF(預測IC!CV24&gt;預測IC!CV$27,1,0)</f>
        <v>1</v>
      </c>
      <c r="CW22" s="9">
        <f>IF(預測IC!CW24&gt;預測IC!CW$27,1,0)</f>
        <v>0</v>
      </c>
      <c r="CX22" s="9">
        <f>IF(預測IC!CX24&gt;預測IC!CX$27,1,0)</f>
        <v>1</v>
      </c>
      <c r="CY22" s="9">
        <f>IF(預測IC!CY24&gt;預測IC!CY$27,1,0)</f>
        <v>0</v>
      </c>
      <c r="CZ22" s="9">
        <f>IF(預測IC!CZ24&gt;預測IC!CZ$27,1,0)</f>
        <v>1</v>
      </c>
      <c r="DA22" s="9">
        <f>IF(預測IC!DA24&gt;預測IC!DA$27,1,0)</f>
        <v>0</v>
      </c>
      <c r="DB22" s="9">
        <f>IF(預測IC!DB24&gt;預測IC!DB$27,1,0)</f>
        <v>0</v>
      </c>
      <c r="DC22" s="9">
        <f>IF(預測IC!DC24&gt;預測IC!DC$27,1,0)</f>
        <v>1</v>
      </c>
      <c r="DD22" s="9">
        <f>IF(預測IC!DD24&gt;預測IC!DD$27,1,0)</f>
        <v>1</v>
      </c>
      <c r="DE22" s="9">
        <f>IF(預測IC!DE24&gt;預測IC!DE$27,1,0)</f>
        <v>0</v>
      </c>
      <c r="DF22" s="9">
        <f>IF(預測IC!DF24&gt;預測IC!DF$27,1,0)</f>
        <v>1</v>
      </c>
      <c r="DG22" s="9">
        <f>IF(預測IC!DG24&gt;預測IC!DG$27,1,0)</f>
        <v>0</v>
      </c>
      <c r="DH22" s="9">
        <f>IF(預測IC!DH24&gt;預測IC!DH$27,1,0)</f>
        <v>0</v>
      </c>
      <c r="DI22" s="9">
        <f>IF(預測IC!DI24&gt;預測IC!DI$27,1,0)</f>
        <v>0</v>
      </c>
      <c r="DJ22" s="9">
        <f>IF(預測IC!DJ24&gt;預測IC!DJ$27,1,0)</f>
        <v>0</v>
      </c>
      <c r="DK22" s="9">
        <f>IF(預測IC!DK24&gt;預測IC!DK$27,1,0)</f>
        <v>0</v>
      </c>
      <c r="DL22" s="9">
        <f>IF(預測IC!DL24&gt;預測IC!DL$27,1,0)</f>
        <v>0</v>
      </c>
      <c r="DM22" s="9">
        <f>IF(預測IC!DM24&gt;預測IC!DM$27,1,0)</f>
        <v>0</v>
      </c>
      <c r="DN22" s="9">
        <f>IF(預測IC!DN24&gt;預測IC!DN$27,1,0)</f>
        <v>1</v>
      </c>
      <c r="DO22" s="9">
        <f>IF(預測IC!DO24&gt;預測IC!DO$27,1,0)</f>
        <v>1</v>
      </c>
      <c r="DP22" s="9">
        <f>IF(預測IC!DP24&gt;預測IC!DP$27,1,0)</f>
        <v>1</v>
      </c>
      <c r="DQ22" s="9">
        <f>IF(預測IC!DQ24&gt;預測IC!DQ$27,1,0)</f>
        <v>0</v>
      </c>
      <c r="DR22" s="9">
        <f>IF(預測IC!DR24&gt;預測IC!DR$27,1,0)</f>
        <v>0</v>
      </c>
      <c r="DS22" s="9">
        <f>IF(預測IC!DS24&gt;預測IC!DS$27,1,0)</f>
        <v>0</v>
      </c>
      <c r="DT22" s="9">
        <f>IF(預測IC!DT24&gt;預測IC!DT$27,1,0)</f>
        <v>0</v>
      </c>
      <c r="DU22" s="9">
        <f>IF(預測IC!DU24&gt;預測IC!DU$27,1,0)</f>
        <v>0</v>
      </c>
      <c r="DV22" s="9">
        <f>IF(預測IC!DV24&gt;預測IC!DV$27,1,0)</f>
        <v>0</v>
      </c>
      <c r="DW22" s="9">
        <f>IF(預測IC!DW24&gt;預測IC!DW$27,1,0)</f>
        <v>0</v>
      </c>
      <c r="DX22" s="9">
        <f>IF(預測IC!DX24&gt;預測IC!DX$27,1,0)</f>
        <v>0</v>
      </c>
      <c r="DY22" s="9">
        <f>IF(預測IC!DY24&gt;預測IC!DY$27,1,0)</f>
        <v>0</v>
      </c>
      <c r="DZ22" s="9">
        <f>IF(預測IC!DZ24&gt;預測IC!DZ$27,1,0)</f>
        <v>0</v>
      </c>
      <c r="EA22" s="9">
        <f>IF(預測IC!EA24&gt;預測IC!EA$27,1,0)</f>
        <v>1</v>
      </c>
      <c r="EB22" s="9">
        <f>IF(預測IC!EB24&gt;預測IC!EB$27,1,0)</f>
        <v>1</v>
      </c>
      <c r="EC22" s="9">
        <f>IF(預測IC!EC24&gt;預測IC!EC$27,1,0)</f>
        <v>1</v>
      </c>
      <c r="ED22" s="9">
        <f>IF(預測IC!ED24&gt;預測IC!ED$27,1,0)</f>
        <v>0</v>
      </c>
      <c r="EE22" s="9">
        <f>IF(預測IC!EE24&gt;預測IC!EE$27,1,0)</f>
        <v>1</v>
      </c>
      <c r="EF22" s="9">
        <f>IF(預測IC!EF24&gt;預測IC!EF$27,1,0)</f>
        <v>1</v>
      </c>
      <c r="EG22" s="1">
        <f t="shared" si="0"/>
        <v>64</v>
      </c>
      <c r="EH22" s="2">
        <f t="shared" si="1"/>
        <v>0.47761194029850745</v>
      </c>
    </row>
    <row r="23" spans="1:138" ht="16" customHeight="1">
      <c r="A23" s="6">
        <v>482</v>
      </c>
      <c r="B23" s="6">
        <v>2</v>
      </c>
      <c r="C23" s="9">
        <f>IF(預測IC!C25&gt;預測IC!C$27,1,0)</f>
        <v>1</v>
      </c>
      <c r="D23" s="9">
        <f>IF(預測IC!D25&gt;預測IC!D$27,1,0)</f>
        <v>1</v>
      </c>
      <c r="E23" s="9">
        <f>IF(預測IC!E25&gt;預測IC!E$27,1,0)</f>
        <v>1</v>
      </c>
      <c r="F23" s="9">
        <f>IF(預測IC!F25&gt;預測IC!F$27,1,0)</f>
        <v>0</v>
      </c>
      <c r="G23" s="9">
        <f>IF(預測IC!G25&gt;預測IC!G$27,1,0)</f>
        <v>1</v>
      </c>
      <c r="H23" s="9">
        <f>IF(預測IC!H25&gt;預測IC!H$27,1,0)</f>
        <v>0</v>
      </c>
      <c r="I23" s="9">
        <f>IF(預測IC!I25&gt;預測IC!I$27,1,0)</f>
        <v>0</v>
      </c>
      <c r="J23" s="9">
        <f>IF(預測IC!J25&gt;預測IC!J$27,1,0)</f>
        <v>1</v>
      </c>
      <c r="K23" s="9">
        <f>IF(預測IC!K25&gt;預測IC!K$27,1,0)</f>
        <v>1</v>
      </c>
      <c r="L23" s="9">
        <f>IF(預測IC!L25&gt;預測IC!L$27,1,0)</f>
        <v>0</v>
      </c>
      <c r="M23" s="9">
        <f>IF(預測IC!M25&gt;預測IC!M$27,1,0)</f>
        <v>0</v>
      </c>
      <c r="N23" s="9">
        <f>IF(預測IC!N25&gt;預測IC!N$27,1,0)</f>
        <v>1</v>
      </c>
      <c r="O23" s="9">
        <f>IF(預測IC!O25&gt;預測IC!O$27,1,0)</f>
        <v>0</v>
      </c>
      <c r="P23" s="9">
        <f>IF(預測IC!P25&gt;預測IC!P$27,1,0)</f>
        <v>0</v>
      </c>
      <c r="Q23" s="9">
        <f>IF(預測IC!Q25&gt;預測IC!Q$27,1,0)</f>
        <v>1</v>
      </c>
      <c r="R23" s="9">
        <f>IF(預測IC!R25&gt;預測IC!R$27,1,0)</f>
        <v>0</v>
      </c>
      <c r="S23" s="9">
        <f>IF(預測IC!S25&gt;預測IC!S$27,1,0)</f>
        <v>0</v>
      </c>
      <c r="T23" s="9">
        <f>IF(預測IC!T25&gt;預測IC!T$27,1,0)</f>
        <v>1</v>
      </c>
      <c r="U23" s="9">
        <f>IF(預測IC!U25&gt;預測IC!U$27,1,0)</f>
        <v>0</v>
      </c>
      <c r="V23" s="9">
        <f>IF(預測IC!V25&gt;預測IC!V$27,1,0)</f>
        <v>1</v>
      </c>
      <c r="W23" s="9">
        <f>IF(預測IC!W25&gt;預測IC!W$27,1,0)</f>
        <v>1</v>
      </c>
      <c r="X23" s="9">
        <f>IF(預測IC!X25&gt;預測IC!X$27,1,0)</f>
        <v>1</v>
      </c>
      <c r="Y23" s="9">
        <f>IF(預測IC!Y25&gt;預測IC!Y$27,1,0)</f>
        <v>0</v>
      </c>
      <c r="Z23" s="9">
        <f>IF(預測IC!Z25&gt;預測IC!Z$27,1,0)</f>
        <v>0</v>
      </c>
      <c r="AA23" s="9">
        <f>IF(預測IC!AA25&gt;預測IC!AA$27,1,0)</f>
        <v>0</v>
      </c>
      <c r="AB23" s="9">
        <f>IF(預測IC!AB25&gt;預測IC!AB$27,1,0)</f>
        <v>0</v>
      </c>
      <c r="AC23" s="9">
        <f>IF(預測IC!AC25&gt;預測IC!AC$27,1,0)</f>
        <v>1</v>
      </c>
      <c r="AD23" s="9">
        <f>IF(預測IC!AD25&gt;預測IC!AD$27,1,0)</f>
        <v>1</v>
      </c>
      <c r="AE23" s="9">
        <f>IF(預測IC!AE25&gt;預測IC!AE$27,1,0)</f>
        <v>1</v>
      </c>
      <c r="AF23" s="9">
        <f>IF(預測IC!AF25&gt;預測IC!AF$27,1,0)</f>
        <v>1</v>
      </c>
      <c r="AG23" s="9">
        <f>IF(預測IC!AG25&gt;預測IC!AG$27,1,0)</f>
        <v>1</v>
      </c>
      <c r="AH23" s="9">
        <f>IF(預測IC!AH25&gt;預測IC!AH$27,1,0)</f>
        <v>1</v>
      </c>
      <c r="AI23" s="9">
        <f>IF(預測IC!AI25&gt;預測IC!AI$27,1,0)</f>
        <v>1</v>
      </c>
      <c r="AJ23" s="9">
        <f>IF(預測IC!AJ25&gt;預測IC!AJ$27,1,0)</f>
        <v>1</v>
      </c>
      <c r="AK23" s="9">
        <f>IF(預測IC!AK25&gt;預測IC!AK$27,1,0)</f>
        <v>1</v>
      </c>
      <c r="AL23" s="9">
        <f>IF(預測IC!AL25&gt;預測IC!AL$27,1,0)</f>
        <v>1</v>
      </c>
      <c r="AM23" s="9">
        <f>IF(預測IC!AM25&gt;預測IC!AM$27,1,0)</f>
        <v>0</v>
      </c>
      <c r="AN23" s="9">
        <f>IF(預測IC!AN25&gt;預測IC!AN$27,1,0)</f>
        <v>1</v>
      </c>
      <c r="AO23" s="9">
        <f>IF(預測IC!AO25&gt;預測IC!AO$27,1,0)</f>
        <v>1</v>
      </c>
      <c r="AP23" s="9">
        <f>IF(預測IC!AP25&gt;預測IC!AP$27,1,0)</f>
        <v>1</v>
      </c>
      <c r="AQ23" s="9">
        <f>IF(預測IC!AQ25&gt;預測IC!AQ$27,1,0)</f>
        <v>1</v>
      </c>
      <c r="AR23" s="9">
        <f>IF(預測IC!AR25&gt;預測IC!AR$27,1,0)</f>
        <v>0</v>
      </c>
      <c r="AS23" s="9">
        <f>IF(預測IC!AS25&gt;預測IC!AS$27,1,0)</f>
        <v>0</v>
      </c>
      <c r="AT23" s="9">
        <f>IF(預測IC!AT25&gt;預測IC!AT$27,1,0)</f>
        <v>1</v>
      </c>
      <c r="AU23" s="9">
        <f>IF(預測IC!AU25&gt;預測IC!AU$27,1,0)</f>
        <v>1</v>
      </c>
      <c r="AV23" s="9">
        <f>IF(預測IC!AV25&gt;預測IC!AV$27,1,0)</f>
        <v>1</v>
      </c>
      <c r="AW23" s="9">
        <f>IF(預測IC!AW25&gt;預測IC!AW$27,1,0)</f>
        <v>0</v>
      </c>
      <c r="AX23" s="9">
        <f>IF(預測IC!AX25&gt;預測IC!AX$27,1,0)</f>
        <v>0</v>
      </c>
      <c r="AY23" s="9">
        <f>IF(預測IC!AY25&gt;預測IC!AY$27,1,0)</f>
        <v>0</v>
      </c>
      <c r="AZ23" s="9">
        <f>IF(預測IC!AZ25&gt;預測IC!AZ$27,1,0)</f>
        <v>0</v>
      </c>
      <c r="BA23" s="9">
        <f>IF(預測IC!BA25&gt;預測IC!BA$27,1,0)</f>
        <v>1</v>
      </c>
      <c r="BB23" s="9">
        <f>IF(預測IC!BB25&gt;預測IC!BB$27,1,0)</f>
        <v>0</v>
      </c>
      <c r="BC23" s="9">
        <f>IF(預測IC!BC25&gt;預測IC!BC$27,1,0)</f>
        <v>0</v>
      </c>
      <c r="BD23" s="9">
        <f>IF(預測IC!BD25&gt;預測IC!BD$27,1,0)</f>
        <v>1</v>
      </c>
      <c r="BE23" s="9">
        <f>IF(預測IC!BE25&gt;預測IC!BE$27,1,0)</f>
        <v>1</v>
      </c>
      <c r="BF23" s="9">
        <f>IF(預測IC!BF25&gt;預測IC!BF$27,1,0)</f>
        <v>0</v>
      </c>
      <c r="BG23" s="9">
        <f>IF(預測IC!BG25&gt;預測IC!BG$27,1,0)</f>
        <v>0</v>
      </c>
      <c r="BH23" s="9">
        <f>IF(預測IC!BH25&gt;預測IC!BH$27,1,0)</f>
        <v>1</v>
      </c>
      <c r="BI23" s="9">
        <f>IF(預測IC!BI25&gt;預測IC!BI$27,1,0)</f>
        <v>0</v>
      </c>
      <c r="BJ23" s="9">
        <f>IF(預測IC!BJ25&gt;預測IC!BJ$27,1,0)</f>
        <v>1</v>
      </c>
      <c r="BK23" s="9">
        <f>IF(預測IC!BK25&gt;預測IC!BK$27,1,0)</f>
        <v>0</v>
      </c>
      <c r="BL23" s="9">
        <f>IF(預測IC!BL25&gt;預測IC!BL$27,1,0)</f>
        <v>0</v>
      </c>
      <c r="BM23" s="9">
        <f>IF(預測IC!BM25&gt;預測IC!BM$27,1,0)</f>
        <v>1</v>
      </c>
      <c r="BN23" s="9">
        <f>IF(預測IC!BN25&gt;預測IC!BN$27,1,0)</f>
        <v>1</v>
      </c>
      <c r="BO23" s="9">
        <f>IF(預測IC!BO25&gt;預測IC!BO$27,1,0)</f>
        <v>1</v>
      </c>
      <c r="BP23" s="9">
        <f>IF(預測IC!BP25&gt;預測IC!BP$27,1,0)</f>
        <v>0</v>
      </c>
      <c r="BQ23" s="9">
        <f>IF(預測IC!BQ25&gt;預測IC!BQ$27,1,0)</f>
        <v>0</v>
      </c>
      <c r="BR23" s="9">
        <f>IF(預測IC!BR25&gt;預測IC!BR$27,1,0)</f>
        <v>0</v>
      </c>
      <c r="BS23" s="9">
        <f>IF(預測IC!BS25&gt;預測IC!BS$27,1,0)</f>
        <v>0</v>
      </c>
      <c r="BT23" s="9">
        <f>IF(預測IC!BT25&gt;預測IC!BT$27,1,0)</f>
        <v>1</v>
      </c>
      <c r="BU23" s="9">
        <f>IF(預測IC!BU25&gt;預測IC!BU$27,1,0)</f>
        <v>1</v>
      </c>
      <c r="BV23" s="9">
        <f>IF(預測IC!BV25&gt;預測IC!BV$27,1,0)</f>
        <v>1</v>
      </c>
      <c r="BW23" s="9">
        <f>IF(預測IC!BW25&gt;預測IC!BW$27,1,0)</f>
        <v>1</v>
      </c>
      <c r="BX23" s="9">
        <f>IF(預測IC!BX25&gt;預測IC!BX$27,1,0)</f>
        <v>0</v>
      </c>
      <c r="BY23" s="9">
        <f>IF(預測IC!BY25&gt;預測IC!BY$27,1,0)</f>
        <v>1</v>
      </c>
      <c r="BZ23" s="9">
        <f>IF(預測IC!BZ25&gt;預測IC!BZ$27,1,0)</f>
        <v>0</v>
      </c>
      <c r="CA23" s="9">
        <f>IF(預測IC!CA25&gt;預測IC!CA$27,1,0)</f>
        <v>1</v>
      </c>
      <c r="CB23" s="9">
        <f>IF(預測IC!CB25&gt;預測IC!CB$27,1,0)</f>
        <v>1</v>
      </c>
      <c r="CC23" s="9">
        <f>IF(預測IC!CC25&gt;預測IC!CC$27,1,0)</f>
        <v>0</v>
      </c>
      <c r="CD23" s="9">
        <f>IF(預測IC!CD25&gt;預測IC!CD$27,1,0)</f>
        <v>1</v>
      </c>
      <c r="CE23" s="9">
        <f>IF(預測IC!CE25&gt;預測IC!CE$27,1,0)</f>
        <v>0</v>
      </c>
      <c r="CF23" s="9">
        <f>IF(預測IC!CF25&gt;預測IC!CF$27,1,0)</f>
        <v>0</v>
      </c>
      <c r="CG23" s="9">
        <f>IF(預測IC!CG25&gt;預測IC!CG$27,1,0)</f>
        <v>0</v>
      </c>
      <c r="CH23" s="9">
        <f>IF(預測IC!CH25&gt;預測IC!CH$27,1,0)</f>
        <v>0</v>
      </c>
      <c r="CI23" s="9">
        <f>IF(預測IC!CI25&gt;預測IC!CI$27,1,0)</f>
        <v>0</v>
      </c>
      <c r="CJ23" s="9">
        <f>IF(預測IC!CJ25&gt;預測IC!CJ$27,1,0)</f>
        <v>1</v>
      </c>
      <c r="CK23" s="9">
        <f>IF(預測IC!CK25&gt;預測IC!CK$27,1,0)</f>
        <v>0</v>
      </c>
      <c r="CL23" s="9">
        <f>IF(預測IC!CL25&gt;預測IC!CL$27,1,0)</f>
        <v>0</v>
      </c>
      <c r="CM23" s="9">
        <f>IF(預測IC!CM25&gt;預測IC!CM$27,1,0)</f>
        <v>1</v>
      </c>
      <c r="CN23" s="9">
        <f>IF(預測IC!CN25&gt;預測IC!CN$27,1,0)</f>
        <v>0</v>
      </c>
      <c r="CO23" s="9">
        <f>IF(預測IC!CO25&gt;預測IC!CO$27,1,0)</f>
        <v>0</v>
      </c>
      <c r="CP23" s="9">
        <f>IF(預測IC!CP25&gt;預測IC!CP$27,1,0)</f>
        <v>0</v>
      </c>
      <c r="CQ23" s="9">
        <f>IF(預測IC!CQ25&gt;預測IC!CQ$27,1,0)</f>
        <v>1</v>
      </c>
      <c r="CR23" s="9">
        <f>IF(預測IC!CR25&gt;預測IC!CR$27,1,0)</f>
        <v>0</v>
      </c>
      <c r="CS23" s="9">
        <f>IF(預測IC!CS25&gt;預測IC!CS$27,1,0)</f>
        <v>0</v>
      </c>
      <c r="CT23" s="9">
        <f>IF(預測IC!CT25&gt;預測IC!CT$27,1,0)</f>
        <v>0</v>
      </c>
      <c r="CU23" s="9">
        <f>IF(預測IC!CU25&gt;預測IC!CU$27,1,0)</f>
        <v>1</v>
      </c>
      <c r="CV23" s="9">
        <f>IF(預測IC!CV25&gt;預測IC!CV$27,1,0)</f>
        <v>1</v>
      </c>
      <c r="CW23" s="9">
        <f>IF(預測IC!CW25&gt;預測IC!CW$27,1,0)</f>
        <v>0</v>
      </c>
      <c r="CX23" s="9">
        <f>IF(預測IC!CX25&gt;預測IC!CX$27,1,0)</f>
        <v>1</v>
      </c>
      <c r="CY23" s="9">
        <f>IF(預測IC!CY25&gt;預測IC!CY$27,1,0)</f>
        <v>0</v>
      </c>
      <c r="CZ23" s="9">
        <f>IF(預測IC!CZ25&gt;預測IC!CZ$27,1,0)</f>
        <v>1</v>
      </c>
      <c r="DA23" s="9">
        <f>IF(預測IC!DA25&gt;預測IC!DA$27,1,0)</f>
        <v>1</v>
      </c>
      <c r="DB23" s="9">
        <f>IF(預測IC!DB25&gt;預測IC!DB$27,1,0)</f>
        <v>0</v>
      </c>
      <c r="DC23" s="9">
        <f>IF(預測IC!DC25&gt;預測IC!DC$27,1,0)</f>
        <v>0</v>
      </c>
      <c r="DD23" s="9">
        <f>IF(預測IC!DD25&gt;預測IC!DD$27,1,0)</f>
        <v>1</v>
      </c>
      <c r="DE23" s="9">
        <f>IF(預測IC!DE25&gt;預測IC!DE$27,1,0)</f>
        <v>0</v>
      </c>
      <c r="DF23" s="9">
        <f>IF(預測IC!DF25&gt;預測IC!DF$27,1,0)</f>
        <v>1</v>
      </c>
      <c r="DG23" s="9">
        <f>IF(預測IC!DG25&gt;預測IC!DG$27,1,0)</f>
        <v>0</v>
      </c>
      <c r="DH23" s="9">
        <f>IF(預測IC!DH25&gt;預測IC!DH$27,1,0)</f>
        <v>0</v>
      </c>
      <c r="DI23" s="9">
        <f>IF(預測IC!DI25&gt;預測IC!DI$27,1,0)</f>
        <v>0</v>
      </c>
      <c r="DJ23" s="9">
        <f>IF(預測IC!DJ25&gt;預測IC!DJ$27,1,0)</f>
        <v>1</v>
      </c>
      <c r="DK23" s="9">
        <f>IF(預測IC!DK25&gt;預測IC!DK$27,1,0)</f>
        <v>1</v>
      </c>
      <c r="DL23" s="9">
        <f>IF(預測IC!DL25&gt;預測IC!DL$27,1,0)</f>
        <v>1</v>
      </c>
      <c r="DM23" s="9">
        <f>IF(預測IC!DM25&gt;預測IC!DM$27,1,0)</f>
        <v>1</v>
      </c>
      <c r="DN23" s="9">
        <f>IF(預測IC!DN25&gt;預測IC!DN$27,1,0)</f>
        <v>0</v>
      </c>
      <c r="DO23" s="9">
        <f>IF(預測IC!DO25&gt;預測IC!DO$27,1,0)</f>
        <v>1</v>
      </c>
      <c r="DP23" s="9">
        <f>IF(預測IC!DP25&gt;預測IC!DP$27,1,0)</f>
        <v>0</v>
      </c>
      <c r="DQ23" s="9">
        <f>IF(預測IC!DQ25&gt;預測IC!DQ$27,1,0)</f>
        <v>0</v>
      </c>
      <c r="DR23" s="9">
        <f>IF(預測IC!DR25&gt;預測IC!DR$27,1,0)</f>
        <v>1</v>
      </c>
      <c r="DS23" s="9">
        <f>IF(預測IC!DS25&gt;預測IC!DS$27,1,0)</f>
        <v>0</v>
      </c>
      <c r="DT23" s="9">
        <f>IF(預測IC!DT25&gt;預測IC!DT$27,1,0)</f>
        <v>0</v>
      </c>
      <c r="DU23" s="9">
        <f>IF(預測IC!DU25&gt;預測IC!DU$27,1,0)</f>
        <v>0</v>
      </c>
      <c r="DV23" s="9">
        <f>IF(預測IC!DV25&gt;預測IC!DV$27,1,0)</f>
        <v>0</v>
      </c>
      <c r="DW23" s="9">
        <f>IF(預測IC!DW25&gt;預測IC!DW$27,1,0)</f>
        <v>0</v>
      </c>
      <c r="DX23" s="9">
        <f>IF(預測IC!DX25&gt;預測IC!DX$27,1,0)</f>
        <v>1</v>
      </c>
      <c r="DY23" s="9">
        <f>IF(預測IC!DY25&gt;預測IC!DY$27,1,0)</f>
        <v>0</v>
      </c>
      <c r="DZ23" s="9">
        <f>IF(預測IC!DZ25&gt;預測IC!DZ$27,1,0)</f>
        <v>0</v>
      </c>
      <c r="EA23" s="9">
        <f>IF(預測IC!EA25&gt;預測IC!EA$27,1,0)</f>
        <v>1</v>
      </c>
      <c r="EB23" s="9">
        <f>IF(預測IC!EB25&gt;預測IC!EB$27,1,0)</f>
        <v>1</v>
      </c>
      <c r="EC23" s="9">
        <f>IF(預測IC!EC25&gt;預測IC!EC$27,1,0)</f>
        <v>1</v>
      </c>
      <c r="ED23" s="9">
        <f>IF(預測IC!ED25&gt;預測IC!ED$27,1,0)</f>
        <v>0</v>
      </c>
      <c r="EE23" s="9">
        <f>IF(預測IC!EE25&gt;預測IC!EE$27,1,0)</f>
        <v>1</v>
      </c>
      <c r="EF23" s="9">
        <f>IF(預測IC!EF25&gt;預測IC!EF$27,1,0)</f>
        <v>1</v>
      </c>
      <c r="EG23" s="1">
        <f t="shared" si="0"/>
        <v>67</v>
      </c>
      <c r="EH23" s="47">
        <f t="shared" si="1"/>
        <v>0.5</v>
      </c>
    </row>
    <row r="24" spans="1:138" ht="16" customHeight="1">
      <c r="A24" s="6">
        <v>964</v>
      </c>
      <c r="B24" s="6">
        <v>1</v>
      </c>
      <c r="C24" s="9">
        <f>IF(預測IC!C26&gt;預測IC!C$27,1,0)</f>
        <v>1</v>
      </c>
      <c r="D24" s="9">
        <f>IF(預測IC!D26&gt;預測IC!D$27,1,0)</f>
        <v>1</v>
      </c>
      <c r="E24" s="9">
        <f>IF(預測IC!E26&gt;預測IC!E$27,1,0)</f>
        <v>1</v>
      </c>
      <c r="F24" s="9">
        <f>IF(預測IC!F26&gt;預測IC!F$27,1,0)</f>
        <v>0</v>
      </c>
      <c r="G24" s="9">
        <f>IF(預測IC!G26&gt;預測IC!G$27,1,0)</f>
        <v>1</v>
      </c>
      <c r="H24" s="9">
        <f>IF(預測IC!H26&gt;預測IC!H$27,1,0)</f>
        <v>1</v>
      </c>
      <c r="I24" s="9">
        <f>IF(預測IC!I26&gt;預測IC!I$27,1,0)</f>
        <v>0</v>
      </c>
      <c r="J24" s="9">
        <f>IF(預測IC!J26&gt;預測IC!J$27,1,0)</f>
        <v>0</v>
      </c>
      <c r="K24" s="9">
        <f>IF(預測IC!K26&gt;預測IC!K$27,1,0)</f>
        <v>1</v>
      </c>
      <c r="L24" s="9">
        <f>IF(預測IC!L26&gt;預測IC!L$27,1,0)</f>
        <v>1</v>
      </c>
      <c r="M24" s="9">
        <f>IF(預測IC!M26&gt;預測IC!M$27,1,0)</f>
        <v>1</v>
      </c>
      <c r="N24" s="9">
        <f>IF(預測IC!N26&gt;預測IC!N$27,1,0)</f>
        <v>1</v>
      </c>
      <c r="O24" s="9">
        <f>IF(預測IC!O26&gt;預測IC!O$27,1,0)</f>
        <v>0</v>
      </c>
      <c r="P24" s="9">
        <f>IF(預測IC!P26&gt;預測IC!P$27,1,0)</f>
        <v>1</v>
      </c>
      <c r="Q24" s="9">
        <f>IF(預測IC!Q26&gt;預測IC!Q$27,1,0)</f>
        <v>1</v>
      </c>
      <c r="R24" s="9">
        <f>IF(預測IC!R26&gt;預測IC!R$27,1,0)</f>
        <v>0</v>
      </c>
      <c r="S24" s="9">
        <f>IF(預測IC!S26&gt;預測IC!S$27,1,0)</f>
        <v>0</v>
      </c>
      <c r="T24" s="9">
        <f>IF(預測IC!T26&gt;預測IC!T$27,1,0)</f>
        <v>1</v>
      </c>
      <c r="U24" s="9">
        <f>IF(預測IC!U26&gt;預測IC!U$27,1,0)</f>
        <v>0</v>
      </c>
      <c r="V24" s="9">
        <f>IF(預測IC!V26&gt;預測IC!V$27,1,0)</f>
        <v>1</v>
      </c>
      <c r="W24" s="9">
        <f>IF(預測IC!W26&gt;預測IC!W$27,1,0)</f>
        <v>1</v>
      </c>
      <c r="X24" s="9">
        <f>IF(預測IC!X26&gt;預測IC!X$27,1,0)</f>
        <v>1</v>
      </c>
      <c r="Y24" s="9">
        <f>IF(預測IC!Y26&gt;預測IC!Y$27,1,0)</f>
        <v>0</v>
      </c>
      <c r="Z24" s="9">
        <f>IF(預測IC!Z26&gt;預測IC!Z$27,1,0)</f>
        <v>1</v>
      </c>
      <c r="AA24" s="9">
        <f>IF(預測IC!AA26&gt;預測IC!AA$27,1,0)</f>
        <v>1</v>
      </c>
      <c r="AB24" s="9">
        <f>IF(預測IC!AB26&gt;預測IC!AB$27,1,0)</f>
        <v>0</v>
      </c>
      <c r="AC24" s="9">
        <f>IF(預測IC!AC26&gt;預測IC!AC$27,1,0)</f>
        <v>1</v>
      </c>
      <c r="AD24" s="9">
        <f>IF(預測IC!AD26&gt;預測IC!AD$27,1,0)</f>
        <v>1</v>
      </c>
      <c r="AE24" s="9">
        <f>IF(預測IC!AE26&gt;預測IC!AE$27,1,0)</f>
        <v>1</v>
      </c>
      <c r="AF24" s="9">
        <f>IF(預測IC!AF26&gt;預測IC!AF$27,1,0)</f>
        <v>0</v>
      </c>
      <c r="AG24" s="9">
        <f>IF(預測IC!AG26&gt;預測IC!AG$27,1,0)</f>
        <v>1</v>
      </c>
      <c r="AH24" s="9">
        <f>IF(預測IC!AH26&gt;預測IC!AH$27,1,0)</f>
        <v>1</v>
      </c>
      <c r="AI24" s="9">
        <f>IF(預測IC!AI26&gt;預測IC!AI$27,1,0)</f>
        <v>1</v>
      </c>
      <c r="AJ24" s="9">
        <f>IF(預測IC!AJ26&gt;預測IC!AJ$27,1,0)</f>
        <v>1</v>
      </c>
      <c r="AK24" s="9">
        <f>IF(預測IC!AK26&gt;預測IC!AK$27,1,0)</f>
        <v>1</v>
      </c>
      <c r="AL24" s="9">
        <f>IF(預測IC!AL26&gt;預測IC!AL$27,1,0)</f>
        <v>1</v>
      </c>
      <c r="AM24" s="9">
        <f>IF(預測IC!AM26&gt;預測IC!AM$27,1,0)</f>
        <v>1</v>
      </c>
      <c r="AN24" s="9">
        <f>IF(預測IC!AN26&gt;預測IC!AN$27,1,0)</f>
        <v>1</v>
      </c>
      <c r="AO24" s="9">
        <f>IF(預測IC!AO26&gt;預測IC!AO$27,1,0)</f>
        <v>1</v>
      </c>
      <c r="AP24" s="9">
        <f>IF(預測IC!AP26&gt;預測IC!AP$27,1,0)</f>
        <v>1</v>
      </c>
      <c r="AQ24" s="9">
        <f>IF(預測IC!AQ26&gt;預測IC!AQ$27,1,0)</f>
        <v>0</v>
      </c>
      <c r="AR24" s="9">
        <f>IF(預測IC!AR26&gt;預測IC!AR$27,1,0)</f>
        <v>0</v>
      </c>
      <c r="AS24" s="9">
        <f>IF(預測IC!AS26&gt;預測IC!AS$27,1,0)</f>
        <v>0</v>
      </c>
      <c r="AT24" s="9">
        <f>IF(預測IC!AT26&gt;預測IC!AT$27,1,0)</f>
        <v>1</v>
      </c>
      <c r="AU24" s="9">
        <f>IF(預測IC!AU26&gt;預測IC!AU$27,1,0)</f>
        <v>1</v>
      </c>
      <c r="AV24" s="9">
        <f>IF(預測IC!AV26&gt;預測IC!AV$27,1,0)</f>
        <v>1</v>
      </c>
      <c r="AW24" s="9">
        <f>IF(預測IC!AW26&gt;預測IC!AW$27,1,0)</f>
        <v>0</v>
      </c>
      <c r="AX24" s="9">
        <f>IF(預測IC!AX26&gt;預測IC!AX$27,1,0)</f>
        <v>1</v>
      </c>
      <c r="AY24" s="9">
        <f>IF(預測IC!AY26&gt;預測IC!AY$27,1,0)</f>
        <v>0</v>
      </c>
      <c r="AZ24" s="9">
        <f>IF(預測IC!AZ26&gt;預測IC!AZ$27,1,0)</f>
        <v>0</v>
      </c>
      <c r="BA24" s="9">
        <f>IF(預測IC!BA26&gt;預測IC!BA$27,1,0)</f>
        <v>0</v>
      </c>
      <c r="BB24" s="9">
        <f>IF(預測IC!BB26&gt;預測IC!BB$27,1,0)</f>
        <v>0</v>
      </c>
      <c r="BC24" s="9">
        <f>IF(預測IC!BC26&gt;預測IC!BC$27,1,0)</f>
        <v>0</v>
      </c>
      <c r="BD24" s="9">
        <f>IF(預測IC!BD26&gt;預測IC!BD$27,1,0)</f>
        <v>1</v>
      </c>
      <c r="BE24" s="9">
        <f>IF(預測IC!BE26&gt;預測IC!BE$27,1,0)</f>
        <v>0</v>
      </c>
      <c r="BF24" s="9">
        <f>IF(預測IC!BF26&gt;預測IC!BF$27,1,0)</f>
        <v>1</v>
      </c>
      <c r="BG24" s="9">
        <f>IF(預測IC!BG26&gt;預測IC!BG$27,1,0)</f>
        <v>0</v>
      </c>
      <c r="BH24" s="9">
        <f>IF(預測IC!BH26&gt;預測IC!BH$27,1,0)</f>
        <v>1</v>
      </c>
      <c r="BI24" s="9">
        <f>IF(預測IC!BI26&gt;預測IC!BI$27,1,0)</f>
        <v>0</v>
      </c>
      <c r="BJ24" s="9">
        <f>IF(預測IC!BJ26&gt;預測IC!BJ$27,1,0)</f>
        <v>1</v>
      </c>
      <c r="BK24" s="9">
        <f>IF(預測IC!BK26&gt;預測IC!BK$27,1,0)</f>
        <v>0</v>
      </c>
      <c r="BL24" s="9">
        <f>IF(預測IC!BL26&gt;預測IC!BL$27,1,0)</f>
        <v>1</v>
      </c>
      <c r="BM24" s="9">
        <f>IF(預測IC!BM26&gt;預測IC!BM$27,1,0)</f>
        <v>1</v>
      </c>
      <c r="BN24" s="9">
        <f>IF(預測IC!BN26&gt;預測IC!BN$27,1,0)</f>
        <v>1</v>
      </c>
      <c r="BO24" s="9">
        <f>IF(預測IC!BO26&gt;預測IC!BO$27,1,0)</f>
        <v>1</v>
      </c>
      <c r="BP24" s="9">
        <f>IF(預測IC!BP26&gt;預測IC!BP$27,1,0)</f>
        <v>0</v>
      </c>
      <c r="BQ24" s="9">
        <f>IF(預測IC!BQ26&gt;預測IC!BQ$27,1,0)</f>
        <v>0</v>
      </c>
      <c r="BR24" s="9">
        <f>IF(預測IC!BR26&gt;預測IC!BR$27,1,0)</f>
        <v>0</v>
      </c>
      <c r="BS24" s="9">
        <f>IF(預測IC!BS26&gt;預測IC!BS$27,1,0)</f>
        <v>0</v>
      </c>
      <c r="BT24" s="9">
        <f>IF(預測IC!BT26&gt;預測IC!BT$27,1,0)</f>
        <v>0</v>
      </c>
      <c r="BU24" s="9">
        <f>IF(預測IC!BU26&gt;預測IC!BU$27,1,0)</f>
        <v>0</v>
      </c>
      <c r="BV24" s="9">
        <f>IF(預測IC!BV26&gt;預測IC!BV$27,1,0)</f>
        <v>0</v>
      </c>
      <c r="BW24" s="9">
        <f>IF(預測IC!BW26&gt;預測IC!BW$27,1,0)</f>
        <v>1</v>
      </c>
      <c r="BX24" s="9">
        <f>IF(預測IC!BX26&gt;預測IC!BX$27,1,0)</f>
        <v>1</v>
      </c>
      <c r="BY24" s="9">
        <f>IF(預測IC!BY26&gt;預測IC!BY$27,1,0)</f>
        <v>1</v>
      </c>
      <c r="BZ24" s="9">
        <f>IF(預測IC!BZ26&gt;預測IC!BZ$27,1,0)</f>
        <v>0</v>
      </c>
      <c r="CA24" s="9">
        <f>IF(預測IC!CA26&gt;預測IC!CA$27,1,0)</f>
        <v>1</v>
      </c>
      <c r="CB24" s="9">
        <f>IF(預測IC!CB26&gt;預測IC!CB$27,1,0)</f>
        <v>1</v>
      </c>
      <c r="CC24" s="9">
        <f>IF(預測IC!CC26&gt;預測IC!CC$27,1,0)</f>
        <v>0</v>
      </c>
      <c r="CD24" s="9">
        <f>IF(預測IC!CD26&gt;預測IC!CD$27,1,0)</f>
        <v>1</v>
      </c>
      <c r="CE24" s="9">
        <f>IF(預測IC!CE26&gt;預測IC!CE$27,1,0)</f>
        <v>1</v>
      </c>
      <c r="CF24" s="9">
        <f>IF(預測IC!CF26&gt;預測IC!CF$27,1,0)</f>
        <v>0</v>
      </c>
      <c r="CG24" s="9">
        <f>IF(預測IC!CG26&gt;預測IC!CG$27,1,0)</f>
        <v>1</v>
      </c>
      <c r="CH24" s="9">
        <f>IF(預測IC!CH26&gt;預測IC!CH$27,1,0)</f>
        <v>0</v>
      </c>
      <c r="CI24" s="9">
        <f>IF(預測IC!CI26&gt;預測IC!CI$27,1,0)</f>
        <v>1</v>
      </c>
      <c r="CJ24" s="9">
        <f>IF(預測IC!CJ26&gt;預測IC!CJ$27,1,0)</f>
        <v>1</v>
      </c>
      <c r="CK24" s="9">
        <f>IF(預測IC!CK26&gt;預測IC!CK$27,1,0)</f>
        <v>0</v>
      </c>
      <c r="CL24" s="9">
        <f>IF(預測IC!CL26&gt;預測IC!CL$27,1,0)</f>
        <v>0</v>
      </c>
      <c r="CM24" s="9">
        <f>IF(預測IC!CM26&gt;預測IC!CM$27,1,0)</f>
        <v>1</v>
      </c>
      <c r="CN24" s="9">
        <f>IF(預測IC!CN26&gt;預測IC!CN$27,1,0)</f>
        <v>1</v>
      </c>
      <c r="CO24" s="9">
        <f>IF(預測IC!CO26&gt;預測IC!CO$27,1,0)</f>
        <v>0</v>
      </c>
      <c r="CP24" s="9">
        <f>IF(預測IC!CP26&gt;預測IC!CP$27,1,0)</f>
        <v>1</v>
      </c>
      <c r="CQ24" s="9">
        <f>IF(預測IC!CQ26&gt;預測IC!CQ$27,1,0)</f>
        <v>1</v>
      </c>
      <c r="CR24" s="9">
        <f>IF(預測IC!CR26&gt;預測IC!CR$27,1,0)</f>
        <v>0</v>
      </c>
      <c r="CS24" s="9">
        <f>IF(預測IC!CS26&gt;預測IC!CS$27,1,0)</f>
        <v>0</v>
      </c>
      <c r="CT24" s="9">
        <f>IF(預測IC!CT26&gt;預測IC!CT$27,1,0)</f>
        <v>0</v>
      </c>
      <c r="CU24" s="9">
        <f>IF(預測IC!CU26&gt;預測IC!CU$27,1,0)</f>
        <v>1</v>
      </c>
      <c r="CV24" s="9">
        <f>IF(預測IC!CV26&gt;預測IC!CV$27,1,0)</f>
        <v>1</v>
      </c>
      <c r="CW24" s="9">
        <f>IF(預測IC!CW26&gt;預測IC!CW$27,1,0)</f>
        <v>0</v>
      </c>
      <c r="CX24" s="9">
        <f>IF(預測IC!CX26&gt;預測IC!CX$27,1,0)</f>
        <v>1</v>
      </c>
      <c r="CY24" s="9">
        <f>IF(預測IC!CY26&gt;預測IC!CY$27,1,0)</f>
        <v>0</v>
      </c>
      <c r="CZ24" s="9">
        <f>IF(預測IC!CZ26&gt;預測IC!CZ$27,1,0)</f>
        <v>1</v>
      </c>
      <c r="DA24" s="9">
        <f>IF(預測IC!DA26&gt;預測IC!DA$27,1,0)</f>
        <v>0</v>
      </c>
      <c r="DB24" s="9">
        <f>IF(預測IC!DB26&gt;預測IC!DB$27,1,0)</f>
        <v>0</v>
      </c>
      <c r="DC24" s="9">
        <f>IF(預測IC!DC26&gt;預測IC!DC$27,1,0)</f>
        <v>0</v>
      </c>
      <c r="DD24" s="9">
        <f>IF(預測IC!DD26&gt;預測IC!DD$27,1,0)</f>
        <v>1</v>
      </c>
      <c r="DE24" s="9">
        <f>IF(預測IC!DE26&gt;預測IC!DE$27,1,0)</f>
        <v>0</v>
      </c>
      <c r="DF24" s="9">
        <f>IF(預測IC!DF26&gt;預測IC!DF$27,1,0)</f>
        <v>1</v>
      </c>
      <c r="DG24" s="9">
        <f>IF(預測IC!DG26&gt;預測IC!DG$27,1,0)</f>
        <v>0</v>
      </c>
      <c r="DH24" s="9">
        <f>IF(預測IC!DH26&gt;預測IC!DH$27,1,0)</f>
        <v>1</v>
      </c>
      <c r="DI24" s="9">
        <f>IF(預測IC!DI26&gt;預測IC!DI$27,1,0)</f>
        <v>0</v>
      </c>
      <c r="DJ24" s="9">
        <f>IF(預測IC!DJ26&gt;預測IC!DJ$27,1,0)</f>
        <v>1</v>
      </c>
      <c r="DK24" s="9">
        <f>IF(預測IC!DK26&gt;預測IC!DK$27,1,0)</f>
        <v>0</v>
      </c>
      <c r="DL24" s="9">
        <f>IF(預測IC!DL26&gt;預測IC!DL$27,1,0)</f>
        <v>0</v>
      </c>
      <c r="DM24" s="9">
        <f>IF(預測IC!DM26&gt;預測IC!DM$27,1,0)</f>
        <v>0</v>
      </c>
      <c r="DN24" s="9">
        <f>IF(預測IC!DN26&gt;預測IC!DN$27,1,0)</f>
        <v>1</v>
      </c>
      <c r="DO24" s="9">
        <f>IF(預測IC!DO26&gt;預測IC!DO$27,1,0)</f>
        <v>0</v>
      </c>
      <c r="DP24" s="9">
        <f>IF(預測IC!DP26&gt;預測IC!DP$27,1,0)</f>
        <v>1</v>
      </c>
      <c r="DQ24" s="9">
        <f>IF(預測IC!DQ26&gt;預測IC!DQ$27,1,0)</f>
        <v>0</v>
      </c>
      <c r="DR24" s="9">
        <f>IF(預測IC!DR26&gt;預測IC!DR$27,1,0)</f>
        <v>0</v>
      </c>
      <c r="DS24" s="9">
        <f>IF(預測IC!DS26&gt;預測IC!DS$27,1,0)</f>
        <v>0</v>
      </c>
      <c r="DT24" s="9">
        <f>IF(預測IC!DT26&gt;預測IC!DT$27,1,0)</f>
        <v>0</v>
      </c>
      <c r="DU24" s="9">
        <f>IF(預測IC!DU26&gt;預測IC!DU$27,1,0)</f>
        <v>0</v>
      </c>
      <c r="DV24" s="9">
        <f>IF(預測IC!DV26&gt;預測IC!DV$27,1,0)</f>
        <v>0</v>
      </c>
      <c r="DW24" s="9">
        <f>IF(預測IC!DW26&gt;預測IC!DW$27,1,0)</f>
        <v>0</v>
      </c>
      <c r="DX24" s="9">
        <f>IF(預測IC!DX26&gt;預測IC!DX$27,1,0)</f>
        <v>1</v>
      </c>
      <c r="DY24" s="9">
        <v>1</v>
      </c>
      <c r="DZ24" s="9">
        <f>IF(預測IC!DZ26&gt;預測IC!DZ$27,1,0)</f>
        <v>1</v>
      </c>
      <c r="EA24" s="9">
        <f>IF(預測IC!EA26&gt;預測IC!EA$27,1,0)</f>
        <v>1</v>
      </c>
      <c r="EB24" s="9">
        <f>IF(預測IC!EB26&gt;預測IC!EB$27,1,0)</f>
        <v>1</v>
      </c>
      <c r="EC24" s="9">
        <f>IF(預測IC!EC26&gt;預測IC!EC$27,1,0)</f>
        <v>1</v>
      </c>
      <c r="ED24" s="9">
        <f>IF(預測IC!ED26&gt;預測IC!ED$27,1,0)</f>
        <v>0</v>
      </c>
      <c r="EE24" s="9">
        <f>IF(預測IC!EE26&gt;預測IC!EE$27,1,0)</f>
        <v>1</v>
      </c>
      <c r="EF24" s="9">
        <f>IF(預測IC!EF26&gt;預測IC!EF$27,1,0)</f>
        <v>1</v>
      </c>
      <c r="EG24" s="1">
        <f t="shared" si="0"/>
        <v>74</v>
      </c>
      <c r="EH24" s="47">
        <f t="shared" si="1"/>
        <v>0.55223880597014929</v>
      </c>
    </row>
    <row r="25" spans="1:138" ht="16" customHeight="1">
      <c r="A25" s="6" t="s">
        <v>147</v>
      </c>
      <c r="B25" s="6" t="s">
        <v>148</v>
      </c>
      <c r="C25" s="17">
        <v>-1.7446770539390338E-2</v>
      </c>
      <c r="D25" s="17">
        <v>2.070106053181563E-2</v>
      </c>
      <c r="E25" s="17">
        <v>2.3982129254766709E-2</v>
      </c>
      <c r="F25" s="17">
        <v>-6.557578972823077E-3</v>
      </c>
      <c r="G25" s="17">
        <v>3.1845129800519692E-2</v>
      </c>
      <c r="H25" s="17">
        <v>3.4348532736990518E-2</v>
      </c>
      <c r="I25" s="17">
        <v>-8.2549327813252367E-3</v>
      </c>
      <c r="J25" s="17">
        <v>1.2843524394052759E-2</v>
      </c>
      <c r="K25" s="17">
        <v>-5.1018524626790823E-2</v>
      </c>
      <c r="L25" s="17">
        <v>8.7394274103658827E-4</v>
      </c>
      <c r="M25" s="17">
        <v>2.3389575505495919E-2</v>
      </c>
      <c r="N25" s="17">
        <v>1.2988972200332851E-2</v>
      </c>
      <c r="O25" s="17">
        <v>5.8545887256348812E-3</v>
      </c>
      <c r="P25" s="17">
        <v>2.7413206571790558E-2</v>
      </c>
      <c r="Q25" s="17">
        <v>-3.7129361176928542E-3</v>
      </c>
      <c r="R25" s="17">
        <v>2.4076614047823328E-2</v>
      </c>
      <c r="S25" s="17">
        <v>-1.219002529903996E-2</v>
      </c>
      <c r="T25" s="17">
        <v>-3.9749578159589592E-2</v>
      </c>
      <c r="U25" s="17">
        <v>-7.3155449831649552E-2</v>
      </c>
      <c r="V25" s="17">
        <v>-5.8260229910114661E-2</v>
      </c>
      <c r="W25" s="17">
        <v>7.7279756550837221E-4</v>
      </c>
      <c r="X25" s="17">
        <v>4.459152113521897E-2</v>
      </c>
      <c r="Y25" s="17">
        <v>-2.7699680050213091E-2</v>
      </c>
      <c r="Z25" s="17">
        <v>2.0950059497436462E-3</v>
      </c>
      <c r="AA25" s="17">
        <v>-2.340055099256411E-2</v>
      </c>
      <c r="AB25" s="17">
        <v>3.2129371097322189E-2</v>
      </c>
      <c r="AC25" s="17">
        <v>3.890327309406643E-2</v>
      </c>
      <c r="AD25" s="17">
        <v>-4.286538217110427E-2</v>
      </c>
      <c r="AE25" s="17">
        <v>1.8647194550152159E-2</v>
      </c>
      <c r="AF25" s="17">
        <v>1.5229768322528949E-2</v>
      </c>
      <c r="AG25" s="17">
        <v>3.6016603778892417E-2</v>
      </c>
      <c r="AH25" s="17">
        <v>9.3546113853161701E-3</v>
      </c>
      <c r="AI25" s="17">
        <v>1.0748251336838139E-2</v>
      </c>
      <c r="AJ25" s="17">
        <v>1.335775405308097E-2</v>
      </c>
      <c r="AK25" s="17">
        <v>-5.3327473290953921E-3</v>
      </c>
      <c r="AL25" s="17">
        <v>1.383135807261675E-3</v>
      </c>
      <c r="AM25" s="17">
        <v>2.079592842007446E-2</v>
      </c>
      <c r="AN25" s="17">
        <v>3.1517702220390638E-2</v>
      </c>
      <c r="AO25" s="17">
        <v>6.2417165333294418E-3</v>
      </c>
      <c r="AP25" s="17">
        <v>6.1452616535713897E-3</v>
      </c>
      <c r="AQ25" s="17">
        <v>1.694635767669651E-2</v>
      </c>
      <c r="AR25" s="17">
        <v>3.4682830454308228E-2</v>
      </c>
      <c r="AS25" s="17">
        <v>3.0985886171969678E-3</v>
      </c>
      <c r="AT25" s="17">
        <v>1.508134714348611E-2</v>
      </c>
      <c r="AU25" s="17">
        <v>-1.9251209229863991E-2</v>
      </c>
      <c r="AV25" s="17">
        <v>3.8711513387631437E-2</v>
      </c>
      <c r="AW25" s="17">
        <v>-2.1856951135736599E-2</v>
      </c>
      <c r="AX25" s="17">
        <v>7.7743007097896798E-3</v>
      </c>
      <c r="AY25" s="17">
        <v>4.2397246695325942E-2</v>
      </c>
      <c r="AZ25" s="17">
        <v>-2.630897486115975E-2</v>
      </c>
      <c r="BA25" s="17">
        <v>9.5717493087162323E-3</v>
      </c>
      <c r="BB25" s="17">
        <v>-2.424974126627483E-2</v>
      </c>
      <c r="BC25" s="17">
        <v>2.0163374143915822E-2</v>
      </c>
      <c r="BD25" s="17">
        <v>-3.5049987821160239E-3</v>
      </c>
      <c r="BE25" s="17">
        <v>2.0151935098542271E-2</v>
      </c>
      <c r="BF25" s="17">
        <v>5.8133623077027128E-4</v>
      </c>
      <c r="BG25" s="17">
        <v>-5.2197009532526043E-3</v>
      </c>
      <c r="BH25" s="17">
        <v>-0.11587176140213</v>
      </c>
      <c r="BI25" s="17">
        <v>8.7252256924373536E-3</v>
      </c>
      <c r="BJ25" s="17">
        <v>-1.6377260977822151E-2</v>
      </c>
      <c r="BK25" s="17">
        <v>2.0840371600260421E-2</v>
      </c>
      <c r="BL25" s="17">
        <v>4.4975872102114713E-2</v>
      </c>
      <c r="BM25" s="17">
        <v>2.3954306081863871E-2</v>
      </c>
      <c r="BN25" s="17">
        <v>3.0239101391442601E-2</v>
      </c>
      <c r="BO25" s="17">
        <v>-4.372588759108751E-2</v>
      </c>
      <c r="BP25" s="17">
        <v>2.1889469568198618E-2</v>
      </c>
      <c r="BQ25" s="17">
        <v>8.6274302635084028E-3</v>
      </c>
      <c r="BR25" s="17">
        <v>-1.9192953994658781E-2</v>
      </c>
      <c r="BS25" s="17">
        <v>1.973512988813305E-2</v>
      </c>
      <c r="BT25" s="17">
        <v>4.7694337483699438E-2</v>
      </c>
      <c r="BU25" s="17">
        <v>1.145481680658339E-2</v>
      </c>
      <c r="BV25" s="17">
        <v>4.3228620735213191E-2</v>
      </c>
      <c r="BW25" s="17">
        <v>-4.2747430436922793E-2</v>
      </c>
      <c r="BX25" s="17">
        <v>-1.781129242779457E-2</v>
      </c>
      <c r="BY25" s="17">
        <v>-0.1511530968690756</v>
      </c>
      <c r="BZ25" s="17">
        <v>0.12422400361957529</v>
      </c>
      <c r="CA25" s="17">
        <v>-4.5572538445296431E-3</v>
      </c>
      <c r="CB25" s="17">
        <v>6.0211240204911178E-2</v>
      </c>
      <c r="CC25" s="17">
        <v>8.5992033482502284E-2</v>
      </c>
      <c r="CD25" s="17">
        <v>-5.8084795823660634E-3</v>
      </c>
      <c r="CE25" s="17">
        <v>-6.0413469889680736E-3</v>
      </c>
      <c r="CF25" s="17">
        <v>2.4523243722520739E-3</v>
      </c>
      <c r="CG25" s="17">
        <v>8.963625193702289E-2</v>
      </c>
      <c r="CH25" s="17">
        <v>7.099273252675789E-2</v>
      </c>
      <c r="CI25" s="17">
        <v>2.7170642901783448E-2</v>
      </c>
      <c r="CJ25" s="17">
        <v>5.2468428425330033E-2</v>
      </c>
      <c r="CK25" s="17">
        <v>2.9480660943049509E-2</v>
      </c>
      <c r="CL25" s="17">
        <v>6.6825081060201283E-2</v>
      </c>
      <c r="CM25" s="17">
        <v>-2.8772229019816971E-2</v>
      </c>
      <c r="CN25" s="17">
        <v>3.9462515901637851E-2</v>
      </c>
      <c r="CO25" s="17">
        <v>-2.9031086977359909E-2</v>
      </c>
      <c r="CP25" s="17">
        <v>1.3983882519467901E-2</v>
      </c>
      <c r="CQ25" s="17">
        <v>-3.2276964959333833E-2</v>
      </c>
      <c r="CR25" s="17">
        <v>3.1035766128940231E-3</v>
      </c>
      <c r="CS25" s="17">
        <v>2.5591855767083171E-2</v>
      </c>
      <c r="CT25" s="17">
        <v>4.4391886287193302E-2</v>
      </c>
      <c r="CU25" s="17">
        <v>-3.0338958549577438E-2</v>
      </c>
      <c r="CV25" s="17">
        <v>-1.2579764545717069E-3</v>
      </c>
      <c r="CW25" s="17">
        <v>2.336356455857952E-3</v>
      </c>
      <c r="CX25" s="17">
        <v>-6.4264144925906069E-2</v>
      </c>
      <c r="CY25" s="17">
        <v>1.2909779458992439E-2</v>
      </c>
      <c r="CZ25" s="17">
        <v>-0.12547709467085871</v>
      </c>
      <c r="DA25" s="17">
        <v>1.1690682939792569E-2</v>
      </c>
      <c r="DB25" s="17">
        <v>6.3378437007417512E-3</v>
      </c>
      <c r="DC25" s="17">
        <v>-0.1173053564693855</v>
      </c>
      <c r="DD25" s="17">
        <v>-3.6010872049446613E-2</v>
      </c>
      <c r="DE25" s="17">
        <v>0.1389113040722679</v>
      </c>
      <c r="DF25" s="17">
        <v>-5.1143506226105737E-2</v>
      </c>
      <c r="DG25" s="17">
        <v>7.6731447181969059E-2</v>
      </c>
      <c r="DH25" s="17">
        <v>1.550878219700816E-2</v>
      </c>
      <c r="DI25" s="17">
        <v>2.3223773674755831E-2</v>
      </c>
      <c r="DJ25" s="17">
        <v>-1.8372876361227891E-2</v>
      </c>
      <c r="DK25" s="17">
        <v>6.2199014085099431E-2</v>
      </c>
      <c r="DL25" s="17">
        <v>2.0098304486957191E-2</v>
      </c>
      <c r="DM25" s="17">
        <v>1.349893974806809E-2</v>
      </c>
      <c r="DN25" s="17">
        <v>-3.025221272842088E-2</v>
      </c>
      <c r="DO25" s="17">
        <v>-1.7022835708053841E-2</v>
      </c>
      <c r="DP25" s="17">
        <v>-2.1788523272461981E-2</v>
      </c>
      <c r="DQ25" s="17">
        <v>8.5745624585137223E-2</v>
      </c>
      <c r="DR25" s="17">
        <v>2.8106743604973752E-2</v>
      </c>
      <c r="DS25" s="17">
        <v>-2.3031598073594501E-3</v>
      </c>
      <c r="DT25" s="17">
        <v>5.8471198131487503E-2</v>
      </c>
      <c r="DU25" s="17">
        <v>6.7658949048647651E-2</v>
      </c>
      <c r="DV25" s="17">
        <v>5.0207706404322644E-3</v>
      </c>
      <c r="DW25" s="17">
        <v>3.7416183675207063E-2</v>
      </c>
      <c r="DX25" s="17">
        <v>8.4111003746042121E-2</v>
      </c>
      <c r="DY25" s="17">
        <v>-3.6832398544012837E-2</v>
      </c>
      <c r="DZ25" s="17">
        <v>3.0917028169369942E-3</v>
      </c>
      <c r="EA25" s="17">
        <v>-1.957628214294549E-3</v>
      </c>
      <c r="EB25" s="17">
        <v>2.6459103603519739E-2</v>
      </c>
      <c r="EC25" s="17">
        <v>-2.4752538760690269E-2</v>
      </c>
      <c r="ED25" s="17">
        <v>3.4115490982559941E-2</v>
      </c>
      <c r="EE25" s="17">
        <v>2.1061973989032982E-2</v>
      </c>
      <c r="EF25" s="17">
        <v>-2.0277392706005919E-2</v>
      </c>
      <c r="EG25" s="3"/>
    </row>
    <row r="26" spans="1:138" ht="16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3"/>
    </row>
    <row r="28" spans="1:138" ht="16" customHeight="1">
      <c r="A28" s="19"/>
      <c r="B28" s="19"/>
      <c r="C28" s="19"/>
      <c r="D28" s="4"/>
      <c r="E28" s="4"/>
      <c r="F28" s="4"/>
      <c r="G28" s="4"/>
      <c r="H28" s="4"/>
      <c r="I28" s="4"/>
      <c r="J28" s="4"/>
      <c r="K28" s="19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</row>
  </sheetData>
  <mergeCells count="1">
    <mergeCell ref="A10:B10"/>
  </mergeCells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F29"/>
  <sheetViews>
    <sheetView tabSelected="1" zoomScale="75" workbookViewId="0">
      <selection activeCell="K33" sqref="K33"/>
    </sheetView>
  </sheetViews>
  <sheetFormatPr baseColWidth="10" defaultColWidth="8.83203125" defaultRowHeight="15"/>
  <cols>
    <col min="1" max="1" width="8.33203125" style="18" customWidth="1"/>
    <col min="2" max="3" width="9.33203125" style="18" customWidth="1"/>
    <col min="11" max="11" width="8.1640625" style="18" customWidth="1"/>
    <col min="64" max="64" width="8.33203125" style="18" customWidth="1"/>
  </cols>
  <sheetData>
    <row r="1" spans="1:136" ht="16" customHeight="1">
      <c r="A1" s="19"/>
      <c r="B1" s="19"/>
      <c r="C1" s="19"/>
      <c r="D1" s="4"/>
      <c r="E1" s="4"/>
      <c r="F1" s="4"/>
      <c r="G1" s="4"/>
      <c r="H1" s="4"/>
      <c r="I1" s="4"/>
      <c r="J1" s="4"/>
      <c r="K1" s="19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11" spans="1:136" ht="16" customHeight="1">
      <c r="A11" s="50" t="s">
        <v>142</v>
      </c>
      <c r="B11" s="51"/>
      <c r="C11" s="8" t="s">
        <v>143</v>
      </c>
      <c r="D11" s="8">
        <v>964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</row>
    <row r="12" spans="1:136" ht="18" customHeight="1">
      <c r="A12" s="20" t="s">
        <v>151</v>
      </c>
      <c r="B12" s="10" t="s">
        <v>3</v>
      </c>
      <c r="C12" s="10" t="s">
        <v>4</v>
      </c>
      <c r="D12" s="10" t="s">
        <v>5</v>
      </c>
      <c r="E12" s="10" t="s">
        <v>6</v>
      </c>
      <c r="F12" s="10" t="s">
        <v>7</v>
      </c>
      <c r="G12" s="10" t="s">
        <v>8</v>
      </c>
      <c r="H12" s="10" t="s">
        <v>9</v>
      </c>
      <c r="I12" s="10" t="s">
        <v>10</v>
      </c>
      <c r="J12" s="10" t="s">
        <v>11</v>
      </c>
      <c r="K12" s="10" t="s">
        <v>12</v>
      </c>
      <c r="L12" s="10" t="s">
        <v>13</v>
      </c>
      <c r="M12" s="10" t="s">
        <v>14</v>
      </c>
      <c r="N12" s="10" t="s">
        <v>15</v>
      </c>
      <c r="O12" s="10" t="s">
        <v>16</v>
      </c>
      <c r="P12" s="10" t="s">
        <v>17</v>
      </c>
      <c r="Q12" s="10" t="s">
        <v>18</v>
      </c>
      <c r="R12" s="10" t="s">
        <v>19</v>
      </c>
      <c r="S12" s="10" t="s">
        <v>20</v>
      </c>
      <c r="T12" s="10" t="s">
        <v>21</v>
      </c>
      <c r="U12" s="10" t="s">
        <v>22</v>
      </c>
      <c r="V12" s="10" t="s">
        <v>23</v>
      </c>
      <c r="W12" s="10" t="s">
        <v>24</v>
      </c>
      <c r="X12" s="10" t="s">
        <v>25</v>
      </c>
      <c r="Y12" s="10" t="s">
        <v>26</v>
      </c>
      <c r="Z12" s="10" t="s">
        <v>27</v>
      </c>
      <c r="AA12" s="10" t="s">
        <v>28</v>
      </c>
      <c r="AB12" s="10" t="s">
        <v>29</v>
      </c>
      <c r="AC12" s="10" t="s">
        <v>30</v>
      </c>
      <c r="AD12" s="10" t="s">
        <v>31</v>
      </c>
      <c r="AE12" s="10" t="s">
        <v>32</v>
      </c>
      <c r="AF12" s="10" t="s">
        <v>33</v>
      </c>
      <c r="AG12" s="10" t="s">
        <v>34</v>
      </c>
      <c r="AH12" s="10" t="s">
        <v>35</v>
      </c>
      <c r="AI12" s="10" t="s">
        <v>36</v>
      </c>
      <c r="AJ12" s="10" t="s">
        <v>37</v>
      </c>
      <c r="AK12" s="10" t="s">
        <v>38</v>
      </c>
      <c r="AL12" s="10" t="s">
        <v>39</v>
      </c>
      <c r="AM12" s="10" t="s">
        <v>40</v>
      </c>
      <c r="AN12" s="10" t="s">
        <v>41</v>
      </c>
      <c r="AO12" s="10" t="s">
        <v>42</v>
      </c>
      <c r="AP12" s="10" t="s">
        <v>43</v>
      </c>
      <c r="AQ12" s="10" t="s">
        <v>44</v>
      </c>
      <c r="AR12" s="10" t="s">
        <v>45</v>
      </c>
      <c r="AS12" s="10" t="s">
        <v>46</v>
      </c>
      <c r="AT12" s="10" t="s">
        <v>47</v>
      </c>
      <c r="AU12" s="10" t="s">
        <v>48</v>
      </c>
      <c r="AV12" s="10" t="s">
        <v>49</v>
      </c>
      <c r="AW12" s="10" t="s">
        <v>50</v>
      </c>
      <c r="AX12" s="10" t="s">
        <v>51</v>
      </c>
      <c r="AY12" s="10" t="s">
        <v>52</v>
      </c>
      <c r="AZ12" s="10" t="s">
        <v>53</v>
      </c>
      <c r="BA12" s="10" t="s">
        <v>54</v>
      </c>
      <c r="BB12" s="10" t="s">
        <v>55</v>
      </c>
      <c r="BC12" s="10" t="s">
        <v>56</v>
      </c>
      <c r="BD12" s="10" t="s">
        <v>57</v>
      </c>
      <c r="BE12" s="10" t="s">
        <v>58</v>
      </c>
      <c r="BF12" s="10" t="s">
        <v>59</v>
      </c>
      <c r="BG12" s="10" t="s">
        <v>60</v>
      </c>
      <c r="BH12" s="10" t="s">
        <v>61</v>
      </c>
      <c r="BI12" s="10" t="s">
        <v>62</v>
      </c>
      <c r="BJ12" s="10" t="s">
        <v>63</v>
      </c>
      <c r="BK12" s="10" t="s">
        <v>64</v>
      </c>
      <c r="BL12" s="10" t="s">
        <v>65</v>
      </c>
      <c r="BM12" s="10" t="s">
        <v>66</v>
      </c>
      <c r="BN12" s="10" t="s">
        <v>67</v>
      </c>
      <c r="BO12" s="10" t="s">
        <v>68</v>
      </c>
      <c r="BP12" s="10" t="s">
        <v>69</v>
      </c>
      <c r="BQ12" s="10" t="s">
        <v>70</v>
      </c>
      <c r="BR12" s="10" t="s">
        <v>71</v>
      </c>
      <c r="BS12" s="10" t="s">
        <v>72</v>
      </c>
      <c r="BT12" s="10" t="s">
        <v>73</v>
      </c>
      <c r="BU12" s="10" t="s">
        <v>74</v>
      </c>
      <c r="BV12" s="10" t="s">
        <v>75</v>
      </c>
      <c r="BW12" s="10" t="s">
        <v>76</v>
      </c>
      <c r="BX12" s="10" t="s">
        <v>77</v>
      </c>
      <c r="BY12" s="10" t="s">
        <v>78</v>
      </c>
      <c r="BZ12" s="10" t="s">
        <v>79</v>
      </c>
      <c r="CA12" s="10" t="s">
        <v>80</v>
      </c>
      <c r="CB12" s="10" t="s">
        <v>81</v>
      </c>
      <c r="CC12" s="10" t="s">
        <v>82</v>
      </c>
      <c r="CD12" s="10" t="s">
        <v>83</v>
      </c>
      <c r="CE12" s="10" t="s">
        <v>84</v>
      </c>
      <c r="CF12" s="10" t="s">
        <v>85</v>
      </c>
      <c r="CG12" s="10" t="s">
        <v>86</v>
      </c>
      <c r="CH12" s="10" t="s">
        <v>87</v>
      </c>
      <c r="CI12" s="10" t="s">
        <v>88</v>
      </c>
      <c r="CJ12" s="10" t="s">
        <v>89</v>
      </c>
      <c r="CK12" s="10" t="s">
        <v>90</v>
      </c>
      <c r="CL12" s="10" t="s">
        <v>91</v>
      </c>
      <c r="CM12" s="10" t="s">
        <v>92</v>
      </c>
      <c r="CN12" s="10" t="s">
        <v>93</v>
      </c>
      <c r="CO12" s="10" t="s">
        <v>94</v>
      </c>
      <c r="CP12" s="10" t="s">
        <v>95</v>
      </c>
      <c r="CQ12" s="10" t="s">
        <v>96</v>
      </c>
      <c r="CR12" s="10" t="s">
        <v>97</v>
      </c>
      <c r="CS12" s="10" t="s">
        <v>98</v>
      </c>
      <c r="CT12" s="10" t="s">
        <v>99</v>
      </c>
      <c r="CU12" s="10" t="s">
        <v>100</v>
      </c>
      <c r="CV12" s="10" t="s">
        <v>101</v>
      </c>
      <c r="CW12" s="10" t="s">
        <v>102</v>
      </c>
      <c r="CX12" s="10" t="s">
        <v>103</v>
      </c>
      <c r="CY12" s="10" t="s">
        <v>104</v>
      </c>
      <c r="CZ12" s="10" t="s">
        <v>105</v>
      </c>
      <c r="DA12" s="10" t="s">
        <v>106</v>
      </c>
      <c r="DB12" s="10" t="s">
        <v>107</v>
      </c>
      <c r="DC12" s="10" t="s">
        <v>108</v>
      </c>
      <c r="DD12" s="10" t="s">
        <v>109</v>
      </c>
      <c r="DE12" s="10" t="s">
        <v>110</v>
      </c>
      <c r="DF12" s="10" t="s">
        <v>111</v>
      </c>
      <c r="DG12" s="10" t="s">
        <v>112</v>
      </c>
      <c r="DH12" s="10" t="s">
        <v>113</v>
      </c>
      <c r="DI12" s="10" t="s">
        <v>114</v>
      </c>
      <c r="DJ12" s="10" t="s">
        <v>115</v>
      </c>
      <c r="DK12" s="10" t="s">
        <v>116</v>
      </c>
      <c r="DL12" s="10" t="s">
        <v>117</v>
      </c>
      <c r="DM12" s="10" t="s">
        <v>118</v>
      </c>
      <c r="DN12" s="10" t="s">
        <v>119</v>
      </c>
      <c r="DO12" s="10" t="s">
        <v>120</v>
      </c>
      <c r="DP12" s="10" t="s">
        <v>121</v>
      </c>
      <c r="DQ12" s="10" t="s">
        <v>122</v>
      </c>
      <c r="DR12" s="10" t="s">
        <v>123</v>
      </c>
      <c r="DS12" s="10" t="s">
        <v>124</v>
      </c>
      <c r="DT12" s="10" t="s">
        <v>125</v>
      </c>
      <c r="DU12" s="10" t="s">
        <v>126</v>
      </c>
      <c r="DV12" s="10" t="s">
        <v>127</v>
      </c>
      <c r="DW12" s="10" t="s">
        <v>128</v>
      </c>
      <c r="DX12" s="10" t="s">
        <v>129</v>
      </c>
      <c r="DY12" s="10" t="s">
        <v>130</v>
      </c>
      <c r="DZ12" s="10" t="s">
        <v>131</v>
      </c>
      <c r="EA12" s="10" t="s">
        <v>132</v>
      </c>
      <c r="EB12" s="10" t="s">
        <v>133</v>
      </c>
      <c r="EC12" s="10" t="s">
        <v>134</v>
      </c>
      <c r="ED12" s="10" t="s">
        <v>135</v>
      </c>
      <c r="EE12" s="10" t="s">
        <v>146</v>
      </c>
    </row>
    <row r="13" spans="1:136" ht="16" customHeight="1">
      <c r="A13" s="6" t="s">
        <v>152</v>
      </c>
      <c r="B13" s="7">
        <v>0.13959367873036829</v>
      </c>
      <c r="C13" s="9">
        <f>B13+預測IC!D14</f>
        <v>0.16569249565911154</v>
      </c>
      <c r="D13" s="9">
        <f>C13+預測IC!E14</f>
        <v>0.16100989160977772</v>
      </c>
      <c r="E13" s="9">
        <f>D13+預測IC!F14</f>
        <v>0.14443907833789141</v>
      </c>
      <c r="F13" s="9">
        <f>E13+預測IC!G14</f>
        <v>0.12667781241464093</v>
      </c>
      <c r="G13" s="9">
        <f>F13+預測IC!H14</f>
        <v>0.11885194720417588</v>
      </c>
      <c r="H13" s="9">
        <f>G13+預測IC!I14</f>
        <v>0.12231285495772269</v>
      </c>
      <c r="I13" s="9">
        <f>H13+預測IC!J14</f>
        <v>0.10451434422234852</v>
      </c>
      <c r="J13" s="9">
        <f>I13+預測IC!K14</f>
        <v>9.9145459138906974E-2</v>
      </c>
      <c r="K13" s="9">
        <f>J13+預測IC!L14</f>
        <v>0.10488681791489746</v>
      </c>
      <c r="L13" s="9">
        <f>K13+預測IC!M14</f>
        <v>8.8007887723889483E-2</v>
      </c>
      <c r="M13" s="9">
        <f>L13+預測IC!N14</f>
        <v>9.8391901140117408E-2</v>
      </c>
      <c r="N13" s="9">
        <f>M13+預測IC!O14</f>
        <v>7.0967785113456694E-2</v>
      </c>
      <c r="O13" s="9">
        <f>N13+預測IC!P14</f>
        <v>7.2381115159049381E-2</v>
      </c>
      <c r="P13" s="9">
        <f>O13+預測IC!Q14</f>
        <v>5.5808721524706492E-2</v>
      </c>
      <c r="Q13" s="9">
        <f>P13+預測IC!R14</f>
        <v>3.7361142029347233E-2</v>
      </c>
      <c r="R13" s="9">
        <f>Q13+預測IC!S14</f>
        <v>4.03041862820811E-2</v>
      </c>
      <c r="S13" s="9">
        <f>R13+預測IC!T14</f>
        <v>3.0993212307827346E-2</v>
      </c>
      <c r="T13" s="9">
        <f>S13+預測IC!U14</f>
        <v>2.4877531428229301E-2</v>
      </c>
      <c r="U13" s="9">
        <f>T13+預測IC!V14</f>
        <v>5.8146897523750678E-2</v>
      </c>
      <c r="V13" s="9">
        <f>U13+預測IC!W14</f>
        <v>4.5805178618652027E-2</v>
      </c>
      <c r="W13" s="9">
        <f>V13+預測IC!X14</f>
        <v>0.13363124422097913</v>
      </c>
      <c r="X13" s="9">
        <f>W13+預測IC!Y14</f>
        <v>7.6894618762488376E-2</v>
      </c>
      <c r="Y13" s="9">
        <f>X13+預測IC!Z14</f>
        <v>8.7375283394750092E-2</v>
      </c>
      <c r="Z13" s="9">
        <f>Y13+預測IC!AA14</f>
        <v>8.4239001949328512E-2</v>
      </c>
      <c r="AA13" s="9">
        <f>Z13+預測IC!AB14</f>
        <v>9.2323083801599592E-2</v>
      </c>
      <c r="AB13" s="9">
        <f>AA13+預測IC!AC14</f>
        <v>0.12029246793477252</v>
      </c>
      <c r="AC13" s="9">
        <f>AB13+預測IC!AD14</f>
        <v>0.12327844206980018</v>
      </c>
      <c r="AD13" s="9">
        <f>AC13+預測IC!AE14</f>
        <v>0.11915008428147823</v>
      </c>
      <c r="AE13" s="9">
        <f>AD13+預測IC!AF14</f>
        <v>0.11599668627270114</v>
      </c>
      <c r="AF13" s="9">
        <f>AE13+預測IC!AG14</f>
        <v>0.13122597302849906</v>
      </c>
      <c r="AG13" s="9">
        <f>AF13+預測IC!AH14</f>
        <v>0.15250529231451046</v>
      </c>
      <c r="AH13" s="9">
        <f>AG13+預測IC!AI14</f>
        <v>0.15523717143947938</v>
      </c>
      <c r="AI13" s="9">
        <f>AH13+預測IC!AJ14</f>
        <v>0.13059904725278532</v>
      </c>
      <c r="AJ13" s="9">
        <f>AI13+預測IC!AK14</f>
        <v>0.11248017028807697</v>
      </c>
      <c r="AK13" s="9">
        <f>AJ13+預測IC!AL14</f>
        <v>0.11319992536436267</v>
      </c>
      <c r="AL13" s="9">
        <f>AK13+預測IC!AM14</f>
        <v>9.2291723903665468E-2</v>
      </c>
      <c r="AM13" s="9">
        <f>AL13+預測IC!AN14</f>
        <v>9.9614871398529231E-2</v>
      </c>
      <c r="AN13" s="9">
        <f>AM13+預測IC!AO14</f>
        <v>0.11741175865808925</v>
      </c>
      <c r="AO13" s="9">
        <f>AN13+預測IC!AP14</f>
        <v>0.15175848028815703</v>
      </c>
      <c r="AP13" s="9">
        <f>AO13+預測IC!AQ14</f>
        <v>0.17191788730745422</v>
      </c>
      <c r="AQ13" s="9">
        <f>AP13+預測IC!AR14</f>
        <v>0.17702475137744914</v>
      </c>
      <c r="AR13" s="9">
        <f>AQ13+預測IC!AS14</f>
        <v>0.1944556703153037</v>
      </c>
      <c r="AS13" s="9">
        <f>AR13+預測IC!AT14</f>
        <v>0.18493420341067654</v>
      </c>
      <c r="AT13" s="9">
        <f>AS13+預測IC!AU14</f>
        <v>0.19454160711731322</v>
      </c>
      <c r="AU13" s="9">
        <f>AT13+預測IC!AV14</f>
        <v>0.20169137886591315</v>
      </c>
      <c r="AV13" s="9">
        <f>AU13+預測IC!AW14</f>
        <v>0.20781067423393296</v>
      </c>
      <c r="AW13" s="9">
        <f>AV13+預測IC!AX14</f>
        <v>0.18514569252590721</v>
      </c>
      <c r="AX13" s="9">
        <f>AW13+預測IC!AY14</f>
        <v>0.17957696126744427</v>
      </c>
      <c r="AY13" s="9">
        <f>AX13+預測IC!AZ14</f>
        <v>0.18417429136681426</v>
      </c>
      <c r="AZ13" s="9">
        <f>AY13+預測IC!BA14</f>
        <v>0.20481864853294907</v>
      </c>
      <c r="BA13" s="9">
        <f>AZ13+預測IC!BB14</f>
        <v>0.18907906342682945</v>
      </c>
      <c r="BB13" s="9">
        <f>BA13+預測IC!BC14</f>
        <v>0.19381362148335582</v>
      </c>
      <c r="BC13" s="9">
        <f>BB13+預測IC!BD14</f>
        <v>0.20145142372722241</v>
      </c>
      <c r="BD13" s="9">
        <f>BC13+預測IC!BE14</f>
        <v>0.17788346775226291</v>
      </c>
      <c r="BE13" s="9">
        <f>BD13+預測IC!BF14</f>
        <v>0.19323704228023653</v>
      </c>
      <c r="BF13" s="9">
        <f>BE13+預測IC!BG14</f>
        <v>0.22447188254050565</v>
      </c>
      <c r="BG13" s="9">
        <f>BF13+預測IC!BH14</f>
        <v>0.2160558621529583</v>
      </c>
      <c r="BH13" s="9">
        <f>BG13+預測IC!BI14</f>
        <v>0.21355466440780099</v>
      </c>
      <c r="BI13" s="9">
        <f>BH13+預測IC!BJ14</f>
        <v>0.20962148846781889</v>
      </c>
      <c r="BJ13" s="9">
        <f>BI13+預測IC!BK14</f>
        <v>0.21291191930784145</v>
      </c>
      <c r="BK13" s="9">
        <f>BJ13+預測IC!BL14</f>
        <v>0.25192592909728351</v>
      </c>
      <c r="BL13" s="9">
        <f>BK13+預測IC!BM14</f>
        <v>0.24276312407796494</v>
      </c>
      <c r="BM13" s="9">
        <f>BL13+預測IC!BN14</f>
        <v>0.23409635512645835</v>
      </c>
      <c r="BN13" s="9">
        <f>BM13+預測IC!BO14</f>
        <v>0.24708905311035992</v>
      </c>
      <c r="BO13" s="9">
        <f>BN13+預測IC!BP14</f>
        <v>0.23175506401893556</v>
      </c>
      <c r="BP13" s="9">
        <f>BO13+預測IC!BQ14</f>
        <v>0.21034483340621282</v>
      </c>
      <c r="BQ13" s="9">
        <f>BP13+預測IC!BR14</f>
        <v>0.21775745275914643</v>
      </c>
      <c r="BR13" s="9">
        <f>BQ13+預測IC!BS14</f>
        <v>0.21044983511259879</v>
      </c>
      <c r="BS13" s="9">
        <f>BR13+預測IC!BT14</f>
        <v>0.24829158207624008</v>
      </c>
      <c r="BT13" s="9">
        <f>BS13+預測IC!BU14</f>
        <v>0.26548982901615126</v>
      </c>
      <c r="BU13" s="9">
        <f>BT13+預測IC!BV14</f>
        <v>0.26919937034030406</v>
      </c>
      <c r="BV13" s="9">
        <f>BU13+預測IC!BW14</f>
        <v>0.29746247125191583</v>
      </c>
      <c r="BW13" s="9">
        <f>BV13+預測IC!BX14</f>
        <v>0.29563011812350809</v>
      </c>
      <c r="BX13" s="9">
        <f>BW13+預測IC!BY14</f>
        <v>0.32911663911689049</v>
      </c>
      <c r="BY13" s="9">
        <f>BX13+預測IC!BZ14</f>
        <v>0.26208811391829173</v>
      </c>
      <c r="BZ13" s="9">
        <f>BY13+預測IC!CA14</f>
        <v>0.25786104809458371</v>
      </c>
      <c r="CA13" s="9">
        <f>BZ13+預測IC!CB14</f>
        <v>0.25996336487430094</v>
      </c>
      <c r="CB13" s="9">
        <f>CA13+預測IC!CC14</f>
        <v>0.24652351881763479</v>
      </c>
      <c r="CC13" s="9">
        <f>CB13+預測IC!CD14</f>
        <v>0.20410137350331217</v>
      </c>
      <c r="CD13" s="9">
        <f>CC13+預測IC!CE14</f>
        <v>0.23081047471226199</v>
      </c>
      <c r="CE13" s="9">
        <f>CD13+預測IC!CF14</f>
        <v>0.26064007225233476</v>
      </c>
      <c r="CF13" s="9">
        <f>CE13+預測IC!CG14</f>
        <v>0.25143030724885185</v>
      </c>
      <c r="CG13" s="9">
        <f>CF13+預測IC!CH14</f>
        <v>0.30622142169908501</v>
      </c>
      <c r="CH13" s="9">
        <f>CG13+預測IC!CI14</f>
        <v>0.30830823541759367</v>
      </c>
      <c r="CI13" s="9">
        <f>CH13+預測IC!CJ14</f>
        <v>0.28150964211852869</v>
      </c>
      <c r="CJ13" s="9">
        <f>CI13+預測IC!CK14</f>
        <v>0.2418003739851102</v>
      </c>
      <c r="CK13" s="9">
        <f>CJ13+預測IC!CL14</f>
        <v>0.32704456778014407</v>
      </c>
      <c r="CL13" s="9">
        <f>CK13+預測IC!CM14</f>
        <v>0.31014735534873</v>
      </c>
      <c r="CM13" s="9">
        <f>CL13+預測IC!CN14</f>
        <v>0.34343862832741673</v>
      </c>
      <c r="CN13" s="9">
        <f>CM13+預測IC!CO14</f>
        <v>0.28506143240967846</v>
      </c>
      <c r="CO13" s="9">
        <f>CN13+預測IC!CP14</f>
        <v>0.26341307273249709</v>
      </c>
      <c r="CP13" s="9">
        <f>CO13+預測IC!CQ14</f>
        <v>0.25404791868094767</v>
      </c>
      <c r="CQ13" s="9">
        <f>CP13+預測IC!CR14</f>
        <v>0.244255092225725</v>
      </c>
      <c r="CR13" s="9">
        <f>CQ13+預測IC!CS14</f>
        <v>0.24347448674120056</v>
      </c>
      <c r="CS13" s="9">
        <f>CR13+預測IC!CT14</f>
        <v>0.26652578372587737</v>
      </c>
      <c r="CT13" s="9">
        <f>CS13+預測IC!CU14</f>
        <v>0.23027062128957065</v>
      </c>
      <c r="CU13" s="9">
        <f>CT13+預測IC!CV14</f>
        <v>0.25528026730488612</v>
      </c>
      <c r="CV13" s="9">
        <f>CU13+預測IC!CW14</f>
        <v>0.25342524996465621</v>
      </c>
      <c r="CW13" s="9">
        <f>CV13+預測IC!CX14</f>
        <v>0.22524476695517076</v>
      </c>
      <c r="CX13" s="9">
        <f>CW13+預測IC!CY14</f>
        <v>0.22688273568060133</v>
      </c>
      <c r="CY13" s="9">
        <f>CX13+預測IC!CZ14</f>
        <v>0.22984066526801214</v>
      </c>
      <c r="CZ13" s="9">
        <f>CY13+預測IC!DA14</f>
        <v>0.29207076360377937</v>
      </c>
      <c r="DA13" s="9">
        <f>CZ13+預測IC!DB14</f>
        <v>0.30642653623668431</v>
      </c>
      <c r="DB13" s="9">
        <f>DA13+預測IC!DC14</f>
        <v>0.23041702405336756</v>
      </c>
      <c r="DC13" s="9">
        <f>DB13+預測IC!DD14</f>
        <v>0.24278289192799068</v>
      </c>
      <c r="DD13" s="9">
        <f>DC13+預測IC!DE14</f>
        <v>0.30094491175321764</v>
      </c>
      <c r="DE13" s="9">
        <f>DD13+預測IC!DF14</f>
        <v>0.29593498125009049</v>
      </c>
      <c r="DF13" s="9">
        <f>DE13+預測IC!DG14</f>
        <v>0.33778603882377622</v>
      </c>
      <c r="DG13" s="9">
        <f>DF13+預測IC!DH14</f>
        <v>0.34563162987342405</v>
      </c>
      <c r="DH13" s="9">
        <f>DG13+預測IC!DI14</f>
        <v>0.37086282590875885</v>
      </c>
      <c r="DI13" s="9">
        <f>DH13+預測IC!DJ14</f>
        <v>0.40402990087971535</v>
      </c>
      <c r="DJ13" s="9">
        <f>DI13+預測IC!DK14</f>
        <v>0.42253107645956456</v>
      </c>
      <c r="DK13" s="9">
        <f>DJ13+預測IC!DL14</f>
        <v>0.44105602090239587</v>
      </c>
      <c r="DL13" s="9">
        <f>DK13+預測IC!DM14</f>
        <v>0.48297404555453305</v>
      </c>
      <c r="DM13" s="9">
        <f>DL13+預測IC!DN14</f>
        <v>0.45230353609003648</v>
      </c>
      <c r="DN13" s="9">
        <f>DM13+預測IC!DO14</f>
        <v>0.44921596411720971</v>
      </c>
      <c r="DO13" s="9">
        <f>DN13+預測IC!DP14</f>
        <v>0.46152837464110552</v>
      </c>
      <c r="DP13" s="9">
        <f>DO13+預測IC!DQ14</f>
        <v>0.456712294192954</v>
      </c>
      <c r="DQ13" s="9">
        <f>DP13+預測IC!DR14</f>
        <v>0.4707065235370288</v>
      </c>
      <c r="DR13" s="9">
        <f>DQ13+預測IC!DS14</f>
        <v>0.47773491814425356</v>
      </c>
      <c r="DS13" s="9">
        <f>DR13+預測IC!DT14</f>
        <v>0.50484094967188375</v>
      </c>
      <c r="DT13" s="9">
        <f>DS13+預測IC!DU14</f>
        <v>0.50501663009586228</v>
      </c>
      <c r="DU13" s="9">
        <f>DT13+預測IC!DV14</f>
        <v>0.47904143584017128</v>
      </c>
      <c r="DV13" s="9">
        <f>DU13+預測IC!DW14</f>
        <v>0.44140696991189904</v>
      </c>
      <c r="DW13" s="9">
        <f>DV13+預測IC!DX14</f>
        <v>0.43412020474568819</v>
      </c>
      <c r="DX13" s="9">
        <f>DW13+預測IC!DY14</f>
        <v>0.44681179167532115</v>
      </c>
      <c r="DY13" s="9">
        <f>DX13+預測IC!DZ14</f>
        <v>0.47069943719304236</v>
      </c>
      <c r="DZ13" s="9">
        <f>DY13+預測IC!EA14</f>
        <v>0.41271565878182231</v>
      </c>
      <c r="EA13" s="9">
        <f>DZ13+預測IC!EB14</f>
        <v>0.42037577391093783</v>
      </c>
      <c r="EB13" s="9">
        <f>EA13+預測IC!EC14</f>
        <v>0.40266889440087134</v>
      </c>
      <c r="EC13" s="9">
        <f>EB13+預測IC!ED14</f>
        <v>0.39789072588094382</v>
      </c>
      <c r="ED13" s="9">
        <f>EC13+預測IC!EE14</f>
        <v>0.3821717737413432</v>
      </c>
      <c r="EE13" s="9">
        <f>ED13+預測IC!EF14</f>
        <v>0.42445113868666373</v>
      </c>
    </row>
    <row r="14" spans="1:136" ht="16" customHeight="1">
      <c r="A14" s="6" t="s">
        <v>153</v>
      </c>
      <c r="B14" s="7">
        <v>0.19687692674233029</v>
      </c>
      <c r="C14" s="9">
        <f>B14+預測IC!D15</f>
        <v>0.26979442214943544</v>
      </c>
      <c r="D14" s="9">
        <f>C14+預測IC!E15</f>
        <v>0.25653790559088574</v>
      </c>
      <c r="E14" s="9">
        <f>D14+預測IC!F15</f>
        <v>0.28063547165853464</v>
      </c>
      <c r="F14" s="9">
        <f>E14+預測IC!G15</f>
        <v>0.28778885692315515</v>
      </c>
      <c r="G14" s="9">
        <f>F14+預測IC!H15</f>
        <v>0.27851010227156597</v>
      </c>
      <c r="H14" s="9">
        <f>G14+預測IC!I15</f>
        <v>0.2971012574476572</v>
      </c>
      <c r="I14" s="9">
        <f>H14+預測IC!J15</f>
        <v>0.28637049666708891</v>
      </c>
      <c r="J14" s="9">
        <f>I14+預測IC!K15</f>
        <v>0.24721748220883985</v>
      </c>
      <c r="K14" s="9">
        <f>J14+預測IC!L15</f>
        <v>0.26838815407209338</v>
      </c>
      <c r="L14" s="9">
        <f>K14+預測IC!M15</f>
        <v>0.27022571907929466</v>
      </c>
      <c r="M14" s="9">
        <f>L14+預測IC!N15</f>
        <v>0.25788707937454858</v>
      </c>
      <c r="N14" s="9">
        <f>M14+預測IC!O15</f>
        <v>0.21826559610332644</v>
      </c>
      <c r="O14" s="9">
        <f>N14+預測IC!P15</f>
        <v>0.212818304627961</v>
      </c>
      <c r="P14" s="9">
        <f>O14+預測IC!Q15</f>
        <v>0.21890432223738512</v>
      </c>
      <c r="Q14" s="9">
        <f>P14+預測IC!R15</f>
        <v>0.19248478257201784</v>
      </c>
      <c r="R14" s="9">
        <f>Q14+預測IC!S15</f>
        <v>0.18552376930546732</v>
      </c>
      <c r="S14" s="9">
        <f>R14+預測IC!T15</f>
        <v>0.17762010707820935</v>
      </c>
      <c r="T14" s="9">
        <f>S14+預測IC!U15</f>
        <v>0.1251250998077002</v>
      </c>
      <c r="U14" s="9">
        <f>T14+預測IC!V15</f>
        <v>0.16606644131563919</v>
      </c>
      <c r="V14" s="9">
        <f>U14+預測IC!W15</f>
        <v>0.17727072164796234</v>
      </c>
      <c r="W14" s="9">
        <f>V14+預測IC!X15</f>
        <v>0.27390504524222697</v>
      </c>
      <c r="X14" s="9">
        <f>W14+預測IC!Y15</f>
        <v>0.23031829237433984</v>
      </c>
      <c r="Y14" s="9">
        <f>X14+預測IC!Z15</f>
        <v>0.25332599339726691</v>
      </c>
      <c r="Z14" s="9">
        <f>Y14+預測IC!AA15</f>
        <v>0.23066550072259892</v>
      </c>
      <c r="AA14" s="9">
        <f>Z14+預測IC!AB15</f>
        <v>0.24087089181574112</v>
      </c>
      <c r="AB14" s="9">
        <f>AA14+預測IC!AC15</f>
        <v>0.2610445726520837</v>
      </c>
      <c r="AC14" s="9">
        <f>AB14+預測IC!AD15</f>
        <v>0.28579939831639933</v>
      </c>
      <c r="AD14" s="9">
        <f>AC14+預測IC!AE15</f>
        <v>0.26727141735119386</v>
      </c>
      <c r="AE14" s="9">
        <f>AD14+預測IC!AF15</f>
        <v>0.28512242810248983</v>
      </c>
      <c r="AF14" s="9">
        <f>AE14+預測IC!AG15</f>
        <v>0.2956332176348162</v>
      </c>
      <c r="AG14" s="9">
        <f>AF14+預測IC!AH15</f>
        <v>0.32728882688321004</v>
      </c>
      <c r="AH14" s="9">
        <f>AG14+預測IC!AI15</f>
        <v>0.32237759583361431</v>
      </c>
      <c r="AI14" s="9">
        <f>AH14+預測IC!AJ15</f>
        <v>0.28384778142258649</v>
      </c>
      <c r="AJ14" s="9">
        <f>AI14+預測IC!AK15</f>
        <v>0.24562247867203255</v>
      </c>
      <c r="AK14" s="9">
        <f>AJ14+預測IC!AL15</f>
        <v>0.23994687436564771</v>
      </c>
      <c r="AL14" s="9">
        <f>AK14+預測IC!AM15</f>
        <v>0.22690166350329283</v>
      </c>
      <c r="AM14" s="9">
        <f>AL14+預測IC!AN15</f>
        <v>0.24419647326896346</v>
      </c>
      <c r="AN14" s="9">
        <f>AM14+預測IC!AO15</f>
        <v>0.28254856902097331</v>
      </c>
      <c r="AO14" s="9">
        <f>AN14+預測IC!AP15</f>
        <v>0.33752924751079177</v>
      </c>
      <c r="AP14" s="9">
        <f>AO14+預測IC!AQ15</f>
        <v>0.35172925417583267</v>
      </c>
      <c r="AQ14" s="9">
        <f>AP14+預測IC!AR15</f>
        <v>0.3576650666363973</v>
      </c>
      <c r="AR14" s="9">
        <f>AQ14+預測IC!AS15</f>
        <v>0.39001011952258519</v>
      </c>
      <c r="AS14" s="9">
        <f>AR14+預測IC!AT15</f>
        <v>0.38118006809426663</v>
      </c>
      <c r="AT14" s="9">
        <f>AS14+預測IC!AU15</f>
        <v>0.41746122710699307</v>
      </c>
      <c r="AU14" s="9">
        <f>AT14+預測IC!AV15</f>
        <v>0.43447022273908253</v>
      </c>
      <c r="AV14" s="9">
        <f>AU14+預測IC!AW15</f>
        <v>0.39001225463767231</v>
      </c>
      <c r="AW14" s="9">
        <f>AV14+預測IC!AX15</f>
        <v>0.36531561436224314</v>
      </c>
      <c r="AX14" s="9">
        <f>AW14+預測IC!AY15</f>
        <v>0.36087715749797977</v>
      </c>
      <c r="AY14" s="9">
        <f>AX14+預測IC!AZ15</f>
        <v>0.37369119195507522</v>
      </c>
      <c r="AZ14" s="9">
        <f>AY14+預測IC!BA15</f>
        <v>0.41784566041008964</v>
      </c>
      <c r="BA14" s="9">
        <f>AZ14+預測IC!BB15</f>
        <v>0.38441809260582588</v>
      </c>
      <c r="BB14" s="9">
        <f>BA14+預測IC!BC15</f>
        <v>0.38073468289026613</v>
      </c>
      <c r="BC14" s="9">
        <f>BB14+預測IC!BD15</f>
        <v>0.40093414926435111</v>
      </c>
      <c r="BD14" s="9">
        <f>BC14+預測IC!BE15</f>
        <v>0.36536748236736555</v>
      </c>
      <c r="BE14" s="9">
        <f>BD14+預測IC!BF15</f>
        <v>0.35618361462664971</v>
      </c>
      <c r="BF14" s="9">
        <f>BE14+預測IC!BG15</f>
        <v>0.39095302731317511</v>
      </c>
      <c r="BG14" s="9">
        <f>BF14+預測IC!BH15</f>
        <v>0.38112161279588985</v>
      </c>
      <c r="BH14" s="9">
        <f>BG14+預測IC!BI15</f>
        <v>0.41723374549170111</v>
      </c>
      <c r="BI14" s="9">
        <f>BH14+預測IC!BJ15</f>
        <v>0.41546869784209517</v>
      </c>
      <c r="BJ14" s="9">
        <f>BI14+預測IC!BK15</f>
        <v>0.41364308802200134</v>
      </c>
      <c r="BK14" s="9">
        <f>BJ14+預測IC!BL15</f>
        <v>0.44476434110536173</v>
      </c>
      <c r="BL14" s="9">
        <f>BK14+預測IC!BM15</f>
        <v>0.43102432270510793</v>
      </c>
      <c r="BM14" s="9">
        <f>BL14+預測IC!BN15</f>
        <v>0.43098839242203479</v>
      </c>
      <c r="BN14" s="9">
        <f>BM14+預測IC!BO15</f>
        <v>0.45631233380472852</v>
      </c>
      <c r="BO14" s="9">
        <f>BN14+預測IC!BP15</f>
        <v>0.42109264489140769</v>
      </c>
      <c r="BP14" s="9">
        <f>BO14+預測IC!BQ15</f>
        <v>0.39346676688280641</v>
      </c>
      <c r="BQ14" s="9">
        <f>BP14+預測IC!BR15</f>
        <v>0.37861131954585392</v>
      </c>
      <c r="BR14" s="9">
        <f>BQ14+預測IC!BS15</f>
        <v>0.35184914836715586</v>
      </c>
      <c r="BS14" s="9">
        <f>BR14+預測IC!BT15</f>
        <v>0.40278274149564047</v>
      </c>
      <c r="BT14" s="9">
        <f>BS14+預測IC!BU15</f>
        <v>0.38449759808181572</v>
      </c>
      <c r="BU14" s="9">
        <f>BT14+預測IC!BV15</f>
        <v>0.4098739717786436</v>
      </c>
      <c r="BV14" s="9">
        <f>BU14+預測IC!BW15</f>
        <v>0.4517790827693744</v>
      </c>
      <c r="BW14" s="9">
        <f>BV14+預測IC!BX15</f>
        <v>0.44331627002563712</v>
      </c>
      <c r="BX14" s="9">
        <f>BW14+預測IC!BY15</f>
        <v>0.42360506597586711</v>
      </c>
      <c r="BY14" s="9">
        <f>BX14+預測IC!BZ15</f>
        <v>0.31899510380031521</v>
      </c>
      <c r="BZ14" s="9">
        <f>BY14+預測IC!CA15</f>
        <v>0.28706271244589582</v>
      </c>
      <c r="CA14" s="9">
        <f>BZ14+預測IC!CB15</f>
        <v>0.30214965307346181</v>
      </c>
      <c r="CB14" s="9">
        <f>CA14+預測IC!CC15</f>
        <v>0.27039033136475205</v>
      </c>
      <c r="CC14" s="9">
        <f>CB14+預測IC!CD15</f>
        <v>0.24834627498146514</v>
      </c>
      <c r="CD14" s="9">
        <f>CC14+預測IC!CE15</f>
        <v>0.30082444060805086</v>
      </c>
      <c r="CE14" s="9">
        <f>CD14+預測IC!CF15</f>
        <v>0.33264488060012476</v>
      </c>
      <c r="CF14" s="9">
        <f>CE14+預測IC!CG15</f>
        <v>0.3172652739631196</v>
      </c>
      <c r="CG14" s="9">
        <f>CF14+預測IC!CH15</f>
        <v>0.37219947119808894</v>
      </c>
      <c r="CH14" s="9">
        <f>CG14+預測IC!CI15</f>
        <v>0.34774122823010062</v>
      </c>
      <c r="CI14" s="9">
        <f>CH14+預測IC!CJ15</f>
        <v>0.34154976171439627</v>
      </c>
      <c r="CJ14" s="9">
        <f>CI14+預測IC!CK15</f>
        <v>0.29773418478518976</v>
      </c>
      <c r="CK14" s="9">
        <f>CJ14+預測IC!CL15</f>
        <v>0.36282191965482363</v>
      </c>
      <c r="CL14" s="9">
        <f>CK14+預測IC!CM15</f>
        <v>0.33718169255810487</v>
      </c>
      <c r="CM14" s="9">
        <f>CL14+預測IC!CN15</f>
        <v>0.35452100358743688</v>
      </c>
      <c r="CN14" s="9">
        <f>CM14+預測IC!CO15</f>
        <v>0.2594790072269495</v>
      </c>
      <c r="CO14" s="9">
        <f>CN14+預測IC!CP15</f>
        <v>0.27252457777365263</v>
      </c>
      <c r="CP14" s="9">
        <f>CO14+預測IC!CQ15</f>
        <v>0.28052664242836561</v>
      </c>
      <c r="CQ14" s="9">
        <f>CP14+預測IC!CR15</f>
        <v>0.27066759248183753</v>
      </c>
      <c r="CR14" s="9">
        <f>CQ14+預測IC!CS15</f>
        <v>0.26086561610393444</v>
      </c>
      <c r="CS14" s="9">
        <f>CR14+預測IC!CT15</f>
        <v>0.29086475600462275</v>
      </c>
      <c r="CT14" s="9">
        <f>CS14+預測IC!CU15</f>
        <v>0.25152578798084729</v>
      </c>
      <c r="CU14" s="9">
        <f>CT14+預測IC!CV15</f>
        <v>0.29592711954797185</v>
      </c>
      <c r="CV14" s="9">
        <f>CU14+預測IC!CW15</f>
        <v>0.28424365460533269</v>
      </c>
      <c r="CW14" s="9">
        <f>CV14+預測IC!CX15</f>
        <v>0.26987050947193503</v>
      </c>
      <c r="CX14" s="9">
        <f>CW14+預測IC!CY15</f>
        <v>0.25873788314970891</v>
      </c>
      <c r="CY14" s="9">
        <f>CX14+預測IC!CZ15</f>
        <v>0.25934178997533375</v>
      </c>
      <c r="CZ14" s="9">
        <f>CY14+預測IC!DA15</f>
        <v>0.32900027013016275</v>
      </c>
      <c r="DA14" s="9">
        <f>CZ14+預測IC!DB15</f>
        <v>0.33669633164623902</v>
      </c>
      <c r="DB14" s="9">
        <f>DA14+預測IC!DC15</f>
        <v>0.25443640108672649</v>
      </c>
      <c r="DC14" s="9">
        <f>DB14+預測IC!DD15</f>
        <v>0.29922121002775748</v>
      </c>
      <c r="DD14" s="9">
        <f>DC14+預測IC!DE15</f>
        <v>0.37235846706768777</v>
      </c>
      <c r="DE14" s="9">
        <f>DD14+預測IC!DF15</f>
        <v>0.38216541845722479</v>
      </c>
      <c r="DF14" s="9">
        <f>DE14+預測IC!DG15</f>
        <v>0.42470563399385464</v>
      </c>
      <c r="DG14" s="9">
        <f>DF14+預測IC!DH15</f>
        <v>0.44953740190798314</v>
      </c>
      <c r="DH14" s="9">
        <f>DG14+預測IC!DI15</f>
        <v>0.46609682687508802</v>
      </c>
      <c r="DI14" s="9">
        <f>DH14+預測IC!DJ15</f>
        <v>0.48620318124165235</v>
      </c>
      <c r="DJ14" s="9">
        <f>DI14+預測IC!DK15</f>
        <v>0.50173719269380213</v>
      </c>
      <c r="DK14" s="9">
        <f>DJ14+預測IC!DL15</f>
        <v>0.53514762994468112</v>
      </c>
      <c r="DL14" s="9">
        <f>DK14+預測IC!DM15</f>
        <v>0.58033925693312705</v>
      </c>
      <c r="DM14" s="9">
        <f>DL14+預測IC!DN15</f>
        <v>0.55212275267275601</v>
      </c>
      <c r="DN14" s="9">
        <f>DM14+預測IC!DO15</f>
        <v>0.5547582151929733</v>
      </c>
      <c r="DO14" s="9">
        <f>DN14+預測IC!DP15</f>
        <v>0.57369695263894604</v>
      </c>
      <c r="DP14" s="9">
        <f>DO14+預測IC!DQ15</f>
        <v>0.57390736773547568</v>
      </c>
      <c r="DQ14" s="9">
        <f>DP14+預測IC!DR15</f>
        <v>0.6220116367401749</v>
      </c>
      <c r="DR14" s="9">
        <f>DQ14+預測IC!DS15</f>
        <v>0.64201817828230567</v>
      </c>
      <c r="DS14" s="9">
        <f>DR14+預測IC!DT15</f>
        <v>0.65939536674297394</v>
      </c>
      <c r="DT14" s="9">
        <f>DS14+預測IC!DU15</f>
        <v>0.64769777640521686</v>
      </c>
      <c r="DU14" s="9">
        <f>DT14+預測IC!DV15</f>
        <v>0.61605834067292542</v>
      </c>
      <c r="DV14" s="9">
        <f>DU14+預測IC!DW15</f>
        <v>0.57274353908075337</v>
      </c>
      <c r="DW14" s="9">
        <f>DV14+預測IC!DX15</f>
        <v>0.55524870292018502</v>
      </c>
      <c r="DX14" s="9">
        <f>DW14+預測IC!DY15</f>
        <v>0.5870028835251041</v>
      </c>
      <c r="DY14" s="9">
        <f>DX14+預測IC!DZ15</f>
        <v>0.61547542067359584</v>
      </c>
      <c r="DZ14" s="9">
        <f>DY14+預測IC!EA15</f>
        <v>0.56897266115595957</v>
      </c>
      <c r="EA14" s="9">
        <f>DZ14+預測IC!EB15</f>
        <v>0.60413024833669771</v>
      </c>
      <c r="EB14" s="9">
        <f>EA14+預測IC!EC15</f>
        <v>0.57054474410235556</v>
      </c>
      <c r="EC14" s="9">
        <f>EB14+預測IC!ED15</f>
        <v>0.52410054007530527</v>
      </c>
      <c r="ED14" s="9">
        <f>EC14+預測IC!EE15</f>
        <v>0.51210457231842232</v>
      </c>
      <c r="EE14" s="9">
        <f>ED14+預測IC!EF15</f>
        <v>0.55830480835328677</v>
      </c>
    </row>
    <row r="15" spans="1:136" ht="16" customHeight="1">
      <c r="A15" s="6" t="s">
        <v>154</v>
      </c>
      <c r="B15" s="7">
        <v>0.36308230375568429</v>
      </c>
      <c r="C15" s="9">
        <f>B15+預測IC!D16</f>
        <v>0.42528348282797179</v>
      </c>
      <c r="D15" s="9">
        <f>C15+預測IC!E16</f>
        <v>0.4115590978956768</v>
      </c>
      <c r="E15" s="9">
        <f>D15+預測IC!F16</f>
        <v>0.44306826744489197</v>
      </c>
      <c r="F15" s="9">
        <f>E15+預測IC!G16</f>
        <v>0.46350982303815425</v>
      </c>
      <c r="G15" s="9">
        <f>F15+預測IC!H16</f>
        <v>0.47703208649167717</v>
      </c>
      <c r="H15" s="9">
        <f>G15+預測IC!I16</f>
        <v>0.45724093091209317</v>
      </c>
      <c r="I15" s="9">
        <f>H15+預測IC!J16</f>
        <v>0.37151764132262272</v>
      </c>
      <c r="J15" s="9">
        <f>I15+預測IC!K16</f>
        <v>0.32975298020030352</v>
      </c>
      <c r="K15" s="9">
        <f>J15+預測IC!L16</f>
        <v>0.34562972181530321</v>
      </c>
      <c r="L15" s="9">
        <f>K15+預測IC!M16</f>
        <v>0.33706214167246384</v>
      </c>
      <c r="M15" s="9">
        <f>L15+預測IC!N16</f>
        <v>0.29774638858381552</v>
      </c>
      <c r="N15" s="9">
        <f>M15+預測IC!O16</f>
        <v>0.25429917800574897</v>
      </c>
      <c r="O15" s="9">
        <f>N15+預測IC!P16</f>
        <v>0.25296951930818606</v>
      </c>
      <c r="P15" s="9">
        <f>O15+預測IC!Q16</f>
        <v>0.27661962765037956</v>
      </c>
      <c r="Q15" s="9">
        <f>P15+預測IC!R16</f>
        <v>0.22384737871911625</v>
      </c>
      <c r="R15" s="9">
        <f>Q15+預測IC!S16</f>
        <v>0.19876613750639405</v>
      </c>
      <c r="S15" s="9">
        <f>R15+預測IC!T16</f>
        <v>0.15140053953097113</v>
      </c>
      <c r="T15" s="9">
        <f>S15+預測IC!U16</f>
        <v>8.7016217088549688E-2</v>
      </c>
      <c r="U15" s="9">
        <f>T15+預測IC!V16</f>
        <v>0.17083878846775574</v>
      </c>
      <c r="V15" s="9">
        <f>U15+預測IC!W16</f>
        <v>0.19915530716750379</v>
      </c>
      <c r="W15" s="9">
        <f>V15+預測IC!X16</f>
        <v>0.32695395950392436</v>
      </c>
      <c r="X15" s="9">
        <f>W15+預測IC!Y16</f>
        <v>0.25885989916535146</v>
      </c>
      <c r="Y15" s="9">
        <f>X15+預測IC!Z16</f>
        <v>0.31649779683083634</v>
      </c>
      <c r="Z15" s="9">
        <f>Y15+預測IC!AA16</f>
        <v>0.2561879562542142</v>
      </c>
      <c r="AA15" s="9">
        <f>Z15+預測IC!AB16</f>
        <v>0.23383230747249334</v>
      </c>
      <c r="AB15" s="9">
        <f>AA15+預測IC!AC16</f>
        <v>0.28827672295395673</v>
      </c>
      <c r="AC15" s="9">
        <f>AB15+預測IC!AD16</f>
        <v>0.34571476983414073</v>
      </c>
      <c r="AD15" s="9">
        <f>AC15+預測IC!AE16</f>
        <v>0.33845672485142164</v>
      </c>
      <c r="AE15" s="9">
        <f>AD15+預測IC!AF16</f>
        <v>0.42025799916375906</v>
      </c>
      <c r="AF15" s="9">
        <f>AE15+預測IC!AG16</f>
        <v>0.43518461508839423</v>
      </c>
      <c r="AG15" s="9">
        <f>AF15+預測IC!AH16</f>
        <v>0.48881084857333945</v>
      </c>
      <c r="AH15" s="9">
        <f>AG15+預測IC!AI16</f>
        <v>0.52387778950163333</v>
      </c>
      <c r="AI15" s="9">
        <f>AH15+預測IC!AJ16</f>
        <v>0.47206104703951079</v>
      </c>
      <c r="AJ15" s="9">
        <f>AI15+預測IC!AK16</f>
        <v>0.46790852226183899</v>
      </c>
      <c r="AK15" s="9">
        <f>AJ15+預測IC!AL16</f>
        <v>0.42137276744903435</v>
      </c>
      <c r="AL15" s="9">
        <f>AK15+預測IC!AM16</f>
        <v>0.41189464819694321</v>
      </c>
      <c r="AM15" s="9">
        <f>AL15+預測IC!AN16</f>
        <v>0.46766026649822023</v>
      </c>
      <c r="AN15" s="9">
        <f>AM15+預測IC!AO16</f>
        <v>0.56184685568253401</v>
      </c>
      <c r="AO15" s="9">
        <f>AN15+預測IC!AP16</f>
        <v>0.66176755118767816</v>
      </c>
      <c r="AP15" s="9">
        <f>AO15+預測IC!AQ16</f>
        <v>0.6109623828691737</v>
      </c>
      <c r="AQ15" s="9">
        <f>AP15+預測IC!AR16</f>
        <v>0.61219216809148869</v>
      </c>
      <c r="AR15" s="9">
        <f>AQ15+預測IC!AS16</f>
        <v>0.63922837851259495</v>
      </c>
      <c r="AS15" s="9">
        <f>AR15+預測IC!AT16</f>
        <v>0.688018493466662</v>
      </c>
      <c r="AT15" s="9">
        <f>AS15+預測IC!AU16</f>
        <v>0.75571412509327929</v>
      </c>
      <c r="AU15" s="9">
        <f>AT15+預測IC!AV16</f>
        <v>0.76944802305274174</v>
      </c>
      <c r="AV15" s="9">
        <f>AU15+預測IC!AW16</f>
        <v>0.75840834989965999</v>
      </c>
      <c r="AW15" s="9">
        <f>AV15+預測IC!AX16</f>
        <v>0.70742704259207612</v>
      </c>
      <c r="AX15" s="9">
        <f>AW15+預測IC!AY16</f>
        <v>0.71009021935279426</v>
      </c>
      <c r="AY15" s="9">
        <f>AX15+預測IC!AZ16</f>
        <v>0.73782796427031672</v>
      </c>
      <c r="AZ15" s="9">
        <f>AY15+預測IC!BA16</f>
        <v>0.78371231178616529</v>
      </c>
      <c r="BA15" s="9">
        <f>AZ15+預測IC!BB16</f>
        <v>0.70793418947291609</v>
      </c>
      <c r="BB15" s="9">
        <f>BA15+預測IC!BC16</f>
        <v>0.69716552028095702</v>
      </c>
      <c r="BC15" s="9">
        <f>BB15+預測IC!BD16</f>
        <v>0.70993927483757746</v>
      </c>
      <c r="BD15" s="9">
        <f>BC15+預測IC!BE16</f>
        <v>0.68579305888990227</v>
      </c>
      <c r="BE15" s="9">
        <f>BD15+預測IC!BF16</f>
        <v>0.66686304414187503</v>
      </c>
      <c r="BF15" s="9">
        <f>BE15+預測IC!BG16</f>
        <v>0.78058395619138854</v>
      </c>
      <c r="BG15" s="9">
        <f>BF15+預測IC!BH16</f>
        <v>0.86006189860319038</v>
      </c>
      <c r="BH15" s="9">
        <f>BG15+預測IC!BI16</f>
        <v>0.82747231795969511</v>
      </c>
      <c r="BI15" s="9">
        <f>BH15+預測IC!BJ16</f>
        <v>0.85510533365837038</v>
      </c>
      <c r="BJ15" s="9">
        <f>BI15+預測IC!BK16</f>
        <v>0.85441048838216804</v>
      </c>
      <c r="BK15" s="9">
        <f>BJ15+預測IC!BL16</f>
        <v>0.91121501724880605</v>
      </c>
      <c r="BL15" s="9">
        <f>BK15+預測IC!BM16</f>
        <v>0.88359716109890951</v>
      </c>
      <c r="BM15" s="9">
        <f>BL15+預測IC!BN16</f>
        <v>0.88055100978127632</v>
      </c>
      <c r="BN15" s="9">
        <f>BM15+預測IC!BO16</f>
        <v>0.90819086339517119</v>
      </c>
      <c r="BO15" s="9">
        <f>BN15+預測IC!BP16</f>
        <v>0.87798005327813644</v>
      </c>
      <c r="BP15" s="9">
        <f>BO15+預測IC!BQ16</f>
        <v>0.87747446182087463</v>
      </c>
      <c r="BQ15" s="9">
        <f>BP15+預測IC!BR16</f>
        <v>0.81927497151019857</v>
      </c>
      <c r="BR15" s="9">
        <f>BQ15+預測IC!BS16</f>
        <v>0.81376423786457674</v>
      </c>
      <c r="BS15" s="9">
        <f>BR15+預測IC!BT16</f>
        <v>0.83160734425644511</v>
      </c>
      <c r="BT15" s="9">
        <f>BS15+預測IC!BU16</f>
        <v>0.76432397737046331</v>
      </c>
      <c r="BU15" s="9">
        <f>BT15+預測IC!BV16</f>
        <v>0.81429431373493766</v>
      </c>
      <c r="BV15" s="9">
        <f>BU15+預測IC!BW16</f>
        <v>0.88482194096815903</v>
      </c>
      <c r="BW15" s="9">
        <f>BV15+預測IC!BX16</f>
        <v>0.89055047486813055</v>
      </c>
      <c r="BX15" s="9">
        <f>BW15+預測IC!BY16</f>
        <v>0.87464842215528482</v>
      </c>
      <c r="BY15" s="9">
        <f>BX15+預測IC!BZ16</f>
        <v>0.71830982399278276</v>
      </c>
      <c r="BZ15" s="9">
        <f>BY15+預測IC!CA16</f>
        <v>0.697320779703553</v>
      </c>
      <c r="CA15" s="9">
        <f>BZ15+預測IC!CB16</f>
        <v>0.8015074948286931</v>
      </c>
      <c r="CB15" s="9">
        <f>CA15+預測IC!CC16</f>
        <v>0.78256802592667152</v>
      </c>
      <c r="CC15" s="9">
        <f>CB15+預測IC!CD16</f>
        <v>0.76625929103147161</v>
      </c>
      <c r="CD15" s="9">
        <f>CC15+預測IC!CE16</f>
        <v>0.75566556348607361</v>
      </c>
      <c r="CE15" s="9">
        <f>CD15+預測IC!CF16</f>
        <v>0.80575862592770975</v>
      </c>
      <c r="CF15" s="9">
        <f>CE15+預測IC!CG16</f>
        <v>0.82503237853614941</v>
      </c>
      <c r="CG15" s="9">
        <f>CF15+預測IC!CH16</f>
        <v>0.89775960148537282</v>
      </c>
      <c r="CH15" s="9">
        <f>CG15+預測IC!CI16</f>
        <v>0.89362947761535583</v>
      </c>
      <c r="CI15" s="9">
        <f>CH15+預測IC!CJ16</f>
        <v>0.83565711902766326</v>
      </c>
      <c r="CJ15" s="9">
        <f>CI15+預測IC!CK16</f>
        <v>0.80723895063573625</v>
      </c>
      <c r="CK15" s="9">
        <f>CJ15+預測IC!CL16</f>
        <v>0.81799298751643235</v>
      </c>
      <c r="CL15" s="9">
        <f>CK15+預測IC!CM16</f>
        <v>0.80888847825804266</v>
      </c>
      <c r="CM15" s="9">
        <f>CL15+預測IC!CN16</f>
        <v>0.86083993061097364</v>
      </c>
      <c r="CN15" s="9">
        <f>CM15+預測IC!CO16</f>
        <v>0.60311923661915545</v>
      </c>
      <c r="CO15" s="9">
        <f>CN15+預測IC!CP16</f>
        <v>0.66658596221110011</v>
      </c>
      <c r="CP15" s="9">
        <f>CO15+預測IC!CQ16</f>
        <v>0.742461334622049</v>
      </c>
      <c r="CQ15" s="9">
        <f>CP15+預測IC!CR16</f>
        <v>0.77877888637790593</v>
      </c>
      <c r="CR15" s="9">
        <f>CQ15+預測IC!CS16</f>
        <v>0.79046231879698448</v>
      </c>
      <c r="CS15" s="9">
        <f>CR15+預測IC!CT16</f>
        <v>0.81134637630718032</v>
      </c>
      <c r="CT15" s="9">
        <f>CS15+預測IC!CU16</f>
        <v>0.75846429754249023</v>
      </c>
      <c r="CU15" s="9">
        <f>CT15+預測IC!CV16</f>
        <v>0.83674454292686384</v>
      </c>
      <c r="CV15" s="9">
        <f>CU15+預測IC!CW16</f>
        <v>0.79428571857436381</v>
      </c>
      <c r="CW15" s="9">
        <f>CV15+預測IC!CX16</f>
        <v>0.77735751192606084</v>
      </c>
      <c r="CX15" s="9">
        <f>CW15+預測IC!CY16</f>
        <v>0.77396561218338411</v>
      </c>
      <c r="CY15" s="9">
        <f>CX15+預測IC!CZ16</f>
        <v>0.78513923842409672</v>
      </c>
      <c r="CZ15" s="9">
        <f>CY15+預測IC!DA16</f>
        <v>0.87484914895091037</v>
      </c>
      <c r="DA15" s="9">
        <f>CZ15+預測IC!DB16</f>
        <v>0.84243082186348239</v>
      </c>
      <c r="DB15" s="9">
        <f>DA15+預測IC!DC16</f>
        <v>0.76932955077471366</v>
      </c>
      <c r="DC15" s="9">
        <f>DB15+預測IC!DD16</f>
        <v>0.80077107024727512</v>
      </c>
      <c r="DD15" s="9">
        <f>DC15+預測IC!DE16</f>
        <v>0.84196233421934108</v>
      </c>
      <c r="DE15" s="9">
        <f>DD15+預測IC!DF16</f>
        <v>0.83605021633216714</v>
      </c>
      <c r="DF15" s="9">
        <f>DE15+預測IC!DG16</f>
        <v>0.87970242818622124</v>
      </c>
      <c r="DG15" s="9">
        <f>DF15+預測IC!DH16</f>
        <v>0.86996610083796189</v>
      </c>
      <c r="DH15" s="9">
        <f>DG15+預測IC!DI16</f>
        <v>0.84314372400291215</v>
      </c>
      <c r="DI15" s="9">
        <f>DH15+預測IC!DJ16</f>
        <v>0.86720070170261621</v>
      </c>
      <c r="DJ15" s="9">
        <f>DI15+預測IC!DK16</f>
        <v>0.84332885522256928</v>
      </c>
      <c r="DK15" s="9">
        <f>DJ15+預測IC!DL16</f>
        <v>0.91893121580927084</v>
      </c>
      <c r="DL15" s="9">
        <f>DK15+預測IC!DM16</f>
        <v>0.98481978171948781</v>
      </c>
      <c r="DM15" s="9">
        <f>DL15+預測IC!DN16</f>
        <v>1.0075993481821151</v>
      </c>
      <c r="DN15" s="9">
        <f>DM15+預測IC!DO16</f>
        <v>1.0327558883661929</v>
      </c>
      <c r="DO15" s="9">
        <f>DN15+預測IC!DP16</f>
        <v>1.1354599740689377</v>
      </c>
      <c r="DP15" s="9">
        <f>DO15+預測IC!DQ16</f>
        <v>1.130128181891692</v>
      </c>
      <c r="DQ15" s="9">
        <f>DP15+預測IC!DR16</f>
        <v>1.143206068951665</v>
      </c>
      <c r="DR15" s="9">
        <f>DQ15+預測IC!DS16</f>
        <v>1.1910654002647747</v>
      </c>
      <c r="DS15" s="9">
        <f>DR15+預測IC!DT16</f>
        <v>1.1963098826427194</v>
      </c>
      <c r="DT15" s="9">
        <f>DS15+預測IC!DU16</f>
        <v>1.1903098291042151</v>
      </c>
      <c r="DU15" s="9">
        <f>DT15+預測IC!DV16</f>
        <v>1.1814097127847132</v>
      </c>
      <c r="DV15" s="9">
        <f>DU15+預測IC!DW16</f>
        <v>1.1361749840258022</v>
      </c>
      <c r="DW15" s="9">
        <f>DV15+預測IC!DX16</f>
        <v>1.0711099751893611</v>
      </c>
      <c r="DX15" s="9">
        <f>DW15+預測IC!DY16</f>
        <v>1.1229161474625351</v>
      </c>
      <c r="DY15" s="9">
        <f>DX15+預測IC!DZ16</f>
        <v>1.1428487565066525</v>
      </c>
      <c r="DZ15" s="9">
        <f>DY15+預測IC!EA16</f>
        <v>1.1228123701998995</v>
      </c>
      <c r="EA15" s="9">
        <f>DZ15+預測IC!EB16</f>
        <v>1.1593176761952211</v>
      </c>
      <c r="EB15" s="9">
        <f>EA15+預測IC!EC16</f>
        <v>1.1465589813040631</v>
      </c>
      <c r="EC15" s="9">
        <f>EB15+預測IC!ED16</f>
        <v>1.0392805732520733</v>
      </c>
      <c r="ED15" s="9">
        <f>EC15+預測IC!EE16</f>
        <v>1.0597466414289733</v>
      </c>
      <c r="EE15" s="9">
        <f>ED15+預測IC!EF16</f>
        <v>1.1152867458435678</v>
      </c>
    </row>
    <row r="16" spans="1:136" ht="16" customHeight="1">
      <c r="A16" s="6" t="s">
        <v>155</v>
      </c>
      <c r="B16" s="7">
        <v>0.50963263247614221</v>
      </c>
      <c r="C16" s="9">
        <f>B16+預測IC!D17</f>
        <v>0.59576740154858776</v>
      </c>
      <c r="D16" s="9">
        <f>C16+預測IC!E17</f>
        <v>0.71212669429595932</v>
      </c>
      <c r="E16" s="9">
        <f>D16+預測IC!F17</f>
        <v>0.83601503086127871</v>
      </c>
      <c r="F16" s="9">
        <f>E16+預測IC!G17</f>
        <v>0.79411649416216068</v>
      </c>
      <c r="G16" s="9">
        <f>F16+預測IC!H17</f>
        <v>0.81083915428475495</v>
      </c>
      <c r="H16" s="9">
        <f>G16+預測IC!I17</f>
        <v>0.81274227541962285</v>
      </c>
      <c r="I16" s="9">
        <f>H16+預測IC!J17</f>
        <v>0.70446238830845798</v>
      </c>
      <c r="J16" s="9">
        <f>I16+預測IC!K17</f>
        <v>0.71804253830908749</v>
      </c>
      <c r="K16" s="9">
        <f>J16+預測IC!L17</f>
        <v>0.68729944943974652</v>
      </c>
      <c r="L16" s="9">
        <f>K16+預測IC!M17</f>
        <v>0.68536125071822496</v>
      </c>
      <c r="M16" s="9">
        <f>L16+預測IC!N17</f>
        <v>0.72419669082290716</v>
      </c>
      <c r="N16" s="9">
        <f>M16+預測IC!O17</f>
        <v>0.61483242048639153</v>
      </c>
      <c r="O16" s="9">
        <f>N16+預測IC!P17</f>
        <v>0.61130403425467728</v>
      </c>
      <c r="P16" s="9">
        <f>O16+預測IC!Q17</f>
        <v>0.72223127509100182</v>
      </c>
      <c r="Q16" s="9">
        <f>P16+預測IC!R17</f>
        <v>0.69759581526262449</v>
      </c>
      <c r="R16" s="9">
        <f>Q16+預測IC!S17</f>
        <v>0.65902199129741201</v>
      </c>
      <c r="S16" s="9">
        <f>R16+預測IC!T17</f>
        <v>0.53982629369546331</v>
      </c>
      <c r="T16" s="9">
        <f>S16+預測IC!U17</f>
        <v>0.46518841702323366</v>
      </c>
      <c r="U16" s="9">
        <f>T16+預測IC!V17</f>
        <v>0.53722623943574055</v>
      </c>
      <c r="V16" s="9">
        <f>U16+預測IC!W17</f>
        <v>0.56887929340244792</v>
      </c>
      <c r="W16" s="9">
        <f>V16+預測IC!X17</f>
        <v>0.72849892648545722</v>
      </c>
      <c r="X16" s="9">
        <f>W16+預測IC!Y17</f>
        <v>0.69228516887544067</v>
      </c>
      <c r="Y16" s="9">
        <f>X16+預測IC!Z17</f>
        <v>0.76805660513872187</v>
      </c>
      <c r="Z16" s="9">
        <f>Y16+預測IC!AA17</f>
        <v>0.71882179095185439</v>
      </c>
      <c r="AA16" s="9">
        <f>Z16+預測IC!AB17</f>
        <v>0.63755875727866718</v>
      </c>
      <c r="AB16" s="9">
        <f>AA16+預測IC!AC17</f>
        <v>0.62973572220499086</v>
      </c>
      <c r="AC16" s="9">
        <f>AB16+預測IC!AD17</f>
        <v>0.73737702715430831</v>
      </c>
      <c r="AD16" s="9">
        <f>AC16+預測IC!AE17</f>
        <v>0.80647571733461021</v>
      </c>
      <c r="AE16" s="9">
        <f>AD16+預測IC!AF17</f>
        <v>0.97078131790055744</v>
      </c>
      <c r="AF16" s="9">
        <f>AE16+預測IC!AG17</f>
        <v>1.0012573788563353</v>
      </c>
      <c r="AG16" s="9">
        <f>AF16+預測IC!AH17</f>
        <v>1.092345934003625</v>
      </c>
      <c r="AH16" s="9">
        <f>AG16+預測IC!AI17</f>
        <v>1.1514056751941499</v>
      </c>
      <c r="AI16" s="9">
        <f>AH16+預測IC!AJ17</f>
        <v>1.0759618985069097</v>
      </c>
      <c r="AJ16" s="9">
        <f>AI16+預測IC!AK17</f>
        <v>1.0188831028596117</v>
      </c>
      <c r="AK16" s="9">
        <f>AJ16+預測IC!AL17</f>
        <v>0.98825462631890704</v>
      </c>
      <c r="AL16" s="9">
        <f>AK16+預測IC!AM17</f>
        <v>1.0049505195457378</v>
      </c>
      <c r="AM16" s="9">
        <f>AL16+預測IC!AN17</f>
        <v>1.1144799001795858</v>
      </c>
      <c r="AN16" s="9">
        <f>AM16+預測IC!AO17</f>
        <v>1.1458228873658305</v>
      </c>
      <c r="AO16" s="9">
        <f>AN16+預測IC!AP17</f>
        <v>1.3053396852572756</v>
      </c>
      <c r="AP16" s="9">
        <f>AO16+預測IC!AQ17</f>
        <v>1.3251297622244114</v>
      </c>
      <c r="AQ16" s="9">
        <f>AP16+預測IC!AR17</f>
        <v>1.3128127637192804</v>
      </c>
      <c r="AR16" s="9">
        <f>AQ16+預測IC!AS17</f>
        <v>1.3463460208637172</v>
      </c>
      <c r="AS16" s="9">
        <f>AR16+預測IC!AT17</f>
        <v>1.4082291517831595</v>
      </c>
      <c r="AT16" s="9">
        <f>AS16+預測IC!AU17</f>
        <v>1.5301532375230269</v>
      </c>
      <c r="AU16" s="9">
        <f>AT16+預測IC!AV17</f>
        <v>1.5924828118294843</v>
      </c>
      <c r="AV16" s="9">
        <f>AU16+預測IC!AW17</f>
        <v>1.5261232349054308</v>
      </c>
      <c r="AW16" s="9">
        <f>AV16+預測IC!AX17</f>
        <v>1.4025219928248642</v>
      </c>
      <c r="AX16" s="9">
        <f>AW16+預測IC!AY17</f>
        <v>1.3394590998427116</v>
      </c>
      <c r="AY16" s="9">
        <f>AX16+預測IC!AZ17</f>
        <v>1.3433232918965963</v>
      </c>
      <c r="AZ16" s="9">
        <f>AY16+預測IC!BA17</f>
        <v>1.4022484209992614</v>
      </c>
      <c r="BA16" s="9">
        <f>AZ16+預測IC!BB17</f>
        <v>1.3376727534089596</v>
      </c>
      <c r="BB16" s="9">
        <f>BA16+預測IC!BC17</f>
        <v>1.2786221285518151</v>
      </c>
      <c r="BC16" s="9">
        <f>BB16+預測IC!BD17</f>
        <v>1.2835558884346838</v>
      </c>
      <c r="BD16" s="9">
        <f>BC16+預測IC!BE17</f>
        <v>1.2322005590559268</v>
      </c>
      <c r="BE16" s="9">
        <f>BD16+預測IC!BF17</f>
        <v>1.1662870110461774</v>
      </c>
      <c r="BF16" s="9">
        <f>BE16+預測IC!BG17</f>
        <v>1.3737688397278924</v>
      </c>
      <c r="BG16" s="9">
        <f>BF16+預測IC!BH17</f>
        <v>1.4768090020123352</v>
      </c>
      <c r="BH16" s="9">
        <f>BG16+預測IC!BI17</f>
        <v>1.3921553994971434</v>
      </c>
      <c r="BI16" s="9">
        <f>BH16+預測IC!BJ17</f>
        <v>1.4871254254006565</v>
      </c>
      <c r="BJ16" s="9">
        <f>BI16+預測IC!BK17</f>
        <v>1.4064463947660157</v>
      </c>
      <c r="BK16" s="9">
        <f>BJ16+預測IC!BL17</f>
        <v>1.4773798875676301</v>
      </c>
      <c r="BL16" s="9">
        <f>BK16+預測IC!BM17</f>
        <v>1.4295575142016761</v>
      </c>
      <c r="BM16" s="9">
        <f>BL16+預測IC!BN17</f>
        <v>1.4179226223889185</v>
      </c>
      <c r="BN16" s="9">
        <f>BM16+預測IC!BO17</f>
        <v>1.4628078100241044</v>
      </c>
      <c r="BO16" s="9">
        <f>BN16+預測IC!BP17</f>
        <v>1.3884981538163255</v>
      </c>
      <c r="BP16" s="9">
        <f>BO16+預測IC!BQ17</f>
        <v>1.3745630743028332</v>
      </c>
      <c r="BQ16" s="9">
        <f>BP16+預測IC!BR17</f>
        <v>1.2903761622871164</v>
      </c>
      <c r="BR16" s="9">
        <f>BQ16+預測IC!BS17</f>
        <v>1.2648981663728076</v>
      </c>
      <c r="BS16" s="9">
        <f>BR16+預測IC!BT17</f>
        <v>1.3010615626359145</v>
      </c>
      <c r="BT16" s="9">
        <f>BS16+預測IC!BU17</f>
        <v>1.1854656304451892</v>
      </c>
      <c r="BU16" s="9">
        <f>BT16+預測IC!BV17</f>
        <v>1.2990403968184809</v>
      </c>
      <c r="BV16" s="9">
        <f>BU16+預測IC!BW17</f>
        <v>1.3055703678372204</v>
      </c>
      <c r="BW16" s="9">
        <f>BV16+預測IC!BX17</f>
        <v>1.2716757172040321</v>
      </c>
      <c r="BX16" s="9">
        <f>BW16+預測IC!BY17</f>
        <v>1.2599411950512756</v>
      </c>
      <c r="BY16" s="9">
        <f>BX16+預測IC!BZ17</f>
        <v>1.0486383987731183</v>
      </c>
      <c r="BZ16" s="9">
        <f>BY16+預測IC!CA17</f>
        <v>1.0594047654389469</v>
      </c>
      <c r="CA16" s="9">
        <f>BZ16+預測IC!CB17</f>
        <v>1.2291926783577038</v>
      </c>
      <c r="CB16" s="9">
        <f>CA16+預測IC!CC17</f>
        <v>1.1523446106642292</v>
      </c>
      <c r="CC16" s="9">
        <f>CB16+預測IC!CD17</f>
        <v>1.1632715315308932</v>
      </c>
      <c r="CD16" s="9">
        <f>CC16+預測IC!CE17</f>
        <v>1.1901818860977664</v>
      </c>
      <c r="CE16" s="9">
        <f>CD16+預測IC!CF17</f>
        <v>1.2482922805495182</v>
      </c>
      <c r="CF16" s="9">
        <f>CE16+預測IC!CG17</f>
        <v>1.2136197346461206</v>
      </c>
      <c r="CG16" s="9">
        <f>CF16+預測IC!CH17</f>
        <v>1.1981371626175894</v>
      </c>
      <c r="CH16" s="9">
        <f>CG16+預測IC!CI17</f>
        <v>1.1367502319130049</v>
      </c>
      <c r="CI16" s="9">
        <f>CH16+預測IC!CJ17</f>
        <v>1.1322341395320257</v>
      </c>
      <c r="CJ16" s="9">
        <f>CI16+預測IC!CK17</f>
        <v>1.0774963221300653</v>
      </c>
      <c r="CK16" s="9">
        <f>CJ16+預測IC!CL17</f>
        <v>1.0732187606590704</v>
      </c>
      <c r="CL16" s="9">
        <f>CK16+預測IC!CM17</f>
        <v>1.0873606966138194</v>
      </c>
      <c r="CM16" s="9">
        <f>CL16+預測IC!CN17</f>
        <v>1.2182642885183859</v>
      </c>
      <c r="CN16" s="9">
        <f>CM16+預測IC!CO17</f>
        <v>0.96054134791257595</v>
      </c>
      <c r="CO16" s="9">
        <f>CN16+預測IC!CP17</f>
        <v>0.95130345693605223</v>
      </c>
      <c r="CP16" s="9">
        <f>CO16+預測IC!CQ17</f>
        <v>1.0944735265442738</v>
      </c>
      <c r="CQ16" s="9">
        <f>CP16+預測IC!CR17</f>
        <v>1.1088291476696919</v>
      </c>
      <c r="CR16" s="9">
        <f>CQ16+預測IC!CS17</f>
        <v>1.0951428660942706</v>
      </c>
      <c r="CS16" s="9">
        <f>CR16+預測IC!CT17</f>
        <v>1.1074343701446629</v>
      </c>
      <c r="CT16" s="9">
        <f>CS16+預測IC!CU17</f>
        <v>1.1001215039911603</v>
      </c>
      <c r="CU16" s="9">
        <f>CT16+預測IC!CV17</f>
        <v>1.1716128262475192</v>
      </c>
      <c r="CV16" s="9">
        <f>CU16+預測IC!CW17</f>
        <v>1.0840831356060208</v>
      </c>
      <c r="CW16" s="9">
        <f>CV16+預測IC!CX17</f>
        <v>1.0557702499800254</v>
      </c>
      <c r="CX16" s="9">
        <f>CW16+預測IC!CY17</f>
        <v>0.95926154715711132</v>
      </c>
      <c r="CY16" s="9">
        <f>CX16+預測IC!CZ17</f>
        <v>1.0617835503892665</v>
      </c>
      <c r="CZ16" s="9">
        <f>CY16+預測IC!DA17</f>
        <v>1.1156926660693107</v>
      </c>
      <c r="DA16" s="9">
        <f>CZ16+預測IC!DB17</f>
        <v>1.0625894017481994</v>
      </c>
      <c r="DB16" s="9">
        <f>DA16+預測IC!DC17</f>
        <v>1.0414937103357842</v>
      </c>
      <c r="DC16" s="9">
        <f>DB16+預測IC!DD17</f>
        <v>1.0525391346863495</v>
      </c>
      <c r="DD16" s="9">
        <f>DC16+預測IC!DE17</f>
        <v>1.058231388496528</v>
      </c>
      <c r="DE16" s="9">
        <f>DD16+預測IC!DF17</f>
        <v>1.0629782292106245</v>
      </c>
      <c r="DF16" s="9">
        <f>DE16+預測IC!DG17</f>
        <v>1.0823534986747074</v>
      </c>
      <c r="DG16" s="9">
        <f>DF16+預測IC!DH17</f>
        <v>1.082963967915372</v>
      </c>
      <c r="DH16" s="9">
        <f>DG16+預測IC!DI17</f>
        <v>1.0120438068936932</v>
      </c>
      <c r="DI16" s="9">
        <f>DH16+預測IC!DJ17</f>
        <v>1.0348863094879339</v>
      </c>
      <c r="DJ16" s="9">
        <f>DI16+預測IC!DK17</f>
        <v>0.96532410784825173</v>
      </c>
      <c r="DK16" s="9">
        <f>DJ16+預測IC!DL17</f>
        <v>1.0595116048508868</v>
      </c>
      <c r="DL16" s="9">
        <f>DK16+預測IC!DM17</f>
        <v>1.089879935690885</v>
      </c>
      <c r="DM16" s="9">
        <f>DL16+預測IC!DN17</f>
        <v>1.0984153507938947</v>
      </c>
      <c r="DN16" s="9">
        <f>DM16+預測IC!DO17</f>
        <v>1.1482824621290231</v>
      </c>
      <c r="DO16" s="9">
        <f>DN16+預測IC!DP17</f>
        <v>1.2973908960419254</v>
      </c>
      <c r="DP16" s="9">
        <f>DO16+預測IC!DQ17</f>
        <v>1.2738702153946926</v>
      </c>
      <c r="DQ16" s="9">
        <f>DP16+預測IC!DR17</f>
        <v>1.2870459412202151</v>
      </c>
      <c r="DR16" s="9">
        <f>DQ16+預測IC!DS17</f>
        <v>1.302703516576873</v>
      </c>
      <c r="DS16" s="9">
        <f>DR16+預測IC!DT17</f>
        <v>1.2381978762669099</v>
      </c>
      <c r="DT16" s="9">
        <f>DS16+預測IC!DU17</f>
        <v>1.2273341873987964</v>
      </c>
      <c r="DU16" s="9">
        <f>DT16+預測IC!DV17</f>
        <v>1.2581562554486783</v>
      </c>
      <c r="DV16" s="9">
        <f>DU16+預測IC!DW17</f>
        <v>1.1857318617278982</v>
      </c>
      <c r="DW16" s="9">
        <f>DV16+預測IC!DX17</f>
        <v>1.1575646742071894</v>
      </c>
      <c r="DX16" s="9">
        <f>DW16+預測IC!DY17</f>
        <v>1.1530830299652288</v>
      </c>
      <c r="DY16" s="9">
        <f>DX16+預測IC!DZ17</f>
        <v>1.1689154448667525</v>
      </c>
      <c r="DZ16" s="9">
        <f>DY16+預測IC!EA17</f>
        <v>1.1826585536037697</v>
      </c>
      <c r="EA16" s="9">
        <f>DZ16+預測IC!EB17</f>
        <v>1.2450139934450366</v>
      </c>
      <c r="EB16" s="9">
        <f>EA16+預測IC!EC17</f>
        <v>1.3062686247205924</v>
      </c>
      <c r="EC16" s="9">
        <f>EB16+預測IC!ED17</f>
        <v>1.2942162456994724</v>
      </c>
      <c r="ED16" s="9">
        <f>EC16+預測IC!EE17</f>
        <v>1.3469308261588957</v>
      </c>
      <c r="EE16" s="9">
        <f>ED16+預測IC!EF17</f>
        <v>1.4000535720162772</v>
      </c>
    </row>
    <row r="17" spans="1:136" ht="16" customHeight="1">
      <c r="A17" s="6" t="s">
        <v>156</v>
      </c>
      <c r="B17" s="7">
        <v>0.51201375227854862</v>
      </c>
      <c r="C17" s="9">
        <f>B17+預測IC!D18</f>
        <v>0.61011391642666324</v>
      </c>
      <c r="D17" s="9">
        <f>C17+預測IC!E18</f>
        <v>0.71502263902041385</v>
      </c>
      <c r="E17" s="9">
        <f>D17+預測IC!F18</f>
        <v>0.79820222058947299</v>
      </c>
      <c r="F17" s="9">
        <f>E17+預測IC!G18</f>
        <v>0.71788655371653531</v>
      </c>
      <c r="G17" s="9">
        <f>F17+預測IC!H18</f>
        <v>0.75869607718962673</v>
      </c>
      <c r="H17" s="9">
        <f>G17+預測IC!I18</f>
        <v>0.74375281030147034</v>
      </c>
      <c r="I17" s="9">
        <f>H17+預測IC!J18</f>
        <v>0.60983005544319657</v>
      </c>
      <c r="J17" s="9">
        <f>I17+預測IC!K18</f>
        <v>0.66083330301133458</v>
      </c>
      <c r="K17" s="9">
        <f>J17+預測IC!L18</f>
        <v>0.61441906314423067</v>
      </c>
      <c r="L17" s="9">
        <f>K17+預測IC!M18</f>
        <v>0.6463456960372671</v>
      </c>
      <c r="M17" s="9">
        <f>L17+預測IC!N18</f>
        <v>0.70673114631633005</v>
      </c>
      <c r="N17" s="9">
        <f>M17+預測IC!O18</f>
        <v>0.59486812351945795</v>
      </c>
      <c r="O17" s="9">
        <f>N17+預測IC!P18</f>
        <v>0.59273077141263542</v>
      </c>
      <c r="P17" s="9">
        <f>O17+預測IC!Q18</f>
        <v>0.71257328678786491</v>
      </c>
      <c r="Q17" s="9">
        <f>P17+預測IC!R18</f>
        <v>0.68970311766753523</v>
      </c>
      <c r="R17" s="9">
        <f>Q17+預測IC!S18</f>
        <v>0.64775133213085989</v>
      </c>
      <c r="S17" s="9">
        <f>R17+預測IC!T18</f>
        <v>0.54953338684713571</v>
      </c>
      <c r="T17" s="9">
        <f>S17+預測IC!U18</f>
        <v>0.46728240487617528</v>
      </c>
      <c r="U17" s="9">
        <f>T17+預測IC!V18</f>
        <v>0.52788906109383837</v>
      </c>
      <c r="V17" s="9">
        <f>U17+預測IC!W18</f>
        <v>0.54803262470430536</v>
      </c>
      <c r="W17" s="9">
        <f>V17+預測IC!X18</f>
        <v>0.70581679389394336</v>
      </c>
      <c r="X17" s="9">
        <f>W17+預測IC!Y18</f>
        <v>0.66616189492352917</v>
      </c>
      <c r="Y17" s="9">
        <f>X17+預測IC!Z18</f>
        <v>0.74214206399443328</v>
      </c>
      <c r="Z17" s="9">
        <f>Y17+預測IC!AA18</f>
        <v>0.69776324976275172</v>
      </c>
      <c r="AA17" s="9">
        <f>Z17+預測IC!AB18</f>
        <v>0.63425470701246511</v>
      </c>
      <c r="AB17" s="9">
        <f>AA17+預測IC!AC18</f>
        <v>0.6380007682179365</v>
      </c>
      <c r="AC17" s="9">
        <f>AB17+預測IC!AD18</f>
        <v>0.79315413968633774</v>
      </c>
      <c r="AD17" s="9">
        <f>AC17+預測IC!AE18</f>
        <v>0.87144879769512551</v>
      </c>
      <c r="AE17" s="9">
        <f>AD17+預測IC!AF18</f>
        <v>1.0462398127434724</v>
      </c>
      <c r="AF17" s="9">
        <f>AE17+預測IC!AG18</f>
        <v>1.0924619241843148</v>
      </c>
      <c r="AG17" s="9">
        <f>AF17+預測IC!AH18</f>
        <v>1.1716627540002569</v>
      </c>
      <c r="AH17" s="9">
        <f>AG17+預測IC!AI18</f>
        <v>1.1844151515569508</v>
      </c>
      <c r="AI17" s="9">
        <f>AH17+預測IC!AJ18</f>
        <v>1.1042463664621773</v>
      </c>
      <c r="AJ17" s="9">
        <f>AI17+預測IC!AK18</f>
        <v>1.0471034139199487</v>
      </c>
      <c r="AK17" s="9">
        <f>AJ17+預測IC!AL18</f>
        <v>1.010068200891056</v>
      </c>
      <c r="AL17" s="9">
        <f>AK17+預測IC!AM18</f>
        <v>1.0231545583242285</v>
      </c>
      <c r="AM17" s="9">
        <f>AL17+預測IC!AN18</f>
        <v>1.1537012179623336</v>
      </c>
      <c r="AN17" s="9">
        <f>AM17+預測IC!AO18</f>
        <v>1.1828332250519966</v>
      </c>
      <c r="AO17" s="9">
        <f>AN17+預測IC!AP18</f>
        <v>1.3633010378999175</v>
      </c>
      <c r="AP17" s="9">
        <f>AO17+預測IC!AQ18</f>
        <v>1.3981642893363175</v>
      </c>
      <c r="AQ17" s="9">
        <f>AP17+預測IC!AR18</f>
        <v>1.3906999295319975</v>
      </c>
      <c r="AR17" s="9">
        <f>AQ17+預測IC!AS18</f>
        <v>1.3947032164479272</v>
      </c>
      <c r="AS17" s="9">
        <f>AR17+預測IC!AT18</f>
        <v>1.4444868222138039</v>
      </c>
      <c r="AT17" s="9">
        <f>AS17+預測IC!AU18</f>
        <v>1.5582467892619252</v>
      </c>
      <c r="AU17" s="9">
        <f>AT17+預測IC!AV18</f>
        <v>1.6088142314367655</v>
      </c>
      <c r="AV17" s="9">
        <f>AU17+預測IC!AW18</f>
        <v>1.5741916466313284</v>
      </c>
      <c r="AW17" s="9">
        <f>AV17+預測IC!AX18</f>
        <v>1.4214393671855283</v>
      </c>
      <c r="AX17" s="9">
        <f>AW17+預測IC!AY18</f>
        <v>1.3460917869881104</v>
      </c>
      <c r="AY17" s="9">
        <f>AX17+預測IC!AZ18</f>
        <v>1.3588291684223925</v>
      </c>
      <c r="AZ17" s="9">
        <f>AY17+預測IC!BA18</f>
        <v>1.4345253398995006</v>
      </c>
      <c r="BA17" s="9">
        <f>AZ17+預測IC!BB18</f>
        <v>1.3753149826689215</v>
      </c>
      <c r="BB17" s="9">
        <f>BA17+預測IC!BC18</f>
        <v>1.3035770011473331</v>
      </c>
      <c r="BC17" s="9">
        <f>BB17+預測IC!BD18</f>
        <v>1.31867863532934</v>
      </c>
      <c r="BD17" s="9">
        <f>BC17+預測IC!BE18</f>
        <v>1.2682323019604702</v>
      </c>
      <c r="BE17" s="9">
        <f>BD17+預測IC!BF18</f>
        <v>1.2064847764538611</v>
      </c>
      <c r="BF17" s="9">
        <f>BE17+預測IC!BG18</f>
        <v>1.4196242253660387</v>
      </c>
      <c r="BG17" s="9">
        <f>BF17+預測IC!BH18</f>
        <v>1.5372444328700943</v>
      </c>
      <c r="BH17" s="9">
        <f>BG17+預測IC!BI18</f>
        <v>1.4088593039827035</v>
      </c>
      <c r="BI17" s="9">
        <f>BH17+預測IC!BJ18</f>
        <v>1.5163392781885101</v>
      </c>
      <c r="BJ17" s="9">
        <f>BI17+預測IC!BK18</f>
        <v>1.4423631568532715</v>
      </c>
      <c r="BK17" s="9">
        <f>BJ17+預測IC!BL18</f>
        <v>1.5113188005339362</v>
      </c>
      <c r="BL17" s="9">
        <f>BK17+預測IC!BM18</f>
        <v>1.479361009331386</v>
      </c>
      <c r="BM17" s="9">
        <f>BL17+預測IC!BN18</f>
        <v>1.4725398944595174</v>
      </c>
      <c r="BN17" s="9">
        <f>BM17+預測IC!BO18</f>
        <v>1.5137572917263504</v>
      </c>
      <c r="BO17" s="9">
        <f>BN17+預測IC!BP18</f>
        <v>1.4197718875061824</v>
      </c>
      <c r="BP17" s="9">
        <f>BO17+預測IC!BQ18</f>
        <v>1.3585859726624916</v>
      </c>
      <c r="BQ17" s="9">
        <f>BP17+預測IC!BR18</f>
        <v>1.2487207089444534</v>
      </c>
      <c r="BR17" s="9">
        <f>BQ17+預測IC!BS18</f>
        <v>1.2279712842972672</v>
      </c>
      <c r="BS17" s="9">
        <f>BR17+預測IC!BT18</f>
        <v>1.282974678859321</v>
      </c>
      <c r="BT17" s="9">
        <f>BS17+預測IC!BU18</f>
        <v>1.1589616847887034</v>
      </c>
      <c r="BU17" s="9">
        <f>BT17+預測IC!BV18</f>
        <v>1.2708573047064389</v>
      </c>
      <c r="BV17" s="9">
        <f>BU17+預測IC!BW18</f>
        <v>1.3310476153801292</v>
      </c>
      <c r="BW17" s="9">
        <f>BV17+預測IC!BX18</f>
        <v>1.2811764477142793</v>
      </c>
      <c r="BX17" s="9">
        <f>BW17+預測IC!BY18</f>
        <v>1.2191960557699906</v>
      </c>
      <c r="BY17" s="9">
        <f>BX17+預測IC!BZ18</f>
        <v>0.96590584037804428</v>
      </c>
      <c r="BZ17" s="9">
        <f>BY17+預測IC!CA18</f>
        <v>0.96624880883812669</v>
      </c>
      <c r="CA17" s="9">
        <f>BZ17+預測IC!CB18</f>
        <v>1.1607720168070197</v>
      </c>
      <c r="CB17" s="9">
        <f>CA17+預測IC!CC18</f>
        <v>1.0845168921491803</v>
      </c>
      <c r="CC17" s="9">
        <f>CB17+預測IC!CD18</f>
        <v>1.1510994904828578</v>
      </c>
      <c r="CD17" s="9">
        <f>CC17+預測IC!CE18</f>
        <v>1.1825303258922752</v>
      </c>
      <c r="CE17" s="9">
        <f>CD17+預測IC!CF18</f>
        <v>1.2322103397632906</v>
      </c>
      <c r="CF17" s="9">
        <f>CE17+預測IC!CG18</f>
        <v>1.2851780299091102</v>
      </c>
      <c r="CG17" s="9">
        <f>CF17+預測IC!CH18</f>
        <v>1.2473814186200143</v>
      </c>
      <c r="CH17" s="9">
        <f>CG17+預測IC!CI18</f>
        <v>1.1724523270903027</v>
      </c>
      <c r="CI17" s="9">
        <f>CH17+預測IC!CJ18</f>
        <v>1.1907321575172911</v>
      </c>
      <c r="CJ17" s="9">
        <f>CI17+預測IC!CK18</f>
        <v>1.1244823663106429</v>
      </c>
      <c r="CK17" s="9">
        <f>CJ17+預測IC!CL18</f>
        <v>1.0603315777291407</v>
      </c>
      <c r="CL17" s="9">
        <f>CK17+預測IC!CM18</f>
        <v>1.0836365164852155</v>
      </c>
      <c r="CM17" s="9">
        <f>CL17+預測IC!CN18</f>
        <v>1.1284231319885325</v>
      </c>
      <c r="CN17" s="9">
        <f>CM17+預測IC!CO18</f>
        <v>0.89469529498201072</v>
      </c>
      <c r="CO17" s="9">
        <f>CN17+預測IC!CP18</f>
        <v>0.88433513897277549</v>
      </c>
      <c r="CP17" s="9">
        <f>CO17+預測IC!CQ18</f>
        <v>1.0428656928474147</v>
      </c>
      <c r="CQ17" s="9">
        <f>CP17+預測IC!CR18</f>
        <v>1.0349092495942291</v>
      </c>
      <c r="CR17" s="9">
        <f>CQ17+預測IC!CS18</f>
        <v>1.0032661495241544</v>
      </c>
      <c r="CS17" s="9">
        <f>CR17+預測IC!CT18</f>
        <v>0.99771004449569556</v>
      </c>
      <c r="CT17" s="9">
        <f>CS17+預測IC!CU18</f>
        <v>0.99868715093573357</v>
      </c>
      <c r="CU17" s="9">
        <f>CT17+預測IC!CV18</f>
        <v>1.0351286637047725</v>
      </c>
      <c r="CV17" s="9">
        <f>CU17+預測IC!CW18</f>
        <v>0.96627275831424986</v>
      </c>
      <c r="CW17" s="9">
        <f>CV17+預測IC!CX18</f>
        <v>0.97266034470191032</v>
      </c>
      <c r="CX17" s="9">
        <f>CW17+預測IC!CY18</f>
        <v>0.86227540419146465</v>
      </c>
      <c r="CY17" s="9">
        <f>CX17+預測IC!CZ18</f>
        <v>0.98069473058178003</v>
      </c>
      <c r="CZ17" s="9">
        <f>CY17+預測IC!DA18</f>
        <v>1.0177924906792397</v>
      </c>
      <c r="DA17" s="9">
        <f>CZ17+預測IC!DB18</f>
        <v>0.96895922405118584</v>
      </c>
      <c r="DB17" s="9">
        <f>DA17+預測IC!DC18</f>
        <v>0.95518428751247686</v>
      </c>
      <c r="DC17" s="9">
        <f>DB17+預測IC!DD18</f>
        <v>0.95869214942149672</v>
      </c>
      <c r="DD17" s="9">
        <f>DC17+預測IC!DE18</f>
        <v>0.95271554666255998</v>
      </c>
      <c r="DE17" s="9">
        <f>DD17+預測IC!DF18</f>
        <v>0.9620275947430631</v>
      </c>
      <c r="DF17" s="9">
        <f>DE17+預測IC!DG18</f>
        <v>0.9648391282472476</v>
      </c>
      <c r="DG17" s="9">
        <f>DF17+預測IC!DH18</f>
        <v>0.96801742075643449</v>
      </c>
      <c r="DH17" s="9">
        <f>DG17+預測IC!DI18</f>
        <v>0.88986799842935105</v>
      </c>
      <c r="DI17" s="9">
        <f>DH17+預測IC!DJ18</f>
        <v>0.86972547306429848</v>
      </c>
      <c r="DJ17" s="9">
        <f>DI17+預測IC!DK18</f>
        <v>0.77414777757102016</v>
      </c>
      <c r="DK17" s="9">
        <f>DJ17+預測IC!DL18</f>
        <v>0.88386906859675429</v>
      </c>
      <c r="DL17" s="9">
        <f>DK17+預測IC!DM18</f>
        <v>0.86013918632794228</v>
      </c>
      <c r="DM17" s="9">
        <f>DL17+預測IC!DN18</f>
        <v>0.89254949518842031</v>
      </c>
      <c r="DN17" s="9">
        <f>DM17+預測IC!DO18</f>
        <v>0.95490533559343427</v>
      </c>
      <c r="DO17" s="9">
        <f>DN17+預測IC!DP18</f>
        <v>1.066369736430435</v>
      </c>
      <c r="DP17" s="9">
        <f>DO17+預測IC!DQ18</f>
        <v>1.0352071366459406</v>
      </c>
      <c r="DQ17" s="9">
        <f>DP17+預測IC!DR18</f>
        <v>1.04978602612114</v>
      </c>
      <c r="DR17" s="9">
        <f>DQ17+預測IC!DS18</f>
        <v>1.0514591464975704</v>
      </c>
      <c r="DS17" s="9">
        <f>DR17+預測IC!DT18</f>
        <v>0.98593216682811846</v>
      </c>
      <c r="DT17" s="9">
        <f>DS17+預測IC!DU18</f>
        <v>0.99589468723228636</v>
      </c>
      <c r="DU17" s="9">
        <f>DT17+預測IC!DV18</f>
        <v>1.0128261849888973</v>
      </c>
      <c r="DV17" s="9">
        <f>DU17+預測IC!DW18</f>
        <v>0.93018168220507347</v>
      </c>
      <c r="DW17" s="9">
        <f>DV17+預測IC!DX18</f>
        <v>0.91106292579858517</v>
      </c>
      <c r="DX17" s="9">
        <f>DW17+預測IC!DY18</f>
        <v>0.87514644213417847</v>
      </c>
      <c r="DY17" s="9">
        <f>DX17+預測IC!DZ18</f>
        <v>0.87378797264322139</v>
      </c>
      <c r="DZ17" s="9">
        <f>DY17+預測IC!EA18</f>
        <v>0.91607552668563352</v>
      </c>
      <c r="EA17" s="9">
        <f>DZ17+預測IC!EB18</f>
        <v>1.0081888376068711</v>
      </c>
      <c r="EB17" s="9">
        <f>EA17+預測IC!EC18</f>
        <v>1.1034829357937861</v>
      </c>
      <c r="EC17" s="9">
        <f>EB17+預測IC!ED18</f>
        <v>1.1013553451703328</v>
      </c>
      <c r="ED17" s="9">
        <f>EC17+預測IC!EE18</f>
        <v>1.1650005107564911</v>
      </c>
      <c r="EE17" s="9">
        <f>ED17+預測IC!EF18</f>
        <v>1.2313803503979919</v>
      </c>
    </row>
    <row r="18" spans="1:136" ht="16" customHeight="1">
      <c r="A18" s="6" t="s">
        <v>157</v>
      </c>
      <c r="B18" s="7">
        <v>0.52985771388284164</v>
      </c>
      <c r="C18" s="9">
        <f>B18+預測IC!D19</f>
        <v>0.60591885847826688</v>
      </c>
      <c r="D18" s="9">
        <f>C18+預測IC!E19</f>
        <v>0.71032294040160682</v>
      </c>
      <c r="E18" s="9">
        <f>D18+預測IC!F19</f>
        <v>0.6431443608240065</v>
      </c>
      <c r="F18" s="9">
        <f>E18+預測IC!G19</f>
        <v>0.56040858333533861</v>
      </c>
      <c r="G18" s="9">
        <f>F18+預測IC!H19</f>
        <v>0.60894715770524255</v>
      </c>
      <c r="H18" s="9">
        <f>G18+預測IC!I19</f>
        <v>0.62617526162898818</v>
      </c>
      <c r="I18" s="9">
        <f>H18+預測IC!J19</f>
        <v>0.54245870214509129</v>
      </c>
      <c r="J18" s="9">
        <f>I18+預測IC!K19</f>
        <v>0.58596325747056299</v>
      </c>
      <c r="K18" s="9">
        <f>J18+預測IC!L19</f>
        <v>0.54935764301856871</v>
      </c>
      <c r="L18" s="9">
        <f>K18+預測IC!M19</f>
        <v>0.57294620905449489</v>
      </c>
      <c r="M18" s="9">
        <f>L18+預測IC!N19</f>
        <v>0.62061431329114503</v>
      </c>
      <c r="N18" s="9">
        <f>M18+預測IC!O19</f>
        <v>0.49830302941777221</v>
      </c>
      <c r="O18" s="9">
        <f>N18+預測IC!P19</f>
        <v>0.4914477763658201</v>
      </c>
      <c r="P18" s="9">
        <f>O18+預測IC!Q19</f>
        <v>0.62820960341805276</v>
      </c>
      <c r="Q18" s="9">
        <f>P18+預測IC!R19</f>
        <v>0.57858239714629844</v>
      </c>
      <c r="R18" s="9">
        <f>Q18+預測IC!S19</f>
        <v>0.57805099098858748</v>
      </c>
      <c r="S18" s="9">
        <f>R18+預測IC!T19</f>
        <v>0.50524906690436588</v>
      </c>
      <c r="T18" s="9">
        <f>S18+預測IC!U19</f>
        <v>0.37819771078250497</v>
      </c>
      <c r="U18" s="9">
        <f>T18+預測IC!V19</f>
        <v>0.42584018641951266</v>
      </c>
      <c r="V18" s="9">
        <f>U18+預測IC!W19</f>
        <v>0.44095561658731114</v>
      </c>
      <c r="W18" s="9">
        <f>V18+預測IC!X19</f>
        <v>0.64317412174503807</v>
      </c>
      <c r="X18" s="9">
        <f>W18+預測IC!Y19</f>
        <v>0.61257874671254287</v>
      </c>
      <c r="Y18" s="9">
        <f>X18+預測IC!Z19</f>
        <v>0.68338159558390776</v>
      </c>
      <c r="Z18" s="9">
        <f>Y18+預測IC!AA19</f>
        <v>0.63378769002466218</v>
      </c>
      <c r="AA18" s="9">
        <f>Z18+預測IC!AB19</f>
        <v>0.57459528334677967</v>
      </c>
      <c r="AB18" s="9">
        <f>AA18+預測IC!AC19</f>
        <v>0.57656546336430958</v>
      </c>
      <c r="AC18" s="9">
        <f>AB18+預測IC!AD19</f>
        <v>0.71625557078668567</v>
      </c>
      <c r="AD18" s="9">
        <f>AC18+預測IC!AE19</f>
        <v>0.83715698387309012</v>
      </c>
      <c r="AE18" s="9">
        <f>AD18+預測IC!AF19</f>
        <v>0.98243782271051738</v>
      </c>
      <c r="AF18" s="9">
        <f>AE18+預測IC!AG19</f>
        <v>1.042262448049841</v>
      </c>
      <c r="AG18" s="9">
        <f>AF18+預測IC!AH19</f>
        <v>1.1212966532076787</v>
      </c>
      <c r="AH18" s="9">
        <f>AG18+預測IC!AI19</f>
        <v>1.1143879277747903</v>
      </c>
      <c r="AI18" s="9">
        <f>AH18+預測IC!AJ19</f>
        <v>1.0257471003625338</v>
      </c>
      <c r="AJ18" s="9">
        <f>AI18+預測IC!AK19</f>
        <v>0.97769760524050997</v>
      </c>
      <c r="AK18" s="9">
        <f>AJ18+預測IC!AL19</f>
        <v>0.93721233890109579</v>
      </c>
      <c r="AL18" s="9">
        <f>AK18+預測IC!AM19</f>
        <v>0.94666243492170277</v>
      </c>
      <c r="AM18" s="9">
        <f>AL18+預測IC!AN19</f>
        <v>1.0862048069598431</v>
      </c>
      <c r="AN18" s="9">
        <f>AM18+預測IC!AO19</f>
        <v>1.1132670870022991</v>
      </c>
      <c r="AO18" s="9">
        <f>AN18+預測IC!AP19</f>
        <v>1.3239083981764401</v>
      </c>
      <c r="AP18" s="9">
        <f>AO18+預測IC!AQ19</f>
        <v>1.3243237568723234</v>
      </c>
      <c r="AQ18" s="9">
        <f>AP18+預測IC!AR19</f>
        <v>1.3305796274379269</v>
      </c>
      <c r="AR18" s="9">
        <f>AQ18+預測IC!AS19</f>
        <v>1.3431383944629101</v>
      </c>
      <c r="AS18" s="9">
        <f>AR18+預測IC!AT19</f>
        <v>1.4065317949989222</v>
      </c>
      <c r="AT18" s="9">
        <f>AS18+預測IC!AU19</f>
        <v>1.5473294956791983</v>
      </c>
      <c r="AU18" s="9">
        <f>AT18+預測IC!AV19</f>
        <v>1.5887252526067219</v>
      </c>
      <c r="AV18" s="9">
        <f>AU18+預測IC!AW19</f>
        <v>1.5765004542427448</v>
      </c>
      <c r="AW18" s="9">
        <f>AV18+預測IC!AX19</f>
        <v>1.3921456007651027</v>
      </c>
      <c r="AX18" s="9">
        <f>AW18+預測IC!AY19</f>
        <v>1.2640543199715017</v>
      </c>
      <c r="AY18" s="9">
        <f>AX18+預測IC!AZ19</f>
        <v>1.2700050600276667</v>
      </c>
      <c r="AZ18" s="9">
        <f>AY18+預測IC!BA19</f>
        <v>1.3090841495195291</v>
      </c>
      <c r="BA18" s="9">
        <f>AZ18+預測IC!BB19</f>
        <v>1.2523052393706511</v>
      </c>
      <c r="BB18" s="9">
        <f>BA18+預測IC!BC19</f>
        <v>1.1899929034468621</v>
      </c>
      <c r="BC18" s="9">
        <f>BB18+預測IC!BD19</f>
        <v>1.1999424262110543</v>
      </c>
      <c r="BD18" s="9">
        <f>BC18+預測IC!BE19</f>
        <v>1.1485260080596813</v>
      </c>
      <c r="BE18" s="9">
        <f>BD18+預測IC!BF19</f>
        <v>1.1327370829810806</v>
      </c>
      <c r="BF18" s="9">
        <f>BE18+預測IC!BG19</f>
        <v>1.334142210743821</v>
      </c>
      <c r="BG18" s="9">
        <f>BF18+預測IC!BH19</f>
        <v>1.4738341799581325</v>
      </c>
      <c r="BH18" s="9">
        <f>BG18+預測IC!BI19</f>
        <v>1.3718510606760084</v>
      </c>
      <c r="BI18" s="9">
        <f>BH18+預測IC!BJ19</f>
        <v>1.4915530589099177</v>
      </c>
      <c r="BJ18" s="9">
        <f>BI18+預測IC!BK19</f>
        <v>1.3948650685648369</v>
      </c>
      <c r="BK18" s="9">
        <f>BJ18+預測IC!BL19</f>
        <v>1.4766703899309375</v>
      </c>
      <c r="BL18" s="9">
        <f>BK18+預測IC!BM19</f>
        <v>1.4432034385022499</v>
      </c>
      <c r="BM18" s="9">
        <f>BL18+預測IC!BN19</f>
        <v>1.4472609419868387</v>
      </c>
      <c r="BN18" s="9">
        <f>BM18+預測IC!BO19</f>
        <v>1.495314307300871</v>
      </c>
      <c r="BO18" s="9">
        <f>BN18+預測IC!BP19</f>
        <v>1.3594191747033366</v>
      </c>
      <c r="BP18" s="9">
        <f>BO18+預測IC!BQ19</f>
        <v>1.2925231281111766</v>
      </c>
      <c r="BQ18" s="9">
        <f>BP18+預測IC!BR19</f>
        <v>1.1802235448882219</v>
      </c>
      <c r="BR18" s="9">
        <f>BQ18+預測IC!BS19</f>
        <v>1.1597698782339294</v>
      </c>
      <c r="BS18" s="9">
        <f>BR18+預測IC!BT19</f>
        <v>1.2234966716392695</v>
      </c>
      <c r="BT18" s="9">
        <f>BS18+預測IC!BU19</f>
        <v>1.0950330258066432</v>
      </c>
      <c r="BU18" s="9">
        <f>BT18+預測IC!BV19</f>
        <v>1.2274960648997735</v>
      </c>
      <c r="BV18" s="9">
        <f>BU18+預測IC!BW19</f>
        <v>1.2592643979848201</v>
      </c>
      <c r="BW18" s="9">
        <f>BV18+預測IC!BX19</f>
        <v>1.2210339115183493</v>
      </c>
      <c r="BX18" s="9">
        <f>BW18+預測IC!BY19</f>
        <v>1.1412757264433109</v>
      </c>
      <c r="BY18" s="9">
        <f>BX18+預測IC!BZ19</f>
        <v>0.87373641683237846</v>
      </c>
      <c r="BZ18" s="9">
        <f>BY18+預測IC!CA19</f>
        <v>0.87579294468928226</v>
      </c>
      <c r="CA18" s="9">
        <f>BZ18+預測IC!CB19</f>
        <v>1.1014270153112675</v>
      </c>
      <c r="CB18" s="9">
        <f>CA18+預測IC!CC19</f>
        <v>0.99498677645098821</v>
      </c>
      <c r="CC18" s="9">
        <f>CB18+預測IC!CD19</f>
        <v>0.9441134220680234</v>
      </c>
      <c r="CD18" s="9">
        <f>CC18+預測IC!CE19</f>
        <v>0.90437621715147198</v>
      </c>
      <c r="CE18" s="9">
        <f>CD18+預測IC!CF19</f>
        <v>0.95722928976421395</v>
      </c>
      <c r="CF18" s="9">
        <f>CE18+預測IC!CG19</f>
        <v>1.0388040869130184</v>
      </c>
      <c r="CG18" s="9">
        <f>CF18+預測IC!CH19</f>
        <v>0.99627346812998974</v>
      </c>
      <c r="CH18" s="9">
        <f>CG18+預測IC!CI19</f>
        <v>0.87901601483742386</v>
      </c>
      <c r="CI18" s="9">
        <f>CH18+預測IC!CJ19</f>
        <v>0.89612912501468711</v>
      </c>
      <c r="CJ18" s="9">
        <f>CI18+預測IC!CK19</f>
        <v>0.82638075661453048</v>
      </c>
      <c r="CK18" s="9">
        <f>CJ18+預測IC!CL19</f>
        <v>0.81706795358047968</v>
      </c>
      <c r="CL18" s="9">
        <f>CK18+預測IC!CM19</f>
        <v>0.86855582461150571</v>
      </c>
      <c r="CM18" s="9">
        <f>CL18+預測IC!CN19</f>
        <v>0.89132818551010595</v>
      </c>
      <c r="CN18" s="9">
        <f>CM18+預測IC!CO19</f>
        <v>0.72385313929294537</v>
      </c>
      <c r="CO18" s="9">
        <f>CN18+預測IC!CP19</f>
        <v>0.69292418070520734</v>
      </c>
      <c r="CP18" s="9">
        <f>CO18+預測IC!CQ19</f>
        <v>0.8960264364737045</v>
      </c>
      <c r="CQ18" s="9">
        <f>CP18+預測IC!CR19</f>
        <v>0.91920841548608867</v>
      </c>
      <c r="CR18" s="9">
        <f>CQ18+預測IC!CS19</f>
        <v>0.9105313643246804</v>
      </c>
      <c r="CS18" s="9">
        <f>CR18+預測IC!CT19</f>
        <v>0.87263211274720187</v>
      </c>
      <c r="CT18" s="9">
        <f>CS18+預測IC!CU19</f>
        <v>0.86146106664522293</v>
      </c>
      <c r="CU18" s="9">
        <f>CT18+預測IC!CV19</f>
        <v>0.9016417954540803</v>
      </c>
      <c r="CV18" s="9">
        <f>CU18+預測IC!CW19</f>
        <v>0.82813811806994297</v>
      </c>
      <c r="CW18" s="9">
        <f>CV18+預測IC!CX19</f>
        <v>0.8434314902006822</v>
      </c>
      <c r="CX18" s="9">
        <f>CW18+預測IC!CY19</f>
        <v>0.74386252126537245</v>
      </c>
      <c r="CY18" s="9">
        <f>CX18+預測IC!CZ19</f>
        <v>0.89235887689827931</v>
      </c>
      <c r="CZ18" s="9">
        <f>CY18+預測IC!DA19</f>
        <v>0.94960444495835572</v>
      </c>
      <c r="DA18" s="9">
        <f>CZ18+預測IC!DB19</f>
        <v>0.88473275138247842</v>
      </c>
      <c r="DB18" s="9">
        <f>DA18+預測IC!DC19</f>
        <v>0.86706438778504991</v>
      </c>
      <c r="DC18" s="9">
        <f>DB18+預測IC!DD19</f>
        <v>0.86127973620047305</v>
      </c>
      <c r="DD18" s="9">
        <f>DC18+預測IC!DE19</f>
        <v>0.83915244849686332</v>
      </c>
      <c r="DE18" s="9">
        <f>DD18+預測IC!DF19</f>
        <v>0.8607401895254404</v>
      </c>
      <c r="DF18" s="9">
        <f>DE18+預測IC!DG19</f>
        <v>0.88580071091498558</v>
      </c>
      <c r="DG18" s="9">
        <f>DF18+預測IC!DH19</f>
        <v>0.89409821864407169</v>
      </c>
      <c r="DH18" s="9">
        <f>DG18+預測IC!DI19</f>
        <v>0.81096635971804854</v>
      </c>
      <c r="DI18" s="9">
        <f>DH18+預測IC!DJ19</f>
        <v>0.80074721810074356</v>
      </c>
      <c r="DJ18" s="9">
        <f>DI18+預測IC!DK19</f>
        <v>0.70517668513890752</v>
      </c>
      <c r="DK18" s="9">
        <f>DJ18+預測IC!DL19</f>
        <v>0.77759909479029388</v>
      </c>
      <c r="DL18" s="9">
        <f>DK18+預測IC!DM19</f>
        <v>0.74796573082946738</v>
      </c>
      <c r="DM18" s="9">
        <f>DL18+預測IC!DN19</f>
        <v>0.78866951412914044</v>
      </c>
      <c r="DN18" s="9">
        <f>DM18+預測IC!DO19</f>
        <v>0.85559199284271337</v>
      </c>
      <c r="DO18" s="9">
        <f>DN18+預測IC!DP19</f>
        <v>0.96370839597150659</v>
      </c>
      <c r="DP18" s="9">
        <f>DO18+預測IC!DQ19</f>
        <v>0.91063101007368941</v>
      </c>
      <c r="DQ18" s="9">
        <f>DP18+預測IC!DR19</f>
        <v>0.9045028100171143</v>
      </c>
      <c r="DR18" s="9">
        <f>DQ18+預測IC!DS19</f>
        <v>0.88602928328131458</v>
      </c>
      <c r="DS18" s="9">
        <f>DR18+預測IC!DT19</f>
        <v>0.80117228058269063</v>
      </c>
      <c r="DT18" s="9">
        <f>DS18+預測IC!DU19</f>
        <v>0.83913728772772644</v>
      </c>
      <c r="DU18" s="9">
        <f>DT18+預測IC!DV19</f>
        <v>0.86130356260038021</v>
      </c>
      <c r="DV18" s="9">
        <f>DU18+預測IC!DW19</f>
        <v>0.77776012011913498</v>
      </c>
      <c r="DW18" s="9">
        <f>DV18+預測IC!DX19</f>
        <v>0.78965272847096057</v>
      </c>
      <c r="DX18" s="9">
        <f>DW18+預測IC!DY19</f>
        <v>0.83404944724895336</v>
      </c>
      <c r="DY18" s="9">
        <f>DX18+預測IC!DZ19</f>
        <v>0.82924189003551241</v>
      </c>
      <c r="DZ18" s="9">
        <f>DY18+預測IC!EA19</f>
        <v>0.87538643018923279</v>
      </c>
      <c r="EA18" s="9">
        <f>DZ18+預測IC!EB19</f>
        <v>0.96356371046360811</v>
      </c>
      <c r="EB18" s="9">
        <f>EA18+預測IC!EC19</f>
        <v>1.0623375165035156</v>
      </c>
      <c r="EC18" s="9">
        <f>EB18+預測IC!ED19</f>
        <v>1.0599793962476727</v>
      </c>
      <c r="ED18" s="9">
        <f>EC18+預測IC!EE19</f>
        <v>1.1339855304672384</v>
      </c>
      <c r="EE18" s="9">
        <f>ED18+預測IC!EF19</f>
        <v>1.2134644832299668</v>
      </c>
    </row>
    <row r="19" spans="1:136" ht="16" customHeight="1">
      <c r="A19" s="6" t="s">
        <v>158</v>
      </c>
      <c r="B19" s="7">
        <v>0.59702667278137145</v>
      </c>
      <c r="C19" s="9">
        <f>B19+預測IC!D20</f>
        <v>0.70936889214830634</v>
      </c>
      <c r="D19" s="9">
        <f>C19+預測IC!E20</f>
        <v>0.82914142869898166</v>
      </c>
      <c r="E19" s="9">
        <f>D19+預測IC!F20</f>
        <v>0.7764712953010654</v>
      </c>
      <c r="F19" s="9">
        <f>E19+預測IC!G20</f>
        <v>0.69136633263808278</v>
      </c>
      <c r="G19" s="9">
        <f>F19+預測IC!H20</f>
        <v>0.73395531511245993</v>
      </c>
      <c r="H19" s="9">
        <f>G19+預測IC!I20</f>
        <v>0.75988975435801398</v>
      </c>
      <c r="I19" s="9">
        <f>H19+預測IC!J20</f>
        <v>0.6569788674023096</v>
      </c>
      <c r="J19" s="9">
        <f>I19+預測IC!K20</f>
        <v>0.71723318407550829</v>
      </c>
      <c r="K19" s="9">
        <f>J19+預測IC!L20</f>
        <v>0.68209204017880387</v>
      </c>
      <c r="L19" s="9">
        <f>K19+預測IC!M20</f>
        <v>0.74803694972059942</v>
      </c>
      <c r="M19" s="9">
        <f>L19+預測IC!N20</f>
        <v>0.7967622608413053</v>
      </c>
      <c r="N19" s="9">
        <f>M19+預測IC!O20</f>
        <v>0.67561945046911287</v>
      </c>
      <c r="O19" s="9">
        <f>N19+預測IC!P20</f>
        <v>0.69419961661822138</v>
      </c>
      <c r="P19" s="9">
        <f>O19+預測IC!Q20</f>
        <v>0.86427953009643776</v>
      </c>
      <c r="Q19" s="9">
        <f>P19+預測IC!R20</f>
        <v>0.81361278505349643</v>
      </c>
      <c r="R19" s="9">
        <f>Q19+預測IC!S20</f>
        <v>0.80572365590856065</v>
      </c>
      <c r="S19" s="9">
        <f>R19+預測IC!T20</f>
        <v>0.72813993633590779</v>
      </c>
      <c r="T19" s="9">
        <f>S19+預測IC!U20</f>
        <v>0.6071871311138205</v>
      </c>
      <c r="U19" s="9">
        <f>T19+預測IC!V20</f>
        <v>0.66780506568876963</v>
      </c>
      <c r="V19" s="9">
        <f>U19+預測IC!W20</f>
        <v>0.70183686476088691</v>
      </c>
      <c r="W19" s="9">
        <f>V19+預測IC!X20</f>
        <v>0.82085864323206703</v>
      </c>
      <c r="X19" s="9">
        <f>W19+預測IC!Y20</f>
        <v>0.76168567313940816</v>
      </c>
      <c r="Y19" s="9">
        <f>X19+預測IC!Z20</f>
        <v>0.80805002132070369</v>
      </c>
      <c r="Z19" s="9">
        <f>Y19+預測IC!AA20</f>
        <v>0.7510721238772825</v>
      </c>
      <c r="AA19" s="9">
        <f>Z19+預測IC!AB20</f>
        <v>0.69333983262054211</v>
      </c>
      <c r="AB19" s="9">
        <f>AA19+預測IC!AC20</f>
        <v>0.73158689726454162</v>
      </c>
      <c r="AC19" s="9">
        <f>AB19+預測IC!AD20</f>
        <v>0.85332974970531084</v>
      </c>
      <c r="AD19" s="9">
        <f>AC19+預測IC!AE20</f>
        <v>0.9491164364925847</v>
      </c>
      <c r="AE19" s="9">
        <f>AD19+預測IC!AF20</f>
        <v>1.0970546753671191</v>
      </c>
      <c r="AF19" s="9">
        <f>AE19+預測IC!AG20</f>
        <v>1.137130826486648</v>
      </c>
      <c r="AG19" s="9">
        <f>AF19+預測IC!AH20</f>
        <v>1.2431511291847039</v>
      </c>
      <c r="AH19" s="9">
        <f>AG19+預測IC!AI20</f>
        <v>1.2519927058755191</v>
      </c>
      <c r="AI19" s="9">
        <f>AH19+預測IC!AJ20</f>
        <v>1.1603319872424271</v>
      </c>
      <c r="AJ19" s="9">
        <f>AI19+預測IC!AK20</f>
        <v>1.0974284423696603</v>
      </c>
      <c r="AK19" s="9">
        <f>AJ19+預測IC!AL20</f>
        <v>1.0743383677648259</v>
      </c>
      <c r="AL19" s="9">
        <f>AK19+預測IC!AM20</f>
        <v>1.0802935418488737</v>
      </c>
      <c r="AM19" s="9">
        <f>AL19+預測IC!AN20</f>
        <v>1.2327525045408276</v>
      </c>
      <c r="AN19" s="9">
        <f>AM19+預測IC!AO20</f>
        <v>1.275199836667622</v>
      </c>
      <c r="AO19" s="9">
        <f>AN19+預測IC!AP20</f>
        <v>1.5109289562462342</v>
      </c>
      <c r="AP19" s="9">
        <f>AO19+預測IC!AQ20</f>
        <v>1.4942987582147229</v>
      </c>
      <c r="AQ19" s="9">
        <f>AP19+預測IC!AR20</f>
        <v>1.4572749174072428</v>
      </c>
      <c r="AR19" s="9">
        <f>AQ19+預測IC!AS20</f>
        <v>1.4257526842825383</v>
      </c>
      <c r="AS19" s="9">
        <f>AR19+預測IC!AT20</f>
        <v>1.4995257858677993</v>
      </c>
      <c r="AT19" s="9">
        <f>AS19+預測IC!AU20</f>
        <v>1.6697545237146001</v>
      </c>
      <c r="AU19" s="9">
        <f>AT19+預測IC!AV20</f>
        <v>1.7061924238325403</v>
      </c>
      <c r="AV19" s="9">
        <f>AU19+預測IC!AW20</f>
        <v>1.6959050040101848</v>
      </c>
      <c r="AW19" s="9">
        <f>AV19+預測IC!AX20</f>
        <v>1.4794369638812832</v>
      </c>
      <c r="AX19" s="9">
        <f>AW19+預測IC!AY20</f>
        <v>1.3206473385517183</v>
      </c>
      <c r="AY19" s="9">
        <f>AX19+預測IC!AZ20</f>
        <v>1.24740354451838</v>
      </c>
      <c r="AZ19" s="9">
        <f>AY19+預測IC!BA20</f>
        <v>1.2864337968783028</v>
      </c>
      <c r="BA19" s="9">
        <f>AZ19+預測IC!BB20</f>
        <v>1.2566000299570304</v>
      </c>
      <c r="BB19" s="9">
        <f>BA19+預測IC!BC20</f>
        <v>1.1893673391505815</v>
      </c>
      <c r="BC19" s="9">
        <f>BB19+預測IC!BD20</f>
        <v>1.1997366970292382</v>
      </c>
      <c r="BD19" s="9">
        <f>BC19+預測IC!BE20</f>
        <v>1.1414045985877712</v>
      </c>
      <c r="BE19" s="9">
        <f>BD19+預測IC!BF20</f>
        <v>1.093166777989478</v>
      </c>
      <c r="BF19" s="9">
        <f>BE19+預測IC!BG20</f>
        <v>1.2970091894886906</v>
      </c>
      <c r="BG19" s="9">
        <f>BF19+預測IC!BH20</f>
        <v>1.4243204462206964</v>
      </c>
      <c r="BH19" s="9">
        <f>BG19+預測IC!BI20</f>
        <v>1.3933384232524764</v>
      </c>
      <c r="BI19" s="9">
        <f>BH19+預測IC!BJ20</f>
        <v>1.5618802641888179</v>
      </c>
      <c r="BJ19" s="9">
        <f>BI19+預測IC!BK20</f>
        <v>1.5185955331951204</v>
      </c>
      <c r="BK19" s="9">
        <f>BJ19+預測IC!BL20</f>
        <v>1.5994680256536946</v>
      </c>
      <c r="BL19" s="9">
        <f>BK19+預測IC!BM20</f>
        <v>1.5708764446365275</v>
      </c>
      <c r="BM19" s="9">
        <f>BL19+預測IC!BN20</f>
        <v>1.6085511459214661</v>
      </c>
      <c r="BN19" s="9">
        <f>BM19+預測IC!BO20</f>
        <v>1.6429897158823488</v>
      </c>
      <c r="BO19" s="9">
        <f>BN19+預測IC!BP20</f>
        <v>1.4795390619327999</v>
      </c>
      <c r="BP19" s="9">
        <f>BO19+預測IC!BQ20</f>
        <v>1.3913048119412825</v>
      </c>
      <c r="BQ19" s="9">
        <f>BP19+預測IC!BR20</f>
        <v>1.2619346582973119</v>
      </c>
      <c r="BR19" s="9">
        <f>BQ19+預測IC!BS20</f>
        <v>1.2539078622704982</v>
      </c>
      <c r="BS19" s="9">
        <f>BR19+預測IC!BT20</f>
        <v>1.3745082265669477</v>
      </c>
      <c r="BT19" s="9">
        <f>BS19+預測IC!BU20</f>
        <v>1.3154969781241947</v>
      </c>
      <c r="BU19" s="9">
        <f>BT19+預測IC!BV20</f>
        <v>1.3968107003345229</v>
      </c>
      <c r="BV19" s="9">
        <f>BU19+預測IC!BW20</f>
        <v>1.4198470260624487</v>
      </c>
      <c r="BW19" s="9">
        <f>BV19+預測IC!BX20</f>
        <v>1.3554112006031926</v>
      </c>
      <c r="BX19" s="9">
        <f>BW19+預測IC!BY20</f>
        <v>1.2760153631070179</v>
      </c>
      <c r="BY19" s="9">
        <f>BX19+預測IC!BZ20</f>
        <v>1.0536839361235451</v>
      </c>
      <c r="BZ19" s="9">
        <f>BY19+預測IC!CA20</f>
        <v>1.0533475944383086</v>
      </c>
      <c r="CA19" s="9">
        <f>BZ19+預測IC!CB20</f>
        <v>1.2577178624680379</v>
      </c>
      <c r="CB19" s="9">
        <f>CA19+預測IC!CC20</f>
        <v>1.1069431071136977</v>
      </c>
      <c r="CC19" s="9">
        <f>CB19+預測IC!CD20</f>
        <v>1.0378663983076937</v>
      </c>
      <c r="CD19" s="9">
        <f>CC19+預測IC!CE20</f>
        <v>0.98430893094950855</v>
      </c>
      <c r="CE19" s="9">
        <f>CD19+預測IC!CF20</f>
        <v>1.0437378384166172</v>
      </c>
      <c r="CF19" s="9">
        <f>CE19+預測IC!CG20</f>
        <v>1.1402731339036034</v>
      </c>
      <c r="CG19" s="9">
        <f>CF19+預測IC!CH20</f>
        <v>1.069714905168667</v>
      </c>
      <c r="CH19" s="9">
        <f>CG19+預測IC!CI20</f>
        <v>0.94655466993949067</v>
      </c>
      <c r="CI19" s="9">
        <f>CH19+預測IC!CJ20</f>
        <v>0.92103379993342382</v>
      </c>
      <c r="CJ19" s="9">
        <f>CI19+預測IC!CK20</f>
        <v>0.86162910212193256</v>
      </c>
      <c r="CK19" s="9">
        <f>CJ19+預測IC!CL20</f>
        <v>0.84582082128340663</v>
      </c>
      <c r="CL19" s="9">
        <f>CK19+預測IC!CM20</f>
        <v>0.87326281160126129</v>
      </c>
      <c r="CM19" s="9">
        <f>CL19+預測IC!CN20</f>
        <v>0.88364289079151348</v>
      </c>
      <c r="CN19" s="9">
        <f>CM19+預測IC!CO20</f>
        <v>0.7307205899862379</v>
      </c>
      <c r="CO19" s="9">
        <f>CN19+預測IC!CP20</f>
        <v>0.6938788231139581</v>
      </c>
      <c r="CP19" s="9">
        <f>CO19+預測IC!CQ20</f>
        <v>0.94211900226624778</v>
      </c>
      <c r="CQ19" s="9">
        <f>CP19+預測IC!CR20</f>
        <v>0.94379916452504453</v>
      </c>
      <c r="CR19" s="9">
        <f>CQ19+預測IC!CS20</f>
        <v>0.95655991914126792</v>
      </c>
      <c r="CS19" s="9">
        <f>CR19+預測IC!CT20</f>
        <v>0.91657053984397674</v>
      </c>
      <c r="CT19" s="9">
        <f>CS19+預測IC!CU20</f>
        <v>0.89960572509337944</v>
      </c>
      <c r="CU19" s="9">
        <f>CT19+預測IC!CV20</f>
        <v>0.91676594466855466</v>
      </c>
      <c r="CV19" s="9">
        <f>CU19+預測IC!CW20</f>
        <v>0.8400868516878004</v>
      </c>
      <c r="CW19" s="9">
        <f>CV19+預測IC!CX20</f>
        <v>0.86765244279303266</v>
      </c>
      <c r="CX19" s="9">
        <f>CW19+預測IC!CY20</f>
        <v>0.77003996686980369</v>
      </c>
      <c r="CY19" s="9">
        <f>CX19+預測IC!CZ20</f>
        <v>0.91605576191599958</v>
      </c>
      <c r="CZ19" s="9">
        <f>CY19+預測IC!DA20</f>
        <v>0.97793595680766232</v>
      </c>
      <c r="DA19" s="9">
        <f>CZ19+預測IC!DB20</f>
        <v>0.91900076529743069</v>
      </c>
      <c r="DB19" s="9">
        <f>DA19+預測IC!DC20</f>
        <v>0.90874725628694941</v>
      </c>
      <c r="DC19" s="9">
        <f>DB19+預測IC!DD20</f>
        <v>0.93307108942149608</v>
      </c>
      <c r="DD19" s="9">
        <f>DC19+預測IC!DE20</f>
        <v>0.901229320894673</v>
      </c>
      <c r="DE19" s="9">
        <f>DD19+預測IC!DF20</f>
        <v>0.9334209619435555</v>
      </c>
      <c r="DF19" s="9">
        <f>DE19+預測IC!DG20</f>
        <v>0.95906326745286952</v>
      </c>
      <c r="DG19" s="9">
        <f>DF19+預測IC!DH20</f>
        <v>0.9613270852596929</v>
      </c>
      <c r="DH19" s="9">
        <f>DG19+預測IC!DI20</f>
        <v>0.88890077737385675</v>
      </c>
      <c r="DI19" s="9">
        <f>DH19+預測IC!DJ20</f>
        <v>0.86299515211341049</v>
      </c>
      <c r="DJ19" s="9">
        <f>DI19+預測IC!DK20</f>
        <v>0.80825276537546975</v>
      </c>
      <c r="DK19" s="9">
        <f>DJ19+預測IC!DL20</f>
        <v>0.89288953667843374</v>
      </c>
      <c r="DL19" s="9">
        <f>DK19+預測IC!DM20</f>
        <v>0.8711923577602807</v>
      </c>
      <c r="DM19" s="9">
        <f>DL19+預測IC!DN20</f>
        <v>0.92313610363864107</v>
      </c>
      <c r="DN19" s="9">
        <f>DM19+預測IC!DO20</f>
        <v>0.97959032801435975</v>
      </c>
      <c r="DO19" s="9">
        <f>DN19+預測IC!DP20</f>
        <v>1.0994356754814381</v>
      </c>
      <c r="DP19" s="9">
        <f>DO19+預測IC!DQ20</f>
        <v>0.99161210575247916</v>
      </c>
      <c r="DQ19" s="9">
        <f>DP19+預測IC!DR20</f>
        <v>0.97078712089701802</v>
      </c>
      <c r="DR19" s="9">
        <f>DQ19+預測IC!DS20</f>
        <v>0.95969383394921381</v>
      </c>
      <c r="DS19" s="9">
        <f>DR19+預測IC!DT20</f>
        <v>0.84487995353106959</v>
      </c>
      <c r="DT19" s="9">
        <f>DS19+預測IC!DU20</f>
        <v>0.90930821891675284</v>
      </c>
      <c r="DU19" s="9">
        <f>DT19+預測IC!DV20</f>
        <v>0.94659286702819123</v>
      </c>
      <c r="DV19" s="9">
        <f>DU19+預測IC!DW20</f>
        <v>0.89534132342233042</v>
      </c>
      <c r="DW19" s="9">
        <f>DV19+預測IC!DX20</f>
        <v>0.90954852574345546</v>
      </c>
      <c r="DX19" s="9">
        <f>DW19+預測IC!DY20</f>
        <v>0.99127889752352716</v>
      </c>
      <c r="DY19" s="9">
        <f>DX19+預測IC!DZ20</f>
        <v>1.0263210399151388</v>
      </c>
      <c r="DZ19" s="9">
        <f>DY19+預測IC!EA20</f>
        <v>1.108286489688765</v>
      </c>
      <c r="EA19" s="9">
        <f>DZ19+預測IC!EB20</f>
        <v>1.2081431027631286</v>
      </c>
      <c r="EB19" s="9">
        <f>EA19+預測IC!EC20</f>
        <v>1.330979732196875</v>
      </c>
      <c r="EC19" s="9">
        <f>EB19+預測IC!ED20</f>
        <v>1.3005774435248061</v>
      </c>
      <c r="ED19" s="9">
        <f>EC19+預測IC!EE20</f>
        <v>1.3746100177421592</v>
      </c>
      <c r="EE19" s="9">
        <f>ED19+預測IC!EF20</f>
        <v>1.4646702076526708</v>
      </c>
    </row>
    <row r="20" spans="1:136" ht="16" customHeight="1">
      <c r="A20" s="6" t="s">
        <v>159</v>
      </c>
      <c r="B20" s="7">
        <v>0.58903403281196909</v>
      </c>
      <c r="C20" s="9">
        <f>B20+預測IC!D21</f>
        <v>0.71005230638265948</v>
      </c>
      <c r="D20" s="9">
        <f>C20+預測IC!E21</f>
        <v>0.85909970039549033</v>
      </c>
      <c r="E20" s="9">
        <f>D20+預測IC!F21</f>
        <v>0.80793795807779101</v>
      </c>
      <c r="F20" s="9">
        <f>E20+預測IC!G21</f>
        <v>0.73179480790678075</v>
      </c>
      <c r="G20" s="9">
        <f>F20+預測IC!H21</f>
        <v>0.78384050038360054</v>
      </c>
      <c r="H20" s="9">
        <f>G20+預測IC!I21</f>
        <v>0.76951672457446652</v>
      </c>
      <c r="I20" s="9">
        <f>H20+預測IC!J21</f>
        <v>0.68185857696746588</v>
      </c>
      <c r="J20" s="9">
        <f>I20+預測IC!K21</f>
        <v>0.79185419479791963</v>
      </c>
      <c r="K20" s="9">
        <f>J20+預測IC!L21</f>
        <v>0.78150414822288106</v>
      </c>
      <c r="L20" s="9">
        <f>K20+預測IC!M21</f>
        <v>0.87682353669011293</v>
      </c>
      <c r="M20" s="9">
        <f>L20+預測IC!N21</f>
        <v>0.92873273368708809</v>
      </c>
      <c r="N20" s="9">
        <f>M20+預測IC!O21</f>
        <v>0.78594227447575915</v>
      </c>
      <c r="O20" s="9">
        <f>N20+預測IC!P21</f>
        <v>0.797855734580316</v>
      </c>
      <c r="P20" s="9">
        <f>O20+預測IC!Q21</f>
        <v>0.97085236903903227</v>
      </c>
      <c r="Q20" s="9">
        <f>P20+預測IC!R21</f>
        <v>0.91079742181928702</v>
      </c>
      <c r="R20" s="9">
        <f>Q20+預測IC!S21</f>
        <v>0.91372566931650223</v>
      </c>
      <c r="S20" s="9">
        <f>R20+預測IC!T21</f>
        <v>0.82901142389172433</v>
      </c>
      <c r="T20" s="9">
        <f>S20+預測IC!U21</f>
        <v>0.68892739740039877</v>
      </c>
      <c r="U20" s="9">
        <f>T20+預測IC!V21</f>
        <v>0.74099327218049704</v>
      </c>
      <c r="V20" s="9">
        <f>U20+預測IC!W21</f>
        <v>0.77321722836863227</v>
      </c>
      <c r="W20" s="9">
        <f>V20+預測IC!X21</f>
        <v>0.84567819798941413</v>
      </c>
      <c r="X20" s="9">
        <f>W20+預測IC!Y21</f>
        <v>0.79928549134469884</v>
      </c>
      <c r="Y20" s="9">
        <f>X20+預測IC!Z21</f>
        <v>0.84567145488812867</v>
      </c>
      <c r="Z20" s="9">
        <f>Y20+預測IC!AA21</f>
        <v>0.79829537940143136</v>
      </c>
      <c r="AA20" s="9">
        <f>Z20+預測IC!AB21</f>
        <v>0.74163291366194217</v>
      </c>
      <c r="AB20" s="9">
        <f>AA20+預測IC!AC21</f>
        <v>0.78355054091502352</v>
      </c>
      <c r="AC20" s="9">
        <f>AB20+預測IC!AD21</f>
        <v>0.92702608118841345</v>
      </c>
      <c r="AD20" s="9">
        <f>AC20+預測IC!AE21</f>
        <v>1.0609657678740967</v>
      </c>
      <c r="AE20" s="9">
        <f>AD20+預測IC!AF21</f>
        <v>1.2007261193991123</v>
      </c>
      <c r="AF20" s="9">
        <f>AE20+預測IC!AG21</f>
        <v>1.2589961575513657</v>
      </c>
      <c r="AG20" s="9">
        <f>AF20+預測IC!AH21</f>
        <v>1.3695801379798216</v>
      </c>
      <c r="AH20" s="9">
        <f>AG20+預測IC!AI21</f>
        <v>1.3952788865294881</v>
      </c>
      <c r="AI20" s="9">
        <f>AH20+預測IC!AJ21</f>
        <v>1.2699380565907503</v>
      </c>
      <c r="AJ20" s="9">
        <f>AI20+預測IC!AK21</f>
        <v>1.2916508942638587</v>
      </c>
      <c r="AK20" s="9">
        <f>AJ20+預測IC!AL21</f>
        <v>1.3140901099154139</v>
      </c>
      <c r="AL20" s="9">
        <f>AK20+預測IC!AM21</f>
        <v>1.3424344737789584</v>
      </c>
      <c r="AM20" s="9">
        <f>AL20+預測IC!AN21</f>
        <v>1.5163666668570108</v>
      </c>
      <c r="AN20" s="9">
        <f>AM20+預測IC!AO21</f>
        <v>1.5916227463091679</v>
      </c>
      <c r="AO20" s="9">
        <f>AN20+預測IC!AP21</f>
        <v>1.7071502624789112</v>
      </c>
      <c r="AP20" s="9">
        <f>AO20+預測IC!AQ21</f>
        <v>1.6668451330970133</v>
      </c>
      <c r="AQ20" s="9">
        <f>AP20+預測IC!AR21</f>
        <v>1.6427808984133754</v>
      </c>
      <c r="AR20" s="9">
        <f>AQ20+預測IC!AS21</f>
        <v>1.5599707460406551</v>
      </c>
      <c r="AS20" s="9">
        <f>AR20+預測IC!AT21</f>
        <v>1.6455246882015955</v>
      </c>
      <c r="AT20" s="9">
        <f>AS20+預測IC!AU21</f>
        <v>1.8437736705459338</v>
      </c>
      <c r="AU20" s="9">
        <f>AT20+預測IC!AV21</f>
        <v>1.8940274776494961</v>
      </c>
      <c r="AV20" s="9">
        <f>AU20+預測IC!AW21</f>
        <v>1.8341705593147339</v>
      </c>
      <c r="AW20" s="9">
        <f>AV20+預測IC!AX21</f>
        <v>1.5949678095931121</v>
      </c>
      <c r="AX20" s="9">
        <f>AW20+預測IC!AY21</f>
        <v>1.3996469586300297</v>
      </c>
      <c r="AY20" s="9">
        <f>AX20+預測IC!AZ21</f>
        <v>1.3258267884944321</v>
      </c>
      <c r="AZ20" s="9">
        <f>AY20+預測IC!BA21</f>
        <v>1.3463209957737168</v>
      </c>
      <c r="BA20" s="9">
        <f>AZ20+預測IC!BB21</f>
        <v>1.2683882976349798</v>
      </c>
      <c r="BB20" s="9">
        <f>BA20+預測IC!BC21</f>
        <v>1.1927931737405679</v>
      </c>
      <c r="BC20" s="9">
        <f>BB20+預測IC!BD21</f>
        <v>1.1990403209549527</v>
      </c>
      <c r="BD20" s="9">
        <f>BC20+預測IC!BE21</f>
        <v>1.1460164590496822</v>
      </c>
      <c r="BE20" s="9">
        <f>BD20+預測IC!BF21</f>
        <v>1.1136711143443978</v>
      </c>
      <c r="BF20" s="9">
        <f>BE20+預測IC!BG21</f>
        <v>1.3752799205247732</v>
      </c>
      <c r="BG20" s="9">
        <f>BF20+預測IC!BH21</f>
        <v>1.4571416919124391</v>
      </c>
      <c r="BH20" s="9">
        <f>BG20+預測IC!BI21</f>
        <v>1.4629083414395883</v>
      </c>
      <c r="BI20" s="9">
        <f>BH20+預測IC!BJ21</f>
        <v>1.6454594330354673</v>
      </c>
      <c r="BJ20" s="9">
        <f>BI20+預測IC!BK21</f>
        <v>1.5942588247867628</v>
      </c>
      <c r="BK20" s="9">
        <f>BJ20+預測IC!BL21</f>
        <v>1.676840471452774</v>
      </c>
      <c r="BL20" s="9">
        <f>BK20+預測IC!BM21</f>
        <v>1.6912882176871511</v>
      </c>
      <c r="BM20" s="9">
        <f>BL20+預測IC!BN21</f>
        <v>1.7129438712422258</v>
      </c>
      <c r="BN20" s="9">
        <f>BM20+預測IC!BO21</f>
        <v>1.7593629551552599</v>
      </c>
      <c r="BO20" s="9">
        <f>BN20+預測IC!BP21</f>
        <v>1.6000202737035276</v>
      </c>
      <c r="BP20" s="9">
        <f>BO20+預測IC!BQ21</f>
        <v>1.5195795782102304</v>
      </c>
      <c r="BQ20" s="9">
        <f>BP20+預測IC!BR21</f>
        <v>1.3513491890457834</v>
      </c>
      <c r="BR20" s="9">
        <f>BQ20+預測IC!BS21</f>
        <v>1.3210843825909555</v>
      </c>
      <c r="BS20" s="9">
        <f>BR20+預測IC!BT21</f>
        <v>1.4571178360120645</v>
      </c>
      <c r="BT20" s="9">
        <f>BS20+預測IC!BU21</f>
        <v>1.4055084142431695</v>
      </c>
      <c r="BU20" s="9">
        <f>BT20+預測IC!BV21</f>
        <v>1.4779852494358205</v>
      </c>
      <c r="BV20" s="9">
        <f>BU20+預測IC!BW21</f>
        <v>1.4858294467980624</v>
      </c>
      <c r="BW20" s="9">
        <f>BV20+預測IC!BX21</f>
        <v>1.4301083628136206</v>
      </c>
      <c r="BX20" s="9">
        <f>BW20+預測IC!BY21</f>
        <v>1.3317453018472292</v>
      </c>
      <c r="BY20" s="9">
        <f>BX20+預測IC!BZ21</f>
        <v>1.1318284154748914</v>
      </c>
      <c r="BZ20" s="9">
        <f>BY20+預測IC!CA21</f>
        <v>1.1695820945745843</v>
      </c>
      <c r="CA20" s="9">
        <f>BZ20+預測IC!CB21</f>
        <v>1.3733723847518162</v>
      </c>
      <c r="CB20" s="9">
        <f>CA20+預測IC!CC21</f>
        <v>1.1851852436994574</v>
      </c>
      <c r="CC20" s="9">
        <f>CB20+預測IC!CD21</f>
        <v>1.1111375976019939</v>
      </c>
      <c r="CD20" s="9">
        <f>CC20+預測IC!CE21</f>
        <v>1.053846693208321</v>
      </c>
      <c r="CE20" s="9">
        <f>CD20+預測IC!CF21</f>
        <v>1.1599853794972712</v>
      </c>
      <c r="CF20" s="9">
        <f>CE20+預測IC!CG21</f>
        <v>1.205705127278091</v>
      </c>
      <c r="CG20" s="9">
        <f>CF20+預測IC!CH21</f>
        <v>1.073274483794741</v>
      </c>
      <c r="CH20" s="9">
        <f>CG20+預測IC!CI21</f>
        <v>0.90044073346554954</v>
      </c>
      <c r="CI20" s="9">
        <f>CH20+預測IC!CJ21</f>
        <v>0.86892156338084714</v>
      </c>
      <c r="CJ20" s="9">
        <f>CI20+預測IC!CK21</f>
        <v>0.79045324176714493</v>
      </c>
      <c r="CK20" s="9">
        <f>CJ20+預測IC!CL21</f>
        <v>0.74445852269834178</v>
      </c>
      <c r="CL20" s="9">
        <f>CK20+預測IC!CM21</f>
        <v>0.77454331567996726</v>
      </c>
      <c r="CM20" s="9">
        <f>CL20+預測IC!CN21</f>
        <v>0.7477833603265841</v>
      </c>
      <c r="CN20" s="9">
        <f>CM20+預測IC!CO21</f>
        <v>0.59573550630971339</v>
      </c>
      <c r="CO20" s="9">
        <f>CN20+預測IC!CP21</f>
        <v>0.55951214372796654</v>
      </c>
      <c r="CP20" s="9">
        <f>CO20+預測IC!CQ21</f>
        <v>0.88028812205890539</v>
      </c>
      <c r="CQ20" s="9">
        <f>CP20+預測IC!CR21</f>
        <v>0.86543517009694515</v>
      </c>
      <c r="CR20" s="9">
        <f>CQ20+預測IC!CS21</f>
        <v>0.86163459902481188</v>
      </c>
      <c r="CS20" s="9">
        <f>CR20+預測IC!CT21</f>
        <v>0.81114584048537286</v>
      </c>
      <c r="CT20" s="9">
        <f>CS20+預測IC!CU21</f>
        <v>0.83887436944870919</v>
      </c>
      <c r="CU20" s="9">
        <f>CT20+預測IC!CV21</f>
        <v>0.8551861226272196</v>
      </c>
      <c r="CV20" s="9">
        <f>CU20+預測IC!CW21</f>
        <v>0.79986870509727737</v>
      </c>
      <c r="CW20" s="9">
        <f>CV20+預測IC!CX21</f>
        <v>0.86613227675732096</v>
      </c>
      <c r="CX20" s="9">
        <f>CW20+預測IC!CY21</f>
        <v>0.76267607380981861</v>
      </c>
      <c r="CY20" s="9">
        <f>CX20+預測IC!CZ21</f>
        <v>0.87787265897828581</v>
      </c>
      <c r="CZ20" s="9">
        <f>CY20+預測IC!DA21</f>
        <v>0.94534436911515463</v>
      </c>
      <c r="DA20" s="9">
        <f>CZ20+預測IC!DB21</f>
        <v>0.90307601101970802</v>
      </c>
      <c r="DB20" s="9">
        <f>DA20+預測IC!DC21</f>
        <v>0.88573052108738759</v>
      </c>
      <c r="DC20" s="9">
        <f>DB20+預測IC!DD21</f>
        <v>0.92404701727164029</v>
      </c>
      <c r="DD20" s="9">
        <f>DC20+預測IC!DE21</f>
        <v>0.89059473388021471</v>
      </c>
      <c r="DE20" s="9">
        <f>DD20+預測IC!DF21</f>
        <v>0.912143232867347</v>
      </c>
      <c r="DF20" s="9">
        <f>DE20+預測IC!DG21</f>
        <v>0.95256576031506923</v>
      </c>
      <c r="DG20" s="9">
        <f>DF20+預測IC!DH21</f>
        <v>0.95926474064248823</v>
      </c>
      <c r="DH20" s="9">
        <f>DG20+預測IC!DI21</f>
        <v>0.88985580944602694</v>
      </c>
      <c r="DI20" s="9">
        <f>DH20+預測IC!DJ21</f>
        <v>0.85107843778197922</v>
      </c>
      <c r="DJ20" s="9">
        <f>DI20+預測IC!DK21</f>
        <v>0.81947656597122409</v>
      </c>
      <c r="DK20" s="9">
        <f>DJ20+預測IC!DL21</f>
        <v>0.85725436017129653</v>
      </c>
      <c r="DL20" s="9">
        <f>DK20+預測IC!DM21</f>
        <v>0.79161894715840375</v>
      </c>
      <c r="DM20" s="9">
        <f>DL20+預測IC!DN21</f>
        <v>0.82917343589418568</v>
      </c>
      <c r="DN20" s="9">
        <f>DM20+預測IC!DO21</f>
        <v>0.88608412665304315</v>
      </c>
      <c r="DO20" s="9">
        <f>DN20+預測IC!DP21</f>
        <v>1.0071203485770388</v>
      </c>
      <c r="DP20" s="9">
        <f>DO20+預測IC!DQ21</f>
        <v>0.90812559597895959</v>
      </c>
      <c r="DQ20" s="9">
        <f>DP20+預測IC!DR21</f>
        <v>0.89707120207947</v>
      </c>
      <c r="DR20" s="9">
        <f>DQ20+預測IC!DS21</f>
        <v>0.8624232755403769</v>
      </c>
      <c r="DS20" s="9">
        <f>DR20+預測IC!DT21</f>
        <v>0.74479884495739557</v>
      </c>
      <c r="DT20" s="9">
        <f>DS20+預測IC!DU21</f>
        <v>0.69576090461208118</v>
      </c>
      <c r="DU20" s="9">
        <f>DT20+預測IC!DV21</f>
        <v>0.70376160154427148</v>
      </c>
      <c r="DV20" s="9">
        <f>DU20+預測IC!DW21</f>
        <v>0.80866969405565869</v>
      </c>
      <c r="DW20" s="9">
        <f>DV20+預測IC!DX21</f>
        <v>0.88506960438410942</v>
      </c>
      <c r="DX20" s="9">
        <f>DW20+預測IC!DY21</f>
        <v>0.89716416921939279</v>
      </c>
      <c r="DY20" s="9">
        <f>DX20+預測IC!DZ21</f>
        <v>0.90870147866204898</v>
      </c>
      <c r="DZ20" s="9">
        <f>DY20+預測IC!EA21</f>
        <v>0.96929743664096557</v>
      </c>
      <c r="EA20" s="9">
        <f>DZ20+預測IC!EB21</f>
        <v>1.0962294254242591</v>
      </c>
      <c r="EB20" s="9">
        <f>EA20+預測IC!EC21</f>
        <v>1.2108648601405563</v>
      </c>
      <c r="EC20" s="9">
        <f>EB20+預測IC!ED21</f>
        <v>1.1661189872679798</v>
      </c>
      <c r="ED20" s="9">
        <f>EC20+預測IC!EE21</f>
        <v>1.2511956226435992</v>
      </c>
      <c r="EE20" s="9">
        <f>ED20+預測IC!EF21</f>
        <v>1.3441244388659443</v>
      </c>
    </row>
    <row r="21" spans="1:136" ht="16" customHeight="1">
      <c r="A21" s="6" t="s">
        <v>160</v>
      </c>
      <c r="B21" s="7">
        <v>0.48688322582293853</v>
      </c>
      <c r="C21" s="9">
        <f>B21+預測IC!D22</f>
        <v>0.63442470275613216</v>
      </c>
      <c r="D21" s="9">
        <f>C21+預測IC!E22</f>
        <v>0.79248389531755103</v>
      </c>
      <c r="E21" s="9">
        <f>D21+預測IC!F22</f>
        <v>0.72346462515875753</v>
      </c>
      <c r="F21" s="9">
        <f>E21+預測IC!G22</f>
        <v>0.64601360414268671</v>
      </c>
      <c r="G21" s="9">
        <f>F21+預測IC!H22</f>
        <v>0.63884275006290836</v>
      </c>
      <c r="H21" s="9">
        <f>G21+預測IC!I22</f>
        <v>0.60517042980886371</v>
      </c>
      <c r="I21" s="9">
        <f>H21+預測IC!J22</f>
        <v>0.53374308956134753</v>
      </c>
      <c r="J21" s="9">
        <f>I21+預測IC!K22</f>
        <v>0.66388561641618438</v>
      </c>
      <c r="K21" s="9">
        <f>J21+預測IC!L22</f>
        <v>0.60291077192781062</v>
      </c>
      <c r="L21" s="9">
        <f>K21+預測IC!M22</f>
        <v>0.61339281381570943</v>
      </c>
      <c r="M21" s="9">
        <f>L21+預測IC!N22</f>
        <v>0.71467139336273466</v>
      </c>
      <c r="N21" s="9">
        <f>M21+預測IC!O22</f>
        <v>0.58457780187242947</v>
      </c>
      <c r="O21" s="9">
        <f>N21+預測IC!P22</f>
        <v>0.61438978532959287</v>
      </c>
      <c r="P21" s="9">
        <f>O21+預測IC!Q22</f>
        <v>0.78795554244531263</v>
      </c>
      <c r="Q21" s="9">
        <f>P21+預測IC!R22</f>
        <v>0.7266994749640262</v>
      </c>
      <c r="R21" s="9">
        <f>Q21+預測IC!S22</f>
        <v>0.72167249819409696</v>
      </c>
      <c r="S21" s="9">
        <f>R21+預測IC!T22</f>
        <v>0.64893164944658499</v>
      </c>
      <c r="T21" s="9">
        <f>S21+預測IC!U22</f>
        <v>0.48244942615089703</v>
      </c>
      <c r="U21" s="9">
        <f>T21+預測IC!V22</f>
        <v>0.53709829437465006</v>
      </c>
      <c r="V21" s="9">
        <f>U21+預測IC!W22</f>
        <v>0.58816308580593257</v>
      </c>
      <c r="W21" s="9">
        <f>V21+預測IC!X22</f>
        <v>0.69517695817003355</v>
      </c>
      <c r="X21" s="9">
        <f>W21+預測IC!Y22</f>
        <v>0.61294693289115976</v>
      </c>
      <c r="Y21" s="9">
        <f>X21+預測IC!Z22</f>
        <v>0.65585772472939574</v>
      </c>
      <c r="Z21" s="9">
        <f>Y21+預測IC!AA22</f>
        <v>0.60017455060230329</v>
      </c>
      <c r="AA21" s="9">
        <f>Z21+預測IC!AB22</f>
        <v>0.54280226462201475</v>
      </c>
      <c r="AB21" s="9">
        <f>AA21+預測IC!AC22</f>
        <v>0.60889617031224275</v>
      </c>
      <c r="AC21" s="9">
        <f>AB21+預測IC!AD22</f>
        <v>0.79603676551944968</v>
      </c>
      <c r="AD21" s="9">
        <f>AC21+預測IC!AE22</f>
        <v>0.95015138960261303</v>
      </c>
      <c r="AE21" s="9">
        <f>AD21+預測IC!AF22</f>
        <v>1.0510055479992562</v>
      </c>
      <c r="AF21" s="9">
        <f>AE21+預測IC!AG22</f>
        <v>1.1070550172035869</v>
      </c>
      <c r="AG21" s="9">
        <f>AF21+預測IC!AH22</f>
        <v>1.2870063125063518</v>
      </c>
      <c r="AH21" s="9">
        <f>AG21+預測IC!AI22</f>
        <v>1.3336840892735411</v>
      </c>
      <c r="AI21" s="9">
        <f>AH21+預測IC!AJ22</f>
        <v>1.1841806648981126</v>
      </c>
      <c r="AJ21" s="9">
        <f>AI21+預測IC!AK22</f>
        <v>1.2130737301148991</v>
      </c>
      <c r="AK21" s="9">
        <f>AJ21+預測IC!AL22</f>
        <v>1.2342591041114481</v>
      </c>
      <c r="AL21" s="9">
        <f>AK21+預測IC!AM22</f>
        <v>1.2819553050678849</v>
      </c>
      <c r="AM21" s="9">
        <f>AL21+預測IC!AN22</f>
        <v>1.4737393415500082</v>
      </c>
      <c r="AN21" s="9">
        <f>AM21+預測IC!AO22</f>
        <v>1.5863121074118602</v>
      </c>
      <c r="AO21" s="9">
        <f>AN21+預測IC!AP22</f>
        <v>1.7205670203425611</v>
      </c>
      <c r="AP21" s="9">
        <f>AO21+預測IC!AQ22</f>
        <v>1.630482769106385</v>
      </c>
      <c r="AQ21" s="9">
        <f>AP21+預測IC!AR22</f>
        <v>1.5770156704831666</v>
      </c>
      <c r="AR21" s="9">
        <f>AQ21+預測IC!AS22</f>
        <v>1.4798690500231355</v>
      </c>
      <c r="AS21" s="9">
        <f>AR21+預測IC!AT22</f>
        <v>1.5738658735900113</v>
      </c>
      <c r="AT21" s="9">
        <f>AS21+預測IC!AU22</f>
        <v>1.8118875627240778</v>
      </c>
      <c r="AU21" s="9">
        <f>AT21+預測IC!AV22</f>
        <v>1.8951386807411901</v>
      </c>
      <c r="AV21" s="9">
        <f>AU21+預測IC!AW22</f>
        <v>1.8180826895904225</v>
      </c>
      <c r="AW21" s="9">
        <f>AV21+預測IC!AX22</f>
        <v>1.7314313968528363</v>
      </c>
      <c r="AX21" s="9">
        <f>AW21+預測IC!AY22</f>
        <v>1.5060387706431702</v>
      </c>
      <c r="AY21" s="9">
        <f>AX21+預測IC!AZ22</f>
        <v>1.4646178162868089</v>
      </c>
      <c r="AZ21" s="9">
        <f>AY21+預測IC!BA22</f>
        <v>1.5119146658648572</v>
      </c>
      <c r="BA21" s="9">
        <f>AZ21+預測IC!BB22</f>
        <v>1.4603417988003604</v>
      </c>
      <c r="BB21" s="9">
        <f>BA21+預測IC!BC22</f>
        <v>1.2950923419952747</v>
      </c>
      <c r="BC21" s="9">
        <f>BB21+預測IC!BD22</f>
        <v>1.2969362878340822</v>
      </c>
      <c r="BD21" s="9">
        <f>BC21+預測IC!BE22</f>
        <v>1.2300497452537515</v>
      </c>
      <c r="BE21" s="9">
        <f>BD21+預測IC!BF22</f>
        <v>1.2177144778893758</v>
      </c>
      <c r="BF21" s="9">
        <f>BE21+預測IC!BG22</f>
        <v>1.498949813289848</v>
      </c>
      <c r="BG21" s="9">
        <f>BF21+預測IC!BH22</f>
        <v>1.5333956906892849</v>
      </c>
      <c r="BH21" s="9">
        <f>BG21+預測IC!BI22</f>
        <v>1.5087330355820019</v>
      </c>
      <c r="BI21" s="9">
        <f>BH21+預測IC!BJ22</f>
        <v>1.6598483484617561</v>
      </c>
      <c r="BJ21" s="9">
        <f>BI21+預測IC!BK22</f>
        <v>1.5759247247265908</v>
      </c>
      <c r="BK21" s="9">
        <f>BJ21+預測IC!BL22</f>
        <v>1.6500410737308022</v>
      </c>
      <c r="BL21" s="9">
        <f>BK21+預測IC!BM22</f>
        <v>1.6765499366206966</v>
      </c>
      <c r="BM21" s="9">
        <f>BL21+預測IC!BN22</f>
        <v>1.7123310365829423</v>
      </c>
      <c r="BN21" s="9">
        <f>BM21+預測IC!BO22</f>
        <v>1.8689510864013106</v>
      </c>
      <c r="BO21" s="9">
        <f>BN21+預測IC!BP22</f>
        <v>1.6953807028932051</v>
      </c>
      <c r="BP21" s="9">
        <f>BO21+預測IC!BQ22</f>
        <v>1.6046408201877986</v>
      </c>
      <c r="BQ21" s="9">
        <f>BP21+預測IC!BR22</f>
        <v>1.3821260010736232</v>
      </c>
      <c r="BR21" s="9">
        <f>BQ21+預測IC!BS22</f>
        <v>1.3437522472038799</v>
      </c>
      <c r="BS21" s="9">
        <f>BR21+預測IC!BT22</f>
        <v>1.4973966089419224</v>
      </c>
      <c r="BT21" s="9">
        <f>BS21+預測IC!BU22</f>
        <v>1.484758438499187</v>
      </c>
      <c r="BU21" s="9">
        <f>BT21+預測IC!BV22</f>
        <v>1.5712247181467089</v>
      </c>
      <c r="BV21" s="9">
        <f>BU21+預測IC!BW22</f>
        <v>1.5507830823781823</v>
      </c>
      <c r="BW21" s="9">
        <f>BV21+預測IC!BX22</f>
        <v>1.5186798684205707</v>
      </c>
      <c r="BX21" s="9">
        <f>BW21+預測IC!BY22</f>
        <v>1.5314431223627472</v>
      </c>
      <c r="BY21" s="9">
        <f>BX21+預測IC!BZ22</f>
        <v>1.4133144117283376</v>
      </c>
      <c r="BZ21" s="9">
        <f>BY21+預測IC!CA22</f>
        <v>1.5269640614356605</v>
      </c>
      <c r="CA21" s="9">
        <f>BZ21+預測IC!CB22</f>
        <v>1.7705934937120555</v>
      </c>
      <c r="CB21" s="9">
        <f>CA21+預測IC!CC22</f>
        <v>1.5605024468184148</v>
      </c>
      <c r="CC21" s="9">
        <f>CB21+預測IC!CD22</f>
        <v>1.5187226044906144</v>
      </c>
      <c r="CD21" s="9">
        <f>CC21+預測IC!CE22</f>
        <v>1.4451013059582301</v>
      </c>
      <c r="CE21" s="9">
        <f>CD21+預測IC!CF22</f>
        <v>1.5607785411916704</v>
      </c>
      <c r="CF21" s="9">
        <f>CE21+預測IC!CG22</f>
        <v>1.6356328925906429</v>
      </c>
      <c r="CG21" s="9">
        <f>CF21+預測IC!CH22</f>
        <v>1.4459046838982259</v>
      </c>
      <c r="CH21" s="9">
        <f>CG21+預測IC!CI22</f>
        <v>1.2648265512566976</v>
      </c>
      <c r="CI21" s="9">
        <f>CH21+預測IC!CJ22</f>
        <v>1.2425146999192349</v>
      </c>
      <c r="CJ21" s="9">
        <f>CI21+預測IC!CK22</f>
        <v>1.1774287499405518</v>
      </c>
      <c r="CK21" s="9">
        <f>CJ21+預測IC!CL22</f>
        <v>1.0835687448123503</v>
      </c>
      <c r="CL21" s="9">
        <f>CK21+預測IC!CM22</f>
        <v>1.1181260871715188</v>
      </c>
      <c r="CM21" s="9">
        <f>CL21+預測IC!CN22</f>
        <v>1.1162489791209136</v>
      </c>
      <c r="CN21" s="9">
        <f>CM21+預測IC!CO22</f>
        <v>0.96474564150813835</v>
      </c>
      <c r="CO21" s="9">
        <f>CN21+預測IC!CP22</f>
        <v>0.91256982497104</v>
      </c>
      <c r="CP21" s="9">
        <f>CO21+預測IC!CQ22</f>
        <v>1.3251170180208964</v>
      </c>
      <c r="CQ21" s="9">
        <f>CP21+預測IC!CR22</f>
        <v>1.2987691884633537</v>
      </c>
      <c r="CR21" s="9">
        <f>CQ21+預測IC!CS22</f>
        <v>1.1680137036596521</v>
      </c>
      <c r="CS21" s="9">
        <f>CR21+預測IC!CT22</f>
        <v>1.1131750668370994</v>
      </c>
      <c r="CT21" s="9">
        <f>CS21+預測IC!CU22</f>
        <v>1.1291423011134407</v>
      </c>
      <c r="CU21" s="9">
        <f>CT21+預測IC!CV22</f>
        <v>1.1646301201174349</v>
      </c>
      <c r="CV21" s="9">
        <f>CU21+預測IC!CW22</f>
        <v>1.1135165035416814</v>
      </c>
      <c r="CW21" s="9">
        <f>CV21+預測IC!CX22</f>
        <v>1.2241327003613038</v>
      </c>
      <c r="CX21" s="9">
        <f>CW21+預測IC!CY22</f>
        <v>1.1346333239326289</v>
      </c>
      <c r="CY21" s="9">
        <f>CX21+預測IC!CZ22</f>
        <v>1.2794693759696916</v>
      </c>
      <c r="CZ21" s="9">
        <f>CY21+預測IC!DA22</f>
        <v>1.3198682104606003</v>
      </c>
      <c r="DA21" s="9">
        <f>CZ21+預測IC!DB22</f>
        <v>1.256150665141877</v>
      </c>
      <c r="DB21" s="9">
        <f>DA21+預測IC!DC22</f>
        <v>1.2450696467213727</v>
      </c>
      <c r="DC21" s="9">
        <f>DB21+預測IC!DD22</f>
        <v>1.2968159336812821</v>
      </c>
      <c r="DD21" s="9">
        <f>DC21+預測IC!DE22</f>
        <v>1.2259714446337451</v>
      </c>
      <c r="DE21" s="9">
        <f>DD21+預測IC!DF22</f>
        <v>1.2414522952066334</v>
      </c>
      <c r="DF21" s="9">
        <f>DE21+預測IC!DG22</f>
        <v>1.2925215993223209</v>
      </c>
      <c r="DG21" s="9">
        <f>DF21+預測IC!DH22</f>
        <v>1.2986421466936706</v>
      </c>
      <c r="DH21" s="9">
        <f>DG21+預測IC!DI22</f>
        <v>1.1977918281320159</v>
      </c>
      <c r="DI21" s="9">
        <f>DH21+預測IC!DJ22</f>
        <v>1.1798275494737609</v>
      </c>
      <c r="DJ21" s="9">
        <f>DI21+預測IC!DK22</f>
        <v>1.2193381291377643</v>
      </c>
      <c r="DK21" s="9">
        <f>DJ21+預測IC!DL22</f>
        <v>1.2456857093256319</v>
      </c>
      <c r="DL21" s="9">
        <f>DK21+預測IC!DM22</f>
        <v>1.1932551443056909</v>
      </c>
      <c r="DM21" s="9">
        <f>DL21+預測IC!DN22</f>
        <v>1.2750161147167605</v>
      </c>
      <c r="DN21" s="9">
        <f>DM21+預測IC!DO22</f>
        <v>1.3023542659148044</v>
      </c>
      <c r="DO21" s="9">
        <f>DN21+預測IC!DP22</f>
        <v>1.4128174107247526</v>
      </c>
      <c r="DP21" s="9">
        <f>DO21+預測IC!DQ22</f>
        <v>1.3182770783984874</v>
      </c>
      <c r="DQ21" s="9">
        <f>DP21+預測IC!DR22</f>
        <v>1.3247342108468003</v>
      </c>
      <c r="DR21" s="9">
        <f>DQ21+預測IC!DS22</f>
        <v>1.2625869379500432</v>
      </c>
      <c r="DS21" s="9">
        <f>DR21+預測IC!DT22</f>
        <v>1.1404505560962654</v>
      </c>
      <c r="DT21" s="9">
        <f>DS21+預測IC!DU22</f>
        <v>1.1360548123048952</v>
      </c>
      <c r="DU21" s="9">
        <f>DT21+預測IC!DV22</f>
        <v>1.1482034537790096</v>
      </c>
      <c r="DV21" s="9">
        <f>DU21+預測IC!DW22</f>
        <v>1.2064946890339032</v>
      </c>
      <c r="DW21" s="9">
        <f>DV21+預測IC!DX22</f>
        <v>1.2207799090953431</v>
      </c>
      <c r="DX21" s="9">
        <f>DW21+預測IC!DY22</f>
        <v>1.270159706980698</v>
      </c>
      <c r="DY21" s="9">
        <f>DX21+預測IC!DZ22</f>
        <v>1.2796606966281785</v>
      </c>
      <c r="DZ21" s="9">
        <f>DY21+預測IC!EA22</f>
        <v>1.3617720493064287</v>
      </c>
      <c r="EA21" s="9">
        <f>DZ21+預測IC!EB22</f>
        <v>1.5423206262906779</v>
      </c>
      <c r="EB21" s="9">
        <f>EA21+預測IC!EC22</f>
        <v>1.6408633964501169</v>
      </c>
      <c r="EC21" s="9">
        <f>EB21+預測IC!ED22</f>
        <v>1.5706634612041488</v>
      </c>
      <c r="ED21" s="9">
        <f>EC21+預測IC!EE22</f>
        <v>1.6594825100535475</v>
      </c>
      <c r="EE21" s="9">
        <f>ED21+預測IC!EF22</f>
        <v>1.7305863123968763</v>
      </c>
    </row>
    <row r="22" spans="1:136" ht="16" customHeight="1">
      <c r="A22" s="6" t="s">
        <v>161</v>
      </c>
      <c r="B22" s="7">
        <v>0.49455411274555888</v>
      </c>
      <c r="C22" s="9">
        <f>B22+預測IC!D23</f>
        <v>0.7500442771182616</v>
      </c>
      <c r="D22" s="9">
        <f>C22+預測IC!E23</f>
        <v>0.90838504906188255</v>
      </c>
      <c r="E22" s="9">
        <f>D22+預測IC!F23</f>
        <v>0.86033676409246207</v>
      </c>
      <c r="F22" s="9">
        <f>E22+預測IC!G23</f>
        <v>0.80487111149575008</v>
      </c>
      <c r="G22" s="9">
        <f>F22+預測IC!H23</f>
        <v>0.76746992691330129</v>
      </c>
      <c r="H22" s="9">
        <f>G22+預測IC!I23</f>
        <v>0.67667075018758216</v>
      </c>
      <c r="I22" s="9">
        <f>H22+預測IC!J23</f>
        <v>0.6353982653992748</v>
      </c>
      <c r="J22" s="9">
        <f>I22+預測IC!K23</f>
        <v>0.76884200264103353</v>
      </c>
      <c r="K22" s="9">
        <f>J22+預測IC!L23</f>
        <v>0.71180160322783004</v>
      </c>
      <c r="L22" s="9">
        <f>K22+預測IC!M23</f>
        <v>0.79615023978971911</v>
      </c>
      <c r="M22" s="9">
        <f>L22+預測IC!N23</f>
        <v>0.91806528671920851</v>
      </c>
      <c r="N22" s="9">
        <f>M22+預測IC!O23</f>
        <v>0.75777980296011305</v>
      </c>
      <c r="O22" s="9">
        <f>N22+預測IC!P23</f>
        <v>0.78825703501507949</v>
      </c>
      <c r="P22" s="9">
        <f>O22+預測IC!Q23</f>
        <v>0.98990990829134451</v>
      </c>
      <c r="Q22" s="9">
        <f>P22+預測IC!R23</f>
        <v>1.0077487628778981</v>
      </c>
      <c r="R22" s="9">
        <f>Q22+預測IC!S23</f>
        <v>0.91682280884695999</v>
      </c>
      <c r="S22" s="9">
        <f>R22+預測IC!T23</f>
        <v>0.8597172967932889</v>
      </c>
      <c r="T22" s="9">
        <f>S22+預測IC!U23</f>
        <v>0.6408769589396951</v>
      </c>
      <c r="U22" s="9">
        <f>T22+預測IC!V23</f>
        <v>0.68905320297305173</v>
      </c>
      <c r="V22" s="9">
        <f>U22+預測IC!W23</f>
        <v>0.66367489622416787</v>
      </c>
      <c r="W22" s="9">
        <f>V22+預測IC!X23</f>
        <v>0.79744223667929404</v>
      </c>
      <c r="X22" s="9">
        <f>W22+預測IC!Y23</f>
        <v>0.71251652180891312</v>
      </c>
      <c r="Y22" s="9">
        <f>X22+預測IC!Z23</f>
        <v>0.7429453750704057</v>
      </c>
      <c r="Z22" s="9">
        <f>Y22+預測IC!AA23</f>
        <v>0.64450077622848845</v>
      </c>
      <c r="AA22" s="9">
        <f>Z22+預測IC!AB23</f>
        <v>0.53977683434379287</v>
      </c>
      <c r="AB22" s="9">
        <f>AA22+預測IC!AC23</f>
        <v>0.54630330411389749</v>
      </c>
      <c r="AC22" s="9">
        <f>AB22+預測IC!AD23</f>
        <v>0.76808845319225094</v>
      </c>
      <c r="AD22" s="9">
        <f>AC22+預測IC!AE23</f>
        <v>0.99292075982778938</v>
      </c>
      <c r="AE22" s="9">
        <f>AD22+預測IC!AF23</f>
        <v>1.1105680757614007</v>
      </c>
      <c r="AF22" s="9">
        <f>AE22+預測IC!AG23</f>
        <v>1.1899227072094538</v>
      </c>
      <c r="AG22" s="9">
        <f>AF22+預測IC!AH23</f>
        <v>1.3995397687433817</v>
      </c>
      <c r="AH22" s="9">
        <f>AG22+預測IC!AI23</f>
        <v>1.4145897213946979</v>
      </c>
      <c r="AI22" s="9">
        <f>AH22+預測IC!AJ23</f>
        <v>1.2601823801727488</v>
      </c>
      <c r="AJ22" s="9">
        <f>AI22+預測IC!AK23</f>
        <v>1.2779584223726614</v>
      </c>
      <c r="AK22" s="9">
        <f>AJ22+預測IC!AL23</f>
        <v>1.3132972484033127</v>
      </c>
      <c r="AL22" s="9">
        <f>AK22+預測IC!AM23</f>
        <v>1.3809220118957148</v>
      </c>
      <c r="AM22" s="9">
        <f>AL22+預測IC!AN23</f>
        <v>1.6827934037726167</v>
      </c>
      <c r="AN22" s="9">
        <f>AM22+預測IC!AO23</f>
        <v>1.8270696605193237</v>
      </c>
      <c r="AO22" s="9">
        <f>AN22+預測IC!AP23</f>
        <v>1.9457964917048651</v>
      </c>
      <c r="AP22" s="9">
        <f>AO22+預測IC!AQ23</f>
        <v>1.8159413364060129</v>
      </c>
      <c r="AQ22" s="9">
        <f>AP22+預測IC!AR23</f>
        <v>1.7646684023570767</v>
      </c>
      <c r="AR22" s="9">
        <f>AQ22+預測IC!AS23</f>
        <v>1.7394462852180639</v>
      </c>
      <c r="AS22" s="9">
        <f>AR22+預測IC!AT23</f>
        <v>1.8278251416114695</v>
      </c>
      <c r="AT22" s="9">
        <f>AS22+預測IC!AU23</f>
        <v>1.9473296245382445</v>
      </c>
      <c r="AU22" s="9">
        <f>AT22+預測IC!AV23</f>
        <v>2.0658309030448669</v>
      </c>
      <c r="AV22" s="9">
        <f>AU22+預測IC!AW23</f>
        <v>1.9707356004761143</v>
      </c>
      <c r="AW22" s="9">
        <f>AV22+預測IC!AX23</f>
        <v>1.9167033538222527</v>
      </c>
      <c r="AX22" s="9">
        <f>AW22+預測IC!AY23</f>
        <v>1.6000273005605701</v>
      </c>
      <c r="AY22" s="9">
        <f>AX22+預測IC!AZ23</f>
        <v>1.4884735513499034</v>
      </c>
      <c r="AZ22" s="9">
        <f>AY22+預測IC!BA23</f>
        <v>1.550749811554575</v>
      </c>
      <c r="BA22" s="9">
        <f>AZ22+預測IC!BB23</f>
        <v>1.4900105267531127</v>
      </c>
      <c r="BB22" s="9">
        <f>BA22+預測IC!BC23</f>
        <v>1.3080405003180131</v>
      </c>
      <c r="BC22" s="9">
        <f>BB22+預測IC!BD23</f>
        <v>1.3245277728201905</v>
      </c>
      <c r="BD22" s="9">
        <f>BC22+預測IC!BE23</f>
        <v>1.2394811715451843</v>
      </c>
      <c r="BE22" s="9">
        <f>BD22+預測IC!BF23</f>
        <v>1.2269724810935863</v>
      </c>
      <c r="BF22" s="9">
        <f>BE22+預測IC!BG23</f>
        <v>1.2625177317664098</v>
      </c>
      <c r="BG22" s="9">
        <f>BF22+預測IC!BH23</f>
        <v>1.2482554435452746</v>
      </c>
      <c r="BH22" s="9">
        <f>BG22+預測IC!BI23</f>
        <v>1.2753105128258702</v>
      </c>
      <c r="BI22" s="9">
        <f>BH22+預測IC!BJ23</f>
        <v>1.4806924421464127</v>
      </c>
      <c r="BJ22" s="9">
        <f>BI22+預測IC!BK23</f>
        <v>1.3915962823967045</v>
      </c>
      <c r="BK22" s="9">
        <f>BJ22+預測IC!BL23</f>
        <v>1.4998815674860995</v>
      </c>
      <c r="BL22" s="9">
        <f>BK22+預測IC!BM23</f>
        <v>1.5985481268502646</v>
      </c>
      <c r="BM22" s="9">
        <f>BL22+預測IC!BN23</f>
        <v>1.6242863211975689</v>
      </c>
      <c r="BN22" s="9">
        <f>BM22+預測IC!BO23</f>
        <v>1.8173960761209762</v>
      </c>
      <c r="BO22" s="9">
        <f>BN22+預測IC!BP23</f>
        <v>1.6010876132712113</v>
      </c>
      <c r="BP22" s="9">
        <f>BO22+預測IC!BQ23</f>
        <v>1.5876495949616292</v>
      </c>
      <c r="BQ22" s="9">
        <f>BP22+預測IC!BR23</f>
        <v>1.3894412128107092</v>
      </c>
      <c r="BR22" s="9">
        <f>BQ22+預測IC!BS23</f>
        <v>1.29607711752181</v>
      </c>
      <c r="BS22" s="9">
        <f>BR22+預測IC!BT23</f>
        <v>1.4494038014342303</v>
      </c>
      <c r="BT22" s="9">
        <f>BS22+預測IC!BU23</f>
        <v>1.4033618618444961</v>
      </c>
      <c r="BU22" s="9">
        <f>BT22+預測IC!BV23</f>
        <v>1.4858597191643728</v>
      </c>
      <c r="BV22" s="9">
        <f>BU22+預測IC!BW23</f>
        <v>1.5158646531223943</v>
      </c>
      <c r="BW22" s="9">
        <f>BV22+預測IC!BX23</f>
        <v>1.4598413237327796</v>
      </c>
      <c r="BX22" s="9">
        <f>BW22+預測IC!BY23</f>
        <v>1.4145907991555005</v>
      </c>
      <c r="BY22" s="9">
        <f>BX22+預測IC!BZ23</f>
        <v>1.3174131353721514</v>
      </c>
      <c r="BZ22" s="9">
        <f>BY22+預測IC!CA23</f>
        <v>1.4823248383164513</v>
      </c>
      <c r="CA22" s="9">
        <f>BZ22+預測IC!CB23</f>
        <v>1.7139565552225837</v>
      </c>
      <c r="CB22" s="9">
        <f>CA22+預測IC!CC23</f>
        <v>1.4523006021834219</v>
      </c>
      <c r="CC22" s="9">
        <f>CB22+預測IC!CD23</f>
        <v>1.4976868862348638</v>
      </c>
      <c r="CD22" s="9">
        <f>CC22+預測IC!CE23</f>
        <v>1.4530851326040657</v>
      </c>
      <c r="CE22" s="9">
        <f>CD22+預測IC!CF23</f>
        <v>1.5995773080713198</v>
      </c>
      <c r="CF22" s="9">
        <f>CE22+預測IC!CG23</f>
        <v>1.7057080367407906</v>
      </c>
      <c r="CG22" s="9">
        <f>CF22+預測IC!CH23</f>
        <v>1.3479348501790966</v>
      </c>
      <c r="CH22" s="9">
        <f>CG22+預測IC!CI23</f>
        <v>1.136498241349893</v>
      </c>
      <c r="CI22" s="9">
        <f>CH22+預測IC!CJ23</f>
        <v>1.1359796293085407</v>
      </c>
      <c r="CJ22" s="9">
        <f>CI22+預測IC!CK23</f>
        <v>1.0213802168431225</v>
      </c>
      <c r="CK22" s="9">
        <f>CJ22+預測IC!CL23</f>
        <v>0.99500729344651684</v>
      </c>
      <c r="CL22" s="9">
        <f>CK22+預測IC!CM23</f>
        <v>1.0892624919668066</v>
      </c>
      <c r="CM22" s="9">
        <f>CL22+預測IC!CN23</f>
        <v>1.0725969123918624</v>
      </c>
      <c r="CN22" s="9">
        <f>CM22+預測IC!CO23</f>
        <v>0.85404668012886953</v>
      </c>
      <c r="CO22" s="9">
        <f>CN22+預測IC!CP23</f>
        <v>0.84943455307047511</v>
      </c>
      <c r="CP22" s="9">
        <f>CO22+預測IC!CQ23</f>
        <v>1.0798754719933175</v>
      </c>
      <c r="CQ22" s="9">
        <f>CP22+預測IC!CR23</f>
        <v>1.0272789933011672</v>
      </c>
      <c r="CR22" s="9">
        <f>CQ22+預測IC!CS23</f>
        <v>0.89672303189865421</v>
      </c>
      <c r="CS22" s="9">
        <f>CR22+預測IC!CT23</f>
        <v>0.84289615814113084</v>
      </c>
      <c r="CT22" s="9">
        <f>CS22+預測IC!CU23</f>
        <v>0.81939523334587916</v>
      </c>
      <c r="CU22" s="9">
        <f>CT22+預測IC!CV23</f>
        <v>0.88253550492592936</v>
      </c>
      <c r="CV22" s="9">
        <f>CU22+預測IC!CW23</f>
        <v>0.84789965984972659</v>
      </c>
      <c r="CW22" s="9">
        <f>CV22+預測IC!CX23</f>
        <v>0.98141071246334222</v>
      </c>
      <c r="CX22" s="9">
        <f>CW22+預測IC!CY23</f>
        <v>0.94314647694488385</v>
      </c>
      <c r="CY22" s="9">
        <f>CX22+預測IC!CZ23</f>
        <v>1.1698235555884597</v>
      </c>
      <c r="CZ22" s="9">
        <f>CY22+預測IC!DA23</f>
        <v>1.1555461347116047</v>
      </c>
      <c r="DA22" s="9">
        <f>CZ22+預測IC!DB23</f>
        <v>1.0804497942836333</v>
      </c>
      <c r="DB22" s="9">
        <f>DA22+預測IC!DC23</f>
        <v>0.95318863928750319</v>
      </c>
      <c r="DC22" s="9">
        <f>DB22+預測IC!DD23</f>
        <v>0.99560476436363632</v>
      </c>
      <c r="DD22" s="9">
        <f>DC22+預測IC!DE23</f>
        <v>0.91154604392235739</v>
      </c>
      <c r="DE22" s="9">
        <f>DD22+預測IC!DF23</f>
        <v>0.91156848464359785</v>
      </c>
      <c r="DF22" s="9">
        <f>DE22+預測IC!DG23</f>
        <v>0.9043928333425022</v>
      </c>
      <c r="DG22" s="9">
        <f>DF22+預測IC!DH23</f>
        <v>0.87857329309175503</v>
      </c>
      <c r="DH22" s="9">
        <f>DG22+預測IC!DI23</f>
        <v>0.75721673875656048</v>
      </c>
      <c r="DI22" s="9">
        <f>DH22+預測IC!DJ23</f>
        <v>0.70923214933254874</v>
      </c>
      <c r="DJ22" s="9">
        <f>DI22+預測IC!DK23</f>
        <v>0.67300543058113926</v>
      </c>
      <c r="DK22" s="9">
        <f>DJ22+預測IC!DL23</f>
        <v>0.6630711252709186</v>
      </c>
      <c r="DL22" s="9">
        <f>DK22+預測IC!DM23</f>
        <v>0.58486519495852651</v>
      </c>
      <c r="DM22" s="9">
        <f>DL22+預測IC!DN23</f>
        <v>0.64654868109552954</v>
      </c>
      <c r="DN22" s="9">
        <f>DM22+預測IC!DO23</f>
        <v>0.66083871358043589</v>
      </c>
      <c r="DO22" s="9">
        <f>DN22+預測IC!DP23</f>
        <v>0.81632517424314022</v>
      </c>
      <c r="DP22" s="9">
        <f>DO22+預測IC!DQ23</f>
        <v>0.77863739115695751</v>
      </c>
      <c r="DQ22" s="9">
        <f>DP22+預測IC!DR23</f>
        <v>0.79015434159599773</v>
      </c>
      <c r="DR22" s="9">
        <f>DQ22+預測IC!DS23</f>
        <v>0.7763507345139693</v>
      </c>
      <c r="DS22" s="9">
        <f>DR22+預測IC!DT23</f>
        <v>0.62193908825457833</v>
      </c>
      <c r="DT22" s="9">
        <f>DS22+預測IC!DU23</f>
        <v>0.65036527156064905</v>
      </c>
      <c r="DU22" s="9">
        <f>DT22+預測IC!DV23</f>
        <v>0.60672196139590839</v>
      </c>
      <c r="DV22" s="9">
        <f>DU22+預測IC!DW23</f>
        <v>0.64988451928890678</v>
      </c>
      <c r="DW22" s="9">
        <f>DV22+預測IC!DX23</f>
        <v>0.68037219632639889</v>
      </c>
      <c r="DX22" s="9">
        <f>DW22+預測IC!DY23</f>
        <v>0.59033478548890639</v>
      </c>
      <c r="DY22" s="9">
        <f>DX22+預測IC!DZ23</f>
        <v>0.59566941941028939</v>
      </c>
      <c r="DZ22" s="9">
        <f>DY22+預測IC!EA23</f>
        <v>0.64961126540514258</v>
      </c>
      <c r="EA22" s="9">
        <f>DZ22+預測IC!EB23</f>
        <v>0.92503860205354416</v>
      </c>
      <c r="EB22" s="9">
        <f>EA22+預測IC!EC23</f>
        <v>1.0774796999949148</v>
      </c>
      <c r="EC22" s="9">
        <f>EB22+預測IC!ED23</f>
        <v>1.0177711502504923</v>
      </c>
      <c r="ED22" s="9">
        <f>EC22+預測IC!EE23</f>
        <v>1.144662354799407</v>
      </c>
      <c r="EE22" s="9">
        <f>ED22+預測IC!EF23</f>
        <v>1.2227905633119662</v>
      </c>
    </row>
    <row r="23" spans="1:136" ht="16" customHeight="1">
      <c r="A23" s="6" t="s">
        <v>162</v>
      </c>
      <c r="B23" s="7">
        <v>0.63578987634030326</v>
      </c>
      <c r="C23" s="9">
        <f>B23+預測IC!D24</f>
        <v>0.77950034097116838</v>
      </c>
      <c r="D23" s="9">
        <f>C23+預測IC!E24</f>
        <v>1.0362840420601409</v>
      </c>
      <c r="E23" s="9">
        <f>D23+預測IC!F24</f>
        <v>1.0053719686520843</v>
      </c>
      <c r="F23" s="9">
        <f>E23+預測IC!G24</f>
        <v>1.0717973639959477</v>
      </c>
      <c r="G23" s="9">
        <f>F23+預測IC!H24</f>
        <v>1.0491286309529204</v>
      </c>
      <c r="H23" s="9">
        <f>G23+預測IC!I24</f>
        <v>0.8651246999504606</v>
      </c>
      <c r="I23" s="9">
        <f>H23+預測IC!J24</f>
        <v>0.86728257630366301</v>
      </c>
      <c r="J23" s="9">
        <f>I23+預測IC!K24</f>
        <v>0.91912998454827166</v>
      </c>
      <c r="K23" s="9">
        <f>J23+預測IC!L24</f>
        <v>0.87114730878576108</v>
      </c>
      <c r="L23" s="9">
        <f>K23+預測IC!M24</f>
        <v>0.93774338276060232</v>
      </c>
      <c r="M23" s="9">
        <f>L23+預測IC!N24</f>
        <v>1.1025930475951853</v>
      </c>
      <c r="N23" s="9">
        <f>M23+預測IC!O24</f>
        <v>0.89336092948617496</v>
      </c>
      <c r="O23" s="9">
        <f>N23+預測IC!P24</f>
        <v>0.91296784070615533</v>
      </c>
      <c r="P23" s="9">
        <f>O23+預測IC!Q24</f>
        <v>1.1467432301207938</v>
      </c>
      <c r="Q23" s="9">
        <f>P23+預測IC!R24</f>
        <v>1.0372975932287243</v>
      </c>
      <c r="R23" s="9">
        <f>Q23+預測IC!S24</f>
        <v>0.85353390905594262</v>
      </c>
      <c r="S23" s="9">
        <f>R23+預測IC!T24</f>
        <v>0.81253116873783038</v>
      </c>
      <c r="T23" s="9">
        <f>S23+預測IC!U24</f>
        <v>0.59563409816181634</v>
      </c>
      <c r="U23" s="9">
        <f>T23+預測IC!V24</f>
        <v>0.67223939714198255</v>
      </c>
      <c r="V23" s="9">
        <f>U23+預測IC!W24</f>
        <v>0.62462260157464322</v>
      </c>
      <c r="W23" s="9">
        <f>V23+預測IC!X24</f>
        <v>0.75596405460689886</v>
      </c>
      <c r="X23" s="9">
        <f>W23+預測IC!Y24</f>
        <v>0.64767560416255576</v>
      </c>
      <c r="Y23" s="9">
        <f>X23+預測IC!Z24</f>
        <v>0.66650056788841217</v>
      </c>
      <c r="Z23" s="9">
        <f>Y23+預測IC!AA24</f>
        <v>0.60767171812398513</v>
      </c>
      <c r="AA23" s="9">
        <f>Z23+預測IC!AB24</f>
        <v>0.53690058575694843</v>
      </c>
      <c r="AB23" s="9">
        <f>AA23+預測IC!AC24</f>
        <v>0.63525323959885771</v>
      </c>
      <c r="AC23" s="9">
        <f>AB23+預測IC!AD24</f>
        <v>0.78574152158988098</v>
      </c>
      <c r="AD23" s="9">
        <f>AC23+預測IC!AE24</f>
        <v>1.076922270389453</v>
      </c>
      <c r="AE23" s="9">
        <f>AD23+預測IC!AF24</f>
        <v>1.2611605297130202</v>
      </c>
      <c r="AF23" s="9">
        <f>AE23+預測IC!AG24</f>
        <v>1.4236924244225253</v>
      </c>
      <c r="AG23" s="9">
        <f>AF23+預測IC!AH24</f>
        <v>1.7056569615374655</v>
      </c>
      <c r="AH23" s="9">
        <f>AG23+預測IC!AI24</f>
        <v>1.7577525402748306</v>
      </c>
      <c r="AI23" s="9">
        <f>AH23+預測IC!AJ24</f>
        <v>1.7861448713287793</v>
      </c>
      <c r="AJ23" s="9">
        <f>AI23+預測IC!AK24</f>
        <v>1.8407560107346392</v>
      </c>
      <c r="AK23" s="9">
        <f>AJ23+預測IC!AL24</f>
        <v>1.8541065404547703</v>
      </c>
      <c r="AL23" s="9">
        <f>AK23+預測IC!AM24</f>
        <v>1.9278069320154885</v>
      </c>
      <c r="AM23" s="9">
        <f>AL23+預測IC!AN24</f>
        <v>2.312388362509294</v>
      </c>
      <c r="AN23" s="9">
        <f>AM23+預測IC!AO24</f>
        <v>2.4799489447148657</v>
      </c>
      <c r="AO23" s="9">
        <f>AN23+預測IC!AP24</f>
        <v>2.5579108518025837</v>
      </c>
      <c r="AP23" s="9">
        <f>AO23+預測IC!AQ24</f>
        <v>2.562657555683117</v>
      </c>
      <c r="AQ23" s="9">
        <f>AP23+預測IC!AR24</f>
        <v>2.4468138056514532</v>
      </c>
      <c r="AR23" s="9">
        <f>AQ23+預測IC!AS24</f>
        <v>2.4118233427178386</v>
      </c>
      <c r="AS23" s="9">
        <f>AR23+預測IC!AT24</f>
        <v>2.5080570615404869</v>
      </c>
      <c r="AT23" s="9">
        <f>AS23+預測IC!AU24</f>
        <v>2.6122378952890464</v>
      </c>
      <c r="AU23" s="9">
        <f>AT23+預測IC!AV24</f>
        <v>2.7790868456758537</v>
      </c>
      <c r="AV23" s="9">
        <f>AU23+預測IC!AW24</f>
        <v>2.6599718386553546</v>
      </c>
      <c r="AW23" s="9">
        <f>AV23+預測IC!AX24</f>
        <v>2.6203069713238984</v>
      </c>
      <c r="AX23" s="9">
        <f>AW23+預測IC!AY24</f>
        <v>2.3667318108763262</v>
      </c>
      <c r="AY23" s="9">
        <f>AX23+預測IC!AZ24</f>
        <v>2.2786629194783945</v>
      </c>
      <c r="AZ23" s="9">
        <f>AY23+預測IC!BA24</f>
        <v>2.3066865923160997</v>
      </c>
      <c r="BA23" s="9">
        <f>AZ23+預測IC!BB24</f>
        <v>2.1744201066353082</v>
      </c>
      <c r="BB23" s="9">
        <f>BA23+預測IC!BC24</f>
        <v>2.1147155540477334</v>
      </c>
      <c r="BC23" s="9">
        <f>BB23+預測IC!BD24</f>
        <v>2.1720537846478538</v>
      </c>
      <c r="BD23" s="9">
        <f>BC23+預測IC!BE24</f>
        <v>2.0888102622096452</v>
      </c>
      <c r="BE23" s="9">
        <f>BD23+預測IC!BF24</f>
        <v>2.0434202024701245</v>
      </c>
      <c r="BF23" s="9">
        <f>BE23+預測IC!BG24</f>
        <v>2.0270675310130559</v>
      </c>
      <c r="BG23" s="9">
        <f>BF23+預測IC!BH24</f>
        <v>1.9937415193968624</v>
      </c>
      <c r="BH23" s="9">
        <f>BG23+預測IC!BI24</f>
        <v>2.0723093856917898</v>
      </c>
      <c r="BI23" s="9">
        <f>BH23+預測IC!BJ24</f>
        <v>2.349173989303353</v>
      </c>
      <c r="BJ23" s="9">
        <f>BI23+預測IC!BK24</f>
        <v>2.2569354507535411</v>
      </c>
      <c r="BK23" s="9">
        <f>BJ23+預測IC!BL24</f>
        <v>2.3328443015570643</v>
      </c>
      <c r="BL23" s="9">
        <f>BK23+預測IC!BM24</f>
        <v>2.4488579913405939</v>
      </c>
      <c r="BM23" s="9">
        <f>BL23+預測IC!BN24</f>
        <v>2.6233840513785829</v>
      </c>
      <c r="BN23" s="9">
        <f>BM23+預測IC!BO24</f>
        <v>2.7826631394786889</v>
      </c>
      <c r="BO23" s="9">
        <f>BN23+預測IC!BP24</f>
        <v>2.5439229018730867</v>
      </c>
      <c r="BP23" s="9">
        <f>BO23+預測IC!BQ24</f>
        <v>2.3601174285718987</v>
      </c>
      <c r="BQ23" s="9">
        <f>BP23+預測IC!BR24</f>
        <v>2.2104701130009463</v>
      </c>
      <c r="BR23" s="9">
        <f>BQ23+預測IC!BS24</f>
        <v>2.1931932694063634</v>
      </c>
      <c r="BS23" s="9">
        <f>BR23+預測IC!BT24</f>
        <v>2.3600862454949834</v>
      </c>
      <c r="BT23" s="9">
        <f>BS23+預測IC!BU24</f>
        <v>2.2591875840311797</v>
      </c>
      <c r="BU23" s="9">
        <f>BT23+預測IC!BV24</f>
        <v>2.3659772990592156</v>
      </c>
      <c r="BV23" s="9">
        <f>BU23+預測IC!BW24</f>
        <v>2.4005356798891446</v>
      </c>
      <c r="BW23" s="9">
        <f>BV23+預測IC!BX24</f>
        <v>2.3871080858338409</v>
      </c>
      <c r="BX23" s="9">
        <f>BW23+預測IC!BY24</f>
        <v>2.4118881120896751</v>
      </c>
      <c r="BY23" s="9">
        <f>BX23+預測IC!BZ24</f>
        <v>2.2878375437853311</v>
      </c>
      <c r="BZ23" s="9">
        <f>BY23+預測IC!CA24</f>
        <v>2.4829342367365936</v>
      </c>
      <c r="CA23" s="9">
        <f>BZ23+預測IC!CB24</f>
        <v>2.740114459404797</v>
      </c>
      <c r="CB23" s="9">
        <f>CA23+預測IC!CC24</f>
        <v>2.5323216524923287</v>
      </c>
      <c r="CC23" s="9">
        <f>CB23+預測IC!CD24</f>
        <v>2.6600260846224906</v>
      </c>
      <c r="CD23" s="9">
        <f>CC23+預測IC!CE24</f>
        <v>2.6307165434655779</v>
      </c>
      <c r="CE23" s="9">
        <f>CD23+預測IC!CF24</f>
        <v>2.8368897843153835</v>
      </c>
      <c r="CF23" s="9">
        <f>CE23+預測IC!CG24</f>
        <v>3.027271969719437</v>
      </c>
      <c r="CG23" s="9">
        <f>CF23+預測IC!CH24</f>
        <v>2.8670571051718921</v>
      </c>
      <c r="CH23" s="9">
        <f>CG23+預測IC!CI24</f>
        <v>2.6010172971019787</v>
      </c>
      <c r="CI23" s="9">
        <f>CH23+預測IC!CJ24</f>
        <v>2.6137414344272139</v>
      </c>
      <c r="CJ23" s="9">
        <f>CI23+預測IC!CK24</f>
        <v>2.4834851145549499</v>
      </c>
      <c r="CK23" s="9">
        <f>CJ23+預測IC!CL24</f>
        <v>2.3411101677844885</v>
      </c>
      <c r="CL23" s="9">
        <f>CK23+預測IC!CM24</f>
        <v>2.4232554652364637</v>
      </c>
      <c r="CM23" s="9">
        <f>CL23+預測IC!CN24</f>
        <v>2.3125583949514703</v>
      </c>
      <c r="CN23" s="9">
        <f>CM23+預測IC!CO24</f>
        <v>2.0980780604656868</v>
      </c>
      <c r="CO23" s="9">
        <f>CN23+預測IC!CP24</f>
        <v>2.0677345174445292</v>
      </c>
      <c r="CP23" s="9">
        <f>CO23+預測IC!CQ24</f>
        <v>2.2886940952974899</v>
      </c>
      <c r="CQ23" s="9">
        <f>CP23+預測IC!CR24</f>
        <v>2.2328272564836178</v>
      </c>
      <c r="CR23" s="9">
        <f>CQ23+預測IC!CS24</f>
        <v>2.0274622776364337</v>
      </c>
      <c r="CS23" s="9">
        <f>CR23+預測IC!CT24</f>
        <v>1.9023328569146172</v>
      </c>
      <c r="CT23" s="9">
        <f>CS23+預測IC!CU24</f>
        <v>1.9371436441551586</v>
      </c>
      <c r="CU23" s="9">
        <f>CT23+預測IC!CV24</f>
        <v>1.9927309267469946</v>
      </c>
      <c r="CV23" s="9">
        <f>CU23+預測IC!CW24</f>
        <v>1.8562917242331451</v>
      </c>
      <c r="CW23" s="9">
        <f>CV23+預測IC!CX24</f>
        <v>2.0552367964759934</v>
      </c>
      <c r="CX23" s="9">
        <f>CW23+預測IC!CY24</f>
        <v>2.0029623215195569</v>
      </c>
      <c r="CY23" s="9">
        <f>CX23+預測IC!CZ24</f>
        <v>2.2588777595145277</v>
      </c>
      <c r="CZ23" s="9">
        <f>CY23+預測IC!DA24</f>
        <v>2.2586922420653184</v>
      </c>
      <c r="DA23" s="9">
        <f>CZ23+預測IC!DB24</f>
        <v>2.191858201379782</v>
      </c>
      <c r="DB23" s="9">
        <f>DA23+預測IC!DC24</f>
        <v>2.0901330479808498</v>
      </c>
      <c r="DC23" s="9">
        <f>DB23+預測IC!DD24</f>
        <v>2.2100521483751181</v>
      </c>
      <c r="DD23" s="9">
        <f>DC23+預測IC!DE24</f>
        <v>2.1421595817948975</v>
      </c>
      <c r="DE23" s="9">
        <f>DD23+預測IC!DF24</f>
        <v>2.1555971121060855</v>
      </c>
      <c r="DF23" s="9">
        <f>DE23+預測IC!DG24</f>
        <v>2.1154096777539242</v>
      </c>
      <c r="DG23" s="9">
        <f>DF23+預測IC!DH24</f>
        <v>2.0581707907319196</v>
      </c>
      <c r="DH23" s="9">
        <f>DG23+預測IC!DI24</f>
        <v>1.9279171271320195</v>
      </c>
      <c r="DI23" s="9">
        <f>DH23+預測IC!DJ24</f>
        <v>1.9040525050006241</v>
      </c>
      <c r="DJ23" s="9">
        <f>DI23+預測IC!DK24</f>
        <v>1.9545805348464638</v>
      </c>
      <c r="DK23" s="9">
        <f>DJ23+預測IC!DL24</f>
        <v>1.967983390466354</v>
      </c>
      <c r="DL23" s="9">
        <f>DK23+預測IC!DM24</f>
        <v>1.9202338389023303</v>
      </c>
      <c r="DM23" s="9">
        <f>DL23+預測IC!DN24</f>
        <v>2.0036717852588191</v>
      </c>
      <c r="DN23" s="9">
        <f>DM23+預測IC!DO24</f>
        <v>2.0364894005608862</v>
      </c>
      <c r="DO23" s="9">
        <f>DN23+預測IC!DP24</f>
        <v>2.085477077837417</v>
      </c>
      <c r="DP23" s="9">
        <f>DO23+預測IC!DQ24</f>
        <v>1.9909873820299158</v>
      </c>
      <c r="DQ23" s="9">
        <f>DP23+預測IC!DR24</f>
        <v>2.0157447604592074</v>
      </c>
      <c r="DR23" s="9">
        <f>DQ23+預測IC!DS24</f>
        <v>1.8915505170685289</v>
      </c>
      <c r="DS23" s="9">
        <f>DR23+預測IC!DT24</f>
        <v>1.7084108676320831</v>
      </c>
      <c r="DT23" s="9">
        <f>DS23+預測IC!DU24</f>
        <v>1.7010268554337669</v>
      </c>
      <c r="DU23" s="9">
        <f>DT23+預測IC!DV24</f>
        <v>1.5749566070611267</v>
      </c>
      <c r="DV23" s="9">
        <f>DU23+預測IC!DW24</f>
        <v>1.5491390038869215</v>
      </c>
      <c r="DW23" s="9">
        <f>DV23+預測IC!DX24</f>
        <v>1.5905887521971682</v>
      </c>
      <c r="DX23" s="9">
        <f>DW23+預測IC!DY24</f>
        <v>1.4502303727629986</v>
      </c>
      <c r="DY23" s="9">
        <f>DX23+預測IC!DZ24</f>
        <v>1.3866760839879939</v>
      </c>
      <c r="DZ23" s="9">
        <f>DY23+預測IC!EA24</f>
        <v>1.6023987716193859</v>
      </c>
      <c r="EA23" s="9">
        <f>DZ23+預測IC!EB24</f>
        <v>1.8492033068021803</v>
      </c>
      <c r="EB23" s="9">
        <f>EA23+預測IC!EC24</f>
        <v>2.0264556450787827</v>
      </c>
      <c r="EC23" s="9">
        <f>EB23+預測IC!ED24</f>
        <v>1.9577790384252607</v>
      </c>
      <c r="ED23" s="9">
        <f>EC23+預測IC!EE24</f>
        <v>2.0826643722420601</v>
      </c>
      <c r="EE23" s="9">
        <f>ED23+預測IC!EF24</f>
        <v>2.2019750380143526</v>
      </c>
    </row>
    <row r="24" spans="1:136" ht="16" customHeight="1">
      <c r="A24" s="6" t="s">
        <v>163</v>
      </c>
      <c r="B24" s="7">
        <v>0.63761017581609125</v>
      </c>
      <c r="C24" s="9">
        <f>B24+預測IC!D25</f>
        <v>0.87556592886852924</v>
      </c>
      <c r="D24" s="9">
        <f>C24+預測IC!E25</f>
        <v>0.99869483887858246</v>
      </c>
      <c r="E24" s="9">
        <f>D24+預測IC!F25</f>
        <v>0.92350470605163115</v>
      </c>
      <c r="F24" s="9">
        <f>E24+預測IC!G25</f>
        <v>1.1888079454490168</v>
      </c>
      <c r="G24" s="9">
        <f>F24+預測IC!H25</f>
        <v>1.0730339035876628</v>
      </c>
      <c r="H24" s="9">
        <f>G24+預測IC!I25</f>
        <v>0.96171701961899736</v>
      </c>
      <c r="I24" s="9">
        <f>H24+預測IC!J25</f>
        <v>0.99836683005393367</v>
      </c>
      <c r="J24" s="9">
        <f>I24+預測IC!K25</f>
        <v>1.0328051169091463</v>
      </c>
      <c r="K24" s="9">
        <f>J24+預測IC!L25</f>
        <v>1.0252581054319387</v>
      </c>
      <c r="L24" s="9">
        <f>K24+預測IC!M25</f>
        <v>0.9691203433187644</v>
      </c>
      <c r="M24" s="9">
        <f>L24+預測IC!N25</f>
        <v>1.15978177733875</v>
      </c>
      <c r="N24" s="9">
        <f>M24+預測IC!O25</f>
        <v>0.91318369124129317</v>
      </c>
      <c r="O24" s="9">
        <f>N24+預測IC!P25</f>
        <v>0.93502160279789892</v>
      </c>
      <c r="P24" s="9">
        <f>O24+預測IC!Q25</f>
        <v>1.2491813447331011</v>
      </c>
      <c r="Q24" s="9">
        <f>P24+預測IC!R25</f>
        <v>1.061650595039662</v>
      </c>
      <c r="R24" s="9">
        <f>Q24+預測IC!S25</f>
        <v>0.842362944982472</v>
      </c>
      <c r="S24" s="9">
        <f>R24+預測IC!T25</f>
        <v>0.80547300589534343</v>
      </c>
      <c r="T24" s="9">
        <f>S24+預測IC!U25</f>
        <v>0.59550108931349399</v>
      </c>
      <c r="U24" s="9">
        <f>T24+預測IC!V25</f>
        <v>0.55723845409761175</v>
      </c>
      <c r="V24" s="9">
        <f>U24+預測IC!W25</f>
        <v>0.5681826038646467</v>
      </c>
      <c r="W24" s="9">
        <f>V24+預測IC!X25</f>
        <v>0.67174680656109564</v>
      </c>
      <c r="X24" s="9">
        <f>W24+預測IC!Y25</f>
        <v>0.52249026868077242</v>
      </c>
      <c r="Y24" s="9">
        <f>X24+預測IC!Z25</f>
        <v>0.50098772025581351</v>
      </c>
      <c r="Z24" s="9">
        <f>Y24+預測IC!AA25</f>
        <v>0.3728856736658781</v>
      </c>
      <c r="AA24" s="9">
        <f>Z24+預測IC!AB25</f>
        <v>0.27348209146737218</v>
      </c>
      <c r="AB24" s="9">
        <f>AA24+預測IC!AC25</f>
        <v>0.4518820588412602</v>
      </c>
      <c r="AC24" s="9">
        <f>AB24+預測IC!AD25</f>
        <v>0.60529878618410582</v>
      </c>
      <c r="AD24" s="9">
        <f>AC24+預測IC!AE25</f>
        <v>0.98537501978693798</v>
      </c>
      <c r="AE24" s="9">
        <f>AD24+預測IC!AF25</f>
        <v>1.1197072209908214</v>
      </c>
      <c r="AF24" s="9">
        <f>AE24+預測IC!AG25</f>
        <v>1.3294474447632014</v>
      </c>
      <c r="AG24" s="9">
        <f>AF24+預測IC!AH25</f>
        <v>1.7221886245859639</v>
      </c>
      <c r="AH24" s="9">
        <f>AG24+預測IC!AI25</f>
        <v>1.7943974936061733</v>
      </c>
      <c r="AI24" s="9">
        <f>AH24+預測IC!AJ25</f>
        <v>1.8311975485995737</v>
      </c>
      <c r="AJ24" s="9">
        <f>AI24+預測IC!AK25</f>
        <v>1.8953113299812565</v>
      </c>
      <c r="AK24" s="9">
        <f>AJ24+預測IC!AL25</f>
        <v>1.9719388870388275</v>
      </c>
      <c r="AL24" s="9">
        <f>AK24+預測IC!AM25</f>
        <v>1.974933009845472</v>
      </c>
      <c r="AM24" s="9">
        <f>AL24+預測IC!AN25</f>
        <v>2.3522245942469855</v>
      </c>
      <c r="AN24" s="9">
        <f>AM24+預測IC!AO25</f>
        <v>2.5148406288126033</v>
      </c>
      <c r="AO24" s="9">
        <f>AN24+預測IC!AP25</f>
        <v>2.7476951818564519</v>
      </c>
      <c r="AP24" s="9">
        <f>AO24+預測IC!AQ25</f>
        <v>2.7825353087980145</v>
      </c>
      <c r="AQ24" s="9">
        <f>AP24+預測IC!AR25</f>
        <v>2.5792890420176526</v>
      </c>
      <c r="AR24" s="9">
        <f>AQ24+預測IC!AS25</f>
        <v>2.5192230275018899</v>
      </c>
      <c r="AS24" s="9">
        <f>AR24+預測IC!AT25</f>
        <v>2.6445832389427548</v>
      </c>
      <c r="AT24" s="9">
        <f>AS24+預測IC!AU25</f>
        <v>2.7237552850121971</v>
      </c>
      <c r="AU24" s="9">
        <f>AT24+預測IC!AV25</f>
        <v>2.965614003830368</v>
      </c>
      <c r="AV24" s="9">
        <f>AU24+預測IC!AW25</f>
        <v>2.7742741888404083</v>
      </c>
      <c r="AW24" s="9">
        <f>AV24+預測IC!AX25</f>
        <v>2.7719855201510937</v>
      </c>
      <c r="AX24" s="9">
        <f>AW24+預測IC!AY25</f>
        <v>2.4578070428173731</v>
      </c>
      <c r="AY24" s="9">
        <f>AX24+預測IC!AZ25</f>
        <v>2.3395381420752686</v>
      </c>
      <c r="AZ24" s="9">
        <f>AY24+預測IC!BA25</f>
        <v>2.3593751669052074</v>
      </c>
      <c r="BA24" s="9">
        <f>AZ24+預測IC!BB25</f>
        <v>2.0745370791926399</v>
      </c>
      <c r="BB24" s="9">
        <f>BA24+預測IC!BC25</f>
        <v>1.985728193607069</v>
      </c>
      <c r="BC24" s="9">
        <f>BB24+預測IC!BD25</f>
        <v>2.0298865509247754</v>
      </c>
      <c r="BD24" s="9">
        <f>BC24+預測IC!BE25</f>
        <v>2.0509808997246926</v>
      </c>
      <c r="BE24" s="9">
        <f>BD24+預測IC!BF25</f>
        <v>2.0018224266038755</v>
      </c>
      <c r="BF24" s="9">
        <f>BE24+預測IC!BG25</f>
        <v>1.962525401126936</v>
      </c>
      <c r="BG24" s="9">
        <f>BF24+預測IC!BH25</f>
        <v>1.8958218408771133</v>
      </c>
      <c r="BH24" s="9">
        <f>BG24+預測IC!BI25</f>
        <v>1.6506976517327765</v>
      </c>
      <c r="BI24" s="9">
        <f>BH24+預測IC!BJ25</f>
        <v>1.9669773238878618</v>
      </c>
      <c r="BJ24" s="9">
        <f>BI24+預測IC!BK25</f>
        <v>1.9466973470863553</v>
      </c>
      <c r="BK24" s="9">
        <f>BJ24+預測IC!BL25</f>
        <v>1.9792720896203297</v>
      </c>
      <c r="BL24" s="9">
        <f>BK24+預測IC!BM25</f>
        <v>2.1466977694801832</v>
      </c>
      <c r="BM24" s="9">
        <f>BL24+預測IC!BN25</f>
        <v>2.3380233153874626</v>
      </c>
      <c r="BN24" s="9">
        <f>BM24+預測IC!BO25</f>
        <v>2.4624193185790189</v>
      </c>
      <c r="BO24" s="9">
        <f>BN24+預測IC!BP25</f>
        <v>2.0992125327854536</v>
      </c>
      <c r="BP24" s="9">
        <f>BO24+預測IC!BQ25</f>
        <v>1.8960107692750621</v>
      </c>
      <c r="BQ24" s="9">
        <f>BP24+預測IC!BR25</f>
        <v>1.6517911559084064</v>
      </c>
      <c r="BR24" s="9">
        <f>BQ24+預測IC!BS25</f>
        <v>1.5962014182398874</v>
      </c>
      <c r="BS24" s="9">
        <f>BR24+預測IC!BT25</f>
        <v>1.8460948901054097</v>
      </c>
      <c r="BT24" s="9">
        <f>BS24+預測IC!BU25</f>
        <v>1.9192686159436891</v>
      </c>
      <c r="BU24" s="9">
        <f>BT24+預測IC!BV25</f>
        <v>2.166560263567348</v>
      </c>
      <c r="BV24" s="9">
        <f>BU24+預測IC!BW25</f>
        <v>2.2707279159139535</v>
      </c>
      <c r="BW24" s="9">
        <f>BV24+預測IC!BX25</f>
        <v>2.2476168011632596</v>
      </c>
      <c r="BX24" s="9">
        <f>BW24+預測IC!BY25</f>
        <v>2.3882346927710092</v>
      </c>
      <c r="BY24" s="9">
        <f>BX24+預測IC!BZ25</f>
        <v>2.2187927366888047</v>
      </c>
      <c r="BZ24" s="9">
        <f>BY24+預測IC!CA25</f>
        <v>2.3954322753159332</v>
      </c>
      <c r="CA24" s="9">
        <f>BZ24+預測IC!CB25</f>
        <v>2.5713083018035885</v>
      </c>
      <c r="CB24" s="9">
        <f>CA24+預測IC!CC25</f>
        <v>2.4096892451217977</v>
      </c>
      <c r="CC24" s="9">
        <f>CB24+預測IC!CD25</f>
        <v>2.6625664679888259</v>
      </c>
      <c r="CD24" s="9">
        <f>CC24+預測IC!CE25</f>
        <v>2.5456879978056315</v>
      </c>
      <c r="CE24" s="9">
        <f>CD24+預測IC!CF25</f>
        <v>2.5305222878418094</v>
      </c>
      <c r="CF24" s="9">
        <f>CE24+預測IC!CG25</f>
        <v>2.6157649725033196</v>
      </c>
      <c r="CG24" s="9">
        <f>CF24+預測IC!CH25</f>
        <v>2.6296276505057801</v>
      </c>
      <c r="CH24" s="9">
        <f>CG24+預測IC!CI25</f>
        <v>2.2177876668269225</v>
      </c>
      <c r="CI24" s="9">
        <f>CH24+預測IC!CJ25</f>
        <v>2.3038495365420295</v>
      </c>
      <c r="CJ24" s="9">
        <f>CI24+預測IC!CK25</f>
        <v>2.1324211327710847</v>
      </c>
      <c r="CK24" s="9">
        <f>CJ24+預測IC!CL25</f>
        <v>2.0709860529873256</v>
      </c>
      <c r="CL24" s="9">
        <f>CK24+預測IC!CM25</f>
        <v>2.1246601824072076</v>
      </c>
      <c r="CM24" s="9">
        <f>CL24+預測IC!CN25</f>
        <v>2.0482118238933662</v>
      </c>
      <c r="CN24" s="9">
        <f>CM24+預測IC!CO25</f>
        <v>1.7754197965508682</v>
      </c>
      <c r="CO24" s="9">
        <f>CN24+預測IC!CP25</f>
        <v>1.6230259895634109</v>
      </c>
      <c r="CP24" s="9">
        <f>CO24+預測IC!CQ25</f>
        <v>1.9256009014871509</v>
      </c>
      <c r="CQ24" s="9">
        <f>CP24+預測IC!CR25</f>
        <v>1.744326110284649</v>
      </c>
      <c r="CR24" s="9">
        <f>CQ24+預測IC!CS25</f>
        <v>1.6367230978774365</v>
      </c>
      <c r="CS24" s="9">
        <f>CR24+預測IC!CT25</f>
        <v>1.5517020250808722</v>
      </c>
      <c r="CT24" s="9">
        <f>CS24+預測IC!CU25</f>
        <v>1.6441815816843663</v>
      </c>
      <c r="CU24" s="9">
        <f>CT24+預測IC!CV25</f>
        <v>1.7010807832834245</v>
      </c>
      <c r="CV24" s="9">
        <f>CU24+預測IC!CW25</f>
        <v>1.5612112978322201</v>
      </c>
      <c r="CW24" s="9">
        <f>CV24+預測IC!CX25</f>
        <v>1.76682054202283</v>
      </c>
      <c r="CX24" s="9">
        <f>CW24+預測IC!CY25</f>
        <v>1.6970680748935569</v>
      </c>
      <c r="CY24" s="9">
        <f>CX24+預測IC!CZ25</f>
        <v>2.0431651423046406</v>
      </c>
      <c r="CZ24" s="9">
        <f>CY24+預測IC!DA25</f>
        <v>2.0969711108755553</v>
      </c>
      <c r="DA24" s="9">
        <f>CZ24+預測IC!DB25</f>
        <v>1.9949635486565953</v>
      </c>
      <c r="DB24" s="9">
        <f>DA24+預測IC!DC25</f>
        <v>1.8226056819984897</v>
      </c>
      <c r="DC24" s="9">
        <f>DB24+預測IC!DD25</f>
        <v>1.9198942658456548</v>
      </c>
      <c r="DD24" s="9">
        <f>DC24+預測IC!DE25</f>
        <v>1.6810823430374495</v>
      </c>
      <c r="DE24" s="9">
        <f>DD24+預測IC!DF25</f>
        <v>1.7191525948787296</v>
      </c>
      <c r="DF24" s="9">
        <f>DE24+預測IC!DG25</f>
        <v>1.6266270598475403</v>
      </c>
      <c r="DG24" s="9">
        <f>DF24+預測IC!DH25</f>
        <v>1.5718576229631158</v>
      </c>
      <c r="DH24" s="9">
        <f>DG24+預測IC!DI25</f>
        <v>1.3766527201901801</v>
      </c>
      <c r="DI24" s="9">
        <f>DH24+預測IC!DJ25</f>
        <v>1.3646332259969183</v>
      </c>
      <c r="DJ24" s="9">
        <f>DI24+預測IC!DK25</f>
        <v>1.4517852501783888</v>
      </c>
      <c r="DK24" s="9">
        <f>DJ24+預測IC!DL25</f>
        <v>1.4823368803225527</v>
      </c>
      <c r="DL24" s="9">
        <f>DK24+預測IC!DM25</f>
        <v>1.6508912315367335</v>
      </c>
      <c r="DM24" s="9">
        <f>DL24+預測IC!DN25</f>
        <v>1.5291534327647549</v>
      </c>
      <c r="DN24" s="9">
        <f>DM24+預測IC!DO25</f>
        <v>1.5294032524428409</v>
      </c>
      <c r="DO24" s="9">
        <f>DN24+預測IC!DP25</f>
        <v>1.4762380937953339</v>
      </c>
      <c r="DP24" s="9">
        <f>DO24+預測IC!DQ25</f>
        <v>1.4071864752198449</v>
      </c>
      <c r="DQ24" s="9">
        <f>DP24+預測IC!DR25</f>
        <v>1.4696815787436606</v>
      </c>
      <c r="DR24" s="9">
        <f>DQ24+預測IC!DS25</f>
        <v>1.2342709938659364</v>
      </c>
      <c r="DS24" s="9">
        <f>DR24+預測IC!DT25</f>
        <v>1.0041832332723115</v>
      </c>
      <c r="DT24" s="9">
        <f>DS24+預測IC!DU25</f>
        <v>0.93979905300714406</v>
      </c>
      <c r="DU24" s="9">
        <f>DT24+預測IC!DV25</f>
        <v>0.79749603755161258</v>
      </c>
      <c r="DV24" s="9">
        <f>DU24+預測IC!DW25</f>
        <v>0.7582047286783119</v>
      </c>
      <c r="DW24" s="9">
        <f>DV24+預測IC!DX25</f>
        <v>0.86817350206396438</v>
      </c>
      <c r="DX24" s="9">
        <f>DW24+預測IC!DY25</f>
        <v>0.78610176209828642</v>
      </c>
      <c r="DY24" s="9">
        <f>DX24+預測IC!DZ25</f>
        <v>0.74675556587613989</v>
      </c>
      <c r="DZ24" s="9">
        <f>DY24+預測IC!EA25</f>
        <v>1.0052112360974645</v>
      </c>
      <c r="EA24" s="9">
        <f>DZ24+預測IC!EB25</f>
        <v>1.3520661192892449</v>
      </c>
      <c r="EB24" s="9">
        <f>EA24+預測IC!EC25</f>
        <v>1.5371802398032079</v>
      </c>
      <c r="EC24" s="9">
        <f>EB24+預測IC!ED25</f>
        <v>1.4395691061380003</v>
      </c>
      <c r="ED24" s="9">
        <f>EC24+預測IC!EE25</f>
        <v>1.5393668836593617</v>
      </c>
      <c r="EE24" s="9">
        <f>ED24+預測IC!EF25</f>
        <v>1.5991690681036894</v>
      </c>
    </row>
    <row r="25" spans="1:136" ht="16" customHeight="1">
      <c r="A25" s="6" t="s">
        <v>164</v>
      </c>
      <c r="B25" s="7">
        <v>0.90919897806039884</v>
      </c>
      <c r="C25" s="9">
        <f>B25+預測IC!D26</f>
        <v>1.2974439443366761</v>
      </c>
      <c r="D25" s="9">
        <f>C25+預測IC!E26</f>
        <v>1.4269188441816918</v>
      </c>
      <c r="E25" s="9">
        <f>D25+預測IC!F26</f>
        <v>1.2904597830180915</v>
      </c>
      <c r="F25" s="9">
        <f>E25+預測IC!G26</f>
        <v>1.7625595215972218</v>
      </c>
      <c r="G25" s="9">
        <f>F25+預測IC!H26</f>
        <v>1.971620512727227</v>
      </c>
      <c r="H25" s="9">
        <f>G25+預測IC!I26</f>
        <v>1.6456944821961288</v>
      </c>
      <c r="I25" s="9">
        <f>H25+預測IC!J26</f>
        <v>1.455070500212795</v>
      </c>
      <c r="J25" s="9">
        <f>I25+預測IC!K26</f>
        <v>1.4994022919192664</v>
      </c>
      <c r="K25" s="9">
        <f>J25+預測IC!L26</f>
        <v>1.7514511866672748</v>
      </c>
      <c r="L25" s="9">
        <f>K25+預測IC!M26</f>
        <v>1.8931087705112475</v>
      </c>
      <c r="M25" s="9">
        <f>L25+預測IC!N26</f>
        <v>2.066560771137075</v>
      </c>
      <c r="N25" s="9">
        <f>M25+預測IC!O26</f>
        <v>1.6558338701194684</v>
      </c>
      <c r="O25" s="9">
        <f>N25+預測IC!P26</f>
        <v>1.7251762647942288</v>
      </c>
      <c r="P25" s="9">
        <f>O25+預測IC!Q26</f>
        <v>2.3344465184174084</v>
      </c>
      <c r="Q25" s="9">
        <f>P25+預測IC!R26</f>
        <v>2.0426653746984034</v>
      </c>
      <c r="R25" s="9">
        <f>Q25+預測IC!S26</f>
        <v>1.7487410554266871</v>
      </c>
      <c r="S25" s="9">
        <f>R25+預測IC!T26</f>
        <v>1.7875422137482639</v>
      </c>
      <c r="T25" s="9">
        <f>S25+預測IC!U26</f>
        <v>1.3643122497813969</v>
      </c>
      <c r="U25" s="9">
        <f>T25+預測IC!V26</f>
        <v>1.5280394300518638</v>
      </c>
      <c r="V25" s="9">
        <f>U25+預測IC!W26</f>
        <v>1.6152455755597264</v>
      </c>
      <c r="W25" s="9">
        <f>V25+預測IC!X26</f>
        <v>1.746874018038163</v>
      </c>
      <c r="X25" s="9">
        <f>W25+預測IC!Y26</f>
        <v>1.6225515644989503</v>
      </c>
      <c r="Y25" s="9">
        <f>X25+預測IC!Z26</f>
        <v>1.679705713963461</v>
      </c>
      <c r="Z25" s="9">
        <f>Y25+預測IC!AA26</f>
        <v>1.7092453666373064</v>
      </c>
      <c r="AA25" s="9">
        <f>Z25+預測IC!AB26</f>
        <v>1.6169049195246517</v>
      </c>
      <c r="AB25" s="9">
        <f>AA25+預測IC!AC26</f>
        <v>2.0202049160008437</v>
      </c>
      <c r="AC25" s="9">
        <f>AB25+預測IC!AD26</f>
        <v>2.5193056553523063</v>
      </c>
      <c r="AD25" s="9">
        <f>AC25+預測IC!AE26</f>
        <v>2.7083501983437186</v>
      </c>
      <c r="AE25" s="9">
        <f>AD25+預測IC!AF26</f>
        <v>2.7087048148949626</v>
      </c>
      <c r="AF25" s="9">
        <f>AE25+預測IC!AG26</f>
        <v>3.0199219871239347</v>
      </c>
      <c r="AG25" s="9">
        <f>AF25+預測IC!AH26</f>
        <v>3.9228600335536847</v>
      </c>
      <c r="AH25" s="9">
        <f>AG25+預測IC!AI26</f>
        <v>4.0196597843444568</v>
      </c>
      <c r="AI25" s="9">
        <f>AH25+預測IC!AJ26</f>
        <v>4.0997558640955143</v>
      </c>
      <c r="AJ25" s="9">
        <f>AI25+預測IC!AK26</f>
        <v>4.3605388695976428</v>
      </c>
      <c r="AK25" s="9">
        <f>AJ25+預測IC!AL26</f>
        <v>4.4065932793580611</v>
      </c>
      <c r="AL25" s="9">
        <f>AK25+預測IC!AM26</f>
        <v>4.4302951934250014</v>
      </c>
      <c r="AM25" s="9">
        <f>AL25+預測IC!AN26</f>
        <v>4.5629676514897817</v>
      </c>
      <c r="AN25" s="9">
        <f>AM25+預測IC!AO26</f>
        <v>4.665157184509682</v>
      </c>
      <c r="AO25" s="9">
        <f>AN25+預測IC!AP26</f>
        <v>4.7506926319023544</v>
      </c>
      <c r="AP25" s="9">
        <f>AO25+預測IC!AQ26</f>
        <v>4.6510619795184454</v>
      </c>
      <c r="AQ25" s="9">
        <f>AP25+預測IC!AR26</f>
        <v>4.2289377002660249</v>
      </c>
      <c r="AR25" s="9">
        <f>AQ25+預測IC!AS26</f>
        <v>3.8926405324944509</v>
      </c>
      <c r="AS25" s="9">
        <f>AR25+預測IC!AT26</f>
        <v>4.2230699729633212</v>
      </c>
      <c r="AT25" s="9">
        <f>AS25+預測IC!AU26</f>
        <v>4.3261412583577181</v>
      </c>
      <c r="AU25" s="9">
        <f>AT25+預測IC!AV26</f>
        <v>4.709267883094542</v>
      </c>
      <c r="AV25" s="9">
        <f>AU25+預測IC!AW26</f>
        <v>4.5825729106180741</v>
      </c>
      <c r="AW25" s="9">
        <f>AV25+預測IC!AX26</f>
        <v>4.6560844108852164</v>
      </c>
      <c r="AX25" s="9">
        <f>AW25+預測IC!AY26</f>
        <v>3.945269855153823</v>
      </c>
      <c r="AY25" s="9">
        <f>AX25+預測IC!AZ26</f>
        <v>3.7538750021541936</v>
      </c>
      <c r="AZ25" s="9">
        <f>AY25+預測IC!BA26</f>
        <v>3.6699342619468567</v>
      </c>
      <c r="BA25" s="9">
        <f>AZ25+預測IC!BB26</f>
        <v>3.0083454455760004</v>
      </c>
      <c r="BB25" s="9">
        <f>BA25+預測IC!BC26</f>
        <v>2.811944413741565</v>
      </c>
      <c r="BC25" s="9">
        <f>BB25+預測IC!BD26</f>
        <v>2.8492755736441104</v>
      </c>
      <c r="BD25" s="9">
        <f>BC25+預測IC!BE26</f>
        <v>2.7588585071600211</v>
      </c>
      <c r="BE25" s="9">
        <f>BD25+預測IC!BF26</f>
        <v>2.7700887492231194</v>
      </c>
      <c r="BF25" s="9">
        <f>BE25+預測IC!BG26</f>
        <v>2.6302348908591098</v>
      </c>
      <c r="BG25" s="9">
        <f>BF25+預測IC!BH26</f>
        <v>2.5976464998138713</v>
      </c>
      <c r="BH25" s="9">
        <f>BG25+預測IC!BI26</f>
        <v>2.5397803718608736</v>
      </c>
      <c r="BI25" s="9">
        <f>BH25+預測IC!BJ26</f>
        <v>2.927233789932834</v>
      </c>
      <c r="BJ25" s="9">
        <f>BI25+預測IC!BK26</f>
        <v>2.9372535168819041</v>
      </c>
      <c r="BK25" s="9">
        <f>BJ25+預測IC!BL26</f>
        <v>2.9823997372433833</v>
      </c>
      <c r="BL25" s="9">
        <f>BK25+預測IC!BM26</f>
        <v>3.0664935254042405</v>
      </c>
      <c r="BM25" s="9">
        <f>BL25+預測IC!BN26</f>
        <v>3.2516218990927941</v>
      </c>
      <c r="BN25" s="9">
        <f>BM25+預測IC!BO26</f>
        <v>3.2249536520106328</v>
      </c>
      <c r="BO25" s="9">
        <f>BN25+預測IC!BP26</f>
        <v>2.3885596530633864</v>
      </c>
      <c r="BP25" s="9">
        <f>BO25+預測IC!BQ26</f>
        <v>2.2516185608115014</v>
      </c>
      <c r="BQ25" s="9">
        <f>BP25+預測IC!BR26</f>
        <v>1.8699036252536498</v>
      </c>
      <c r="BR25" s="9">
        <f>BQ25+預測IC!BS26</f>
        <v>1.7482825887240432</v>
      </c>
      <c r="BS25" s="9">
        <f>BR25+預測IC!BT26</f>
        <v>1.6924833324157866</v>
      </c>
      <c r="BT25" s="9">
        <f>BS25+預測IC!BU26</f>
        <v>1.6417956442296961</v>
      </c>
      <c r="BU25" s="9">
        <f>BT25+預測IC!BV26</f>
        <v>1.5673676939423669</v>
      </c>
      <c r="BV25" s="9">
        <f>BU25+預測IC!BW26</f>
        <v>1.6246755532131585</v>
      </c>
      <c r="BW25" s="9">
        <f>BV25+預測IC!BX26</f>
        <v>1.6912801969630107</v>
      </c>
      <c r="BX25" s="9">
        <f>BW25+預測IC!BY26</f>
        <v>1.8486787791017374</v>
      </c>
      <c r="BY25" s="9">
        <f>BX25+預測IC!BZ26</f>
        <v>1.4371773666873393</v>
      </c>
      <c r="BZ25" s="9">
        <f>BY25+預測IC!CA26</f>
        <v>1.4907039597344673</v>
      </c>
      <c r="CA25" s="9">
        <f>BZ25+預測IC!CB26</f>
        <v>1.8276329411393353</v>
      </c>
      <c r="CB25" s="9">
        <f>CA25+預測IC!CC26</f>
        <v>1.6069394576286331</v>
      </c>
      <c r="CC25" s="9">
        <f>CB25+預測IC!CD26</f>
        <v>2.1575324441950308</v>
      </c>
      <c r="CD25" s="9">
        <f>CC25+預測IC!CE26</f>
        <v>2.3372049928174086</v>
      </c>
      <c r="CE25" s="9">
        <f>CD25+預測IC!CF26</f>
        <v>2.3171718216061019</v>
      </c>
      <c r="CF25" s="9">
        <f>CE25+預測IC!CG26</f>
        <v>2.4126583527026568</v>
      </c>
      <c r="CG25" s="9">
        <f>CF25+預測IC!CH26</f>
        <v>1.9367430063915967</v>
      </c>
      <c r="CH25" s="9">
        <f>CG25+預測IC!CI26</f>
        <v>2.0088337836823551</v>
      </c>
      <c r="CI25" s="9">
        <f>CH25+預測IC!CJ26</f>
        <v>2.3135563341439274</v>
      </c>
      <c r="CJ25" s="9">
        <f>CI25+預測IC!CK26</f>
        <v>2.2582404728666128</v>
      </c>
      <c r="CK25" s="9">
        <f>CJ25+預測IC!CL26</f>
        <v>2.2209911918028049</v>
      </c>
      <c r="CL25" s="9">
        <f>CK25+預測IC!CM26</f>
        <v>2.4232893717581323</v>
      </c>
      <c r="CM25" s="9">
        <f>CL25+預測IC!CN26</f>
        <v>2.4882126609958073</v>
      </c>
      <c r="CN25" s="9">
        <f>CM25+預測IC!CO26</f>
        <v>2.2334311675403296</v>
      </c>
      <c r="CO25" s="9">
        <f>CN25+預測IC!CP26</f>
        <v>2.2955854009342223</v>
      </c>
      <c r="CP25" s="9">
        <f>CO25+預測IC!CQ26</f>
        <v>2.9373600322372493</v>
      </c>
      <c r="CQ25" s="9">
        <f>CP25+預測IC!CR26</f>
        <v>2.583364821928904</v>
      </c>
      <c r="CR25" s="9">
        <f>CQ25+預測IC!CS26</f>
        <v>2.5249998406265921</v>
      </c>
      <c r="CS25" s="9">
        <f>CR25+預測IC!CT26</f>
        <v>2.3983960441309482</v>
      </c>
      <c r="CT25" s="9">
        <f>CS25+預測IC!CU26</f>
        <v>2.462619654228285</v>
      </c>
      <c r="CU25" s="9">
        <f>CT25+預測IC!CV26</f>
        <v>2.5699636638379153</v>
      </c>
      <c r="CV25" s="9">
        <f>CU25+預測IC!CW26</f>
        <v>2.3426100001312786</v>
      </c>
      <c r="CW25" s="9">
        <f>CV25+預測IC!CX26</f>
        <v>2.522555770950254</v>
      </c>
      <c r="CX25" s="9">
        <f>CW25+預測IC!CY26</f>
        <v>2.5271341595337291</v>
      </c>
      <c r="CY25" s="9">
        <f>CX25+預測IC!CZ26</f>
        <v>2.9418089560974514</v>
      </c>
      <c r="CZ25" s="9">
        <f>CY25+預測IC!DA26</f>
        <v>2.6543811101628654</v>
      </c>
      <c r="DA25" s="9">
        <f>CZ25+預測IC!DB26</f>
        <v>2.500846767372285</v>
      </c>
      <c r="DB25" s="9">
        <f>DA25+預測IC!DC26</f>
        <v>2.3693401982675644</v>
      </c>
      <c r="DC25" s="9">
        <f>DB25+預測IC!DD26</f>
        <v>2.5342184339860578</v>
      </c>
      <c r="DD25" s="9">
        <f>DC25+預測IC!DE26</f>
        <v>2.2926932387998038</v>
      </c>
      <c r="DE25" s="9">
        <f>DD25+預測IC!DF26</f>
        <v>2.280309537923551</v>
      </c>
      <c r="DF25" s="9">
        <f>DE25+預測IC!DG26</f>
        <v>2.1636461956080231</v>
      </c>
      <c r="DG25" s="9">
        <f>DF25+預測IC!DH26</f>
        <v>2.265459135031346</v>
      </c>
      <c r="DH25" s="9">
        <f>DG25+預測IC!DI26</f>
        <v>2.1481789556808737</v>
      </c>
      <c r="DI25" s="9">
        <f>DH25+預測IC!DJ26</f>
        <v>2.2082356069670581</v>
      </c>
      <c r="DJ25" s="9">
        <f>DI25+預測IC!DK26</f>
        <v>2.2364472746053043</v>
      </c>
      <c r="DK25" s="9">
        <f>DJ25+預測IC!DL26</f>
        <v>2.0559353040119777</v>
      </c>
      <c r="DL25" s="9">
        <f>DK25+預測IC!DM26</f>
        <v>1.9583877461687114</v>
      </c>
      <c r="DM25" s="9">
        <f>DL25+預測IC!DN26</f>
        <v>2.0093279724809752</v>
      </c>
      <c r="DN25" s="9">
        <f>DM25+預測IC!DO26</f>
        <v>1.9084790168562451</v>
      </c>
      <c r="DO25" s="9">
        <f>DN25+預測IC!DP26</f>
        <v>2.0069751810361161</v>
      </c>
      <c r="DP25" s="9">
        <f>DO25+預測IC!DQ26</f>
        <v>1.948299903602402</v>
      </c>
      <c r="DQ25" s="9">
        <f>DP25+預測IC!DR26</f>
        <v>1.9701975116346586</v>
      </c>
      <c r="DR25" s="9">
        <f>DQ25+預測IC!DS26</f>
        <v>1.7008171567479258</v>
      </c>
      <c r="DS25" s="9">
        <f>DR25+預測IC!DT26</f>
        <v>1.2787335483215219</v>
      </c>
      <c r="DT25" s="9">
        <f>DS25+預測IC!DU26</f>
        <v>1.2036065462322503</v>
      </c>
      <c r="DU25" s="9">
        <f>DT25+預測IC!DV26</f>
        <v>0.99526621954984196</v>
      </c>
      <c r="DV25" s="9">
        <f>DU25+預測IC!DW26</f>
        <v>0.98068893177915295</v>
      </c>
      <c r="DW25" s="9">
        <f>DV25+預測IC!DX26</f>
        <v>1.4082499643327977</v>
      </c>
      <c r="DX25" s="9">
        <f>DW25+預測IC!DY26</f>
        <v>1.3057569626251506</v>
      </c>
      <c r="DY25" s="9">
        <f>DX25+預測IC!DZ26</f>
        <v>1.3472309601600463</v>
      </c>
      <c r="DZ25" s="9">
        <f>DY25+預測IC!EA26</f>
        <v>1.9458889681522176</v>
      </c>
      <c r="EA25" s="9">
        <f>DZ25+預測IC!EB26</f>
        <v>2.1570642299335794</v>
      </c>
      <c r="EB25" s="9">
        <f>EA25+預測IC!EC26</f>
        <v>2.6765644091640031</v>
      </c>
      <c r="EC25" s="9">
        <f>EB25+預測IC!ED26</f>
        <v>2.5740154614112982</v>
      </c>
      <c r="ED25" s="9">
        <f>EC25+預測IC!EE26</f>
        <v>2.6821483542538083</v>
      </c>
      <c r="EE25" s="9">
        <f>ED25+預測IC!EF26</f>
        <v>2.778383962134634</v>
      </c>
    </row>
    <row r="26" spans="1:136" ht="16" customHeight="1">
      <c r="A26" s="6" t="s">
        <v>147</v>
      </c>
      <c r="B26" s="17">
        <v>-1.7446770539390338E-2</v>
      </c>
      <c r="C26" s="21">
        <f>B26+預測IC!D27</f>
        <v>3.2542899924252917E-3</v>
      </c>
      <c r="D26" s="21">
        <f>C26+預測IC!E27</f>
        <v>2.7236419247192001E-2</v>
      </c>
      <c r="E26" s="21">
        <f>D26+預測IC!F27</f>
        <v>2.0678840274368924E-2</v>
      </c>
      <c r="F26" s="21">
        <f>E26+預測IC!G27</f>
        <v>5.2523970074888612E-2</v>
      </c>
      <c r="G26" s="21">
        <f>F26+預測IC!H27</f>
        <v>8.6872502811879138E-2</v>
      </c>
      <c r="H26" s="21">
        <f>G26+預測IC!I27</f>
        <v>7.8617570030553904E-2</v>
      </c>
      <c r="I26" s="21">
        <f>H26+預測IC!J27</f>
        <v>9.1461094424606662E-2</v>
      </c>
      <c r="J26" s="21">
        <f>I26+預測IC!K27</f>
        <v>4.0442569797815839E-2</v>
      </c>
      <c r="K26" s="21">
        <f>J26+預測IC!L27</f>
        <v>4.1316512538852428E-2</v>
      </c>
      <c r="L26" s="21">
        <f>K26+預測IC!M27</f>
        <v>6.4706088044348353E-2</v>
      </c>
      <c r="M26" s="21">
        <f>L26+預測IC!N27</f>
        <v>7.7695060244681202E-2</v>
      </c>
      <c r="N26" s="21">
        <f>M26+預測IC!O27</f>
        <v>8.3549648970316082E-2</v>
      </c>
      <c r="O26" s="21">
        <f>N26+預測IC!P27</f>
        <v>0.11096285554210664</v>
      </c>
      <c r="P26" s="21">
        <f>O26+預測IC!Q27</f>
        <v>0.10724991942441378</v>
      </c>
      <c r="Q26" s="21">
        <f>P26+預測IC!R27</f>
        <v>0.13132653347223711</v>
      </c>
      <c r="R26" s="21">
        <f>Q26+預測IC!S27</f>
        <v>0.11913650817319715</v>
      </c>
      <c r="S26" s="21">
        <f>R26+預測IC!T27</f>
        <v>7.9386930013607554E-2</v>
      </c>
      <c r="T26" s="21">
        <f>S26+預測IC!U27</f>
        <v>6.2314801819580018E-3</v>
      </c>
      <c r="U26" s="21">
        <f>T26+預測IC!V27</f>
        <v>-5.2028749728156659E-2</v>
      </c>
      <c r="V26" s="21">
        <f>U26+預測IC!W27</f>
        <v>-5.1255952162648284E-2</v>
      </c>
      <c r="W26" s="21">
        <f>V26+預測IC!X27</f>
        <v>-6.6644310274293142E-3</v>
      </c>
      <c r="X26" s="21">
        <f>W26+預測IC!Y27</f>
        <v>-3.4364111077642409E-2</v>
      </c>
      <c r="Y26" s="21">
        <f>X26+預測IC!Z27</f>
        <v>-3.226910512789876E-2</v>
      </c>
      <c r="Z26" s="21">
        <f>Y26+預測IC!AA27</f>
        <v>-5.5669656120462874E-2</v>
      </c>
      <c r="AA26" s="21">
        <f>Z26+預測IC!AB27</f>
        <v>-2.3540285023140685E-2</v>
      </c>
      <c r="AB26" s="21">
        <f>AA26+預測IC!AC27</f>
        <v>1.5362988070925745E-2</v>
      </c>
      <c r="AC26" s="21">
        <f>AB26+預測IC!AD27</f>
        <v>-2.7502394100178525E-2</v>
      </c>
      <c r="AD26" s="21">
        <f>AC26+預測IC!AE27</f>
        <v>-8.8551995500263658E-3</v>
      </c>
      <c r="AE26" s="21">
        <f>AD26+預測IC!AF27</f>
        <v>6.3745687725025833E-3</v>
      </c>
      <c r="AF26" s="21">
        <f>AE26+預測IC!AG27</f>
        <v>4.2391172551395004E-2</v>
      </c>
      <c r="AG26" s="21">
        <f>AF26+預測IC!AH27</f>
        <v>5.174578393671117E-2</v>
      </c>
      <c r="AH26" s="21">
        <f>AG26+預測IC!AI27</f>
        <v>6.2494035273549312E-2</v>
      </c>
      <c r="AI26" s="21">
        <f>AH26+預測IC!AJ27</f>
        <v>7.5851789326630281E-2</v>
      </c>
      <c r="AJ26" s="21">
        <f>AI26+預測IC!AK27</f>
        <v>7.0519041997534893E-2</v>
      </c>
      <c r="AK26" s="21">
        <f>AJ26+預測IC!AL27</f>
        <v>7.1902177804796574E-2</v>
      </c>
      <c r="AL26" s="21">
        <f>AK26+預測IC!AM27</f>
        <v>9.2698106224871041E-2</v>
      </c>
      <c r="AM26" s="21">
        <f>AL26+預測IC!AN27</f>
        <v>0.12421580844526167</v>
      </c>
      <c r="AN26" s="21">
        <f>AM26+預測IC!AO27</f>
        <v>0.13045752497859112</v>
      </c>
      <c r="AO26" s="21">
        <f>AN26+預測IC!AP27</f>
        <v>0.13660278663216249</v>
      </c>
      <c r="AP26" s="21">
        <f>AO26+預測IC!AQ27</f>
        <v>0.15354914430885899</v>
      </c>
      <c r="AQ26" s="21">
        <f>AP26+預測IC!AR27</f>
        <v>0.18823197476316722</v>
      </c>
      <c r="AR26" s="21">
        <f>AQ26+預測IC!AS27</f>
        <v>0.19133056338036419</v>
      </c>
      <c r="AS26" s="21">
        <f>AR26+預測IC!AT27</f>
        <v>0.2064119105238503</v>
      </c>
      <c r="AT26" s="21">
        <f>AS26+預測IC!AU27</f>
        <v>0.18716070129398632</v>
      </c>
      <c r="AU26" s="21">
        <f>AT26+預測IC!AV27</f>
        <v>0.22587221468161775</v>
      </c>
      <c r="AV26" s="21">
        <f>AU26+預測IC!AW27</f>
        <v>0.20401526354588115</v>
      </c>
      <c r="AW26" s="21">
        <f>AV26+預測IC!AX27</f>
        <v>0.21178956425567083</v>
      </c>
      <c r="AX26" s="21">
        <f>AW26+預測IC!AY27</f>
        <v>0.25418681095099677</v>
      </c>
      <c r="AY26" s="21">
        <f>AX26+預測IC!AZ27</f>
        <v>0.22787783608983703</v>
      </c>
      <c r="AZ26" s="21">
        <f>AY26+預測IC!BA27</f>
        <v>0.23744958539855326</v>
      </c>
      <c r="BA26" s="21">
        <f>AZ26+預測IC!BB27</f>
        <v>0.21319984413227844</v>
      </c>
      <c r="BB26" s="21">
        <f>BA26+預測IC!BC27</f>
        <v>0.23336321827619427</v>
      </c>
      <c r="BC26" s="21">
        <f>BB26+預測IC!BD27</f>
        <v>0.22985821949407825</v>
      </c>
      <c r="BD26" s="21">
        <f>BC26+預測IC!BE27</f>
        <v>0.25001015459262055</v>
      </c>
      <c r="BE26" s="21">
        <f>BD26+預測IC!BF27</f>
        <v>0.25059149082339083</v>
      </c>
      <c r="BF26" s="21">
        <f>BE26+預測IC!BG27</f>
        <v>0.24537178987013822</v>
      </c>
      <c r="BG26" s="21">
        <f>BF26+預測IC!BH27</f>
        <v>0.12950002846800823</v>
      </c>
      <c r="BH26" s="21">
        <f>BG26+預測IC!BI27</f>
        <v>0.13822525416044559</v>
      </c>
      <c r="BI26" s="21">
        <f>BH26+預測IC!BJ27</f>
        <v>0.12184799318262345</v>
      </c>
      <c r="BJ26" s="21">
        <f>BI26+預測IC!BK27</f>
        <v>0.14268836478288388</v>
      </c>
      <c r="BK26" s="21">
        <f>BJ26+預測IC!BL27</f>
        <v>0.18766423688499859</v>
      </c>
      <c r="BL26" s="21">
        <f>BK26+預測IC!BM27</f>
        <v>0.21161854296686244</v>
      </c>
      <c r="BM26" s="21">
        <f>BL26+預測IC!BN27</f>
        <v>0.24185764435830504</v>
      </c>
      <c r="BN26" s="21">
        <f>BM26+預測IC!BO27</f>
        <v>0.19813175676721753</v>
      </c>
      <c r="BO26" s="21">
        <f>BN26+預測IC!BP27</f>
        <v>0.22002122633541615</v>
      </c>
      <c r="BP26" s="21">
        <f>BO26+預測IC!BQ27</f>
        <v>0.22864865659892455</v>
      </c>
      <c r="BQ26" s="21">
        <f>BP26+預測IC!BR27</f>
        <v>0.20945570260426577</v>
      </c>
      <c r="BR26" s="21">
        <f>BQ26+預測IC!BS27</f>
        <v>0.22919083249239883</v>
      </c>
      <c r="BS26" s="21">
        <f>BR26+預測IC!BT27</f>
        <v>0.27688516997609824</v>
      </c>
      <c r="BT26" s="21">
        <f>BS26+預測IC!BU27</f>
        <v>0.28833998678268163</v>
      </c>
      <c r="BU26" s="21">
        <f>BT26+預測IC!BV27</f>
        <v>0.33156860751789485</v>
      </c>
      <c r="BV26" s="21">
        <f>BU26+預測IC!BW27</f>
        <v>0.28882117708097205</v>
      </c>
      <c r="BW26" s="21">
        <f>BV26+預測IC!BX27</f>
        <v>0.27100988465317749</v>
      </c>
      <c r="BX26" s="21">
        <f>BW26+預測IC!BY27</f>
        <v>0.11985678778410189</v>
      </c>
      <c r="BY26" s="21">
        <f>BX26+預測IC!BZ27</f>
        <v>0.24408079140367717</v>
      </c>
      <c r="BZ26" s="21">
        <f>BY26+預測IC!CA27</f>
        <v>0.23952353755914751</v>
      </c>
      <c r="CA26" s="21">
        <f>BZ26+預測IC!CB27</f>
        <v>0.29973477776405871</v>
      </c>
      <c r="CB26" s="21">
        <f>CA26+預測IC!CC27</f>
        <v>0.385726811246561</v>
      </c>
      <c r="CC26" s="21">
        <f>CB26+預測IC!CD27</f>
        <v>0.37991833166419492</v>
      </c>
      <c r="CD26" s="21">
        <f>CC26+預測IC!CE27</f>
        <v>0.37387698467522684</v>
      </c>
      <c r="CE26" s="21">
        <f>CD26+預測IC!CF27</f>
        <v>0.37632930904747891</v>
      </c>
      <c r="CF26" s="21">
        <f>CE26+預測IC!CG27</f>
        <v>0.46596556098450181</v>
      </c>
      <c r="CG26" s="21">
        <f>CF26+預測IC!CH27</f>
        <v>0.53695829351125968</v>
      </c>
      <c r="CH26" s="21">
        <f>CG26+預測IC!CI27</f>
        <v>0.56412893641304307</v>
      </c>
      <c r="CI26" s="21">
        <f>CH26+預測IC!CJ27</f>
        <v>0.61659736483837313</v>
      </c>
      <c r="CJ26" s="21">
        <f>CI26+預測IC!CK27</f>
        <v>0.64607802578142259</v>
      </c>
      <c r="CK26" s="21">
        <f>CJ26+預測IC!CL27</f>
        <v>0.71290310684162383</v>
      </c>
      <c r="CL26" s="21">
        <f>CK26+預測IC!CM27</f>
        <v>0.68413087782180682</v>
      </c>
      <c r="CM26" s="21">
        <f>CL26+預測IC!CN27</f>
        <v>0.72359339372344467</v>
      </c>
      <c r="CN26" s="21">
        <f>CM26+預測IC!CO27</f>
        <v>0.69456230674608477</v>
      </c>
      <c r="CO26" s="21">
        <f>CN26+預測IC!CP27</f>
        <v>0.70854618926555268</v>
      </c>
      <c r="CP26" s="21">
        <f>CO26+預測IC!CQ27</f>
        <v>0.67626922430621883</v>
      </c>
      <c r="CQ26" s="21">
        <f>CP26+預測IC!CR27</f>
        <v>0.6793728009191129</v>
      </c>
      <c r="CR26" s="21">
        <f>CQ26+預測IC!CS27</f>
        <v>0.70496465668619601</v>
      </c>
      <c r="CS26" s="21">
        <f>CR26+預測IC!CT27</f>
        <v>0.74935654297338927</v>
      </c>
      <c r="CT26" s="21">
        <f>CS26+預測IC!CU27</f>
        <v>0.71901758442381181</v>
      </c>
      <c r="CU26" s="21">
        <f>CT26+預測IC!CV27</f>
        <v>0.7177596079692401</v>
      </c>
      <c r="CV26" s="21">
        <f>CU26+預測IC!CW27</f>
        <v>0.72009596442509805</v>
      </c>
      <c r="CW26" s="21">
        <f>CV26+預測IC!CX27</f>
        <v>0.655831819499192</v>
      </c>
      <c r="CX26" s="21">
        <f>CW26+預測IC!CY27</f>
        <v>0.66874159895818441</v>
      </c>
      <c r="CY26" s="21">
        <f>CX26+預測IC!CZ27</f>
        <v>0.54326450428732564</v>
      </c>
      <c r="CZ26" s="21">
        <f>CY26+預測IC!DA27</f>
        <v>0.55495518722711823</v>
      </c>
      <c r="DA26" s="21">
        <f>CZ26+預測IC!DB27</f>
        <v>0.56129303092785998</v>
      </c>
      <c r="DB26" s="21">
        <f>DA26+預測IC!DC27</f>
        <v>0.44398767445847448</v>
      </c>
      <c r="DC26" s="21">
        <f>DB26+預測IC!DD27</f>
        <v>0.40797680240902789</v>
      </c>
      <c r="DD26" s="21">
        <f>DC26+預測IC!DE27</f>
        <v>0.54688810648129582</v>
      </c>
      <c r="DE26" s="21">
        <f>DD26+預測IC!DF27</f>
        <v>0.49574460025519007</v>
      </c>
      <c r="DF26" s="21">
        <f>DE26+預測IC!DG27</f>
        <v>0.57247604743715907</v>
      </c>
      <c r="DG26" s="21">
        <f>DF26+預測IC!DH27</f>
        <v>0.58798482963416721</v>
      </c>
      <c r="DH26" s="21">
        <f>DG26+預測IC!DI27</f>
        <v>0.61120860330892302</v>
      </c>
      <c r="DI26" s="21">
        <f>DH26+預測IC!DJ27</f>
        <v>0.59283572694769515</v>
      </c>
      <c r="DJ26" s="21">
        <f>DI26+預測IC!DK27</f>
        <v>0.65503474103279458</v>
      </c>
      <c r="DK26" s="21">
        <f>DJ26+預測IC!DL27</f>
        <v>0.67513304551975173</v>
      </c>
      <c r="DL26" s="21">
        <f>DK26+預測IC!DM27</f>
        <v>0.68863198526781977</v>
      </c>
      <c r="DM26" s="21">
        <f>DL26+預測IC!DN27</f>
        <v>0.65837977253939894</v>
      </c>
      <c r="DN26" s="21">
        <f>DM26+預測IC!DO27</f>
        <v>0.64135693683134509</v>
      </c>
      <c r="DO26" s="21">
        <f>DN26+預測IC!DP27</f>
        <v>0.61956841355888315</v>
      </c>
      <c r="DP26" s="21">
        <f>DO26+預測IC!DQ27</f>
        <v>0.70531403814402038</v>
      </c>
      <c r="DQ26" s="21">
        <f>DP26+預測IC!DR27</f>
        <v>0.73342078174899417</v>
      </c>
      <c r="DR26" s="21">
        <f>DQ26+預測IC!DS27</f>
        <v>0.73111762194163477</v>
      </c>
      <c r="DS26" s="21">
        <f>DR26+預測IC!DT27</f>
        <v>0.78958882007312226</v>
      </c>
      <c r="DT26" s="21">
        <f>DS26+預測IC!DU27</f>
        <v>0.85724776912176992</v>
      </c>
      <c r="DU26" s="21">
        <f>DT26+預測IC!DV27</f>
        <v>0.86226853976220219</v>
      </c>
      <c r="DV26" s="21">
        <f>DU26+預測IC!DW27</f>
        <v>0.89968472343740924</v>
      </c>
      <c r="DW26" s="21">
        <f>DV26+預測IC!DX27</f>
        <v>0.98379572718345132</v>
      </c>
      <c r="DX26" s="21">
        <f>DW26+預測IC!DY27</f>
        <v>0.94696332863943844</v>
      </c>
      <c r="DY26" s="21">
        <f>DX26+預測IC!DZ27</f>
        <v>0.95005503145637549</v>
      </c>
      <c r="DZ26" s="21">
        <f>DY26+預測IC!EA27</f>
        <v>0.94809740324208092</v>
      </c>
      <c r="EA26" s="21">
        <f>DZ26+預測IC!EB27</f>
        <v>0.97455650684560069</v>
      </c>
      <c r="EB26" s="21">
        <f>EA26+預測IC!EC27</f>
        <v>0.94980396808491041</v>
      </c>
      <c r="EC26" s="21">
        <f>EB26+預測IC!ED27</f>
        <v>0.98391945906747036</v>
      </c>
      <c r="ED26" s="21">
        <f>EC26+預測IC!EE27</f>
        <v>1.0049814330565034</v>
      </c>
      <c r="EE26" s="21">
        <f>ED26+預測IC!EF27</f>
        <v>0.98470404035049752</v>
      </c>
      <c r="EF26" s="3"/>
    </row>
    <row r="28" spans="1:136" ht="16" customHeight="1">
      <c r="DW28" s="4"/>
    </row>
    <row r="29" spans="1:136" ht="16" customHeight="1">
      <c r="A29" s="19"/>
      <c r="B29" s="19"/>
      <c r="C29" s="19"/>
      <c r="D29" s="4"/>
      <c r="E29" s="4"/>
      <c r="F29" s="4"/>
      <c r="G29" s="4"/>
      <c r="H29" s="4"/>
      <c r="I29" s="4"/>
      <c r="J29" s="4"/>
      <c r="K29" s="19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</row>
  </sheetData>
  <mergeCells count="1">
    <mergeCell ref="A11:B11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EH37"/>
  <sheetViews>
    <sheetView zoomScale="76" zoomScaleNormal="76" workbookViewId="0">
      <selection activeCell="DS28" sqref="DS28"/>
    </sheetView>
  </sheetViews>
  <sheetFormatPr baseColWidth="10" defaultColWidth="8.83203125" defaultRowHeight="15"/>
  <cols>
    <col min="2" max="2" width="7.6640625" style="18" customWidth="1"/>
    <col min="3" max="3" width="10.83203125" style="18" customWidth="1"/>
  </cols>
  <sheetData>
    <row r="3" spans="3:137" ht="16" customHeight="1">
      <c r="C3" s="6" t="s">
        <v>142</v>
      </c>
      <c r="D3" s="8">
        <v>964</v>
      </c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  <c r="CL3" s="3"/>
      <c r="CM3" s="3"/>
      <c r="CN3" s="3"/>
      <c r="CO3" s="3"/>
      <c r="CP3" s="3"/>
      <c r="CQ3" s="3"/>
      <c r="CR3" s="3"/>
      <c r="CS3" s="3"/>
      <c r="CT3" s="3"/>
      <c r="CU3" s="3"/>
      <c r="CV3" s="3"/>
      <c r="CW3" s="3"/>
      <c r="CX3" s="3"/>
      <c r="CY3" s="3"/>
      <c r="CZ3" s="3"/>
      <c r="DA3" s="3"/>
      <c r="DB3" s="3"/>
      <c r="DC3" s="3"/>
      <c r="DD3" s="3"/>
      <c r="DE3" s="3"/>
      <c r="DF3" s="3"/>
      <c r="DG3" s="3"/>
      <c r="DH3" s="3"/>
      <c r="DI3" s="3"/>
      <c r="DJ3" s="3"/>
      <c r="DK3" s="3"/>
      <c r="DL3" s="3"/>
      <c r="DM3" s="3"/>
      <c r="DN3" s="3"/>
      <c r="DO3" s="3"/>
      <c r="DP3" s="3"/>
      <c r="DQ3" s="3"/>
      <c r="DR3" s="3"/>
      <c r="DS3" s="3"/>
      <c r="DT3" s="3"/>
      <c r="DU3" s="3"/>
      <c r="DV3" s="3"/>
      <c r="DW3" s="3"/>
      <c r="DX3" s="3"/>
      <c r="DY3" s="3"/>
      <c r="DZ3" s="3"/>
      <c r="EA3" s="3"/>
      <c r="EB3" s="3"/>
      <c r="EC3" s="3"/>
      <c r="ED3" s="3"/>
      <c r="EE3" s="3"/>
      <c r="EF3" s="3"/>
    </row>
    <row r="4" spans="3:137" ht="18" customHeight="1">
      <c r="C4" s="22" t="s">
        <v>144</v>
      </c>
      <c r="D4" s="12" t="s">
        <v>3</v>
      </c>
      <c r="E4" s="12" t="s">
        <v>4</v>
      </c>
      <c r="F4" s="12" t="s">
        <v>5</v>
      </c>
      <c r="G4" s="12" t="s">
        <v>6</v>
      </c>
      <c r="H4" s="12" t="s">
        <v>7</v>
      </c>
      <c r="I4" s="12" t="s">
        <v>8</v>
      </c>
      <c r="J4" s="12" t="s">
        <v>9</v>
      </c>
      <c r="K4" s="12" t="s">
        <v>10</v>
      </c>
      <c r="L4" s="12" t="s">
        <v>11</v>
      </c>
      <c r="M4" s="12" t="s">
        <v>12</v>
      </c>
      <c r="N4" s="12" t="s">
        <v>13</v>
      </c>
      <c r="O4" s="12" t="s">
        <v>14</v>
      </c>
      <c r="P4" s="12" t="s">
        <v>15</v>
      </c>
      <c r="Q4" s="12" t="s">
        <v>16</v>
      </c>
      <c r="R4" s="12" t="s">
        <v>17</v>
      </c>
      <c r="S4" s="12" t="s">
        <v>18</v>
      </c>
      <c r="T4" s="12" t="s">
        <v>19</v>
      </c>
      <c r="U4" s="12" t="s">
        <v>20</v>
      </c>
      <c r="V4" s="12" t="s">
        <v>21</v>
      </c>
      <c r="W4" s="12" t="s">
        <v>22</v>
      </c>
      <c r="X4" s="12" t="s">
        <v>23</v>
      </c>
      <c r="Y4" s="12" t="s">
        <v>24</v>
      </c>
      <c r="Z4" s="12" t="s">
        <v>25</v>
      </c>
      <c r="AA4" s="12" t="s">
        <v>26</v>
      </c>
      <c r="AB4" s="12" t="s">
        <v>27</v>
      </c>
      <c r="AC4" s="12" t="s">
        <v>28</v>
      </c>
      <c r="AD4" s="12" t="s">
        <v>29</v>
      </c>
      <c r="AE4" s="12" t="s">
        <v>30</v>
      </c>
      <c r="AF4" s="12" t="s">
        <v>31</v>
      </c>
      <c r="AG4" s="12" t="s">
        <v>32</v>
      </c>
      <c r="AH4" s="12" t="s">
        <v>33</v>
      </c>
      <c r="AI4" s="12" t="s">
        <v>34</v>
      </c>
      <c r="AJ4" s="12" t="s">
        <v>35</v>
      </c>
      <c r="AK4" s="12" t="s">
        <v>36</v>
      </c>
      <c r="AL4" s="12" t="s">
        <v>37</v>
      </c>
      <c r="AM4" s="12" t="s">
        <v>38</v>
      </c>
      <c r="AN4" s="12" t="s">
        <v>39</v>
      </c>
      <c r="AO4" s="12" t="s">
        <v>40</v>
      </c>
      <c r="AP4" s="12" t="s">
        <v>41</v>
      </c>
      <c r="AQ4" s="12" t="s">
        <v>42</v>
      </c>
      <c r="AR4" s="12" t="s">
        <v>43</v>
      </c>
      <c r="AS4" s="12" t="s">
        <v>44</v>
      </c>
      <c r="AT4" s="12" t="s">
        <v>45</v>
      </c>
      <c r="AU4" s="12" t="s">
        <v>46</v>
      </c>
      <c r="AV4" s="12" t="s">
        <v>47</v>
      </c>
      <c r="AW4" s="12" t="s">
        <v>48</v>
      </c>
      <c r="AX4" s="12" t="s">
        <v>49</v>
      </c>
      <c r="AY4" s="12" t="s">
        <v>50</v>
      </c>
      <c r="AZ4" s="12" t="s">
        <v>51</v>
      </c>
      <c r="BA4" s="12" t="s">
        <v>52</v>
      </c>
      <c r="BB4" s="12" t="s">
        <v>53</v>
      </c>
      <c r="BC4" s="12" t="s">
        <v>54</v>
      </c>
      <c r="BD4" s="12" t="s">
        <v>55</v>
      </c>
      <c r="BE4" s="12" t="s">
        <v>56</v>
      </c>
      <c r="BF4" s="12" t="s">
        <v>57</v>
      </c>
      <c r="BG4" s="12" t="s">
        <v>58</v>
      </c>
      <c r="BH4" s="12" t="s">
        <v>59</v>
      </c>
      <c r="BI4" s="12" t="s">
        <v>60</v>
      </c>
      <c r="BJ4" s="12" t="s">
        <v>61</v>
      </c>
      <c r="BK4" s="12" t="s">
        <v>62</v>
      </c>
      <c r="BL4" s="12" t="s">
        <v>63</v>
      </c>
      <c r="BM4" s="12" t="s">
        <v>64</v>
      </c>
      <c r="BN4" s="12" t="s">
        <v>65</v>
      </c>
      <c r="BO4" s="12" t="s">
        <v>66</v>
      </c>
      <c r="BP4" s="12" t="s">
        <v>67</v>
      </c>
      <c r="BQ4" s="12" t="s">
        <v>68</v>
      </c>
      <c r="BR4" s="12" t="s">
        <v>69</v>
      </c>
      <c r="BS4" s="12" t="s">
        <v>70</v>
      </c>
      <c r="BT4" s="12" t="s">
        <v>71</v>
      </c>
      <c r="BU4" s="12" t="s">
        <v>72</v>
      </c>
      <c r="BV4" s="12" t="s">
        <v>73</v>
      </c>
      <c r="BW4" s="12" t="s">
        <v>74</v>
      </c>
      <c r="BX4" s="12" t="s">
        <v>75</v>
      </c>
      <c r="BY4" s="12" t="s">
        <v>76</v>
      </c>
      <c r="BZ4" s="12" t="s">
        <v>77</v>
      </c>
      <c r="CA4" s="12" t="s">
        <v>78</v>
      </c>
      <c r="CB4" s="12" t="s">
        <v>79</v>
      </c>
      <c r="CC4" s="12" t="s">
        <v>80</v>
      </c>
      <c r="CD4" s="12" t="s">
        <v>81</v>
      </c>
      <c r="CE4" s="12" t="s">
        <v>82</v>
      </c>
      <c r="CF4" s="12" t="s">
        <v>83</v>
      </c>
      <c r="CG4" s="12" t="s">
        <v>84</v>
      </c>
      <c r="CH4" s="12" t="s">
        <v>85</v>
      </c>
      <c r="CI4" s="12" t="s">
        <v>86</v>
      </c>
      <c r="CJ4" s="12" t="s">
        <v>87</v>
      </c>
      <c r="CK4" s="12" t="s">
        <v>88</v>
      </c>
      <c r="CL4" s="12" t="s">
        <v>89</v>
      </c>
      <c r="CM4" s="12" t="s">
        <v>90</v>
      </c>
      <c r="CN4" s="12" t="s">
        <v>91</v>
      </c>
      <c r="CO4" s="12" t="s">
        <v>92</v>
      </c>
      <c r="CP4" s="12" t="s">
        <v>93</v>
      </c>
      <c r="CQ4" s="12" t="s">
        <v>94</v>
      </c>
      <c r="CR4" s="12" t="s">
        <v>95</v>
      </c>
      <c r="CS4" s="12" t="s">
        <v>96</v>
      </c>
      <c r="CT4" s="12" t="s">
        <v>97</v>
      </c>
      <c r="CU4" s="12" t="s">
        <v>98</v>
      </c>
      <c r="CV4" s="12" t="s">
        <v>99</v>
      </c>
      <c r="CW4" s="12" t="s">
        <v>100</v>
      </c>
      <c r="CX4" s="12" t="s">
        <v>101</v>
      </c>
      <c r="CY4" s="12" t="s">
        <v>102</v>
      </c>
      <c r="CZ4" s="12" t="s">
        <v>103</v>
      </c>
      <c r="DA4" s="12" t="s">
        <v>104</v>
      </c>
      <c r="DB4" s="12" t="s">
        <v>105</v>
      </c>
      <c r="DC4" s="12" t="s">
        <v>106</v>
      </c>
      <c r="DD4" s="12" t="s">
        <v>107</v>
      </c>
      <c r="DE4" s="12" t="s">
        <v>108</v>
      </c>
      <c r="DF4" s="12" t="s">
        <v>109</v>
      </c>
      <c r="DG4" s="12" t="s">
        <v>110</v>
      </c>
      <c r="DH4" s="12" t="s">
        <v>111</v>
      </c>
      <c r="DI4" s="12" t="s">
        <v>112</v>
      </c>
      <c r="DJ4" s="12" t="s">
        <v>113</v>
      </c>
      <c r="DK4" s="12" t="s">
        <v>114</v>
      </c>
      <c r="DL4" s="12" t="s">
        <v>115</v>
      </c>
      <c r="DM4" s="12" t="s">
        <v>116</v>
      </c>
      <c r="DN4" s="12" t="s">
        <v>117</v>
      </c>
      <c r="DO4" s="12" t="s">
        <v>118</v>
      </c>
      <c r="DP4" s="12" t="s">
        <v>119</v>
      </c>
      <c r="DQ4" s="12" t="s">
        <v>120</v>
      </c>
      <c r="DR4" s="12" t="s">
        <v>121</v>
      </c>
      <c r="DS4" s="12" t="s">
        <v>122</v>
      </c>
      <c r="DT4" s="12" t="s">
        <v>123</v>
      </c>
      <c r="DU4" s="12" t="s">
        <v>124</v>
      </c>
      <c r="DV4" s="12" t="s">
        <v>125</v>
      </c>
      <c r="DW4" s="12" t="s">
        <v>126</v>
      </c>
      <c r="DX4" s="12" t="s">
        <v>127</v>
      </c>
      <c r="DY4" s="12" t="s">
        <v>128</v>
      </c>
      <c r="DZ4" s="12" t="s">
        <v>129</v>
      </c>
      <c r="EA4" s="12" t="s">
        <v>130</v>
      </c>
      <c r="EB4" s="12" t="s">
        <v>131</v>
      </c>
      <c r="EC4" s="12" t="s">
        <v>132</v>
      </c>
      <c r="ED4" s="12" t="s">
        <v>133</v>
      </c>
      <c r="EE4" s="12" t="s">
        <v>134</v>
      </c>
      <c r="EF4" s="12" t="s">
        <v>135</v>
      </c>
      <c r="EG4" s="12" t="s">
        <v>146</v>
      </c>
    </row>
    <row r="5" spans="3:137" ht="16" customHeight="1">
      <c r="C5" s="6">
        <v>10</v>
      </c>
      <c r="D5" s="7">
        <f t="array" ref="D5">PRODUCT(1 + 預測IC!$C14:C14) -1</f>
        <v>0.13959367873036821</v>
      </c>
      <c r="E5" s="7">
        <f t="array" ref="E5">PRODUCT(1 + 預測IC!$C14:D14) -1</f>
        <v>0.16933572552470522</v>
      </c>
      <c r="F5" s="7">
        <f t="array" ref="F5">PRODUCT(1 + 預測IC!$C14:E14) -1</f>
        <v>0.16386018932133251</v>
      </c>
      <c r="G5" s="7">
        <f t="array" ref="G5">PRODUCT(1 + 預測IC!$C14:F14) -1</f>
        <v>0.14457407944950651</v>
      </c>
      <c r="H5" s="7">
        <f t="array" ref="H5">PRODUCT(1 + 預測IC!$C14:G14) -1</f>
        <v>0.12424499485554419</v>
      </c>
      <c r="I5" s="7">
        <f t="array" ref="I5">PRODUCT(1 + 預測IC!$C14:H14) -1</f>
        <v>0.11544680506226479</v>
      </c>
      <c r="J5" s="7">
        <f t="array" ref="J5">PRODUCT(1 + 預測IC!$C14:I14) -1</f>
        <v>0.11930726355857368</v>
      </c>
      <c r="K5" s="7">
        <f t="array" ref="K5">PRODUCT(1 + 預測IC!$C14:J14) -1</f>
        <v>9.9385261211944131E-2</v>
      </c>
      <c r="L5" s="7">
        <f t="array" ref="L5">PRODUCT(1 + 預測IC!$C14:K14) -1</f>
        <v>9.3482788082067891E-2</v>
      </c>
      <c r="M5" s="7">
        <f t="array" ref="M5">PRODUCT(1 + 預測IC!$C14:L14) -1</f>
        <v>9.9760865083817318E-2</v>
      </c>
      <c r="N5" s="7">
        <f t="array" ref="N5">PRODUCT(1 + 預測IC!$C14:M14) -1</f>
        <v>8.1198078215265035E-2</v>
      </c>
      <c r="O5" s="7">
        <f t="array" ref="O5">PRODUCT(1 + 預測IC!$C14:N14) -1</f>
        <v>9.2425253565052046E-2</v>
      </c>
      <c r="P5" s="7">
        <f t="array" ref="P5">PRODUCT(1 + 預測IC!$C14:O14) -1</f>
        <v>6.2466456660829728E-2</v>
      </c>
      <c r="Q5" s="7">
        <f t="array" ref="Q5">PRODUCT(1 + 預測IC!$C14:P14) -1</f>
        <v>6.3968072426462852E-2</v>
      </c>
      <c r="R5" s="7">
        <f t="array" ref="R5">PRODUCT(1 + 預測IC!$C14:Q14) -1</f>
        <v>4.633557471583849E-2</v>
      </c>
      <c r="S5" s="7">
        <f t="array" ref="S5">PRODUCT(1 + 預測IC!$C14:R14) -1</f>
        <v>2.7033216022445572E-2</v>
      </c>
      <c r="T5" s="7">
        <f t="array" ref="T5">PRODUCT(1 + 預測IC!$C14:S14) -1</f>
        <v>3.0055820226227103E-2</v>
      </c>
      <c r="U5" s="7">
        <f t="array" ref="U5">PRODUCT(1 + 預測IC!$C14:T14) -1</f>
        <v>2.0464997292072074E-2</v>
      </c>
      <c r="V5" s="7">
        <f t="array" ref="V5">PRODUCT(1 + 預測IC!$C14:U14) -1</f>
        <v>1.4224159019833982E-2</v>
      </c>
      <c r="W5" s="7">
        <f t="array" ref="W5">PRODUCT(1 + 預測IC!$C14:V14) -1</f>
        <v>4.7966753869187251E-2</v>
      </c>
      <c r="X5" s="7">
        <f t="array" ref="X5">PRODUCT(1 + 預測IC!$C14:W14) -1</f>
        <v>3.503304277104502E-2</v>
      </c>
      <c r="Y5" s="7">
        <f t="array" ref="Y5">PRODUCT(1 + 預測IC!$C14:X14) -1</f>
        <v>0.12593592268603104</v>
      </c>
      <c r="Z5" s="7">
        <f t="array" ref="Z5">PRODUCT(1 + 預測IC!$C14:Y14) -1</f>
        <v>6.2054117950333554E-2</v>
      </c>
      <c r="AA5" s="7">
        <f t="array" ref="AA5">PRODUCT(1 + 預測IC!$C14:Z14) -1</f>
        <v>7.3185150981883496E-2</v>
      </c>
      <c r="AB5" s="7">
        <f t="array" ref="AB5">PRODUCT(1 + 預測IC!$C14:AA14) -1</f>
        <v>6.981934030535708E-2</v>
      </c>
      <c r="AC5" s="7">
        <f t="array" ref="AC5">PRODUCT(1 + 預測IC!$C14:AB14) -1</f>
        <v>7.8467847419528391E-2</v>
      </c>
      <c r="AD5" s="7">
        <f t="array" ref="AD5">PRODUCT(1 + 預測IC!$C14:AC14) -1</f>
        <v>0.10863192891928142</v>
      </c>
      <c r="AE5" s="7">
        <f t="array" ref="AE5">PRODUCT(1 + 預測IC!$C14:AD14) -1</f>
        <v>0.1119422751843</v>
      </c>
      <c r="AF5" s="7">
        <f t="array" ref="AF5">PRODUCT(1 + 預測IC!$C14:AE14) -1</f>
        <v>0.10735177963237841</v>
      </c>
      <c r="AG5" s="7">
        <f t="array" ref="AG5">PRODUCT(1 + 預測IC!$C14:AF14) -1</f>
        <v>0.10385985873546977</v>
      </c>
      <c r="AH5" s="7">
        <f t="array" ref="AH5">PRODUCT(1 + 預測IC!$C14:AG14) -1</f>
        <v>0.12067085706236691</v>
      </c>
      <c r="AI5" s="7">
        <f t="array" ref="AI5">PRODUCT(1 + 預測IC!$C14:AH14) -1</f>
        <v>0.14451797004432509</v>
      </c>
      <c r="AJ5" s="7">
        <f t="array" ref="AJ5">PRODUCT(1 + 預測IC!$C14:AI14) -1</f>
        <v>0.1476446547948409</v>
      </c>
      <c r="AK5" s="7">
        <f t="array" ref="AK5">PRODUCT(1 + 預測IC!$C14:AJ14) -1</f>
        <v>0.11936884326780994</v>
      </c>
      <c r="AL5" s="7">
        <f t="array" ref="AL5">PRODUCT(1 + 預測IC!$C14:AK14) -1</f>
        <v>9.9087136918512453E-2</v>
      </c>
      <c r="AM5" s="7">
        <f t="array" ref="AM5">PRODUCT(1 + 預測IC!$C14:AL14) -1</f>
        <v>9.9878210464589889E-2</v>
      </c>
      <c r="AN5" s="7">
        <f t="array" ref="AN5">PRODUCT(1 + 預測IC!$C14:AM14) -1</f>
        <v>7.6881735257965156E-2</v>
      </c>
      <c r="AO5" s="7">
        <f t="array" ref="AO5">PRODUCT(1 + 預測IC!$C14:AN14) -1</f>
        <v>8.4767899039784211E-2</v>
      </c>
      <c r="AP5" s="7">
        <f t="array" ref="AP5">PRODUCT(1 + 預測IC!$C14:AO14) -1</f>
        <v>0.10407339104178503</v>
      </c>
      <c r="AQ5" s="7">
        <f t="array" ref="AQ5">PRODUCT(1 + 預測IC!$C14:AP14) -1</f>
        <v>0.14199469246306218</v>
      </c>
      <c r="AR5" s="7">
        <f t="array" ref="AR5">PRODUCT(1 + 預測IC!$C14:AQ14) -1</f>
        <v>0.16501662828230224</v>
      </c>
      <c r="AS5" s="7">
        <f t="array" ref="AS5">PRODUCT(1 + 預測IC!$C14:AR14) -1</f>
        <v>0.17096620984222377</v>
      </c>
      <c r="AT5" s="7">
        <f t="array" ref="AT5">PRODUCT(1 + 預測IC!$C14:AS14) -1</f>
        <v>0.19137722692495029</v>
      </c>
      <c r="AU5" s="7">
        <f t="array" ref="AU5">PRODUCT(1 + 預測IC!$C14:AT14) -1</f>
        <v>0.18003356808785798</v>
      </c>
      <c r="AV5" s="7">
        <f t="array" ref="AV5">PRODUCT(1 + 預測IC!$C14:AU14) -1</f>
        <v>0.19137062696386109</v>
      </c>
      <c r="AW5" s="7">
        <f t="array" ref="AW5">PRODUCT(1 + 預測IC!$C14:AV14) -1</f>
        <v>0.19988865501463926</v>
      </c>
      <c r="AX5" s="7">
        <f t="array" ref="AX5">PRODUCT(1 + 預測IC!$C14:AW14) -1</f>
        <v>0.20723112810340982</v>
      </c>
      <c r="AY5" s="7">
        <f t="array" ref="AY5">PRODUCT(1 + 預測IC!$C14:AX14) -1</f>
        <v>0.1798692566675868</v>
      </c>
      <c r="AZ5" s="7">
        <f t="array" ref="AZ5">PRODUCT(1 + 預測IC!$C14:AY14) -1</f>
        <v>0.17329888185708264</v>
      </c>
      <c r="BA5" s="7">
        <f t="array" ref="BA5">PRODUCT(1 + 預測IC!$C14:AZ14) -1</f>
        <v>0.1786929241222015</v>
      </c>
      <c r="BB5" s="7">
        <f t="array" ref="BB5">PRODUCT(1 + 預測IC!$C14:BA14) -1</f>
        <v>0.20302628183697613</v>
      </c>
      <c r="BC5" s="7">
        <f t="array" ref="BC5">PRODUCT(1 + 預測IC!$C14:BB14) -1</f>
        <v>0.18409114728910447</v>
      </c>
      <c r="BD5" s="7">
        <f t="array" ref="BD5">PRODUCT(1 + 預測IC!$C14:BC14) -1</f>
        <v>0.18969729557016368</v>
      </c>
      <c r="BE5" s="7">
        <f t="array" ref="BE5">PRODUCT(1 + 預測IC!$C14:BD14) -1</f>
        <v>0.19878396824379152</v>
      </c>
      <c r="BF5" s="7">
        <f t="array" ref="BF5">PRODUCT(1 + 預測IC!$C14:BE14) -1</f>
        <v>0.1705310804567346</v>
      </c>
      <c r="BG5" s="7">
        <f t="array" ref="BG5">PRODUCT(1 + 預測IC!$C14:BF14) -1</f>
        <v>0.18850291663783647</v>
      </c>
      <c r="BH5" s="7">
        <f t="array" ref="BH5">PRODUCT(1 + 預測IC!$C14:BG14) -1</f>
        <v>0.22562561538788328</v>
      </c>
      <c r="BI5" s="7">
        <f t="array" ref="BI5">PRODUCT(1 + 預測IC!$C14:BH14) -1</f>
        <v>0.21531072522127848</v>
      </c>
      <c r="BJ5" s="7">
        <f t="array" ref="BJ5">PRODUCT(1 + 預測IC!$C14:BI14) -1</f>
        <v>0.21227099277568939</v>
      </c>
      <c r="BK5" s="7">
        <f t="array" ref="BK5">PRODUCT(1 + 預測IC!$C14:BJ14) -1</f>
        <v>0.20750291767416584</v>
      </c>
      <c r="BL5" s="7">
        <f t="array" ref="BL5">PRODUCT(1 + 預測IC!$C14:BK14) -1</f>
        <v>0.21147612251389813</v>
      </c>
      <c r="BM5" s="7">
        <f t="array" ref="BM5">PRODUCT(1 + 預測IC!$C14:BL14) -1</f>
        <v>0.25874066381733063</v>
      </c>
      <c r="BN5" s="7">
        <f t="array" ref="BN5">PRODUCT(1 + 預測IC!$C14:BM14) -1</f>
        <v>0.24720706854488483</v>
      </c>
      <c r="BO5" s="7">
        <f t="array" ref="BO5">PRODUCT(1 + 預測IC!$C14:BN14) -1</f>
        <v>0.23639781304712049</v>
      </c>
      <c r="BP5" s="7">
        <f t="array" ref="BP5">PRODUCT(1 + 預測IC!$C14:BO14) -1</f>
        <v>0.25246195641999836</v>
      </c>
      <c r="BQ5" s="7">
        <f t="array" ref="BQ5">PRODUCT(1 + 預測IC!$C14:BP14) -1</f>
        <v>0.23325671844283002</v>
      </c>
      <c r="BR5" s="7">
        <f t="array" ref="BR5">PRODUCT(1 + 預測IC!$C14:BQ14) -1</f>
        <v>0.20685240769627944</v>
      </c>
      <c r="BS5" s="7">
        <f t="array" ref="BS5">PRODUCT(1 + 預測IC!$C14:BR14) -1</f>
        <v>0.21579834520970342</v>
      </c>
      <c r="BT5" s="7">
        <f t="array" ref="BT5">PRODUCT(1 + 預測IC!$C14:BS14) -1</f>
        <v>0.20691375576760551</v>
      </c>
      <c r="BU5" s="7">
        <f t="array" ref="BU5">PRODUCT(1 + 預測IC!$C14:BT14) -1</f>
        <v>0.2525854807203014</v>
      </c>
      <c r="BV5" s="7">
        <f t="array" ref="BV5">PRODUCT(1 + 預測IC!$C14:BU14) -1</f>
        <v>0.27412775513107657</v>
      </c>
      <c r="BW5" s="7">
        <f t="array" ref="BW5">PRODUCT(1 + 預測IC!$C14:BV14) -1</f>
        <v>0.27885418469098533</v>
      </c>
      <c r="BX5" s="7">
        <f t="array" ref="BX5">PRODUCT(1 + 預測IC!$C14:BW14) -1</f>
        <v>0.31499856956414352</v>
      </c>
      <c r="BY5" s="7">
        <f t="array" ref="BY5">PRODUCT(1 + 預測IC!$C14:BX14) -1</f>
        <v>0.31258902782135078</v>
      </c>
      <c r="BZ5" s="7">
        <f t="array" ref="BZ5">PRODUCT(1 + 預測IC!$C14:BY14) -1</f>
        <v>0.35654306785717371</v>
      </c>
      <c r="CA5" s="7">
        <f t="array" ref="CA5">PRODUCT(1 + 預測IC!$C14:BZ14) -1</f>
        <v>0.26561598665032471</v>
      </c>
      <c r="CB5" s="7">
        <f t="array" ref="CB5">PRODUCT(1 + 預測IC!$C14:CA14) -1</f>
        <v>0.26026614456721653</v>
      </c>
      <c r="CC5" s="7">
        <f t="array" ref="CC5">PRODUCT(1 + 預測IC!$C14:CB14) -1</f>
        <v>0.26291562322984974</v>
      </c>
      <c r="CD5" s="7">
        <f t="array" ref="CD5">PRODUCT(1 + 預測IC!$C14:CC14) -1</f>
        <v>0.24594223167108198</v>
      </c>
      <c r="CE5" s="7">
        <f t="array" ref="CE5">PRODUCT(1 + 預測IC!$C14:CD14) -1</f>
        <v>0.1930866892658798</v>
      </c>
      <c r="CF5" s="7">
        <f t="array" ref="CF5">PRODUCT(1 + 預測IC!$C14:CE14) -1</f>
        <v>0.22495296240053286</v>
      </c>
      <c r="CG5" s="7">
        <f t="array" ref="CG5">PRODUCT(1 + 預測IC!$C14:CF14) -1</f>
        <v>0.26149281627446075</v>
      </c>
      <c r="CH5" s="7">
        <f t="array" ref="CH5">PRODUCT(1 + 預測IC!$C14:CG14) -1</f>
        <v>0.24987476388299101</v>
      </c>
      <c r="CI5" s="7">
        <f t="array" ref="CI5">PRODUCT(1 + 預測IC!$C14:CH14) -1</f>
        <v>0.31835679511936199</v>
      </c>
      <c r="CJ5" s="7">
        <f t="array" ref="CJ5">PRODUCT(1 + 預測IC!$C14:CI14) -1</f>
        <v>0.32110796016530618</v>
      </c>
      <c r="CK5" s="7">
        <f t="array" ref="CK5">PRODUCT(1 + 預測IC!$C14:CJ14) -1</f>
        <v>0.28570412523667876</v>
      </c>
      <c r="CL5" s="7">
        <f t="array" ref="CL5">PRODUCT(1 + 預測IC!$C14:CK14) -1</f>
        <v>0.23464975538741317</v>
      </c>
      <c r="CM5" s="7">
        <f t="array" ref="CM5">PRODUCT(1 + 預測IC!$C14:CL14) -1</f>
        <v>0.33989647840464898</v>
      </c>
      <c r="CN5" s="7">
        <f t="array" ref="CN5">PRODUCT(1 + 預測IC!$C14:CM14) -1</f>
        <v>0.31725596297294212</v>
      </c>
      <c r="CO5" s="7">
        <f t="array" ref="CO5">PRODUCT(1 + 預測IC!$C14:CN14) -1</f>
        <v>0.36110909081907727</v>
      </c>
      <c r="CP5" s="7">
        <f t="array" ref="CP5">PRODUCT(1 + 預測IC!$C14:CO14) -1</f>
        <v>0.28165135875891734</v>
      </c>
      <c r="CQ5" s="7">
        <f t="array" ref="CQ5">PRODUCT(1 + 預測IC!$C14:CP14) -1</f>
        <v>0.25390570916375599</v>
      </c>
      <c r="CR5" s="7">
        <f t="array" ref="CR5">PRODUCT(1 + 預測IC!$C14:CQ14) -1</f>
        <v>0.24216268903132021</v>
      </c>
      <c r="CS5" s="7">
        <f t="array" ref="CS5">PRODUCT(1 + 預測IC!$C14:CR14) -1</f>
        <v>0.22999840538848382</v>
      </c>
      <c r="CT5" s="7">
        <f t="array" ref="CT5">PRODUCT(1 + 預測IC!$C14:CS14) -1</f>
        <v>0.22903826188728127</v>
      </c>
      <c r="CU5" s="7">
        <f t="array" ref="CU5">PRODUCT(1 + 預測IC!$C14:CT14) -1</f>
        <v>0.2573691878675759</v>
      </c>
      <c r="CV5" s="7">
        <f t="array" ref="CV5">PRODUCT(1 + 預測IC!$C14:CU14) -1</f>
        <v>0.21178306371902988</v>
      </c>
      <c r="CW5" s="7">
        <f t="array" ref="CW5">PRODUCT(1 + 預測IC!$C14:CV14) -1</f>
        <v>0.24208932918999726</v>
      </c>
      <c r="CX5" s="7">
        <f t="array" ref="CX5">PRODUCT(1 + 預測IC!$C14:CW14) -1</f>
        <v>0.23978523194623524</v>
      </c>
      <c r="CY5" s="7">
        <f t="array" ref="CY5">PRODUCT(1 + 預測IC!$C14:CX14) -1</f>
        <v>0.20484748528196328</v>
      </c>
      <c r="CZ5" s="7">
        <f t="array" ref="CZ5">PRODUCT(1 + 預測IC!$C14:CY14) -1</f>
        <v>0.20682098778176883</v>
      </c>
      <c r="DA5" s="7">
        <f t="array" ref="DA5">PRODUCT(1 + 預測IC!$C14:CZ14) -1</f>
        <v>0.21039067928823663</v>
      </c>
      <c r="DB5" s="7">
        <f t="array" ref="DB5">PRODUCT(1 + 預測IC!$C14:DA14) -1</f>
        <v>0.28571341028503983</v>
      </c>
      <c r="DC5" s="7">
        <f t="array" ref="DC5">PRODUCT(1 + 預測IC!$C14:DB14) -1</f>
        <v>0.30417081967416859</v>
      </c>
      <c r="DD5" s="7">
        <f t="array" ref="DD5">PRODUCT(1 + 預測IC!$C14:DC14) -1</f>
        <v>0.20504143186701862</v>
      </c>
      <c r="DE5" s="7">
        <f t="array" ref="DE5">PRODUCT(1 + 預測IC!$C14:DD14) -1</f>
        <v>0.21994281499693269</v>
      </c>
      <c r="DF5" s="7">
        <f t="array" ref="DF5">PRODUCT(1 + 預測IC!$C14:DE14) -1</f>
        <v>0.29089715318842768</v>
      </c>
      <c r="DG5" s="7">
        <f t="array" ref="DG5">PRODUCT(1 + 預測IC!$C14:DF14) -1</f>
        <v>0.28442984816426908</v>
      </c>
      <c r="DH5" s="7">
        <f t="array" ref="DH5">PRODUCT(1 + 預測IC!$C14:DG14) -1</f>
        <v>0.33818459568915227</v>
      </c>
      <c r="DI5" s="7">
        <f t="array" ref="DI5">PRODUCT(1 + 預測IC!$C14:DH14) -1</f>
        <v>0.34868344477586755</v>
      </c>
      <c r="DJ5" s="7">
        <f t="array" ref="DJ5">PRODUCT(1 + 預測IC!$C14:DI14) -1</f>
        <v>0.38271234116061814</v>
      </c>
      <c r="DK5" s="7">
        <f t="array" ref="DK5">PRODUCT(1 + 預測IC!$C14:DJ14) -1</f>
        <v>0.42857286504315906</v>
      </c>
      <c r="DL5" s="7">
        <f t="array" ref="DL5">PRODUCT(1 + 預測IC!$C14:DK14) -1</f>
        <v>0.45500314244793083</v>
      </c>
      <c r="DM5" s="7">
        <f t="array" ref="DM5">PRODUCT(1 + 預測IC!$C14:DL14) -1</f>
        <v>0.48195699482592369</v>
      </c>
      <c r="DN5" s="7">
        <f t="array" ref="DN5">PRODUCT(1 + 預測IC!$C14:DM14) -1</f>
        <v>0.54407770466844374</v>
      </c>
      <c r="DO5" s="7">
        <f t="array" ref="DO5">PRODUCT(1 + 預測IC!$C14:DN14) -1</f>
        <v>0.49672005481349202</v>
      </c>
      <c r="DP5" s="7">
        <f t="array" ref="DP5">PRODUCT(1 + 預測IC!$C14:DO14) -1</f>
        <v>0.49209882392108195</v>
      </c>
      <c r="DQ5" s="7">
        <f t="array" ref="DQ5">PRODUCT(1 + 預測IC!$C14:DP14) -1</f>
        <v>0.51047015718342048</v>
      </c>
      <c r="DR5" s="7">
        <f t="array" ref="DR5">PRODUCT(1 + 預測IC!$C14:DQ14) -1</f>
        <v>0.50319561139189317</v>
      </c>
      <c r="DS5" s="7">
        <f t="array" ref="DS5">PRODUCT(1 + 預測IC!$C14:DR14) -1</f>
        <v>0.52423167552671823</v>
      </c>
      <c r="DT5" s="7">
        <f t="array" ref="DT5">PRODUCT(1 + 預測IC!$C14:DS14) -1</f>
        <v>0.53494457721515132</v>
      </c>
      <c r="DU5" s="7">
        <f t="array" ref="DU5">PRODUCT(1 + 預測IC!$C14:DT14) -1</f>
        <v>0.57655083331831003</v>
      </c>
      <c r="DV5" s="7">
        <f t="array" ref="DV5">PRODUCT(1 + 預測IC!$C14:DU14) -1</f>
        <v>0.57682780243713117</v>
      </c>
      <c r="DW5" s="7">
        <f t="array" ref="DW5">PRODUCT(1 + 預測IC!$C14:DV14) -1</f>
        <v>0.53586939396105238</v>
      </c>
      <c r="DX5" s="7">
        <f t="array" ref="DX5">PRODUCT(1 + 預測IC!$C14:DW14) -1</f>
        <v>0.47806776958374897</v>
      </c>
      <c r="DY5" s="7">
        <f t="array" ref="DY5">PRODUCT(1 + 預測IC!$C14:DX14) -1</f>
        <v>0.46729743684704705</v>
      </c>
      <c r="DZ5" s="7">
        <f t="array" ref="DZ5">PRODUCT(1 + 預測IC!$C14:DY14) -1</f>
        <v>0.485919769818419</v>
      </c>
      <c r="EA5" s="7">
        <f t="array" ref="EA5">PRODUCT(1 + 預測IC!$C14:DZ14) -1</f>
        <v>0.52141489454761536</v>
      </c>
      <c r="EB5" s="7">
        <f t="array" ref="EB5">PRODUCT(1 + 預測IC!$C14:EA14) -1</f>
        <v>0.4331975104306367</v>
      </c>
      <c r="EC5" s="7">
        <f t="array" ref="EC5">PRODUCT(1 + 預測IC!$C14:EB14) -1</f>
        <v>0.44417596836329709</v>
      </c>
      <c r="ED5" s="7">
        <f t="array" ref="ED5">PRODUCT(1 + 預測IC!$C14:EC14) -1</f>
        <v>0.41860411850015455</v>
      </c>
      <c r="EE5" s="7">
        <f t="array" ref="EE5">PRODUCT(1 + 預測IC!$C14:ED14) -1</f>
        <v>0.41182578895889765</v>
      </c>
      <c r="EF5" s="7">
        <f t="array" ref="EF5">PRODUCT(1 + 預測IC!$C14:EE14) -1</f>
        <v>0.38963336695279893</v>
      </c>
      <c r="EG5" s="7">
        <f t="array" ref="EG5">PRODUCT(1 + 預測IC!$C14:EF14) -1</f>
        <v>0.44838618321439094</v>
      </c>
    </row>
    <row r="6" spans="3:137" ht="16" customHeight="1">
      <c r="C6" s="6">
        <v>20</v>
      </c>
      <c r="D6" s="7">
        <f t="array" ref="D6">PRODUCT(1 + 預測IC!$C15:C15) -1</f>
        <v>0.19687692674233026</v>
      </c>
      <c r="E6" s="7">
        <f t="array" ref="E6">PRODUCT(1 + 預測IC!$C15:D15) -1</f>
        <v>0.28415019455093438</v>
      </c>
      <c r="F6" s="7">
        <f t="array" ref="F6">PRODUCT(1 + 預測IC!$C15:E15) -1</f>
        <v>0.2671268362332051</v>
      </c>
      <c r="G6" s="7">
        <f t="array" ref="G6">PRODUCT(1 + 預測IC!$C15:F15) -1</f>
        <v>0.29766150888542575</v>
      </c>
      <c r="H6" s="7">
        <f t="array" ref="H6">PRODUCT(1 + 預測IC!$C15:G15) -1</f>
        <v>0.30694418160155212</v>
      </c>
      <c r="I6" s="7">
        <f t="array" ref="I6">PRODUCT(1 + 預測IC!$C15:H15) -1</f>
        <v>0.29481736719714924</v>
      </c>
      <c r="J6" s="7">
        <f t="array" ref="J6">PRODUCT(1 + 預測IC!$C15:I15) -1</f>
        <v>0.31888951779540919</v>
      </c>
      <c r="K6" s="7">
        <f t="array" ref="K6">PRODUCT(1 + 預測IC!$C15:J15) -1</f>
        <v>0.30473682988394768</v>
      </c>
      <c r="L6" s="7">
        <f t="array" ref="L6">PRODUCT(1 + 預測IC!$C15:K15) -1</f>
        <v>0.25365244991929137</v>
      </c>
      <c r="M6" s="7">
        <f t="array" ref="M6">PRODUCT(1 + 預測IC!$C15:L15) -1</f>
        <v>0.28019311456709661</v>
      </c>
      <c r="N6" s="7">
        <f t="array" ref="N6">PRODUCT(1 + 預測IC!$C15:M15) -1</f>
        <v>0.28254555263688519</v>
      </c>
      <c r="O6" s="7">
        <f t="array" ref="O6">PRODUCT(1 + 預測IC!$C15:N15) -1</f>
        <v>0.2667206851579742</v>
      </c>
      <c r="P6" s="7">
        <f t="array" ref="P6">PRODUCT(1 + 預測IC!$C15:O15) -1</f>
        <v>0.21653133272167646</v>
      </c>
      <c r="Q6" s="7">
        <f t="array" ref="Q6">PRODUCT(1 + 預測IC!$C15:P15) -1</f>
        <v>0.20990453196342673</v>
      </c>
      <c r="R6" s="7">
        <f t="array" ref="R6">PRODUCT(1 + 預測IC!$C15:Q15) -1</f>
        <v>0.21726803225067837</v>
      </c>
      <c r="S6" s="7">
        <f t="array" ref="S6">PRODUCT(1 + 預測IC!$C15:R15) -1</f>
        <v>0.18510837118924806</v>
      </c>
      <c r="T6" s="7">
        <f t="array" ref="T6">PRODUCT(1 + 預測IC!$C15:S15) -1</f>
        <v>0.17685881609509968</v>
      </c>
      <c r="U6" s="7">
        <f t="array" ref="U6">PRODUCT(1 + 預測IC!$C15:T15) -1</f>
        <v>0.16755732152351333</v>
      </c>
      <c r="V6" s="7">
        <f t="array" ref="V6">PRODUCT(1 + 預測IC!$C15:U15) -1</f>
        <v>0.10626639144140038</v>
      </c>
      <c r="W6" s="7">
        <f t="array" ref="W6">PRODUCT(1 + 預測IC!$C15:V15) -1</f>
        <v>0.15155842157215793</v>
      </c>
      <c r="X6" s="7">
        <f t="array" ref="X6">PRODUCT(1 + 預測IC!$C15:W15) -1</f>
        <v>0.16446080494649995</v>
      </c>
      <c r="Y6" s="7">
        <f t="array" ref="Y6">PRODUCT(1 + 預測IC!$C15:X15) -1</f>
        <v>0.27698768718453781</v>
      </c>
      <c r="Z6" s="7">
        <f t="array" ref="Z6">PRODUCT(1 + 預測IC!$C15:Y15) -1</f>
        <v>0.2213279404478905</v>
      </c>
      <c r="AA6" s="7">
        <f t="array" ref="AA6">PRODUCT(1 + 預測IC!$C15:Z15) -1</f>
        <v>0.24942788855266285</v>
      </c>
      <c r="AB6" s="7">
        <f t="array" ref="AB6">PRODUCT(1 + 預測IC!$C15:AA15) -1</f>
        <v>0.22111523703658942</v>
      </c>
      <c r="AC6" s="7">
        <f t="array" ref="AC6">PRODUCT(1 + 預測IC!$C15:AB15) -1</f>
        <v>0.23357719560034274</v>
      </c>
      <c r="AD6" s="7">
        <f t="array" ref="AD6">PRODUCT(1 + 預測IC!$C15:AC15) -1</f>
        <v>0.2584629882313747</v>
      </c>
      <c r="AE6" s="7">
        <f t="array" ref="AE6">PRODUCT(1 + 預測IC!$C15:AD15) -1</f>
        <v>0.28961602011003618</v>
      </c>
      <c r="AF6" s="7">
        <f t="array" ref="AF6">PRODUCT(1 + 預測IC!$C15:AE15) -1</f>
        <v>0.26572203903701341</v>
      </c>
      <c r="AG6" s="7">
        <f t="array" ref="AG6">PRODUCT(1 + 預測IC!$C15:AF15) -1</f>
        <v>0.28831645676401529</v>
      </c>
      <c r="AH6" s="7">
        <f t="array" ref="AH6">PRODUCT(1 + 預測IC!$C15:AG15) -1</f>
        <v>0.30185767989209444</v>
      </c>
      <c r="AI6" s="7">
        <f t="array" ref="AI6">PRODUCT(1 + 預測IC!$C15:AH15) -1</f>
        <v>0.34306877790377932</v>
      </c>
      <c r="AJ6" s="7">
        <f t="array" ref="AJ6">PRODUCT(1 + 預測IC!$C15:AI15) -1</f>
        <v>0.33647265681999561</v>
      </c>
      <c r="AK6" s="7">
        <f t="array" ref="AK6">PRODUCT(1 + 預測IC!$C15:AJ15) -1</f>
        <v>0.28497861338730779</v>
      </c>
      <c r="AL6" s="7">
        <f t="array" ref="AL6">PRODUCT(1 + 預測IC!$C15:AK15) -1</f>
        <v>0.235859916862591</v>
      </c>
      <c r="AM6" s="7">
        <f t="array" ref="AM6">PRODUCT(1 + 預測IC!$C15:AL15) -1</f>
        <v>0.22884566499635728</v>
      </c>
      <c r="AN6" s="7">
        <f t="array" ref="AN6">PRODUCT(1 + 預測IC!$C15:AM15) -1</f>
        <v>0.21281511417918919</v>
      </c>
      <c r="AO6" s="7">
        <f t="array" ref="AO6">PRODUCT(1 + 預測IC!$C15:AN15) -1</f>
        <v>0.23379052085984831</v>
      </c>
      <c r="AP6" s="7">
        <f t="array" ref="AP6">PRODUCT(1 + 預測IC!$C15:AO15) -1</f>
        <v>0.28110897305378724</v>
      </c>
      <c r="AQ6" s="7">
        <f t="array" ref="AQ6">PRODUCT(1 + 預測IC!$C15:AP15) -1</f>
        <v>0.35154521361167879</v>
      </c>
      <c r="AR6" s="7">
        <f t="array" ref="AR6">PRODUCT(1 + 預測IC!$C15:AQ15) -1</f>
        <v>0.37073716465306883</v>
      </c>
      <c r="AS6" s="7">
        <f t="array" ref="AS6">PRODUCT(1 + 預測IC!$C15:AR15) -1</f>
        <v>0.37887360339517562</v>
      </c>
      <c r="AT6" s="7">
        <f t="array" ref="AT6">PRODUCT(1 + 預測IC!$C15:AS15) -1</f>
        <v>0.42347334302036121</v>
      </c>
      <c r="AU6" s="7">
        <f t="array" ref="AU6">PRODUCT(1 + 預測IC!$C15:AT15) -1</f>
        <v>0.4109040001946509</v>
      </c>
      <c r="AV6" s="7">
        <f t="array" ref="AV6">PRODUCT(1 + 預測IC!$C15:AU15) -1</f>
        <v>0.46209323257740476</v>
      </c>
      <c r="AW6" s="7">
        <f t="array" ref="AW6">PRODUCT(1 + 預測IC!$C15:AV15) -1</f>
        <v>0.48696196998402153</v>
      </c>
      <c r="AX6" s="7">
        <f t="array" ref="AX6">PRODUCT(1 + 預測IC!$C15:AW15) -1</f>
        <v>0.42085466215446177</v>
      </c>
      <c r="AY6" s="7">
        <f t="array" ref="AY6">PRODUCT(1 + 預測IC!$C15:AX15) -1</f>
        <v>0.38576432567956664</v>
      </c>
      <c r="AZ6" s="7">
        <f t="array" ref="AZ6">PRODUCT(1 + 預測IC!$C15:AY15) -1</f>
        <v>0.37961367049600292</v>
      </c>
      <c r="BA6" s="7">
        <f t="array" ref="BA6">PRODUCT(1 + 預測IC!$C15:AZ15) -1</f>
        <v>0.39729208760721879</v>
      </c>
      <c r="BB6" s="7">
        <f t="array" ref="BB6">PRODUCT(1 + 預測IC!$C15:BA15) -1</f>
        <v>0.45898877701191299</v>
      </c>
      <c r="BC6" s="7">
        <f t="array" ref="BC6">PRODUCT(1 + 預測IC!$C15:BB15) -1</f>
        <v>0.41021833074268743</v>
      </c>
      <c r="BD6" s="7">
        <f t="array" ref="BD6">PRODUCT(1 + 預測IC!$C15:BC15) -1</f>
        <v>0.40502391884216937</v>
      </c>
      <c r="BE6" s="7">
        <f t="array" ref="BE6">PRODUCT(1 + 預測IC!$C15:BD15) -1</f>
        <v>0.43340465224560698</v>
      </c>
      <c r="BF6" s="7">
        <f t="array" ref="BF6">PRODUCT(1 + 預測IC!$C15:BE15) -1</f>
        <v>0.38242322645059801</v>
      </c>
      <c r="BG6" s="7">
        <f t="array" ref="BG6">PRODUCT(1 + 預測IC!$C15:BF15) -1</f>
        <v>0.36972723437718202</v>
      </c>
      <c r="BH6" s="7">
        <f t="array" ref="BH6">PRODUCT(1 + 預測IC!$C15:BG15) -1</f>
        <v>0.41735184585721541</v>
      </c>
      <c r="BI6" s="7">
        <f t="array" ref="BI6">PRODUCT(1 + 預測IC!$C15:BH15) -1</f>
        <v>0.40341727234375391</v>
      </c>
      <c r="BJ6" s="7">
        <f t="array" ref="BJ6">PRODUCT(1 + 預測IC!$C15:BI15) -1</f>
        <v>0.45409766311022515</v>
      </c>
      <c r="BK6" s="7">
        <f t="array" ref="BK6">PRODUCT(1 + 預測IC!$C15:BJ15) -1</f>
        <v>0.45153111144765501</v>
      </c>
      <c r="BL6" s="7">
        <f t="array" ref="BL6">PRODUCT(1 + 預測IC!$C15:BK15) -1</f>
        <v>0.44888118199642446</v>
      </c>
      <c r="BM6" s="7">
        <f t="array" ref="BM6">PRODUCT(1 + 預測IC!$C15:BL15) -1</f>
        <v>0.49397217994905351</v>
      </c>
      <c r="BN6" s="7">
        <f t="array" ref="BN6">PRODUCT(1 + 預測IC!$C15:BM15) -1</f>
        <v>0.47344497470708613</v>
      </c>
      <c r="BO6" s="7">
        <f t="array" ref="BO6">PRODUCT(1 + 預測IC!$C15:BN15) -1</f>
        <v>0.47339203341205227</v>
      </c>
      <c r="BP6" s="7">
        <f t="array" ref="BP6">PRODUCT(1 + 預測IC!$C15:BO15) -1</f>
        <v>0.51070412689990707</v>
      </c>
      <c r="BQ6" s="7">
        <f t="array" ref="BQ6">PRODUCT(1 + 預測IC!$C15:BP15) -1</f>
        <v>0.45749759751042229</v>
      </c>
      <c r="BR6" s="7">
        <f t="array" ref="BR6">PRODUCT(1 + 預測IC!$C15:BQ15) -1</f>
        <v>0.41723294668376987</v>
      </c>
      <c r="BS6" s="7">
        <f t="array" ref="BS6">PRODUCT(1 + 預測IC!$C15:BR15) -1</f>
        <v>0.39617931728011513</v>
      </c>
      <c r="BT6" s="7">
        <f t="array" ref="BT6">PRODUCT(1 + 預測IC!$C15:BS15) -1</f>
        <v>0.35881452739490682</v>
      </c>
      <c r="BU6" s="7">
        <f t="array" ref="BU6">PRODUCT(1 + 預測IC!$C15:BT15) -1</f>
        <v>0.42802383367031327</v>
      </c>
      <c r="BV6" s="7">
        <f t="array" ref="BV6">PRODUCT(1 + 預測IC!$C15:BU15) -1</f>
        <v>0.40191221307329172</v>
      </c>
      <c r="BW6" s="7">
        <f t="array" ref="BW6">PRODUCT(1 + 預測IC!$C15:BV15) -1</f>
        <v>0.43748766128238681</v>
      </c>
      <c r="BX6" s="7">
        <f t="array" ref="BX6">PRODUCT(1 + 預測IC!$C15:BW15) -1</f>
        <v>0.49772574127623104</v>
      </c>
      <c r="BY6" s="7">
        <f t="array" ref="BY6">PRODUCT(1 + 預測IC!$C15:BX15) -1</f>
        <v>0.48505076878633524</v>
      </c>
      <c r="BZ6" s="7">
        <f t="array" ref="BZ6">PRODUCT(1 + 預測IC!$C15:BY15) -1</f>
        <v>0.45577863005852004</v>
      </c>
      <c r="CA6" s="7">
        <f t="array" ref="CA6">PRODUCT(1 + 預測IC!$C15:BZ15) -1</f>
        <v>0.30348968263212162</v>
      </c>
      <c r="CB6" s="7">
        <f t="array" ref="CB6">PRODUCT(1 + 預測IC!$C15:CA15) -1</f>
        <v>0.26186613995986474</v>
      </c>
      <c r="CC6" s="7">
        <f t="array" ref="CC6">PRODUCT(1 + 預測IC!$C15:CB15) -1</f>
        <v>0.28090383949337516</v>
      </c>
      <c r="CD6" s="7">
        <f t="array" ref="CD6">PRODUCT(1 + 預測IC!$C15:CC15) -1</f>
        <v>0.24022320237698347</v>
      </c>
      <c r="CE6" s="7">
        <f t="array" ref="CE6">PRODUCT(1 + 預測IC!$C15:CD15) -1</f>
        <v>0.21288365217592453</v>
      </c>
      <c r="CF6" s="7">
        <f t="array" ref="CF6">PRODUCT(1 + 預測IC!$C15:CE15) -1</f>
        <v>0.27653356136059104</v>
      </c>
      <c r="CG6" s="7">
        <f t="array" ref="CG6">PRODUCT(1 + 預測IC!$C15:CF15) -1</f>
        <v>0.31715342094773402</v>
      </c>
      <c r="CH6" s="7">
        <f t="array" ref="CH6">PRODUCT(1 + 預測IC!$C15:CG15) -1</f>
        <v>0.29689611945297223</v>
      </c>
      <c r="CI6" s="7">
        <f t="array" ref="CI6">PRODUCT(1 + 預測IC!$C15:CH15) -1</f>
        <v>0.36814006667226806</v>
      </c>
      <c r="CJ6" s="7">
        <f t="array" ref="CJ6">PRODUCT(1 + 預測IC!$C15:CI15) -1</f>
        <v>0.33467776450735798</v>
      </c>
      <c r="CK6" s="7">
        <f t="array" ref="CK6">PRODUCT(1 + 預測IC!$C15:CJ15) -1</f>
        <v>0.32641415181915545</v>
      </c>
      <c r="CL6" s="7">
        <f t="array" ref="CL6">PRODUCT(1 + 預測IC!$C15:CK15) -1</f>
        <v>0.2682965505101349</v>
      </c>
      <c r="CM6" s="7">
        <f t="array" ref="CM6">PRODUCT(1 + 預測IC!$C15:CL15) -1</f>
        <v>0.35084710012580977</v>
      </c>
      <c r="CN6" s="7">
        <f t="array" ref="CN6">PRODUCT(1 + 預測IC!$C15:CM15) -1</f>
        <v>0.31621107370564006</v>
      </c>
      <c r="CO6" s="7">
        <f t="array" ref="CO6">PRODUCT(1 + 預測IC!$C15:CN15) -1</f>
        <v>0.33903326689287328</v>
      </c>
      <c r="CP6" s="7">
        <f t="array" ref="CP6">PRODUCT(1 + 預測IC!$C15:CO15) -1</f>
        <v>0.21176887201426919</v>
      </c>
      <c r="CQ6" s="7">
        <f t="array" ref="CQ6">PRODUCT(1 + 預測IC!$C15:CP15) -1</f>
        <v>0.22757708832043022</v>
      </c>
      <c r="CR6" s="7">
        <f t="array" ref="CR6">PRODUCT(1 + 預測IC!$C15:CQ15) -1</f>
        <v>0.23740023954981471</v>
      </c>
      <c r="CS6" s="7">
        <f t="array" ref="CS6">PRODUCT(1 + 預測IC!$C15:CR15) -1</f>
        <v>0.22520064878424728</v>
      </c>
      <c r="CT6" s="7">
        <f t="array" ref="CT6">PRODUCT(1 + 預測IC!$C15:CS15) -1</f>
        <v>0.21319126096667262</v>
      </c>
      <c r="CU6" s="7">
        <f t="array" ref="CU6">PRODUCT(1 + 預測IC!$C15:CT15) -1</f>
        <v>0.24958595533070427</v>
      </c>
      <c r="CV6" s="7">
        <f t="array" ref="CV6">PRODUCT(1 + 預測IC!$C15:CU15) -1</f>
        <v>0.20042853339099076</v>
      </c>
      <c r="CW6" s="7">
        <f t="array" ref="CW6">PRODUCT(1 + 預測IC!$C15:CV15) -1</f>
        <v>0.25372915872472124</v>
      </c>
      <c r="CX6" s="7">
        <f t="array" ref="CX6">PRODUCT(1 + 預測IC!$C15:CW15) -1</f>
        <v>0.23908125805119651</v>
      </c>
      <c r="CY6" s="7">
        <f t="array" ref="CY6">PRODUCT(1 + 預測IC!$C15:CX15) -1</f>
        <v>0.2212717632971537</v>
      </c>
      <c r="CZ6" s="7">
        <f t="array" ref="CZ6">PRODUCT(1 + 預測IC!$C15:CY15) -1</f>
        <v>0.20767580111848027</v>
      </c>
      <c r="DA6" s="7">
        <f t="array" ref="DA6">PRODUCT(1 + 預測IC!$C15:CZ15) -1</f>
        <v>0.20840512477791751</v>
      </c>
      <c r="DB6" s="7">
        <f t="array" ref="DB6">PRODUCT(1 + 預測IC!$C15:DA15) -1</f>
        <v>0.29258078918125374</v>
      </c>
      <c r="DC6" s="7">
        <f t="array" ref="DC6">PRODUCT(1 + 預測IC!$C15:DB15) -1</f>
        <v>0.30252857044929105</v>
      </c>
      <c r="DD6" s="7">
        <f t="array" ref="DD6">PRODUCT(1 + 預測IC!$C15:DC15) -1</f>
        <v>0.19538266069235122</v>
      </c>
      <c r="DE6" s="7">
        <f t="array" ref="DE6">PRODUCT(1 + 預測IC!$C15:DD15) -1</f>
        <v>0.24891764476287936</v>
      </c>
      <c r="DF6" s="7">
        <f t="array" ref="DF6">PRODUCT(1 + 預測IC!$C15:DE15) -1</f>
        <v>0.34026005556960626</v>
      </c>
      <c r="DG6" s="7">
        <f t="array" ref="DG6">PRODUCT(1 + 預測IC!$C15:DF15) -1</f>
        <v>0.35340392078391569</v>
      </c>
      <c r="DH6" s="7">
        <f t="array" ref="DH6">PRODUCT(1 + 預測IC!$C15:DG15) -1</f>
        <v>0.41097801528218336</v>
      </c>
      <c r="DI6" s="7">
        <f t="array" ref="DI6">PRODUCT(1 + 預測IC!$C15:DH15) -1</f>
        <v>0.44601509388960836</v>
      </c>
      <c r="DJ6" s="7">
        <f t="array" ref="DJ6">PRODUCT(1 + 預測IC!$C15:DI15) -1</f>
        <v>0.46996027233817439</v>
      </c>
      <c r="DK6" s="7">
        <f t="array" ref="DK6">PRODUCT(1 + 預測IC!$C15:DJ15) -1</f>
        <v>0.49951581447857696</v>
      </c>
      <c r="DL6" s="7">
        <f t="array" ref="DL6">PRODUCT(1 + 預測IC!$C15:DK15) -1</f>
        <v>0.52280931031336686</v>
      </c>
      <c r="DM6" s="7">
        <f t="array" ref="DM6">PRODUCT(1 + 預測IC!$C15:DL15) -1</f>
        <v>0.57368703522064601</v>
      </c>
      <c r="DN6" s="7">
        <f t="array" ref="DN6">PRODUCT(1 + 預測IC!$C15:DM15) -1</f>
        <v>0.64480451271289052</v>
      </c>
      <c r="DO6" s="7">
        <f t="array" ref="DO6">PRODUCT(1 + 預測IC!$C15:DN15) -1</f>
        <v>0.59839387917244968</v>
      </c>
      <c r="DP6" s="7">
        <f t="array" ref="DP6">PRODUCT(1 + 預測IC!$C15:DO15) -1</f>
        <v>0.60260638633355312</v>
      </c>
      <c r="DQ6" s="7">
        <f t="array" ref="DQ6">PRODUCT(1 + 預測IC!$C15:DP15) -1</f>
        <v>0.63295772791356364</v>
      </c>
      <c r="DR6" s="7">
        <f t="array" ref="DR6">PRODUCT(1 + 預測IC!$C15:DQ15) -1</f>
        <v>0.63330132687151131</v>
      </c>
      <c r="DS6" s="7">
        <f t="array" ref="DS6">PRODUCT(1 + 預測IC!$C15:DR15) -1</f>
        <v>0.71187009326507078</v>
      </c>
      <c r="DT6" s="7">
        <f t="array" ref="DT6">PRODUCT(1 + 預測IC!$C15:DS15) -1</f>
        <v>0.74611869340070958</v>
      </c>
      <c r="DU6" s="7">
        <f t="array" ref="DU6">PRODUCT(1 + 預測IC!$C15:DT15) -1</f>
        <v>0.77646132701062931</v>
      </c>
      <c r="DV6" s="7">
        <f t="array" ref="DV6">PRODUCT(1 + 預測IC!$C15:DU15) -1</f>
        <v>0.75568101015639066</v>
      </c>
      <c r="DW6" s="7">
        <f t="array" ref="DW6">PRODUCT(1 + 預測IC!$C15:DV15) -1</f>
        <v>0.700132253669143</v>
      </c>
      <c r="DX6" s="7">
        <f t="array" ref="DX6">PRODUCT(1 + 預測IC!$C15:DW15) -1</f>
        <v>0.62649136242101178</v>
      </c>
      <c r="DY6" s="7">
        <f t="array" ref="DY6">PRODUCT(1 + 預測IC!$C15:DX15) -1</f>
        <v>0.59803616251887659</v>
      </c>
      <c r="DZ6" s="7">
        <f t="array" ref="DZ6">PRODUCT(1 + 預測IC!$C15:DY15) -1</f>
        <v>0.64878049143669281</v>
      </c>
      <c r="EA6" s="7">
        <f t="array" ref="EA6">PRODUCT(1 + 預測IC!$C15:DZ15) -1</f>
        <v>0.69572545522883256</v>
      </c>
      <c r="EB6" s="7">
        <f t="array" ref="EB6">PRODUCT(1 + 預測IC!$C15:EA15) -1</f>
        <v>0.61686954217639189</v>
      </c>
      <c r="EC6" s="7">
        <f t="array" ref="EC6">PRODUCT(1 + 預測IC!$C15:EB15) -1</f>
        <v>0.67371477406533864</v>
      </c>
      <c r="ED6" s="7">
        <f t="array" ref="ED6">PRODUCT(1 + 預測IC!$C15:EC15) -1</f>
        <v>0.61750221943388617</v>
      </c>
      <c r="EE6" s="7">
        <f t="array" ref="EE6">PRODUCT(1 + 預測IC!$C15:ED15) -1</f>
        <v>0.54237861634029216</v>
      </c>
      <c r="EF6" s="7">
        <f t="array" ref="EF6">PRODUCT(1 + 預測IC!$C15:EE15) -1</f>
        <v>0.52387629218976839</v>
      </c>
      <c r="EG6" s="7">
        <f t="array" ref="EG6">PRODUCT(1 + 預測IC!$C15:EF15) -1</f>
        <v>0.59427973657686994</v>
      </c>
    </row>
    <row r="7" spans="3:137" ht="16" customHeight="1">
      <c r="C7" s="6">
        <v>50</v>
      </c>
      <c r="D7" s="7">
        <f t="array" ref="D7">PRODUCT(1 + 預測IC!$C16:C16) -1</f>
        <v>0.36308230375568429</v>
      </c>
      <c r="E7" s="7">
        <f t="array" ref="E7">PRODUCT(1 + 預測IC!$C16:D16) -1</f>
        <v>0.44786763022185805</v>
      </c>
      <c r="F7" s="7">
        <f t="array" ref="F7">PRODUCT(1 + 預測IC!$C16:E16) -1</f>
        <v>0.42799653753368361</v>
      </c>
      <c r="G7" s="7">
        <f t="array" ref="G7">PRODUCT(1 + 預測IC!$C16:F16) -1</f>
        <v>0.47299152255052457</v>
      </c>
      <c r="H7" s="7">
        <f t="array" ref="H7">PRODUCT(1 + 預測IC!$C16:G16) -1</f>
        <v>0.50310176064714507</v>
      </c>
      <c r="I7" s="7">
        <f t="array" ref="I7">PRODUCT(1 + 預測IC!$C16:H16) -1</f>
        <v>0.52342709865207016</v>
      </c>
      <c r="J7" s="7">
        <f t="array" ref="J7">PRODUCT(1 + 預測IC!$C16:I16) -1</f>
        <v>0.49327671592849276</v>
      </c>
      <c r="K7" s="7">
        <f t="array" ref="K7">PRODUCT(1 + 預測IC!$C16:J16) -1</f>
        <v>0.36526812357174121</v>
      </c>
      <c r="L7" s="7">
        <f t="array" ref="L7">PRODUCT(1 + 預測IC!$C16:K16) -1</f>
        <v>0.30824816304966274</v>
      </c>
      <c r="M7" s="7">
        <f t="array" ref="M7">PRODUCT(1 + 預測IC!$C16:L16) -1</f>
        <v>0.32901888110270017</v>
      </c>
      <c r="N7" s="7">
        <f t="array" ref="N7">PRODUCT(1 + 預測IC!$C16:M16) -1</f>
        <v>0.31763240532750614</v>
      </c>
      <c r="O7" s="7">
        <f t="array" ref="O7">PRODUCT(1 + 預測IC!$C16:N16) -1</f>
        <v>0.26582869501804818</v>
      </c>
      <c r="P7" s="7">
        <f t="array" ref="P7">PRODUCT(1 + 預測IC!$C16:O16) -1</f>
        <v>0.21083196914983993</v>
      </c>
      <c r="Q7" s="7">
        <f t="array" ref="Q7">PRODUCT(1 + 預測IC!$C16:P16) -1</f>
        <v>0.20922197589077252</v>
      </c>
      <c r="R7" s="7">
        <f t="array" ref="R7">PRODUCT(1 + 預測IC!$C16:Q16) -1</f>
        <v>0.23782020663035075</v>
      </c>
      <c r="S7" s="7">
        <f t="array" ref="S7">PRODUCT(1 + 預測IC!$C16:R16) -1</f>
        <v>0.1724976505539062</v>
      </c>
      <c r="T7" s="7">
        <f t="array" ref="T7">PRODUCT(1 + 預測IC!$C16:S16) -1</f>
        <v>0.1430899541590136</v>
      </c>
      <c r="U7" s="7">
        <f t="array" ref="U7">PRODUCT(1 + 預測IC!$C16:T16) -1</f>
        <v>8.8946814940573216E-2</v>
      </c>
      <c r="V7" s="7">
        <f t="array" ref="V7">PRODUCT(1 + 預測IC!$C16:U16) -1</f>
        <v>1.8835712084791512E-2</v>
      </c>
      <c r="W7" s="7">
        <f t="array" ref="W7">PRODUCT(1 + 預測IC!$C16:V16) -1</f>
        <v>0.10423714128470318</v>
      </c>
      <c r="X7" s="7">
        <f t="array" ref="X7">PRODUCT(1 + 預測IC!$C16:W16) -1</f>
        <v>0.1355052929448477</v>
      </c>
      <c r="Y7" s="7">
        <f t="array" ref="Y7">PRODUCT(1 + 預測IC!$C16:X16) -1</f>
        <v>0.28062133910407172</v>
      </c>
      <c r="Z7" s="7">
        <f t="array" ref="Z7">PRODUCT(1 + 預測IC!$C16:Y16) -1</f>
        <v>0.19341863236825496</v>
      </c>
      <c r="AA7" s="7">
        <f t="array" ref="AA7">PRODUCT(1 + 預測IC!$C16:Z16) -1</f>
        <v>0.26220477337277925</v>
      </c>
      <c r="AB7" s="7">
        <f t="array" ref="AB7">PRODUCT(1 + 預測IC!$C16:AA16) -1</f>
        <v>0.18608140471561541</v>
      </c>
      <c r="AC7" s="7">
        <f t="array" ref="AC7">PRODUCT(1 + 預測IC!$C16:AB16) -1</f>
        <v>0.15956578540526301</v>
      </c>
      <c r="AD7" s="7">
        <f t="array" ref="AD7">PRODUCT(1 + 預測IC!$C16:AC16) -1</f>
        <v>0.22269766680395664</v>
      </c>
      <c r="AE7" s="7">
        <f t="array" ref="AE7">PRODUCT(1 + 預測IC!$C16:AD16) -1</f>
        <v>0.29292703271013387</v>
      </c>
      <c r="AF7" s="7">
        <f t="array" ref="AF7">PRODUCT(1 + 預測IC!$C16:AE16) -1</f>
        <v>0.28354291014735011</v>
      </c>
      <c r="AG7" s="7">
        <f t="array" ref="AG7">PRODUCT(1 + 預測IC!$C16:AF16) -1</f>
        <v>0.38853835583196927</v>
      </c>
      <c r="AH7" s="7">
        <f t="array" ref="AH7">PRODUCT(1 + 預測IC!$C16:AG16) -1</f>
        <v>0.40926453456609724</v>
      </c>
      <c r="AI7" s="7">
        <f t="array" ref="AI7">PRODUCT(1 + 預測IC!$C16:AH16) -1</f>
        <v>0.48483808353879132</v>
      </c>
      <c r="AJ7" s="7">
        <f t="array" ref="AJ7">PRODUCT(1 + 預測IC!$C16:AI16) -1</f>
        <v>0.53690681290232734</v>
      </c>
      <c r="AK7" s="7">
        <f t="array" ref="AK7">PRODUCT(1 + 預測IC!$C16:AJ16) -1</f>
        <v>0.457269308389886</v>
      </c>
      <c r="AL7" s="7">
        <f t="array" ref="AL7">PRODUCT(1 + 預測IC!$C16:AK16) -1</f>
        <v>0.45121796147905635</v>
      </c>
      <c r="AM7" s="7">
        <f t="array" ref="AM7">PRODUCT(1 + 預測IC!$C16:AL16) -1</f>
        <v>0.383684438243729</v>
      </c>
      <c r="AN7" s="7">
        <f t="array" ref="AN7">PRODUCT(1 + 預測IC!$C16:AM16) -1</f>
        <v>0.37056971213079226</v>
      </c>
      <c r="AO7" s="7">
        <f t="array" ref="AO7">PRODUCT(1 + 預測IC!$C16:AN16) -1</f>
        <v>0.44700037955276928</v>
      </c>
      <c r="AP7" s="7">
        <f t="array" ref="AP7">PRODUCT(1 + 預測IC!$C16:AO16) -1</f>
        <v>0.5832884098512523</v>
      </c>
      <c r="AQ7" s="7">
        <f t="array" ref="AQ7">PRODUCT(1 + 預測IC!$C16:AP16) -1</f>
        <v>0.74149168894882322</v>
      </c>
      <c r="AR7" s="7">
        <f t="array" ref="AR7">PRODUCT(1 + 預測IC!$C16:AQ16) -1</f>
        <v>0.65301491056650174</v>
      </c>
      <c r="AS7" s="7">
        <f t="array" ref="AS7">PRODUCT(1 + 預測IC!$C16:AR16) -1</f>
        <v>0.65504776387578301</v>
      </c>
      <c r="AT7" s="7">
        <f t="array" ref="AT7">PRODUCT(1 + 預測IC!$C16:AS16) -1</f>
        <v>0.69979398347691024</v>
      </c>
      <c r="AU7" s="7">
        <f t="array" ref="AU7">PRODUCT(1 + 預測IC!$C16:AT16) -1</f>
        <v>0.7827271273289802</v>
      </c>
      <c r="AV7" s="7">
        <f t="array" ref="AV7">PRODUCT(1 + 預測IC!$C16:AU16) -1</f>
        <v>0.90340996623142056</v>
      </c>
      <c r="AW7" s="7">
        <f t="array" ref="AW7">PRODUCT(1 + 預測IC!$C16:AV16) -1</f>
        <v>0.92955120448266659</v>
      </c>
      <c r="AX7" s="7">
        <f t="array" ref="AX7">PRODUCT(1 + 預測IC!$C16:AW16) -1</f>
        <v>0.90824958985304272</v>
      </c>
      <c r="AY7" s="7">
        <f t="array" ref="AY7">PRODUCT(1 + 預測IC!$C16:AX16) -1</f>
        <v>0.8109645310931739</v>
      </c>
      <c r="AZ7" s="7">
        <f t="array" ref="AZ7">PRODUCT(1 + 預測IC!$C16:AY16) -1</f>
        <v>0.81578744974686601</v>
      </c>
      <c r="BA7" s="7">
        <f t="array" ref="BA7">PRODUCT(1 + 預測IC!$C16:AZ16) -1</f>
        <v>0.86615329885238324</v>
      </c>
      <c r="BB7" s="7">
        <f t="array" ref="BB7">PRODUCT(1 + 預測IC!$C16:BA16) -1</f>
        <v>0.95178052533477331</v>
      </c>
      <c r="BC7" s="7">
        <f t="array" ref="BC7">PRODUCT(1 + 預測IC!$C16:BB16) -1</f>
        <v>0.80387826195733703</v>
      </c>
      <c r="BD7" s="7">
        <f t="array" ref="BD7">PRODUCT(1 + 預測IC!$C16:BC16) -1</f>
        <v>0.78445289369175231</v>
      </c>
      <c r="BE7" s="7">
        <f t="array" ref="BE7">PRODUCT(1 + 預測IC!$C16:BD16) -1</f>
        <v>0.80724705697362187</v>
      </c>
      <c r="BF7" s="7">
        <f t="array" ref="BF7">PRODUCT(1 + 預測IC!$C16:BE16) -1</f>
        <v>0.76360887926513632</v>
      </c>
      <c r="BG7" s="7">
        <f t="array" ref="BG7">PRODUCT(1 + 預測IC!$C16:BF16) -1</f>
        <v>0.7302237371708955</v>
      </c>
      <c r="BH7" s="7">
        <f t="array" ref="BH7">PRODUCT(1 + 預測IC!$C16:BG16) -1</f>
        <v>0.92698635861168754</v>
      </c>
      <c r="BI7" s="7">
        <f t="array" ref="BI7">PRODUCT(1 + 預測IC!$C16:BH16) -1</f>
        <v>1.0801392694497549</v>
      </c>
      <c r="BJ7" s="7">
        <f t="array" ref="BJ7">PRODUCT(1 + 預測IC!$C16:BI16) -1</f>
        <v>1.0123484029783207</v>
      </c>
      <c r="BK7" s="7">
        <f t="array" ref="BK7">PRODUCT(1 + 預測IC!$C16:BJ16) -1</f>
        <v>1.0679556579890246</v>
      </c>
      <c r="BL7" s="7">
        <f t="array" ref="BL7">PRODUCT(1 + 預測IC!$C16:BK16) -1</f>
        <v>1.0665187487686749</v>
      </c>
      <c r="BM7" s="7">
        <f t="array" ref="BM7">PRODUCT(1 + 預測IC!$C16:BL16) -1</f>
        <v>1.183906372686554</v>
      </c>
      <c r="BN7" s="7">
        <f t="array" ref="BN7">PRODUCT(1 + 預測IC!$C16:BM16) -1</f>
        <v>1.1235915606408544</v>
      </c>
      <c r="BO7" s="7">
        <f t="array" ref="BO7">PRODUCT(1 + 預測IC!$C16:BN16) -1</f>
        <v>1.1171227794102934</v>
      </c>
      <c r="BP7" s="7">
        <f t="array" ref="BP7">PRODUCT(1 + 預測IC!$C16:BO16) -1</f>
        <v>1.1756397431158363</v>
      </c>
      <c r="BQ7" s="7">
        <f t="array" ref="BQ7">PRODUCT(1 + 預測IC!$C16:BP16) -1</f>
        <v>1.1099119039534897</v>
      </c>
      <c r="BR7" s="7">
        <f t="array" ref="BR7">PRODUCT(1 + 預測IC!$C16:BQ16) -1</f>
        <v>1.1088451505192758</v>
      </c>
      <c r="BS7" s="7">
        <f t="array" ref="BS7">PRODUCT(1 + 預測IC!$C16:BR16) -1</f>
        <v>0.98611143761491293</v>
      </c>
      <c r="BT7" s="7">
        <f t="array" ref="BT7">PRODUCT(1 + 預測IC!$C16:BS16) -1</f>
        <v>0.97516650649169412</v>
      </c>
      <c r="BU7" s="7">
        <f t="array" ref="BU7">PRODUCT(1 + 預測IC!$C16:BT16) -1</f>
        <v>1.0104096126086808</v>
      </c>
      <c r="BV7" s="7">
        <f t="array" ref="BV7">PRODUCT(1 + 預測IC!$C16:BU16) -1</f>
        <v>0.87514248505242631</v>
      </c>
      <c r="BW7" s="7">
        <f t="array" ref="BW7">PRODUCT(1 + 預測IC!$C16:BV16) -1</f>
        <v>0.9688439857618123</v>
      </c>
      <c r="BX7" s="7">
        <f t="array" ref="BX7">PRODUCT(1 + 預測IC!$C16:BW16) -1</f>
        <v>1.1077018804699912</v>
      </c>
      <c r="BY7" s="7">
        <f t="array" ref="BY7">PRODUCT(1 + 預測IC!$C16:BX16) -1</f>
        <v>1.1197759221432975</v>
      </c>
      <c r="BZ7" s="7">
        <f t="array" ref="BZ7">PRODUCT(1 + 預測IC!$C16:BY16) -1</f>
        <v>1.0860671336899537</v>
      </c>
      <c r="CA7" s="7">
        <f t="array" ref="CA7">PRODUCT(1 + 預測IC!$C16:BZ16) -1</f>
        <v>0.75993432233599756</v>
      </c>
      <c r="CB7" s="7">
        <f t="array" ref="CB7">PRODUCT(1 + 預測IC!$C16:CA16) -1</f>
        <v>0.72299498289835173</v>
      </c>
      <c r="CC7" s="7">
        <f t="array" ref="CC7">PRODUCT(1 + 預測IC!$C16:CB16) -1</f>
        <v>0.90250817034362796</v>
      </c>
      <c r="CD7" s="7">
        <f t="array" ref="CD7">PRODUCT(1 + 預測IC!$C16:CC16) -1</f>
        <v>0.86647567601556275</v>
      </c>
      <c r="CE7" s="7">
        <f t="array" ref="CE7">PRODUCT(1 + 預測IC!$C16:CD16) -1</f>
        <v>0.83603581902708601</v>
      </c>
      <c r="CF7" s="7">
        <f t="array" ref="CF7">PRODUCT(1 + 預測IC!$C16:CE16) -1</f>
        <v>0.81658535579672131</v>
      </c>
      <c r="CG7" s="7">
        <f t="array" ref="CG7">PRODUCT(1 + 預測IC!$C16:CF16) -1</f>
        <v>0.90758367945520857</v>
      </c>
      <c r="CH7" s="7">
        <f t="array" ref="CH7">PRODUCT(1 + 預測IC!$C16:CG16) -1</f>
        <v>0.94434997537292542</v>
      </c>
      <c r="CI7" s="7">
        <f t="array" ref="CI7">PRODUCT(1 + 預測IC!$C16:CH16) -1</f>
        <v>1.0857571495231895</v>
      </c>
      <c r="CJ7" s="7">
        <f t="array" ref="CJ7">PRODUCT(1 + 預測IC!$C16:CI16) -1</f>
        <v>1.0771427141328851</v>
      </c>
      <c r="CK7" s="7">
        <f t="array" ref="CK7">PRODUCT(1 + 預測IC!$C16:CJ16) -1</f>
        <v>0.95672585187136039</v>
      </c>
      <c r="CL7" s="7">
        <f t="array" ref="CL7">PRODUCT(1 + 預測IC!$C16:CK16) -1</f>
        <v>0.90111928711604317</v>
      </c>
      <c r="CM7" s="7">
        <f t="array" ref="CM7">PRODUCT(1 + 預測IC!$C16:CL16) -1</f>
        <v>0.92156399404429146</v>
      </c>
      <c r="CN7" s="7">
        <f t="array" ref="CN7">PRODUCT(1 + 預測IC!$C16:CM16) -1</f>
        <v>0.90406909686992698</v>
      </c>
      <c r="CO7" s="7">
        <f t="array" ref="CO7">PRODUCT(1 + 預測IC!$C16:CN16) -1</f>
        <v>1.0029882518326532</v>
      </c>
      <c r="CP7" s="7">
        <f t="array" ref="CP7">PRODUCT(1 + 預測IC!$C16:CO16) -1</f>
        <v>0.48677672951288309</v>
      </c>
      <c r="CQ7" s="7">
        <f t="array" ref="CQ7">PRODUCT(1 + 預測IC!$C16:CP16) -1</f>
        <v>0.58113758022136608</v>
      </c>
      <c r="CR7" s="7">
        <f t="array" ref="CR7">PRODUCT(1 + 預測IC!$C16:CQ16) -1</f>
        <v>0.70110698295360874</v>
      </c>
      <c r="CS7" s="7">
        <f t="array" ref="CS7">PRODUCT(1 + 預測IC!$C16:CR16) -1</f>
        <v>0.76288702384927598</v>
      </c>
      <c r="CT7" s="7">
        <f t="array" ref="CT7">PRODUCT(1 + 預測IC!$C16:CS16) -1</f>
        <v>0.78348359525488975</v>
      </c>
      <c r="CU7" s="7">
        <f t="array" ref="CU7">PRODUCT(1 + 預測IC!$C16:CT16) -1</f>
        <v>0.82072996922668362</v>
      </c>
      <c r="CV7" s="7">
        <f t="array" ref="CV7">PRODUCT(1 + 預測IC!$C16:CU16) -1</f>
        <v>0.72444598358480627</v>
      </c>
      <c r="CW7" s="7">
        <f t="array" ref="CW7">PRODUCT(1 + 預測IC!$C16:CV16) -1</f>
        <v>0.85943603833192239</v>
      </c>
      <c r="CX7" s="7">
        <f t="array" ref="CX7">PRODUCT(1 + 預測IC!$C16:CW16) -1</f>
        <v>0.78048657018567869</v>
      </c>
      <c r="CY7" s="7">
        <f t="array" ref="CY7">PRODUCT(1 + 預測IC!$C16:CX16) -1</f>
        <v>0.7503461255910473</v>
      </c>
      <c r="CZ7" s="7">
        <f t="array" ref="CZ7">PRODUCT(1 + 預測IC!$C16:CY16) -1</f>
        <v>0.74440912701805972</v>
      </c>
      <c r="DA7" s="7">
        <f t="array" ref="DA7">PRODUCT(1 + 預測IC!$C16:CZ16) -1</f>
        <v>0.76390050261424758</v>
      </c>
      <c r="DB7" s="7">
        <f t="array" ref="DB7">PRODUCT(1 + 預測IC!$C16:DA16) -1</f>
        <v>0.92213985888197314</v>
      </c>
      <c r="DC7" s="7">
        <f t="array" ref="DC7">PRODUCT(1 + 預測IC!$C16:DB16) -1</f>
        <v>0.85982730022895471</v>
      </c>
      <c r="DD7" s="7">
        <f t="array" ref="DD7">PRODUCT(1 + 預測IC!$C16:DC16) -1</f>
        <v>0.72387156057662505</v>
      </c>
      <c r="DE7" s="7">
        <f t="array" ref="DE7">PRODUCT(1 + 預測IC!$C16:DD16) -1</f>
        <v>0.77807270181668997</v>
      </c>
      <c r="DF7" s="7">
        <f t="array" ref="DF7">PRODUCT(1 + 預測IC!$C16:DE16) -1</f>
        <v>0.8513137638387458</v>
      </c>
      <c r="DG7" s="7">
        <f t="array" ref="DG7">PRODUCT(1 + 預測IC!$C16:DF16) -1</f>
        <v>0.84036857862078351</v>
      </c>
      <c r="DH7" s="7">
        <f t="array" ref="DH7">PRODUCT(1 + 預測IC!$C16:DG16) -1</f>
        <v>0.92070473770428229</v>
      </c>
      <c r="DI7" s="7">
        <f t="array" ref="DI7">PRODUCT(1 + 預測IC!$C16:DH16) -1</f>
        <v>0.9020041276386408</v>
      </c>
      <c r="DJ7" s="7">
        <f t="array" ref="DJ7">PRODUCT(1 + 預測IC!$C16:DI16) -1</f>
        <v>0.85098785618529704</v>
      </c>
      <c r="DK7" s="7">
        <f t="array" ref="DK7">PRODUCT(1 + 預測IC!$C16:DJ16) -1</f>
        <v>0.89551702976396985</v>
      </c>
      <c r="DL7" s="7">
        <f t="array" ref="DL7">PRODUCT(1 + 預測IC!$C16:DK16) -1</f>
        <v>0.85026753822912982</v>
      </c>
      <c r="DM7" s="7">
        <f t="array" ref="DM7">PRODUCT(1 + 預測IC!$C16:DL16) -1</f>
        <v>0.99015213183619699</v>
      </c>
      <c r="DN7" s="7">
        <f t="array" ref="DN7">PRODUCT(1 + 預測IC!$C16:DM16) -1</f>
        <v>1.1212804017460449</v>
      </c>
      <c r="DO7" s="7">
        <f t="array" ref="DO7">PRODUCT(1 + 預測IC!$C16:DN16) -1</f>
        <v>1.1696022496434875</v>
      </c>
      <c r="DP7" s="7">
        <f t="array" ref="DP7">PRODUCT(1 + 預測IC!$C16:DO16) -1</f>
        <v>1.2241819358201096</v>
      </c>
      <c r="DQ7" s="7">
        <f t="array" ref="DQ7">PRODUCT(1 + 預測IC!$C16:DP16) -1</f>
        <v>1.452614507975075</v>
      </c>
      <c r="DR7" s="7">
        <f t="array" ref="DR7">PRODUCT(1 + 預測IC!$C16:DQ16) -1</f>
        <v>1.439537677127654</v>
      </c>
      <c r="DS7" s="7">
        <f t="array" ref="DS7">PRODUCT(1 + 預測IC!$C16:DR16) -1</f>
        <v>1.4714416753476782</v>
      </c>
      <c r="DT7" s="7">
        <f t="array" ref="DT7">PRODUCT(1 + 預測IC!$C16:DS16) -1</f>
        <v>1.5897232213091699</v>
      </c>
      <c r="DU7" s="7">
        <f t="array" ref="DU7">PRODUCT(1 + 預測IC!$C16:DT16) -1</f>
        <v>1.6033049791070799</v>
      </c>
      <c r="DV7" s="7">
        <f t="array" ref="DV7">PRODUCT(1 + 預測IC!$C16:DU16) -1</f>
        <v>1.5876850098553823</v>
      </c>
      <c r="DW7" s="7">
        <f t="array" ref="DW7">PRODUCT(1 + 預測IC!$C16:DV16) -1</f>
        <v>1.5646543122694383</v>
      </c>
      <c r="DX7" s="7">
        <f t="array" ref="DX7">PRODUCT(1 + 預測IC!$C16:DW16) -1</f>
        <v>1.4486428700935585</v>
      </c>
      <c r="DY7" s="7">
        <f t="array" ref="DY7">PRODUCT(1 + 預測IC!$C16:DX16) -1</f>
        <v>1.2893219001136327</v>
      </c>
      <c r="DZ7" s="7">
        <f t="array" ref="DZ7">PRODUCT(1 + 預測IC!$C16:DY16) -1</f>
        <v>1.4079229048596695</v>
      </c>
      <c r="EA7" s="7">
        <f t="array" ref="EA7">PRODUCT(1 + 預測IC!$C16:DZ16) -1</f>
        <v>1.455919090730613</v>
      </c>
      <c r="EB7" s="7">
        <f t="array" ref="EB7">PRODUCT(1 + 預測IC!$C16:EA16) -1</f>
        <v>1.4067113470906047</v>
      </c>
      <c r="EC7" s="7">
        <f t="array" ref="EC7">PRODUCT(1 + 預測IC!$C16:EB16) -1</f>
        <v>1.4945690812585597</v>
      </c>
      <c r="ED7" s="7">
        <f t="array" ref="ED7">PRODUCT(1 + 預測IC!$C16:EC16) -1</f>
        <v>1.4627416354658656</v>
      </c>
      <c r="EE7" s="7">
        <f t="array" ref="EE7">PRODUCT(1 + 預測IC!$C16:ED16) -1</f>
        <v>1.1985426333697338</v>
      </c>
      <c r="EF7" s="7">
        <f t="array" ref="EF7">PRODUCT(1 + 預測IC!$C16:EE16) -1</f>
        <v>1.2435381567941</v>
      </c>
      <c r="EG7" s="7">
        <f t="array" ref="EG7">PRODUCT(1 + 預測IC!$C16:EF16) -1</f>
        <v>1.3681445002805712</v>
      </c>
    </row>
    <row r="8" spans="3:137" ht="16" customHeight="1">
      <c r="C8" s="6">
        <v>100</v>
      </c>
      <c r="D8" s="7">
        <f t="array" ref="D8">PRODUCT(1 + 預測IC!$C17:C17) -1</f>
        <v>0.50963263247614221</v>
      </c>
      <c r="E8" s="7">
        <f t="array" ref="E8">PRODUCT(1 + 預測IC!$C17:D17) -1</f>
        <v>0.63966449065870301</v>
      </c>
      <c r="F8" s="7">
        <f t="array" ref="F8">PRODUCT(1 + 預測IC!$C17:E17) -1</f>
        <v>0.83045469113472881</v>
      </c>
      <c r="G8" s="7">
        <f t="array" ref="G8">PRODUCT(1 + 預測IC!$C17:F17) -1</f>
        <v>1.0572266779775958</v>
      </c>
      <c r="H8" s="7">
        <f t="array" ref="H8">PRODUCT(1 + 預測IC!$C17:G17) -1</f>
        <v>0.97103189051194683</v>
      </c>
      <c r="I8" s="7">
        <f t="array" ref="I8">PRODUCT(1 + 預測IC!$C17:H17) -1</f>
        <v>1.0039927869077725</v>
      </c>
      <c r="J8" s="7">
        <f t="array" ref="J8">PRODUCT(1 + 預測IC!$C17:I17) -1</f>
        <v>1.0078066279346594</v>
      </c>
      <c r="K8" s="7">
        <f t="array" ref="K8">PRODUCT(1 + 預測IC!$C17:J17) -1</f>
        <v>0.79040155292084591</v>
      </c>
      <c r="L8" s="7">
        <f t="array" ref="L8">PRODUCT(1 + 預測IC!$C17:K17) -1</f>
        <v>0.8147154745708709</v>
      </c>
      <c r="M8" s="7">
        <f t="array" ref="M8">PRODUCT(1 + 預測IC!$C17:L17) -1</f>
        <v>0.75892551546357034</v>
      </c>
      <c r="N8" s="7">
        <f t="array" ref="N8">PRODUCT(1 + 預測IC!$C17:M17) -1</f>
        <v>0.75551636827824709</v>
      </c>
      <c r="O8" s="7">
        <f t="array" ref="O8">PRODUCT(1 + 預測IC!$C17:N17) -1</f>
        <v>0.82369261905130609</v>
      </c>
      <c r="P8" s="7">
        <f t="array" ref="P8">PRODUCT(1 + 預測IC!$C17:O17) -1</f>
        <v>0.62424580645067085</v>
      </c>
      <c r="Q8" s="7">
        <f t="array" ref="Q8">PRODUCT(1 + 預測IC!$C17:P17) -1</f>
        <v>0.61851483991027068</v>
      </c>
      <c r="R8" s="7">
        <f t="array" ref="R8">PRODUCT(1 + 預測IC!$C17:Q17) -1</f>
        <v>0.79805222535416265</v>
      </c>
      <c r="S8" s="7">
        <f t="array" ref="S8">PRODUCT(1 + 預測IC!$C17:R17) -1</f>
        <v>0.7537563819871258</v>
      </c>
      <c r="T8" s="7">
        <f t="array" ref="T8">PRODUCT(1 + 預測IC!$C17:S17) -1</f>
        <v>0.68610729203048648</v>
      </c>
      <c r="U8" s="7">
        <f t="array" ref="U8">PRODUCT(1 + 預測IC!$C17:T17) -1</f>
        <v>0.48513055712518005</v>
      </c>
      <c r="V8" s="7">
        <f t="array" ref="V8">PRODUCT(1 + 預測IC!$C17:U17) -1</f>
        <v>0.37428356576031119</v>
      </c>
      <c r="W8" s="7">
        <f t="array" ref="W8">PRODUCT(1 + 預測IC!$C17:V17) -1</f>
        <v>0.47328396121497929</v>
      </c>
      <c r="X8" s="7">
        <f t="array" ref="X8">PRODUCT(1 + 預測IC!$C17:W17) -1</f>
        <v>0.51991789794760157</v>
      </c>
      <c r="Y8" s="7">
        <f t="array" ref="Y8">PRODUCT(1 + 預測IC!$C17:X17) -1</f>
        <v>0.76252663513429653</v>
      </c>
      <c r="Z8" s="7">
        <f t="array" ref="Z8">PRODUCT(1 + 預測IC!$C17:Y17) -1</f>
        <v>0.69869892278834511</v>
      </c>
      <c r="AA8" s="7">
        <f t="array" ref="AA8">PRODUCT(1 + 預測IC!$C17:Z17) -1</f>
        <v>0.82741177994690651</v>
      </c>
      <c r="AB8" s="7">
        <f t="array" ref="AB8">PRODUCT(1 + 預測IC!$C17:AA17) -1</f>
        <v>0.73743950051832785</v>
      </c>
      <c r="AC8" s="7">
        <f t="array" ref="AC8">PRODUCT(1 + 預測IC!$C17:AB17) -1</f>
        <v>0.59624989588258148</v>
      </c>
      <c r="AD8" s="7">
        <f t="array" ref="AD8">PRODUCT(1 + 預測IC!$C17:AC17) -1</f>
        <v>0.58376237696073985</v>
      </c>
      <c r="AE8" s="7">
        <f t="array" ref="AE8">PRODUCT(1 + 預測IC!$C17:AD17) -1</f>
        <v>0.75424062594642671</v>
      </c>
      <c r="AF8" s="7">
        <f t="array" ref="AF8">PRODUCT(1 + 預測IC!$C17:AE17) -1</f>
        <v>0.87545635546039779</v>
      </c>
      <c r="AG8" s="7">
        <f t="array" ref="AG8">PRODUCT(1 + 預測IC!$C17:AF17) -1</f>
        <v>1.1836043382795407</v>
      </c>
      <c r="AH8" s="7">
        <f t="array" ref="AH8">PRODUCT(1 + 預測IC!$C17:AG17) -1</f>
        <v>1.2501519971962485</v>
      </c>
      <c r="AI8" s="7">
        <f t="array" ref="AI8">PRODUCT(1 + 預測IC!$C17:AH17) -1</f>
        <v>1.455115091482643</v>
      </c>
      <c r="AJ8" s="7">
        <f t="array" ref="AJ8">PRODUCT(1 + 預測IC!$C17:AI17) -1</f>
        <v>1.6001135533785598</v>
      </c>
      <c r="AK8" s="7">
        <f t="array" ref="AK8">PRODUCT(1 + 預測IC!$C17:AJ17) -1</f>
        <v>1.4039511670960012</v>
      </c>
      <c r="AL8" s="7">
        <f t="array" ref="AL8">PRODUCT(1 + 預測IC!$C17:AK17) -1</f>
        <v>1.2667365296832451</v>
      </c>
      <c r="AM8" s="7">
        <f t="array" ref="AM8">PRODUCT(1 + 預測IC!$C17:AL17) -1</f>
        <v>1.1973098430598834</v>
      </c>
      <c r="AN8" s="7">
        <f t="array" ref="AN8">PRODUCT(1 + 預測IC!$C17:AM17) -1</f>
        <v>1.2339958935858752</v>
      </c>
      <c r="AO8" s="7">
        <f t="array" ref="AO8">PRODUCT(1 + 預測IC!$C17:AN17) -1</f>
        <v>1.4786840801488959</v>
      </c>
      <c r="AP8" s="7">
        <f t="array" ref="AP8">PRODUCT(1 + 預測IC!$C17:AO17) -1</f>
        <v>1.5563734435117516</v>
      </c>
      <c r="AQ8" s="7">
        <f t="array" ref="AQ8">PRODUCT(1 + 預測IC!$C17:AP17) -1</f>
        <v>1.9641579494354731</v>
      </c>
      <c r="AR8" s="7">
        <f t="array" ref="AR8">PRODUCT(1 + 預測IC!$C17:AQ17) -1</f>
        <v>2.0228188633975486</v>
      </c>
      <c r="AS8" s="7">
        <f t="array" ref="AS8">PRODUCT(1 + 預測IC!$C17:AR17) -1</f>
        <v>1.9855868079757997</v>
      </c>
      <c r="AT8" s="7">
        <f t="array" ref="AT8">PRODUCT(1 + 預測IC!$C17:AS17) -1</f>
        <v>2.0857032581346906</v>
      </c>
      <c r="AU8" s="7">
        <f t="array" ref="AU8">PRODUCT(1 + 預測IC!$C17:AT17) -1</f>
        <v>2.2766562368363892</v>
      </c>
      <c r="AV8" s="7">
        <f t="array" ref="AV8">PRODUCT(1 + 預測IC!$C17:AU17) -1</f>
        <v>2.6761595527965003</v>
      </c>
      <c r="AW8" s="7">
        <f t="array" ref="AW8">PRODUCT(1 + 預測IC!$C17:AV17) -1</f>
        <v>2.9052930128049228</v>
      </c>
      <c r="AX8" s="7">
        <f t="array" ref="AX8">PRODUCT(1 + 預測IC!$C17:AW17) -1</f>
        <v>2.6461394207107265</v>
      </c>
      <c r="AY8" s="7">
        <f t="array" ref="AY8">PRODUCT(1 + 預測IC!$C17:AX17) -1</f>
        <v>2.1954720595119634</v>
      </c>
      <c r="AZ8" s="7">
        <f t="array" ref="AZ8">PRODUCT(1 + 預測IC!$C17:AY17) -1</f>
        <v>1.9939563469955015</v>
      </c>
      <c r="BA8" s="7">
        <f t="array" ref="BA8">PRODUCT(1 + 預測IC!$C17:AZ17) -1</f>
        <v>2.005525569321239</v>
      </c>
      <c r="BB8" s="7">
        <f t="array" ref="BB8">PRODUCT(1 + 預測IC!$C17:BA17) -1</f>
        <v>2.1826265515148542</v>
      </c>
      <c r="BC8" s="7">
        <f t="array" ref="BC8">PRODUCT(1 + 預測IC!$C17:BB17) -1</f>
        <v>1.9771063172601626</v>
      </c>
      <c r="BD8" s="7">
        <f t="array" ref="BD8">PRODUCT(1 + 預測IC!$C17:BC17) -1</f>
        <v>1.8013063289597975</v>
      </c>
      <c r="BE8" s="7">
        <f t="array" ref="BE8">PRODUCT(1 + 預測IC!$C17:BD17) -1</f>
        <v>1.8151273017452456</v>
      </c>
      <c r="BF8" s="7">
        <f t="array" ref="BF8">PRODUCT(1 + 預測IC!$C17:BE17) -1</f>
        <v>1.6705555119209872</v>
      </c>
      <c r="BG8" s="7">
        <f t="array" ref="BG8">PRODUCT(1 + 預測IC!$C17:BF17) -1</f>
        <v>1.4945297229732821</v>
      </c>
      <c r="BH8" s="7">
        <f t="array" ref="BH8">PRODUCT(1 + 預測IC!$C17:BG17) -1</f>
        <v>2.0120993115966708</v>
      </c>
      <c r="BI8" s="7">
        <f t="array" ref="BI8">PRODUCT(1 + 預測IC!$C17:BH17) -1</f>
        <v>2.3224665134804501</v>
      </c>
      <c r="BJ8" s="7">
        <f t="array" ref="BJ8">PRODUCT(1 + 預測IC!$C17:BI17) -1</f>
        <v>2.0412077538782412</v>
      </c>
      <c r="BK8" s="7">
        <f t="array" ref="BK8">PRODUCT(1 + 預測IC!$C17:BJ17) -1</f>
        <v>2.3300313330420228</v>
      </c>
      <c r="BL8" s="7">
        <f t="array" ref="BL8">PRODUCT(1 + 預測IC!$C17:BK17) -1</f>
        <v>2.0613676331092123</v>
      </c>
      <c r="BM8" s="7">
        <f t="array" ref="BM8">PRODUCT(1 + 預測IC!$C17:BL17) -1</f>
        <v>2.2785211320754599</v>
      </c>
      <c r="BN8" s="7">
        <f t="array" ref="BN8">PRODUCT(1 + 預測IC!$C17:BM17) -1</f>
        <v>2.121734470409177</v>
      </c>
      <c r="BO8" s="7">
        <f t="array" ref="BO8">PRODUCT(1 + 預測IC!$C17:BN17) -1</f>
        <v>2.0854134275778105</v>
      </c>
      <c r="BP8" s="7">
        <f t="array" ref="BP8">PRODUCT(1 + 預測IC!$C17:BO17) -1</f>
        <v>2.2239027882067623</v>
      </c>
      <c r="BQ8" s="7">
        <f t="array" ref="BQ8">PRODUCT(1 + 預測IC!$C17:BP17) -1</f>
        <v>1.9843356803678178</v>
      </c>
      <c r="BR8" s="7">
        <f t="array" ref="BR8">PRODUCT(1 + 預測IC!$C17:BQ17) -1</f>
        <v>1.9427487253669402</v>
      </c>
      <c r="BS8" s="7">
        <f t="array" ref="BS8">PRODUCT(1 + 預測IC!$C17:BR17) -1</f>
        <v>1.6950077973401112</v>
      </c>
      <c r="BT8" s="7">
        <f t="array" ref="BT8">PRODUCT(1 + 預測IC!$C17:BS17) -1</f>
        <v>1.6263443996904501</v>
      </c>
      <c r="BU8" s="7">
        <f t="array" ref="BU8">PRODUCT(1 + 預測IC!$C17:BT17) -1</f>
        <v>1.7213219329398477</v>
      </c>
      <c r="BV8" s="7">
        <f t="array" ref="BV8">PRODUCT(1 + 預測IC!$C17:BU17) -1</f>
        <v>1.4067481873105994</v>
      </c>
      <c r="BW8" s="7">
        <f t="array" ref="BW8">PRODUCT(1 + 預測IC!$C17:BV17) -1</f>
        <v>1.6800940504037443</v>
      </c>
      <c r="BX8" s="7">
        <f t="array" ref="BX8">PRODUCT(1 + 預測IC!$C17:BW17) -1</f>
        <v>1.6975949868803766</v>
      </c>
      <c r="BY8" s="7">
        <f t="array" ref="BY8">PRODUCT(1 + 預測IC!$C17:BX17) -1</f>
        <v>1.6061609472502258</v>
      </c>
      <c r="BZ8" s="7">
        <f t="array" ref="BZ8">PRODUCT(1 + 預測IC!$C17:BY17) -1</f>
        <v>1.5755788938810693</v>
      </c>
      <c r="CA8" s="7">
        <f t="array" ref="CA8">PRODUCT(1 + 預測IC!$C17:BZ17) -1</f>
        <v>1.031351871568996</v>
      </c>
      <c r="CB8" s="7">
        <f t="array" ref="CB8">PRODUCT(1 + 預測IC!$C17:CA17) -1</f>
        <v>1.0532221506456252</v>
      </c>
      <c r="CC8" s="7">
        <f t="array" ref="CC8">PRODUCT(1 + 預測IC!$C17:CB17) -1</f>
        <v>1.4018344543623074</v>
      </c>
      <c r="CD8" s="7">
        <f t="array" ref="CD8">PRODUCT(1 + 預測IC!$C17:CC17) -1</f>
        <v>1.2172581176249531</v>
      </c>
      <c r="CE8" s="7">
        <f t="array" ref="CE8">PRODUCT(1 + 預測IC!$C17:CD17) -1</f>
        <v>1.2414859216172092</v>
      </c>
      <c r="CF8" s="7">
        <f t="array" ref="CF8">PRODUCT(1 + 預測IC!$C17:CE17) -1</f>
        <v>1.3018051025245829</v>
      </c>
      <c r="CG8" s="7">
        <f t="array" ref="CG8">PRODUCT(1 + 預測IC!$C17:CF17) -1</f>
        <v>1.4355639049833413</v>
      </c>
      <c r="CH8" s="7">
        <f t="array" ref="CH8">PRODUCT(1 + 預測IC!$C17:CG17) -1</f>
        <v>1.3511167036871479</v>
      </c>
      <c r="CI8" s="7">
        <f t="array" ref="CI8">PRODUCT(1 + 預測IC!$C17:CH17) -1</f>
        <v>1.3147153699748286</v>
      </c>
      <c r="CJ8" s="7">
        <f t="array" ref="CJ8">PRODUCT(1 + 預測IC!$C17:CI17) -1</f>
        <v>1.1726220979573472</v>
      </c>
      <c r="CK8" s="7">
        <f t="array" ref="CK8">PRODUCT(1 + 預測IC!$C17:CJ17) -1</f>
        <v>1.1628103358540147</v>
      </c>
      <c r="CL8" s="7">
        <f t="array" ref="CL8">PRODUCT(1 + 預測IC!$C17:CK17) -1</f>
        <v>1.0444228186149651</v>
      </c>
      <c r="CM8" s="7">
        <f t="array" ref="CM8">PRODUCT(1 + 預測IC!$C17:CL17) -1</f>
        <v>1.0356776743356346</v>
      </c>
      <c r="CN8" s="7">
        <f t="array" ref="CN8">PRODUCT(1 + 預測IC!$C17:CM17) -1</f>
        <v>1.0644660976306017</v>
      </c>
      <c r="CO8" s="7">
        <f t="array" ref="CO8">PRODUCT(1 + 預測IC!$C17:CN17) -1</f>
        <v>1.3347121251756509</v>
      </c>
      <c r="CP8" s="7">
        <f t="array" ref="CP8">PRODUCT(1 + 預測IC!$C17:CO17) -1</f>
        <v>0.7330032508073423</v>
      </c>
      <c r="CQ8" s="7">
        <f t="array" ref="CQ8">PRODUCT(1 + 預測IC!$C17:CP17) -1</f>
        <v>0.71699395571442293</v>
      </c>
      <c r="CR8" s="7">
        <f t="array" ref="CR8">PRODUCT(1 + 預測IC!$C17:CQ17) -1</f>
        <v>0.96281609987095229</v>
      </c>
      <c r="CS8" s="7">
        <f t="array" ref="CS8">PRODUCT(1 + 預測IC!$C17:CR17) -1</f>
        <v>0.99099354413957053</v>
      </c>
      <c r="CT8" s="7">
        <f t="array" ref="CT8">PRODUCT(1 + 預測IC!$C17:CS17) -1</f>
        <v>0.96374424587963037</v>
      </c>
      <c r="CU8" s="7">
        <f t="array" ref="CU8">PRODUCT(1 + 預測IC!$C17:CT17) -1</f>
        <v>0.98788161623179449</v>
      </c>
      <c r="CV8" s="7">
        <f t="array" ref="CV8">PRODUCT(1 + 預測IC!$C17:CU17) -1</f>
        <v>0.97334450404328288</v>
      </c>
      <c r="CW8" s="7">
        <f t="array" ref="CW8">PRODUCT(1 + 預測IC!$C17:CV17) -1</f>
        <v>1.1144215119046561</v>
      </c>
      <c r="CX8" s="7">
        <f t="array" ref="CX8">PRODUCT(1 + 預測IC!$C17:CW17) -1</f>
        <v>0.92934685108191228</v>
      </c>
      <c r="CY8" s="7">
        <f t="array" ref="CY8">PRODUCT(1 + 預測IC!$C17:CX17) -1</f>
        <v>0.87472147435435588</v>
      </c>
      <c r="CZ8" s="7">
        <f t="array" ref="CZ8">PRODUCT(1 + 預測IC!$C17:CY17) -1</f>
        <v>0.6937945367101559</v>
      </c>
      <c r="DA8" s="7">
        <f t="array" ref="DA8">PRODUCT(1 + 預測IC!$C17:CZ17) -1</f>
        <v>0.86744574567736143</v>
      </c>
      <c r="DB8" s="7">
        <f t="array" ref="DB8">PRODUCT(1 + 預測IC!$C17:DA17) -1</f>
        <v>0.96811809440728869</v>
      </c>
      <c r="DC8" s="7">
        <f t="array" ref="DC8">PRODUCT(1 + 預測IC!$C17:DB17) -1</f>
        <v>0.86360459902481623</v>
      </c>
      <c r="DD8" s="7">
        <f t="array" ref="DD8">PRODUCT(1 + 預測IC!$C17:DC17) -1</f>
        <v>0.82429057148903073</v>
      </c>
      <c r="DE8" s="7">
        <f t="array" ref="DE8">PRODUCT(1 + 預測IC!$C17:DD17) -1</f>
        <v>0.84444063498986233</v>
      </c>
      <c r="DF8" s="7">
        <f t="array" ref="DF8">PRODUCT(1 + 預測IC!$C17:DE17) -1</f>
        <v>0.8549396592220313</v>
      </c>
      <c r="DG8" s="7">
        <f t="array" ref="DG8">PRODUCT(1 + 預測IC!$C17:DF17) -1</f>
        <v>0.86374476231861874</v>
      </c>
      <c r="DH8" s="7">
        <f t="array" ref="DH8">PRODUCT(1 + 預測IC!$C17:DG17) -1</f>
        <v>0.89985531930081519</v>
      </c>
      <c r="DI8" s="7">
        <f t="array" ref="DI8">PRODUCT(1 + 預測IC!$C17:DH17) -1</f>
        <v>0.90101512253496119</v>
      </c>
      <c r="DJ8" s="7">
        <f t="array" ref="DJ8">PRODUCT(1 + 預測IC!$C17:DI17) -1</f>
        <v>0.76619482394013549</v>
      </c>
      <c r="DK8" s="7">
        <f t="array" ref="DK8">PRODUCT(1 + 預測IC!$C17:DJ17) -1</f>
        <v>0.80653913378792264</v>
      </c>
      <c r="DL8" s="7">
        <f t="array" ref="DL8">PRODUCT(1 + 預測IC!$C17:DK17) -1</f>
        <v>0.68087229429339047</v>
      </c>
      <c r="DM8" s="7">
        <f t="array" ref="DM8">PRODUCT(1 + 預測IC!$C17:DL17) -1</f>
        <v>0.83918944847396149</v>
      </c>
      <c r="DN8" s="7">
        <f t="array" ref="DN8">PRODUCT(1 + 預測IC!$C17:DM17) -1</f>
        <v>0.89504256212265254</v>
      </c>
      <c r="DO8" s="7">
        <f t="array" ref="DO8">PRODUCT(1 + 預測IC!$C17:DN17) -1</f>
        <v>0.91121753702824049</v>
      </c>
      <c r="DP8" s="7">
        <f t="array" ref="DP8">PRODUCT(1 + 預測IC!$C17:DO17) -1</f>
        <v>1.0065244347328774</v>
      </c>
      <c r="DQ8" s="7">
        <f t="array" ref="DQ8">PRODUCT(1 + 預測IC!$C17:DP17) -1</f>
        <v>1.3057141508038685</v>
      </c>
      <c r="DR8" s="7">
        <f t="array" ref="DR8">PRODUCT(1 + 預測IC!$C17:DQ17) -1</f>
        <v>1.2514821845990052</v>
      </c>
      <c r="DS8" s="7">
        <f t="array" ref="DS8">PRODUCT(1 + 預測IC!$C17:DR17) -1</f>
        <v>1.2811470965643301</v>
      </c>
      <c r="DT8" s="7">
        <f t="array" ref="DT8">PRODUCT(1 + 預測IC!$C17:DS17) -1</f>
        <v>1.3168643291284075</v>
      </c>
      <c r="DU8" s="7">
        <f t="array" ref="DU8">PRODUCT(1 + 預測IC!$C17:DT17) -1</f>
        <v>1.1674135120666667</v>
      </c>
      <c r="DV8" s="7">
        <f t="array" ref="DV8">PRODUCT(1 + 預測IC!$C17:DU17) -1</f>
        <v>1.1438674060230292</v>
      </c>
      <c r="DW8" s="7">
        <f t="array" ref="DW8">PRODUCT(1 + 預測IC!$C17:DV17) -1</f>
        <v>1.2099458331013948</v>
      </c>
      <c r="DX8" s="7">
        <f t="array" ref="DX8">PRODUCT(1 + 預測IC!$C17:DW17) -1</f>
        <v>1.0498918459832618</v>
      </c>
      <c r="DY8" s="7">
        <f t="array" ref="DY8">PRODUCT(1 + 預測IC!$C17:DX17) -1</f>
        <v>0.99215215796027967</v>
      </c>
      <c r="DZ8" s="7">
        <f t="array" ref="DZ8">PRODUCT(1 + 預測IC!$C17:DY17) -1</f>
        <v>0.98322404071244751</v>
      </c>
      <c r="EA8" s="7">
        <f t="array" ref="EA8">PRODUCT(1 + 預測IC!$C17:DZ17) -1</f>
        <v>1.0146232665676833</v>
      </c>
      <c r="EB8" s="7">
        <f t="array" ref="EB8">PRODUCT(1 + 預測IC!$C17:EA17) -1</f>
        <v>1.042310453184248</v>
      </c>
      <c r="EC8" s="7">
        <f t="array" ref="EC8">PRODUCT(1 + 預測IC!$C17:EB17) -1</f>
        <v>1.1696596197849689</v>
      </c>
      <c r="ED8" s="7">
        <f t="array" ref="ED8">PRODUCT(1 + 預測IC!$C17:EC17) -1</f>
        <v>1.3025613197883597</v>
      </c>
      <c r="EE8" s="7">
        <f t="array" ref="EE8">PRODUCT(1 + 預測IC!$C17:ED17) -1</f>
        <v>1.2748099780429003</v>
      </c>
      <c r="EF8" s="7">
        <f t="array" ref="EF8">PRODUCT(1 + 預測IC!$C17:EE17) -1</f>
        <v>1.394725631660342</v>
      </c>
      <c r="EG8" s="7">
        <f t="array" ref="EG8">PRODUCT(1 + 預測IC!$C17:EF17) -1</f>
        <v>1.5219400327891917</v>
      </c>
    </row>
    <row r="9" spans="3:137" ht="16" customHeight="1">
      <c r="C9" s="6">
        <v>107</v>
      </c>
      <c r="D9" s="7">
        <f t="array" ref="D9">PRODUCT(1 + 預測IC!$C18:C18) -1</f>
        <v>0.51201375227854862</v>
      </c>
      <c r="E9" s="7">
        <f t="array" ref="E9">PRODUCT(1 + 預測IC!$C18:D18) -1</f>
        <v>0.66034254957128113</v>
      </c>
      <c r="F9" s="7">
        <f t="array" ref="F9">PRODUCT(1 + 預測IC!$C18:E18) -1</f>
        <v>0.83452696551485528</v>
      </c>
      <c r="G9" s="7">
        <f t="array" ref="G9">PRODUCT(1 + 預測IC!$C18:F18) -1</f>
        <v>0.98712215088353683</v>
      </c>
      <c r="H9" s="7">
        <f t="array" ref="H9">PRODUCT(1 + 預測IC!$C18:G18) -1</f>
        <v>0.82752511017733932</v>
      </c>
      <c r="I9" s="7">
        <f t="array" ref="I9">PRODUCT(1 + 預測IC!$C18:H18) -1</f>
        <v>0.90210553905878532</v>
      </c>
      <c r="J9" s="7">
        <f t="array" ref="J9">PRODUCT(1 + 預測IC!$C18:I18) -1</f>
        <v>0.87368186833918937</v>
      </c>
      <c r="K9" s="7">
        <f t="array" ref="K9">PRODUCT(1 + 預測IC!$C18:J18) -1</f>
        <v>0.62275323080320777</v>
      </c>
      <c r="L9" s="7">
        <f t="array" ref="L9">PRODUCT(1 + 預測IC!$C18:K18) -1</f>
        <v>0.70551891557585944</v>
      </c>
      <c r="M9" s="7">
        <f t="array" ref="M9">PRODUCT(1 + 預測IC!$C18:L18) -1</f>
        <v>0.62635855153043862</v>
      </c>
      <c r="N9" s="7">
        <f t="array" ref="N9">PRODUCT(1 + 預測IC!$C18:M18) -1</f>
        <v>0.67828270395760115</v>
      </c>
      <c r="O9" s="7">
        <f t="array" ref="O9">PRODUCT(1 + 預測IC!$C18:N18) -1</f>
        <v>0.77962656073164394</v>
      </c>
      <c r="P9" s="7">
        <f t="array" ref="P9">PRODUCT(1 + 預測IC!$C18:O18) -1</f>
        <v>0.58055215419860096</v>
      </c>
      <c r="Q9" s="7">
        <f t="array" ref="Q9">PRODUCT(1 + 預測IC!$C18:P18) -1</f>
        <v>0.57717395772188174</v>
      </c>
      <c r="R9" s="7">
        <f t="array" ref="R9">PRODUCT(1 + 預測IC!$C18:Q18) -1</f>
        <v>0.7661864519995778</v>
      </c>
      <c r="S9" s="7">
        <f t="array" ref="S9">PRODUCT(1 + 預測IC!$C18:R18) -1</f>
        <v>0.72579346914431242</v>
      </c>
      <c r="T9" s="7">
        <f t="array" ref="T9">PRODUCT(1 + 預測IC!$C18:S18) -1</f>
        <v>0.6533933516461754</v>
      </c>
      <c r="U9" s="7">
        <f t="array" ref="U9">PRODUCT(1 + 預測IC!$C18:T18) -1</f>
        <v>0.49100045390171809</v>
      </c>
      <c r="V9" s="7">
        <f t="array" ref="V9">PRODUCT(1 + 預測IC!$C18:U18) -1</f>
        <v>0.36836420244915424</v>
      </c>
      <c r="W9" s="7">
        <f t="array" ref="W9">PRODUCT(1 + 預測IC!$C18:V18) -1</f>
        <v>0.45129618124754689</v>
      </c>
      <c r="X9" s="7">
        <f t="array" ref="X9">PRODUCT(1 + 預測IC!$C18:W18) -1</f>
        <v>0.48053045819213458</v>
      </c>
      <c r="Y9" s="7">
        <f t="array" ref="Y9">PRODUCT(1 + 預測IC!$C18:X18) -1</f>
        <v>0.71413472649793452</v>
      </c>
      <c r="Z9" s="7">
        <f t="array" ref="Z9">PRODUCT(1 + 預測IC!$C18:Y18) -1</f>
        <v>0.64616088709698039</v>
      </c>
      <c r="AA9" s="7">
        <f t="array" ref="AA9">PRODUCT(1 + 預測IC!$C18:Z18) -1</f>
        <v>0.77123646961651837</v>
      </c>
      <c r="AB9" s="7">
        <f t="array" ref="AB9">PRODUCT(1 + 預測IC!$C18:AA18) -1</f>
        <v>0.69263109537102752</v>
      </c>
      <c r="AC9" s="7">
        <f t="array" ref="AC9">PRODUCT(1 + 預測IC!$C18:AB18) -1</f>
        <v>0.58513456109019213</v>
      </c>
      <c r="AD9" s="7">
        <f t="array" ref="AD9">PRODUCT(1 + 預測IC!$C18:AC18) -1</f>
        <v>0.59107257217494391</v>
      </c>
      <c r="AE9" s="7">
        <f t="array" ref="AE9">PRODUCT(1 + 預測IC!$C18:AD18) -1</f>
        <v>0.83793284599878759</v>
      </c>
      <c r="AF9" s="7">
        <f t="array" ref="AF9">PRODUCT(1 + 預測IC!$C18:AE18) -1</f>
        <v>0.98183316961938072</v>
      </c>
      <c r="AG9" s="7">
        <f t="array" ref="AG9">PRODUCT(1 + 預測IC!$C18:AF18) -1</f>
        <v>1.3282398009936349</v>
      </c>
      <c r="AH9" s="7">
        <f t="array" ref="AH9">PRODUCT(1 + 預測IC!$C18:AG18) -1</f>
        <v>1.4358559605361672</v>
      </c>
      <c r="AI9" s="7">
        <f t="array" ref="AI9">PRODUCT(1 + 預測IC!$C18:AH18) -1</f>
        <v>1.6287777739227405</v>
      </c>
      <c r="AJ9" s="7">
        <f t="array" ref="AJ9">PRODUCT(1 + 預測IC!$C18:AI18) -1</f>
        <v>1.662300993184004</v>
      </c>
      <c r="AK9" s="7">
        <f t="array" ref="AK9">PRODUCT(1 + 預測IC!$C18:AJ18) -1</f>
        <v>1.4488675570038336</v>
      </c>
      <c r="AL9" s="7">
        <f t="array" ref="AL9">PRODUCT(1 + 預測IC!$C18:AK18) -1</f>
        <v>1.3089320344117601</v>
      </c>
      <c r="AM9" s="7">
        <f t="array" ref="AM9">PRODUCT(1 + 預測IC!$C18:AL18) -1</f>
        <v>1.2234202446480862</v>
      </c>
      <c r="AN9" s="7">
        <f t="array" ref="AN9">PRODUCT(1 + 預測IC!$C18:AM18) -1</f>
        <v>1.252516716693703</v>
      </c>
      <c r="AO9" s="7">
        <f t="array" ref="AO9">PRODUCT(1 + 預測IC!$C18:AN18) -1</f>
        <v>1.546575249837058</v>
      </c>
      <c r="AP9" s="7">
        <f t="array" ref="AP9">PRODUCT(1 + 預測IC!$C18:AO18) -1</f>
        <v>1.6207620980696715</v>
      </c>
      <c r="AQ9" s="7">
        <f t="array" ref="AQ9">PRODUCT(1 + 預測IC!$C18:AP18) -1</f>
        <v>2.0937253019030337</v>
      </c>
      <c r="AR9" s="7">
        <f t="array" ref="AR9">PRODUCT(1 + 預測IC!$C18:AQ18) -1</f>
        <v>2.2015826249784318</v>
      </c>
      <c r="AS9" s="7">
        <f t="array" ref="AS9">PRODUCT(1 + 預測IC!$C18:AR18) -1</f>
        <v>2.1776848603223335</v>
      </c>
      <c r="AT9" s="7">
        <f t="array" ref="AT9">PRODUCT(1 + 預測IC!$C18:AS18) -1</f>
        <v>2.1904060445466098</v>
      </c>
      <c r="AU9" s="7">
        <f t="array" ref="AU9">PRODUCT(1 + 預測IC!$C18:AT18) -1</f>
        <v>2.3492359613013885</v>
      </c>
      <c r="AV9" s="7">
        <f t="array" ref="AV9">PRODUCT(1 + 預測IC!$C18:AU18) -1</f>
        <v>2.7302449338954173</v>
      </c>
      <c r="AW9" s="7">
        <f t="array" ref="AW9">PRODUCT(1 + 預測IC!$C18:AV18) -1</f>
        <v>2.918873878888165</v>
      </c>
      <c r="AX9" s="7">
        <f t="array" ref="AX9">PRODUCT(1 + 預測IC!$C18:AW18) -1</f>
        <v>2.7831923356745474</v>
      </c>
      <c r="AY9" s="7">
        <f t="array" ref="AY9">PRODUCT(1 + 預測IC!$C18:AX18) -1</f>
        <v>2.2053010828183801</v>
      </c>
      <c r="AZ9" s="7">
        <f t="array" ref="AZ9">PRODUCT(1 + 預測IC!$C18:AY18) -1</f>
        <v>1.9637894024238518</v>
      </c>
      <c r="BA9" s="7">
        <f t="array" ref="BA9">PRODUCT(1 + 預測IC!$C18:AZ18) -1</f>
        <v>2.0015403185334075</v>
      </c>
      <c r="BB9" s="7">
        <f t="array" ref="BB9">PRODUCT(1 + 預測IC!$C18:BA18) -1</f>
        <v>2.2287454291805657</v>
      </c>
      <c r="BC9" s="7">
        <f t="array" ref="BC9">PRODUCT(1 + 預測IC!$C18:BB18) -1</f>
        <v>2.0375702589121851</v>
      </c>
      <c r="BD9" s="7">
        <f t="array" ref="BD9">PRODUCT(1 + 預測IC!$C18:BC18) -1</f>
        <v>1.8196610998078162</v>
      </c>
      <c r="BE9" s="7">
        <f t="array" ref="BE9">PRODUCT(1 + 預測IC!$C18:BD18) -1</f>
        <v>1.8622425902543491</v>
      </c>
      <c r="BF9" s="7">
        <f t="array" ref="BF9">PRODUCT(1 + 預測IC!$C18:BE18) -1</f>
        <v>1.7178529463638004</v>
      </c>
      <c r="BG9" s="7">
        <f t="array" ref="BG9">PRODUCT(1 + 預測IC!$C18:BF18) -1</f>
        <v>1.5500322522349887</v>
      </c>
      <c r="BH9" s="7">
        <f t="array" ref="BH9">PRODUCT(1 + 預測IC!$C18:BG18) -1</f>
        <v>2.0935447211846334</v>
      </c>
      <c r="BI9" s="7">
        <f t="array" ref="BI9">PRODUCT(1 + 預測IC!$C18:BH18) -1</f>
        <v>2.4574080932134459</v>
      </c>
      <c r="BJ9" s="7">
        <f t="array" ref="BJ9">PRODUCT(1 + 預測IC!$C18:BI18) -1</f>
        <v>2.0135283095499297</v>
      </c>
      <c r="BK9" s="7">
        <f t="array" ref="BK9">PRODUCT(1 + 預測IC!$C18:BJ18) -1</f>
        <v>2.3374222545288239</v>
      </c>
      <c r="BL9" s="7">
        <f t="array" ref="BL9">PRODUCT(1 + 預測IC!$C18:BK18) -1</f>
        <v>2.0905327008808743</v>
      </c>
      <c r="BM9" s="7">
        <f t="array" ref="BM9">PRODUCT(1 + 預測IC!$C18:BL18) -1</f>
        <v>2.3036423725862578</v>
      </c>
      <c r="BN9" s="7">
        <f t="array" ref="BN9">PRODUCT(1 + 預測IC!$C18:BM18) -1</f>
        <v>2.198065259435249</v>
      </c>
      <c r="BO9" s="7">
        <f t="array" ref="BO9">PRODUCT(1 + 預測IC!$C18:BN18) -1</f>
        <v>2.1762508889329086</v>
      </c>
      <c r="BP9" s="7">
        <f t="array" ref="BP9">PRODUCT(1 + 預測IC!$C18:BO18) -1</f>
        <v>2.3071676836411878</v>
      </c>
      <c r="BQ9" s="7">
        <f t="array" ref="BQ9">PRODUCT(1 + 預測IC!$C18:BP18) -1</f>
        <v>1.9963421920702937</v>
      </c>
      <c r="BR9" s="7">
        <f t="array" ref="BR9">PRODUCT(1 + 預測IC!$C18:BQ18) -1</f>
        <v>1.8130082538637229</v>
      </c>
      <c r="BS9" s="7">
        <f t="array" ref="BS9">PRODUCT(1 + 預測IC!$C18:BR18) -1</f>
        <v>1.503956360211967</v>
      </c>
      <c r="BT9" s="7">
        <f t="array" ref="BT9">PRODUCT(1 + 預測IC!$C18:BS18) -1</f>
        <v>1.4520007063959062</v>
      </c>
      <c r="BU9" s="7">
        <f t="array" ref="BU9">PRODUCT(1 + 預測IC!$C18:BT18) -1</f>
        <v>1.586869068716235</v>
      </c>
      <c r="BV9" s="7">
        <f t="array" ref="BV9">PRODUCT(1 + 預測IC!$C18:BU18) -1</f>
        <v>1.2660636902360642</v>
      </c>
      <c r="BW9" s="7">
        <f t="array" ref="BW9">PRODUCT(1 + 預測IC!$C18:BV18) -1</f>
        <v>1.5196262916281</v>
      </c>
      <c r="BX9" s="7">
        <f t="array" ref="BX9">PRODUCT(1 + 預測IC!$C18:BW18) -1</f>
        <v>1.6712833809027936</v>
      </c>
      <c r="BY9" s="7">
        <f t="array" ref="BY9">PRODUCT(1 + 預測IC!$C18:BX18) -1</f>
        <v>1.538063359530792</v>
      </c>
      <c r="BZ9" s="7">
        <f t="array" ref="BZ9">PRODUCT(1 + 預測IC!$C18:BY18) -1</f>
        <v>1.3807531977276355</v>
      </c>
      <c r="CA9" s="7">
        <f t="array" ref="CA9">PRODUCT(1 + 預測IC!$C18:BZ18) -1</f>
        <v>0.77773170748013776</v>
      </c>
      <c r="CB9" s="7">
        <f t="array" ref="CB9">PRODUCT(1 + 預測IC!$C18:CA18) -1</f>
        <v>0.77834141338629181</v>
      </c>
      <c r="CC9" s="7">
        <f t="array" ref="CC9">PRODUCT(1 + 預測IC!$C18:CB18) -1</f>
        <v>1.1242700899821285</v>
      </c>
      <c r="CD9" s="7">
        <f t="array" ref="CD9">PRODUCT(1 + 預測IC!$C18:CC18) -1</f>
        <v>0.96228360946362201</v>
      </c>
      <c r="CE9" s="7">
        <f t="array" ref="CE9">PRODUCT(1 + 預測IC!$C18:CD18) -1</f>
        <v>1.0929375508492969</v>
      </c>
      <c r="CF9" s="7">
        <f t="array" ref="CF9">PRODUCT(1 + 預測IC!$C18:CE18) -1</f>
        <v>1.1587203265322303</v>
      </c>
      <c r="CG9" s="7">
        <f t="array" ref="CG9">PRODUCT(1 + 預測IC!$C18:CF18) -1</f>
        <v>1.2659655822979943</v>
      </c>
      <c r="CH9" s="7">
        <f t="array" ref="CH9">PRODUCT(1 + 預測IC!$C18:CG18) -1</f>
        <v>1.3859885451422462</v>
      </c>
      <c r="CI9" s="7">
        <f t="array" ref="CI9">PRODUCT(1 + 預測IC!$C18:CH18) -1</f>
        <v>1.295806263561269</v>
      </c>
      <c r="CJ9" s="7">
        <f t="array" ref="CJ9">PRODUCT(1 + 預測IC!$C18:CI18) -1</f>
        <v>1.1237835859044019</v>
      </c>
      <c r="CK9" s="7">
        <f t="array" ref="CK9">PRODUCT(1 + 預測IC!$C18:CJ18) -1</f>
        <v>1.1626059897183558</v>
      </c>
      <c r="CL9" s="7">
        <f t="array" ref="CL9">PRODUCT(1 + 預測IC!$C18:CK18) -1</f>
        <v>1.0193337944372676</v>
      </c>
      <c r="CM9" s="7">
        <f t="array" ref="CM9">PRODUCT(1 + 預測IC!$C18:CL18) -1</f>
        <v>0.88979193911483967</v>
      </c>
      <c r="CN9" s="7">
        <f t="array" ref="CN9">PRODUCT(1 + 預測IC!$C18:CM18) -1</f>
        <v>0.93383342451763496</v>
      </c>
      <c r="CO9" s="7">
        <f t="array" ref="CO9">PRODUCT(1 + 預測IC!$C18:CN18) -1</f>
        <v>1.020443278548969</v>
      </c>
      <c r="CP9" s="7">
        <f t="array" ref="CP9">PRODUCT(1 + 預測IC!$C18:CO18) -1</f>
        <v>0.548209441259353</v>
      </c>
      <c r="CQ9" s="7">
        <f t="array" ref="CQ9">PRODUCT(1 + 預測IC!$C18:CP18) -1</f>
        <v>0.5321697499129352</v>
      </c>
      <c r="CR9" s="7">
        <f t="array" ref="CR9">PRODUCT(1 + 預測IC!$C18:CQ18) -1</f>
        <v>0.77506546899660034</v>
      </c>
      <c r="CS9" s="7">
        <f t="array" ref="CS9">PRODUCT(1 + 預測IC!$C18:CR18) -1</f>
        <v>0.76094226132183973</v>
      </c>
      <c r="CT9" s="7">
        <f t="array" ref="CT9">PRODUCT(1 + 預測IC!$C18:CS18) -1</f>
        <v>0.70522058912920893</v>
      </c>
      <c r="CU9" s="7">
        <f t="array" ref="CU9">PRODUCT(1 + 預測IC!$C18:CT18) -1</f>
        <v>0.69574620443931656</v>
      </c>
      <c r="CV9" s="7">
        <f t="array" ref="CV9">PRODUCT(1 + 預測IC!$C18:CU18) -1</f>
        <v>0.69740312897634449</v>
      </c>
      <c r="CW9" s="7">
        <f t="array" ref="CW9">PRODUCT(1 + 預測IC!$C18:CV18) -1</f>
        <v>0.75925906677514265</v>
      </c>
      <c r="CX9" s="7">
        <f t="array" ref="CX9">PRODUCT(1 + 預測IC!$C18:CW18) -1</f>
        <v>0.6381236909158543</v>
      </c>
      <c r="CY9" s="7">
        <f t="array" ref="CY9">PRODUCT(1 + 預測IC!$C18:CX18) -1</f>
        <v>0.6485873475052526</v>
      </c>
      <c r="CZ9" s="7">
        <f t="array" ref="CZ9">PRODUCT(1 + 預測IC!$C18:CY18) -1</f>
        <v>0.46660813122461176</v>
      </c>
      <c r="DA9" s="7">
        <f t="array" ref="DA9">PRODUCT(1 + 預測IC!$C18:CZ18) -1</f>
        <v>0.64028287820278962</v>
      </c>
      <c r="DB9" s="7">
        <f t="array" ref="DB9">PRODUCT(1 + 預測IC!$C18:DA18) -1</f>
        <v>0.70113369891032762</v>
      </c>
      <c r="DC9" s="7">
        <f t="array" ref="DC9">PRODUCT(1 + 預測IC!$C18:DB18) -1</f>
        <v>0.61806178342147211</v>
      </c>
      <c r="DD9" s="7">
        <f t="array" ref="DD9">PRODUCT(1 + 預測IC!$C18:DC18) -1</f>
        <v>0.59577308503913096</v>
      </c>
      <c r="DE9" s="7">
        <f t="array" ref="DE9">PRODUCT(1 + 預測IC!$C18:DD18) -1</f>
        <v>0.60137083665957891</v>
      </c>
      <c r="DF9" s="7">
        <f t="array" ref="DF9">PRODUCT(1 + 預測IC!$C18:DE18) -1</f>
        <v>0.59180007929911849</v>
      </c>
      <c r="DG9" s="7">
        <f t="array" ref="DG9">PRODUCT(1 + 預測IC!$C18:DF18) -1</f>
        <v>0.60662299817210052</v>
      </c>
      <c r="DH9" s="7">
        <f t="array" ref="DH9">PRODUCT(1 + 預測IC!$C18:DG18) -1</f>
        <v>0.61114007256005465</v>
      </c>
      <c r="DI9" s="7">
        <f t="array" ref="DI9">PRODUCT(1 + 預測IC!$C18:DH18) -1</f>
        <v>0.61626074698392319</v>
      </c>
      <c r="DJ9" s="7">
        <f t="array" ref="DJ9">PRODUCT(1 + 預測IC!$C18:DI18) -1</f>
        <v>0.48995090327718915</v>
      </c>
      <c r="DK9" s="7">
        <f t="array" ref="DK9">PRODUCT(1 + 預測IC!$C18:DJ18) -1</f>
        <v>0.4599395294152453</v>
      </c>
      <c r="DL9" s="7">
        <f t="array" ref="DL9">PRODUCT(1 + 預測IC!$C18:DK18) -1</f>
        <v>0.32040187363419492</v>
      </c>
      <c r="DM9" s="7">
        <f t="array" ref="DM9">PRODUCT(1 + 預測IC!$C18:DL18) -1</f>
        <v>0.46527807188213699</v>
      </c>
      <c r="DN9" s="7">
        <f t="array" ref="DN9">PRODUCT(1 + 預測IC!$C18:DM18) -1</f>
        <v>0.43050719574530194</v>
      </c>
      <c r="DO9" s="7">
        <f t="array" ref="DO9">PRODUCT(1 + 預測IC!$C18:DN18) -1</f>
        <v>0.47687037578654357</v>
      </c>
      <c r="DP9" s="7">
        <f t="array" ref="DP9">PRODUCT(1 + 預測IC!$C18:DO18) -1</f>
        <v>0.56896186923798231</v>
      </c>
      <c r="DQ9" s="7">
        <f t="array" ref="DQ9">PRODUCT(1 + 預測IC!$C18:DP18) -1</f>
        <v>0.74384526392869477</v>
      </c>
      <c r="DR9" s="7">
        <f t="array" ref="DR9">PRODUCT(1 + 預測IC!$C18:DQ18) -1</f>
        <v>0.68950251188279887</v>
      </c>
      <c r="DS9" s="7">
        <f t="array" ref="DS9">PRODUCT(1 + 預測IC!$C18:DR18) -1</f>
        <v>0.71413358227161017</v>
      </c>
      <c r="DT9" s="7">
        <f t="array" ref="DT9">PRODUCT(1 + 預測IC!$C18:DS18) -1</f>
        <v>0.71700153409603251</v>
      </c>
      <c r="DU9" s="7">
        <f t="array" ref="DU9">PRODUCT(1 + 預測IC!$C18:DT18) -1</f>
        <v>0.6044916094789039</v>
      </c>
      <c r="DV9" s="7">
        <f t="array" ref="DV9">PRODUCT(1 + 預測IC!$C18:DU18) -1</f>
        <v>0.62047638987665388</v>
      </c>
      <c r="DW9" s="7">
        <f t="array" ref="DW9">PRODUCT(1 + 預測IC!$C18:DV18) -1</f>
        <v>0.64791348223649137</v>
      </c>
      <c r="DX9" s="7">
        <f t="array" ref="DX9">PRODUCT(1 + 預測IC!$C18:DW18) -1</f>
        <v>0.51172249186629681</v>
      </c>
      <c r="DY9" s="7">
        <f t="array" ref="DY9">PRODUCT(1 + 預測IC!$C18:DX18) -1</f>
        <v>0.48282023779009564</v>
      </c>
      <c r="DZ9" s="7">
        <f t="array" ref="DZ9">PRODUCT(1 + 預測IC!$C18:DY18) -1</f>
        <v>0.42956254894225609</v>
      </c>
      <c r="EA9" s="7">
        <f t="array" ref="EA9">PRODUCT(1 + 預測IC!$C18:DZ18) -1</f>
        <v>0.42762053183410309</v>
      </c>
      <c r="EB9" s="7">
        <f t="array" ref="EB9">PRODUCT(1 + 預測IC!$C18:EA18) -1</f>
        <v>0.48799111222609493</v>
      </c>
      <c r="EC9" s="7">
        <f t="array" ref="EC9">PRODUCT(1 + 預測IC!$C18:EB18) -1</f>
        <v>0.62505490019461529</v>
      </c>
      <c r="ED9" s="7">
        <f t="array" ref="ED9">PRODUCT(1 + 預測IC!$C18:EC18) -1</f>
        <v>0.77991304141288831</v>
      </c>
      <c r="EE9" s="7">
        <f t="array" ref="EE9">PRODUCT(1 + 預測IC!$C18:ED18) -1</f>
        <v>0.77612611511541596</v>
      </c>
      <c r="EF9" s="7">
        <f t="array" ref="EF9">PRODUCT(1 + 預測IC!$C18:EE18) -1</f>
        <v>0.88916795581383656</v>
      </c>
      <c r="EG9" s="7">
        <f t="array" ref="EG9">PRODUCT(1 + 預測IC!$C18:EF18) -1</f>
        <v>1.0145706217766208</v>
      </c>
    </row>
    <row r="10" spans="3:137" ht="16" customHeight="1">
      <c r="C10" s="6">
        <v>120</v>
      </c>
      <c r="D10" s="7">
        <f t="array" ref="D10">PRODUCT(1 + 預測IC!$C19:C19) -1</f>
        <v>0.52985771388284153</v>
      </c>
      <c r="E10" s="7">
        <f t="array" ref="E10">PRODUCT(1 + 預測IC!$C19:D19) -1</f>
        <v>0.64622044266891088</v>
      </c>
      <c r="F10" s="7">
        <f t="array" ref="F10">PRODUCT(1 + 預測IC!$C19:E19) -1</f>
        <v>0.81809257662919266</v>
      </c>
      <c r="G10" s="7">
        <f t="array" ref="G10">PRODUCT(1 + 預測IC!$C19:F19) -1</f>
        <v>0.69595569979066396</v>
      </c>
      <c r="H10" s="7">
        <f t="array" ref="H10">PRODUCT(1 + 預測IC!$C19:G19) -1</f>
        <v>0.55563948638214544</v>
      </c>
      <c r="I10" s="7">
        <f t="array" ref="I10">PRODUCT(1 + 預測IC!$C19:H19) -1</f>
        <v>0.63114800928466419</v>
      </c>
      <c r="J10" s="7">
        <f t="array" ref="J10">PRODUCT(1 + 預測IC!$C19:I19) -1</f>
        <v>0.65924959670363115</v>
      </c>
      <c r="K10" s="7">
        <f t="array" ref="K10">PRODUCT(1 + 預測IC!$C19:J19) -1</f>
        <v>0.52034292914255964</v>
      </c>
      <c r="L10" s="7">
        <f t="array" ref="L10">PRODUCT(1 + 預測IC!$C19:K19) -1</f>
        <v>0.58648477221713158</v>
      </c>
      <c r="M10" s="7">
        <f t="array" ref="M10">PRODUCT(1 + 預測IC!$C19:L19) -1</f>
        <v>0.5284105223113913</v>
      </c>
      <c r="N10" s="7">
        <f t="array" ref="N10">PRODUCT(1 + 預測IC!$C19:M19) -1</f>
        <v>0.56446353484693823</v>
      </c>
      <c r="O10" s="7">
        <f t="array" ref="O10">PRODUCT(1 + 預測IC!$C19:N19) -1</f>
        <v>0.63903854570045993</v>
      </c>
      <c r="P10" s="7">
        <f t="array" ref="P10">PRODUCT(1 + 預測IC!$C19:O19) -1</f>
        <v>0.43856563685789096</v>
      </c>
      <c r="Q10" s="7">
        <f t="array" ref="Q10">PRODUCT(1 + 預測IC!$C19:P19) -1</f>
        <v>0.42870390538538738</v>
      </c>
      <c r="R10" s="7">
        <f t="array" ref="R10">PRODUCT(1 + 預測IC!$C19:Q19) -1</f>
        <v>0.62409606180255306</v>
      </c>
      <c r="S10" s="7">
        <f t="array" ref="S10">PRODUCT(1 + 預測IC!$C19:R19) -1</f>
        <v>0.54349671153833401</v>
      </c>
      <c r="T10" s="7">
        <f t="array" ref="T10">PRODUCT(1 + 預測IC!$C19:S19) -1</f>
        <v>0.54267648788141587</v>
      </c>
      <c r="U10" s="7">
        <f t="array" ref="U10">PRODUCT(1 + 預測IC!$C19:T19) -1</f>
        <v>0.43036667132415918</v>
      </c>
      <c r="V10" s="7">
        <f t="array" ref="V10">PRODUCT(1 + 預測IC!$C19:U19) -1</f>
        <v>0.24863664598091262</v>
      </c>
      <c r="W10" s="7">
        <f t="array" ref="W10">PRODUCT(1 + 預測IC!$C19:V19) -1</f>
        <v>0.30812478696653334</v>
      </c>
      <c r="X10" s="7">
        <f t="array" ref="X10">PRODUCT(1 + 預測IC!$C19:W19) -1</f>
        <v>0.32789765583469221</v>
      </c>
      <c r="Y10" s="7">
        <f t="array" ref="Y10">PRODUCT(1 + 預測IC!$C19:X19) -1</f>
        <v>0.59642313480003351</v>
      </c>
      <c r="Z10" s="7">
        <f t="array" ref="Z10">PRODUCT(1 + 預測IC!$C19:Y19) -1</f>
        <v>0.54757997028027483</v>
      </c>
      <c r="AA10" s="7">
        <f t="array" ref="AA10">PRODUCT(1 + 預測IC!$C19:Z19) -1</f>
        <v>0.65715304103238026</v>
      </c>
      <c r="AB10" s="7">
        <f t="array" ref="AB10">PRODUCT(1 + 預測IC!$C19:AA19) -1</f>
        <v>0.57496834961820387</v>
      </c>
      <c r="AC10" s="7">
        <f t="array" ref="AC10">PRODUCT(1 + 預測IC!$C19:AB19) -1</f>
        <v>0.48174218256280965</v>
      </c>
      <c r="AD10" s="7">
        <f t="array" ref="AD10">PRODUCT(1 + 預測IC!$C19:AC19) -1</f>
        <v>0.48466148140202581</v>
      </c>
      <c r="AE10" s="7">
        <f t="array" ref="AE10">PRODUCT(1 + 預測IC!$C19:AD19) -1</f>
        <v>0.69205400322493893</v>
      </c>
      <c r="AF10" s="7">
        <f t="array" ref="AF10">PRODUCT(1 + 預測IC!$C19:AE19) -1</f>
        <v>0.89662572323334189</v>
      </c>
      <c r="AG10" s="7">
        <f t="array" ref="AG10">PRODUCT(1 + 預測IC!$C19:AF19) -1</f>
        <v>1.1721690992653242</v>
      </c>
      <c r="AH10" s="7">
        <f t="array" ref="AH10">PRODUCT(1 + 預測IC!$C19:AG19) -1</f>
        <v>1.3021183018025284</v>
      </c>
      <c r="AI10" s="7">
        <f t="array" ref="AI10">PRODUCT(1 + 預測IC!$C19:AH19) -1</f>
        <v>1.4840643919648024</v>
      </c>
      <c r="AJ10" s="7">
        <f t="array" ref="AJ10">PRODUCT(1 + 預測IC!$C19:AI19) -1</f>
        <v>1.4669026731231032</v>
      </c>
      <c r="AK10" s="7">
        <f t="array" ref="AK10">PRODUCT(1 + 預測IC!$C19:AJ19) -1</f>
        <v>1.2482343790319641</v>
      </c>
      <c r="AL10" s="7">
        <f t="array" ref="AL10">PRODUCT(1 + 預測IC!$C19:AK19) -1</f>
        <v>1.1402078522035013</v>
      </c>
      <c r="AM10" s="7">
        <f t="array" ref="AM10">PRODUCT(1 + 預測IC!$C19:AL19) -1</f>
        <v>1.0535609672853368</v>
      </c>
      <c r="AN10" s="7">
        <f t="array" ref="AN10">PRODUCT(1 + 預測IC!$C19:AM19) -1</f>
        <v>1.0729673156103536</v>
      </c>
      <c r="AO10" s="7">
        <f t="array" ref="AO10">PRODUCT(1 + 預測IC!$C19:AN19) -1</f>
        <v>1.3622340919881588</v>
      </c>
      <c r="AP10" s="7">
        <f t="array" ref="AP10">PRODUCT(1 + 預測IC!$C19:AO19) -1</f>
        <v>1.426161532511379</v>
      </c>
      <c r="AQ10" s="7">
        <f t="array" ref="AQ10">PRODUCT(1 + 預測IC!$C19:AP19) -1</f>
        <v>1.9372113788398391</v>
      </c>
      <c r="AR10" s="7">
        <f t="array" ref="AR10">PRODUCT(1 + 預測IC!$C19:AQ19) -1</f>
        <v>1.9384313751276876</v>
      </c>
      <c r="AS10" s="7">
        <f t="array" ref="AS10">PRODUCT(1 + 預測IC!$C19:AR19) -1</f>
        <v>1.9568138214763948</v>
      </c>
      <c r="AT10" s="7">
        <f t="array" ref="AT10">PRODUCT(1 + 預測IC!$C19:AS19) -1</f>
        <v>1.9939477573965672</v>
      </c>
      <c r="AU10" s="7">
        <f t="array" ref="AU10">PRODUCT(1 + 預測IC!$C19:AT19) -1</f>
        <v>2.1837442867651031</v>
      </c>
      <c r="AV10" s="7">
        <f t="array" ref="AV10">PRODUCT(1 + 預測IC!$C19:AU19) -1</f>
        <v>2.6320081618955951</v>
      </c>
      <c r="AW10" s="7">
        <f t="array" ref="AW10">PRODUCT(1 + 預測IC!$C19:AV19) -1</f>
        <v>2.7823578889242069</v>
      </c>
      <c r="AX10" s="7">
        <f t="array" ref="AX10">PRODUCT(1 + 預測IC!$C19:AW19) -1</f>
        <v>2.7361193263917101</v>
      </c>
      <c r="AY10" s="7">
        <f t="array" ref="AY10">PRODUCT(1 + 預測IC!$C19:AX19) -1</f>
        <v>2.04734759539978</v>
      </c>
      <c r="AZ10" s="7">
        <f t="array" ref="AZ10">PRODUCT(1 + 預測IC!$C19:AY19) -1</f>
        <v>1.6570089388817224</v>
      </c>
      <c r="BA10" s="7">
        <f t="array" ref="BA10">PRODUCT(1 + 預測IC!$C19:AZ19) -1</f>
        <v>1.672820108403914</v>
      </c>
      <c r="BB10" s="7">
        <f t="array" ref="BB10">PRODUCT(1 + 預測IC!$C19:BA19) -1</f>
        <v>1.7772714846158801</v>
      </c>
      <c r="BC10" s="7">
        <f t="array" ref="BC10">PRODUCT(1 + 預測IC!$C19:BB19) -1</f>
        <v>1.6195810365318342</v>
      </c>
      <c r="BD10" s="7">
        <f t="array" ref="BD10">PRODUCT(1 + 預測IC!$C19:BC19) -1</f>
        <v>1.4563488230038755</v>
      </c>
      <c r="BE10" s="7">
        <f t="array" ref="BE10">PRODUCT(1 + 預測IC!$C19:BD19) -1</f>
        <v>1.4807883215351492</v>
      </c>
      <c r="BF10" s="7">
        <f t="array" ref="BF10">PRODUCT(1 + 預測IC!$C19:BE19) -1</f>
        <v>1.353235071850055</v>
      </c>
      <c r="BG10" s="7">
        <f t="array" ref="BG10">PRODUCT(1 + 預測IC!$C19:BF19) -1</f>
        <v>1.3160800196082789</v>
      </c>
      <c r="BH10" s="7">
        <f t="array" ref="BH10">PRODUCT(1 + 預測IC!$C19:BG19) -1</f>
        <v>1.7825504118662145</v>
      </c>
      <c r="BI10" s="7">
        <f t="array" ref="BI10">PRODUCT(1 + 預測IC!$C19:BH19) -1</f>
        <v>2.1712503583378995</v>
      </c>
      <c r="BJ10" s="7">
        <f t="array" ref="BJ10">PRODUCT(1 + 預測IC!$C19:BI19) -1</f>
        <v>1.8478363547700467</v>
      </c>
      <c r="BK10" s="7">
        <f t="array" ref="BK10">PRODUCT(1 + 預測IC!$C19:BJ19) -1</f>
        <v>2.1887280570791936</v>
      </c>
      <c r="BL10" s="7">
        <f t="array" ref="BL10">PRODUCT(1 + 預測IC!$C19:BK19) -1</f>
        <v>1.8804163494832324</v>
      </c>
      <c r="BM10" s="7">
        <f t="array" ref="BM10">PRODUCT(1 + 預測IC!$C19:BL19) -1</f>
        <v>2.1160497346208782</v>
      </c>
      <c r="BN10" s="7">
        <f t="array" ref="BN10">PRODUCT(1 + 預測IC!$C19:BM19) -1</f>
        <v>2.0117650495029462</v>
      </c>
      <c r="BO10" s="7">
        <f t="array" ref="BO10">PRODUCT(1 + 預測IC!$C19:BN19) -1</f>
        <v>2.0239852966860674</v>
      </c>
      <c r="BP10" s="7">
        <f t="array" ref="BP10">PRODUCT(1 + 預測IC!$C19:BO19) -1</f>
        <v>2.1692979668519854</v>
      </c>
      <c r="BQ10" s="7">
        <f t="array" ref="BQ10">PRODUCT(1 + 預測IC!$C19:BP19) -1</f>
        <v>1.7386057994055384</v>
      </c>
      <c r="BR10" s="7">
        <f t="array" ref="BR10">PRODUCT(1 + 預測IC!$C19:BQ19) -1</f>
        <v>1.5554038982509462</v>
      </c>
      <c r="BS10" s="7">
        <f t="array" ref="BS10">PRODUCT(1 + 預測IC!$C19:BR19) -1</f>
        <v>1.2684331055110509</v>
      </c>
      <c r="BT10" s="7">
        <f t="array" ref="BT10">PRODUCT(1 + 預測IC!$C19:BS19) -1</f>
        <v>1.2220353309433665</v>
      </c>
      <c r="BU10" s="7">
        <f t="array" ref="BU10">PRODUCT(1 + 預測IC!$C19:BT19) -1</f>
        <v>1.363638517417761</v>
      </c>
      <c r="BV10" s="7">
        <f t="array" ref="BV10">PRODUCT(1 + 預測IC!$C19:BU19) -1</f>
        <v>1.059996896039852</v>
      </c>
      <c r="BW10" s="7">
        <f t="array" ref="BW10">PRODUCT(1 + 預測IC!$C19:BV19) -1</f>
        <v>1.3328703454117061</v>
      </c>
      <c r="BX10" s="7">
        <f t="array" ref="BX10">PRODUCT(1 + 預測IC!$C19:BW19) -1</f>
        <v>1.406981747588973</v>
      </c>
      <c r="BY10" s="7">
        <f t="array" ref="BY10">PRODUCT(1 + 預測IC!$C19:BX19) -1</f>
        <v>1.3149616644627304</v>
      </c>
      <c r="BZ10" s="7">
        <f t="array" ref="BZ10">PRODUCT(1 + 預測IC!$C19:BY19) -1</f>
        <v>1.1303245235868928</v>
      </c>
      <c r="CA10" s="7">
        <f t="array" ref="CA10">PRODUCT(1 + 預測IC!$C19:BZ19) -1</f>
        <v>0.5603789712992171</v>
      </c>
      <c r="CB10" s="7">
        <f t="array" ref="CB10">PRODUCT(1 + 預測IC!$C19:CA19) -1</f>
        <v>0.56358793412102082</v>
      </c>
      <c r="CC10" s="7">
        <f t="array" ref="CC10">PRODUCT(1 + 預測IC!$C19:CB19) -1</f>
        <v>0.91638664447216733</v>
      </c>
      <c r="CD10" s="7">
        <f t="array" ref="CD10">PRODUCT(1 + 預測IC!$C19:CC19) -1</f>
        <v>0.71240599228590074</v>
      </c>
      <c r="CE10" s="7">
        <f t="array" ref="CE10">PRODUCT(1 + 預測IC!$C19:CD19) -1</f>
        <v>0.62529015539282762</v>
      </c>
      <c r="CF10" s="7">
        <f t="array" ref="CF10">PRODUCT(1 + 預測IC!$C19:CE19) -1</f>
        <v>0.56070566743912909</v>
      </c>
      <c r="CG10" s="7">
        <f t="array" ref="CG10">PRODUCT(1 + 預測IC!$C19:CF19) -1</f>
        <v>0.64319375740740736</v>
      </c>
      <c r="CH10" s="7">
        <f t="array" ref="CH10">PRODUCT(1 + 預測IC!$C19:CG19) -1</f>
        <v>0.77723695484409849</v>
      </c>
      <c r="CI10" s="7">
        <f t="array" ref="CI10">PRODUCT(1 + 預測IC!$C19:CH19) -1</f>
        <v>0.70164996743051344</v>
      </c>
      <c r="CJ10" s="7">
        <f t="array" ref="CJ10">PRODUCT(1 + 預測IC!$C19:CI19) -1</f>
        <v>0.50211882585423373</v>
      </c>
      <c r="CK10" s="7">
        <f t="array" ref="CK10">PRODUCT(1 + 預測IC!$C19:CJ19) -1</f>
        <v>0.52782475082041858</v>
      </c>
      <c r="CL10" s="7">
        <f t="array" ref="CL10">PRODUCT(1 + 預測IC!$C19:CK19) -1</f>
        <v>0.42126146724931846</v>
      </c>
      <c r="CM10" s="7">
        <f t="array" ref="CM10">PRODUCT(1 + 預測IC!$C19:CL19) -1</f>
        <v>0.40802553914493944</v>
      </c>
      <c r="CN10" s="7">
        <f t="array" ref="CN10">PRODUCT(1 + 預測IC!$C19:CM19) -1</f>
        <v>0.48052177651282491</v>
      </c>
      <c r="CO10" s="7">
        <f t="array" ref="CO10">PRODUCT(1 + 預測IC!$C19:CN19) -1</f>
        <v>0.51423675272581182</v>
      </c>
      <c r="CP10" s="7">
        <f t="array" ref="CP10">PRODUCT(1 + 預測IC!$C19:CO19) -1</f>
        <v>0.26063988257933324</v>
      </c>
      <c r="CQ10" s="7">
        <f t="array" ref="CQ10">PRODUCT(1 + 預測IC!$C19:CP19) -1</f>
        <v>0.22164960385698618</v>
      </c>
      <c r="CR10" s="7">
        <f t="array" ref="CR10">PRODUCT(1 + 預測IC!$C19:CQ19) -1</f>
        <v>0.46976939415903107</v>
      </c>
      <c r="CS10" s="7">
        <f t="array" ref="CS10">PRODUCT(1 + 預測IC!$C19:CR19) -1</f>
        <v>0.50384155740747039</v>
      </c>
      <c r="CT10" s="7">
        <f t="array" ref="CT10">PRODUCT(1 + 預測IC!$C19:CS19) -1</f>
        <v>0.49079264727519378</v>
      </c>
      <c r="CU10" s="7">
        <f t="array" ref="CU10">PRODUCT(1 + 預測IC!$C19:CT19) -1</f>
        <v>0.43429272168625599</v>
      </c>
      <c r="CV10" s="7">
        <f t="array" ref="CV10">PRODUCT(1 + 預測IC!$C19:CU19) -1</f>
        <v>0.41827017156856594</v>
      </c>
      <c r="CW10" s="7">
        <f t="array" ref="CW10">PRODUCT(1 + 預測IC!$C19:CV19) -1</f>
        <v>0.47525730071005401</v>
      </c>
      <c r="CX10" s="7">
        <f t="array" ref="CX10">PRODUCT(1 + 預測IC!$C19:CW19) -1</f>
        <v>0.36682046402006896</v>
      </c>
      <c r="CY10" s="7">
        <f t="array" ref="CY10">PRODUCT(1 + 預測IC!$C19:CX19) -1</f>
        <v>0.38772375801223746</v>
      </c>
      <c r="CZ10" s="7">
        <f t="array" ref="CZ10">PRODUCT(1 + 預測IC!$C19:CY19) -1</f>
        <v>0.24954953425992543</v>
      </c>
      <c r="DA10" s="7">
        <f t="array" ref="DA10">PRODUCT(1 + 預測IC!$C19:CZ19) -1</f>
        <v>0.43510308628032046</v>
      </c>
      <c r="DB10" s="7">
        <f t="array" ref="DB10">PRODUCT(1 + 預測IC!$C19:DA19) -1</f>
        <v>0.51725637767920651</v>
      </c>
      <c r="DC10" s="7">
        <f t="array" ref="DC10">PRODUCT(1 + 預測IC!$C19:DB19) -1</f>
        <v>0.41882938687035542</v>
      </c>
      <c r="DD10" s="7">
        <f t="array" ref="DD10">PRODUCT(1 + 預測IC!$C19:DC19) -1</f>
        <v>0.39376099338041315</v>
      </c>
      <c r="DE10" s="7">
        <f t="array" ref="DE10">PRODUCT(1 + 預測IC!$C19:DD19) -1</f>
        <v>0.38569857164153376</v>
      </c>
      <c r="DF10" s="7">
        <f t="array" ref="DF10">PRODUCT(1 + 預測IC!$C19:DE19) -1</f>
        <v>0.35503682067634057</v>
      </c>
      <c r="DG10" s="7">
        <f t="array" ref="DG10">PRODUCT(1 + 預測IC!$C19:DF19) -1</f>
        <v>0.38428900464528803</v>
      </c>
      <c r="DH10" s="7">
        <f t="array" ref="DH10">PRODUCT(1 + 預測IC!$C19:DG19) -1</f>
        <v>0.41898000885551356</v>
      </c>
      <c r="DI10" s="7">
        <f t="array" ref="DI10">PRODUCT(1 + 預測IC!$C19:DH19) -1</f>
        <v>0.43075400644641082</v>
      </c>
      <c r="DJ10" s="7">
        <f t="array" ref="DJ10">PRODUCT(1 + 預測IC!$C19:DI19) -1</f>
        <v>0.31181276622466547</v>
      </c>
      <c r="DK10" s="7">
        <f t="array" ref="DK10">PRODUCT(1 + 預測IC!$C19:DJ19) -1</f>
        <v>0.29840716579122706</v>
      </c>
      <c r="DL10" s="7">
        <f t="array" ref="DL10">PRODUCT(1 + 預測IC!$C19:DK19) -1</f>
        <v>0.17431770095509247</v>
      </c>
      <c r="DM10" s="7">
        <f t="array" ref="DM10">PRODUCT(1 + 預測IC!$C19:DL19) -1</f>
        <v>0.25936461855453641</v>
      </c>
      <c r="DN10" s="7">
        <f t="array" ref="DN10">PRODUCT(1 + 預測IC!$C19:DM19) -1</f>
        <v>0.22204540845352239</v>
      </c>
      <c r="DO10" s="7">
        <f t="array" ref="DO10">PRODUCT(1 + 預測IC!$C19:DN19) -1</f>
        <v>0.27178727994157503</v>
      </c>
      <c r="DP10" s="7">
        <f t="array" ref="DP10">PRODUCT(1 + 預測IC!$C19:DO19) -1</f>
        <v>0.35689843711165792</v>
      </c>
      <c r="DQ10" s="7">
        <f t="array" ref="DQ10">PRODUCT(1 + 預測IC!$C19:DP19) -1</f>
        <v>0.50360141554325133</v>
      </c>
      <c r="DR10" s="7">
        <f t="array" ref="DR10">PRODUCT(1 + 預測IC!$C19:DQ19) -1</f>
        <v>0.42379418297395777</v>
      </c>
      <c r="DS10" s="7">
        <f t="array" ref="DS10">PRODUCT(1 + 預測IC!$C19:DR19) -1</f>
        <v>0.41506888738130554</v>
      </c>
      <c r="DT10" s="7">
        <f t="array" ref="DT10">PRODUCT(1 + 預測IC!$C19:DS19) -1</f>
        <v>0.38892757445726867</v>
      </c>
      <c r="DU10" s="7">
        <f t="array" ref="DU10">PRODUCT(1 + 預測IC!$C19:DT19) -1</f>
        <v>0.27106734352335504</v>
      </c>
      <c r="DV10" s="7">
        <f t="array" ref="DV10">PRODUCT(1 + 預測IC!$C19:DU19) -1</f>
        <v>0.31932342430204086</v>
      </c>
      <c r="DW10" s="7">
        <f t="array" ref="DW10">PRODUCT(1 + 預測IC!$C19:DV19) -1</f>
        <v>0.3485679099710508</v>
      </c>
      <c r="DX10" s="7">
        <f t="array" ref="DX10">PRODUCT(1 + 預測IC!$C19:DW19) -1</f>
        <v>0.23590390435233122</v>
      </c>
      <c r="DY10" s="7">
        <f t="array" ref="DY10">PRODUCT(1 + 預測IC!$C19:DX19) -1</f>
        <v>0.2506020254472856</v>
      </c>
      <c r="DZ10" s="7">
        <f t="array" ref="DZ10">PRODUCT(1 + 預測IC!$C19:DY19) -1</f>
        <v>0.30612465187425686</v>
      </c>
      <c r="EA10" s="7">
        <f t="array" ref="EA10">PRODUCT(1 + 預測IC!$C19:DZ19) -1</f>
        <v>0.29984538288248563</v>
      </c>
      <c r="EB10" s="7">
        <f t="array" ref="EB10">PRODUCT(1 + 預測IC!$C19:EA19) -1</f>
        <v>0.35982615034653453</v>
      </c>
      <c r="EC10" s="7">
        <f t="array" ref="EC10">PRODUCT(1 + 預測IC!$C19:EB19) -1</f>
        <v>0.47973192193006553</v>
      </c>
      <c r="ED10" s="7">
        <f t="array" ref="ED10">PRODUCT(1 + 預測IC!$C19:EC19) -1</f>
        <v>0.6258906757778453</v>
      </c>
      <c r="EE10" s="7">
        <f t="array" ref="EE10">PRODUCT(1 + 預測IC!$C19:ED19) -1</f>
        <v>0.62205663004150735</v>
      </c>
      <c r="EF10" s="7">
        <f t="array" ref="EF10">PRODUCT(1 + 預測IC!$C19:EE19) -1</f>
        <v>0.74209877071609553</v>
      </c>
      <c r="EG10" s="7">
        <f t="array" ref="EG10">PRODUCT(1 + 預測IC!$C19:EF19) -1</f>
        <v>0.88055895662184724</v>
      </c>
    </row>
    <row r="11" spans="3:137" ht="16" customHeight="1">
      <c r="C11" s="6">
        <v>137</v>
      </c>
      <c r="D11" s="7">
        <f t="array" ref="D11">PRODUCT(1 + 預測IC!$C20:C20) -1</f>
        <v>0.59702667278137156</v>
      </c>
      <c r="E11" s="7">
        <f t="array" ref="E11">PRODUCT(1 + 預測IC!$C20:D20) -1</f>
        <v>0.77644019358982264</v>
      </c>
      <c r="F11" s="7">
        <f t="array" ref="F11">PRODUCT(1 + 預測IC!$C20:E20) -1</f>
        <v>0.9892089416066483</v>
      </c>
      <c r="G11" s="7">
        <f t="array" ref="G11">PRODUCT(1 + 預測IC!$C20:F20) -1</f>
        <v>0.8844370412958984</v>
      </c>
      <c r="H11" s="7">
        <f t="array" ref="H11">PRODUCT(1 + 預測IC!$C20:G20) -1</f>
        <v>0.72406209725566972</v>
      </c>
      <c r="I11" s="7">
        <f t="array" ref="I11">PRODUCT(1 + 預測IC!$C20:H20) -1</f>
        <v>0.7974881477004292</v>
      </c>
      <c r="J11" s="7">
        <f t="array" ref="J11">PRODUCT(1 + 預測IC!$C20:I20) -1</f>
        <v>0.84410499486156954</v>
      </c>
      <c r="K11" s="7">
        <f t="array" ref="K11">PRODUCT(1 + 預測IC!$C20:J20) -1</f>
        <v>0.65432651420092069</v>
      </c>
      <c r="L11" s="7">
        <f t="array" ref="L11">PRODUCT(1 + 預測IC!$C20:K20) -1</f>
        <v>0.75400682786845175</v>
      </c>
      <c r="M11" s="7">
        <f t="array" ref="M11">PRODUCT(1 + 預測IC!$C20:L20) -1</f>
        <v>0.6923690215345244</v>
      </c>
      <c r="N11" s="7">
        <f t="array" ref="N11">PRODUCT(1 + 預測IC!$C20:M20) -1</f>
        <v>0.80397214357095548</v>
      </c>
      <c r="O11" s="7">
        <f t="array" ref="O11">PRODUCT(1 + 預測IC!$C20:N20) -1</f>
        <v>0.89187124751953673</v>
      </c>
      <c r="P11" s="7">
        <f t="array" ref="P11">PRODUCT(1 + 預測IC!$C20:O20) -1</f>
        <v>0.66268464773267444</v>
      </c>
      <c r="Q11" s="7">
        <f t="array" ref="Q11">PRODUCT(1 + 預測IC!$C20:P20) -1</f>
        <v>0.69357760474111951</v>
      </c>
      <c r="R11" s="7">
        <f t="array" ref="R11">PRODUCT(1 + 預測IC!$C20:Q20) -1</f>
        <v>0.98162113722413435</v>
      </c>
      <c r="S11" s="7">
        <f t="array" ref="S11">PRODUCT(1 + 預測IC!$C20:R20) -1</f>
        <v>0.88121884429269559</v>
      </c>
      <c r="T11" s="7">
        <f t="array" ref="T11">PRODUCT(1 + 預測IC!$C20:S20) -1</f>
        <v>0.86637766588018361</v>
      </c>
      <c r="U11" s="7">
        <f t="array" ref="U11">PRODUCT(1 + 預測IC!$C20:T20) -1</f>
        <v>0.721577144433873</v>
      </c>
      <c r="V11" s="7">
        <f t="array" ref="V11">PRODUCT(1 + 預測IC!$C20:U20) -1</f>
        <v>0.51334755940836563</v>
      </c>
      <c r="W11" s="7">
        <f t="array" ref="W11">PRODUCT(1 + 預測IC!$C20:V20) -1</f>
        <v>0.60508356275374098</v>
      </c>
      <c r="X11" s="7">
        <f t="array" ref="X11">PRODUCT(1 + 預測IC!$C20:W20) -1</f>
        <v>0.65970744405533455</v>
      </c>
      <c r="Y11" s="7">
        <f t="array" ref="Y11">PRODUCT(1 + 預測IC!$C20:X20) -1</f>
        <v>0.85724877578865688</v>
      </c>
      <c r="Z11" s="7">
        <f t="array" ref="Z11">PRODUCT(1 + 預測IC!$C20:Y20) -1</f>
        <v>0.7473498495242874</v>
      </c>
      <c r="AA11" s="7">
        <f t="array" ref="AA11">PRODUCT(1 + 預測IC!$C20:Z20) -1</f>
        <v>0.82836458634216559</v>
      </c>
      <c r="AB11" s="7">
        <f t="array" ref="AB11">PRODUCT(1 + 預測IC!$C20:AA20) -1</f>
        <v>0.72418821645237852</v>
      </c>
      <c r="AC11" s="7">
        <f t="array" ref="AC11">PRODUCT(1 + 預測IC!$C20:AB20) -1</f>
        <v>0.62464688015870995</v>
      </c>
      <c r="AD11" s="7">
        <f t="array" ref="AD11">PRODUCT(1 + 預測IC!$C20:AC20) -1</f>
        <v>0.68678485440781212</v>
      </c>
      <c r="AE11" s="7">
        <f t="array" ref="AE11">PRODUCT(1 + 預測IC!$C20:AD20) -1</f>
        <v>0.89213885403730653</v>
      </c>
      <c r="AF11" s="7">
        <f t="array" ref="AF11">PRODUCT(1 + 預測IC!$C20:AE20) -1</f>
        <v>1.0733805658070095</v>
      </c>
      <c r="AG11" s="7">
        <f t="array" ref="AG11">PRODUCT(1 + 預測IC!$C20:AF20) -1</f>
        <v>1.3801128352291845</v>
      </c>
      <c r="AH11" s="7">
        <f t="array" ref="AH11">PRODUCT(1 + 預測IC!$C20:AG20) -1</f>
        <v>1.4754985968953598</v>
      </c>
      <c r="AI11" s="7">
        <f t="array" ref="AI11">PRODUCT(1 + 預測IC!$C20:AH20) -1</f>
        <v>1.7379517074668187</v>
      </c>
      <c r="AJ11" s="7">
        <f t="array" ref="AJ11">PRODUCT(1 + 預測IC!$C20:AI20) -1</f>
        <v>1.7621595174641351</v>
      </c>
      <c r="AK11" s="7">
        <f t="array" ref="AK11">PRODUCT(1 + 預測IC!$C20:AJ20) -1</f>
        <v>1.5089779911141377</v>
      </c>
      <c r="AL11" s="7">
        <f t="array" ref="AL11">PRODUCT(1 + 預測IC!$C20:AK20) -1</f>
        <v>1.3511543814653053</v>
      </c>
      <c r="AM11" s="7">
        <f t="array" ref="AM11">PRODUCT(1 + 預測IC!$C20:AL20) -1</f>
        <v>1.2968660513897881</v>
      </c>
      <c r="AN11" s="7">
        <f t="array" ref="AN11">PRODUCT(1 + 預測IC!$C20:AM20) -1</f>
        <v>1.3105442885735537</v>
      </c>
      <c r="AO11" s="7">
        <f t="array" ref="AO11">PRODUCT(1 + 預測IC!$C20:AN20) -1</f>
        <v>1.6628074740632961</v>
      </c>
      <c r="AP11" s="7">
        <f t="array" ref="AP11">PRODUCT(1 + 預測IC!$C20:AO20) -1</f>
        <v>1.7758365473045705</v>
      </c>
      <c r="AQ11" s="7">
        <f t="array" ref="AQ11">PRODUCT(1 + 預測IC!$C20:AP20) -1</f>
        <v>2.4301820526948115</v>
      </c>
      <c r="AR11" s="7">
        <f t="array" ref="AR11">PRODUCT(1 + 預測IC!$C20:AQ20) -1</f>
        <v>2.3731374458743608</v>
      </c>
      <c r="AS11" s="7">
        <f t="array" ref="AS11">PRODUCT(1 + 預測IC!$C20:AR20) -1</f>
        <v>2.2482509420565586</v>
      </c>
      <c r="AT11" s="7">
        <f t="array" ref="AT11">PRODUCT(1 + 預測IC!$C20:AS20) -1</f>
        <v>2.1458588186135108</v>
      </c>
      <c r="AU11" s="7">
        <f t="array" ref="AU11">PRODUCT(1 + 預測IC!$C20:AT20) -1</f>
        <v>2.3779385808119744</v>
      </c>
      <c r="AV11" s="7">
        <f t="array" ref="AV11">PRODUCT(1 + 預測IC!$C20:AU20) -1</f>
        <v>2.9529608019476106</v>
      </c>
      <c r="AW11" s="7">
        <f t="array" ref="AW11">PRODUCT(1 + 預測IC!$C20:AV20) -1</f>
        <v>3.0969983928191107</v>
      </c>
      <c r="AX11" s="7">
        <f t="array" ref="AX11">PRODUCT(1 + 預測IC!$C20:AW20) -1</f>
        <v>3.0548508503406646</v>
      </c>
      <c r="AY11" s="7">
        <f t="array" ref="AY11">PRODUCT(1 + 預測IC!$C20:AX20) -1</f>
        <v>2.1771052337524108</v>
      </c>
      <c r="AZ11" s="7">
        <f t="array" ref="AZ11">PRODUCT(1 + 預測IC!$C20:AY20) -1</f>
        <v>1.6726138840522657</v>
      </c>
      <c r="BA11" s="7">
        <f t="array" ref="BA11">PRODUCT(1 + 預測IC!$C20:AZ20) -1</f>
        <v>1.4768615031981014</v>
      </c>
      <c r="BB11" s="7">
        <f t="array" ref="BB11">PRODUCT(1 + 預測IC!$C20:BA20) -1</f>
        <v>1.5735340327285012</v>
      </c>
      <c r="BC11" s="7">
        <f t="array" ref="BC11">PRODUCT(1 + 預測IC!$C20:BB20) -1</f>
        <v>1.4967558182321166</v>
      </c>
      <c r="BD11" s="7">
        <f t="array" ref="BD11">PRODUCT(1 + 預測IC!$C20:BC20) -1</f>
        <v>1.3288922062857145</v>
      </c>
      <c r="BE11" s="7">
        <f t="array" ref="BE11">PRODUCT(1 + 預測IC!$C20:BD20) -1</f>
        <v>1.3530413230335054</v>
      </c>
      <c r="BF11" s="7">
        <f t="array" ref="BF11">PRODUCT(1 + 預測IC!$C20:BE20) -1</f>
        <v>1.215783484941475</v>
      </c>
      <c r="BG11" s="7">
        <f t="array" ref="BG11">PRODUCT(1 + 預測IC!$C20:BF20) -1</f>
        <v>1.1088989187102074</v>
      </c>
      <c r="BH11" s="7">
        <f t="array" ref="BH11">PRODUCT(1 + 預測IC!$C20:BG20) -1</f>
        <v>1.538781959908178</v>
      </c>
      <c r="BI11" s="7">
        <f t="array" ref="BI11">PRODUCT(1 + 預測IC!$C20:BH20) -1</f>
        <v>1.861997481792633</v>
      </c>
      <c r="BJ11" s="7">
        <f t="array" ref="BJ11">PRODUCT(1 + 預測IC!$C20:BI20) -1</f>
        <v>1.7733270100767458</v>
      </c>
      <c r="BK11" s="7">
        <f t="array" ref="BK11">PRODUCT(1 + 預測IC!$C20:BJ20) -1</f>
        <v>2.2407486498735594</v>
      </c>
      <c r="BL11" s="7">
        <f t="array" ref="BL11">PRODUCT(1 + 預測IC!$C20:BK20) -1</f>
        <v>2.100473716345594</v>
      </c>
      <c r="BM11" s="7">
        <f t="array" ref="BM11">PRODUCT(1 + 預測IC!$C20:BL20) -1</f>
        <v>2.3512167535887607</v>
      </c>
      <c r="BN11" s="7">
        <f t="array" ref="BN11">PRODUCT(1 + 預測IC!$C20:BM20) -1</f>
        <v>2.2554001682724398</v>
      </c>
      <c r="BO11" s="7">
        <f t="array" ref="BO11">PRODUCT(1 + 預測IC!$C20:BN20) -1</f>
        <v>2.3780463971750425</v>
      </c>
      <c r="BP11" s="7">
        <f t="array" ref="BP11">PRODUCT(1 + 預測IC!$C20:BO20) -1</f>
        <v>2.4943814843552627</v>
      </c>
      <c r="BQ11" s="7">
        <f t="array" ref="BQ11">PRODUCT(1 + 預測IC!$C20:BP20) -1</f>
        <v>1.9232225455881995</v>
      </c>
      <c r="BR11" s="7">
        <f t="array" ref="BR11">PRODUCT(1 + 預測IC!$C20:BQ20) -1</f>
        <v>1.6652941967199304</v>
      </c>
      <c r="BS11" s="7">
        <f t="array" ref="BS11">PRODUCT(1 + 預測IC!$C20:BR20) -1</f>
        <v>1.3204846769838898</v>
      </c>
      <c r="BT11" s="7">
        <f t="array" ref="BT11">PRODUCT(1 + 預測IC!$C20:BS20) -1</f>
        <v>1.3018586197983937</v>
      </c>
      <c r="BU11" s="7">
        <f t="array" ref="BU11">PRODUCT(1 + 預測IC!$C20:BT20) -1</f>
        <v>1.5794636079050024</v>
      </c>
      <c r="BV11" s="7">
        <f t="array" ref="BV11">PRODUCT(1 + 預測IC!$C20:BU20) -1</f>
        <v>1.4272462400898802</v>
      </c>
      <c r="BW11" s="7">
        <f t="array" ref="BW11">PRODUCT(1 + 預測IC!$C20:BV20) -1</f>
        <v>1.6246146665926124</v>
      </c>
      <c r="BX11" s="7">
        <f t="array" ref="BX11">PRODUCT(1 + 預測IC!$C20:BW20) -1</f>
        <v>1.6850761449625313</v>
      </c>
      <c r="BY11" s="7">
        <f t="array" ref="BY11">PRODUCT(1 + 預測IC!$C20:BX20) -1</f>
        <v>1.5120610471409135</v>
      </c>
      <c r="BZ11" s="7">
        <f t="array" ref="BZ11">PRODUCT(1 + 預測IC!$C20:BY20) -1</f>
        <v>1.3126138564616432</v>
      </c>
      <c r="CA11" s="7">
        <f t="array" ref="CA11">PRODUCT(1 + 預測IC!$C20:BZ20) -1</f>
        <v>0.79844711769277388</v>
      </c>
      <c r="CB11" s="7">
        <f t="array" ref="CB11">PRODUCT(1 + 預測IC!$C20:CA20) -1</f>
        <v>0.79784222495840074</v>
      </c>
      <c r="CC11" s="7">
        <f t="array" ref="CC11">PRODUCT(1 + 預測IC!$C20:CB20) -1</f>
        <v>1.1652677223483137</v>
      </c>
      <c r="CD11" s="7">
        <f t="array" ref="CD11">PRODUCT(1 + 預測IC!$C20:CC20) -1</f>
        <v>0.83880001123459724</v>
      </c>
      <c r="CE11" s="7">
        <f t="array" ref="CE11">PRODUCT(1 + 預測IC!$C20:CD20) -1</f>
        <v>0.71178175830606794</v>
      </c>
      <c r="CF11" s="7">
        <f t="array" ref="CF11">PRODUCT(1 + 預測IC!$C20:CE20) -1</f>
        <v>0.62010306266125403</v>
      </c>
      <c r="CG11" s="7">
        <f t="array" ref="CG11">PRODUCT(1 + 預測IC!$C20:CF20) -1</f>
        <v>0.71638401765932902</v>
      </c>
      <c r="CH11" s="7">
        <f t="array" ref="CH11">PRODUCT(1 + 預測IC!$C20:CG20) -1</f>
        <v>0.88207565597321302</v>
      </c>
      <c r="CI11" s="7">
        <f t="array" ref="CI11">PRODUCT(1 + 預測IC!$C20:CH20) -1</f>
        <v>0.7492797313425994</v>
      </c>
      <c r="CJ11" s="7">
        <f t="array" ref="CJ11">PRODUCT(1 + 預測IC!$C20:CI20) -1</f>
        <v>0.53383802814881465</v>
      </c>
      <c r="CK11" s="7">
        <f t="array" ref="CK11">PRODUCT(1 + 預測IC!$C20:CJ20) -1</f>
        <v>0.49469314722206681</v>
      </c>
      <c r="CL11" s="7">
        <f t="array" ref="CL11">PRODUCT(1 + 預測IC!$C20:CK20) -1</f>
        <v>0.40590135249043313</v>
      </c>
      <c r="CM11" s="7">
        <f t="array" ref="CM11">PRODUCT(1 + 預測IC!$C20:CL20) -1</f>
        <v>0.38367646907900088</v>
      </c>
      <c r="CN11" s="7">
        <f t="array" ref="CN11">PRODUCT(1 + 預測IC!$C20:CM20) -1</f>
        <v>0.42164730534651018</v>
      </c>
      <c r="CO11" s="7">
        <f t="array" ref="CO11">PRODUCT(1 + 預測IC!$C20:CN20) -1</f>
        <v>0.43640411695661552</v>
      </c>
      <c r="CP11" s="7">
        <f t="array" ref="CP11">PRODUCT(1 + 預測IC!$C20:CO20) -1</f>
        <v>0.21674589450543968</v>
      </c>
      <c r="CQ11" s="7">
        <f t="array" ref="CQ11">PRODUCT(1 + 預測IC!$C20:CP20) -1</f>
        <v>0.17191882591726682</v>
      </c>
      <c r="CR11" s="7">
        <f t="array" ref="CR11">PRODUCT(1 + 預測IC!$C20:CQ20) -1</f>
        <v>0.46283616521491022</v>
      </c>
      <c r="CS11" s="7">
        <f t="array" ref="CS11">PRODUCT(1 + 預測IC!$C20:CR20) -1</f>
        <v>0.46529396733050721</v>
      </c>
      <c r="CT11" s="7">
        <f t="array" ref="CT11">PRODUCT(1 + 預測IC!$C20:CS20) -1</f>
        <v>0.48399222408824416</v>
      </c>
      <c r="CU11" s="7">
        <f t="array" ref="CU11">PRODUCT(1 + 預測IC!$C20:CT20) -1</f>
        <v>0.4246482961649487</v>
      </c>
      <c r="CV11" s="7">
        <f t="array" ref="CV11">PRODUCT(1 + 預測IC!$C20:CU20) -1</f>
        <v>0.40047940173575625</v>
      </c>
      <c r="CW11" s="7">
        <f t="array" ref="CW11">PRODUCT(1 + 預測IC!$C20:CV20) -1</f>
        <v>0.42451193578005175</v>
      </c>
      <c r="CX11" s="7">
        <f t="array" ref="CX11">PRODUCT(1 + 預測IC!$C20:CW20) -1</f>
        <v>0.31528165260417884</v>
      </c>
      <c r="CY11" s="7">
        <f t="array" ref="CY11">PRODUCT(1 + 預測IC!$C20:CX20) -1</f>
        <v>0.35153816882807987</v>
      </c>
      <c r="CZ11" s="7">
        <f t="array" ref="CZ11">PRODUCT(1 + 預測IC!$C20:CY20) -1</f>
        <v>0.21961118186402384</v>
      </c>
      <c r="DA11" s="7">
        <f t="array" ref="DA11">PRODUCT(1 + 預測IC!$C20:CZ20) -1</f>
        <v>0.39769367823113</v>
      </c>
      <c r="DB11" s="7">
        <f t="array" ref="DB11">PRODUCT(1 + 預測IC!$C20:DA20) -1</f>
        <v>0.48418323543891728</v>
      </c>
      <c r="DC11" s="7">
        <f t="array" ref="DC11">PRODUCT(1 + 預測IC!$C20:DB20) -1</f>
        <v>0.39671261222204945</v>
      </c>
      <c r="DD11" s="7">
        <f t="array" ref="DD11">PRODUCT(1 + 預測IC!$C20:DC20) -1</f>
        <v>0.38239140686757778</v>
      </c>
      <c r="DE11" s="7">
        <f t="array" ref="DE11">PRODUCT(1 + 預測IC!$C20:DD20) -1</f>
        <v>0.4160164647748561</v>
      </c>
      <c r="DF11" s="7">
        <f t="array" ref="DF11">PRODUCT(1 + 預測IC!$C20:DE20) -1</f>
        <v>0.37092799627332473</v>
      </c>
      <c r="DG11" s="7">
        <f t="array" ref="DG11">PRODUCT(1 + 預測IC!$C20:DF20) -1</f>
        <v>0.41506041823321937</v>
      </c>
      <c r="DH11" s="7">
        <f t="array" ref="DH11">PRODUCT(1 + 預測IC!$C20:DG20) -1</f>
        <v>0.45134582979169324</v>
      </c>
      <c r="DI11" s="7">
        <f t="array" ref="DI11">PRODUCT(1 + 預測IC!$C20:DH20) -1</f>
        <v>0.45463141232503479</v>
      </c>
      <c r="DJ11" s="7">
        <f t="array" ref="DJ11">PRODUCT(1 + 預測IC!$C20:DI20) -1</f>
        <v>0.3492778297955732</v>
      </c>
      <c r="DK11" s="7">
        <f t="array" ref="DK11">PRODUCT(1 + 預測IC!$C20:DJ20) -1</f>
        <v>0.31432394396466079</v>
      </c>
      <c r="DL11" s="7">
        <f t="array" ref="DL11">PRODUCT(1 + 預測IC!$C20:DK20) -1</f>
        <v>0.24237471432521174</v>
      </c>
      <c r="DM11" s="7">
        <f t="array" ref="DM11">PRODUCT(1 + 預測IC!$C20:DL20) -1</f>
        <v>0.34752529889413997</v>
      </c>
      <c r="DN11" s="7">
        <f t="array" ref="DN11">PRODUCT(1 + 預測IC!$C20:DM20) -1</f>
        <v>0.31828780138729607</v>
      </c>
      <c r="DO11" s="7">
        <f t="array" ref="DO11">PRODUCT(1 + 預測IC!$C20:DN20) -1</f>
        <v>0.3867646079371001</v>
      </c>
      <c r="DP11" s="7">
        <f t="array" ref="DP11">PRODUCT(1 + 預測IC!$C20:DO20) -1</f>
        <v>0.46505332826988677</v>
      </c>
      <c r="DQ11" s="7">
        <f t="array" ref="DQ11">PRODUCT(1 + 預測IC!$C20:DP20) -1</f>
        <v>0.6406331534541907</v>
      </c>
      <c r="DR11" s="7">
        <f t="array" ref="DR11">PRODUCT(1 + 預測IC!$C20:DQ20) -1</f>
        <v>0.46373423023308113</v>
      </c>
      <c r="DS11" s="7">
        <f t="array" ref="DS11">PRODUCT(1 + 預測IC!$C20:DR20) -1</f>
        <v>0.43325198705605716</v>
      </c>
      <c r="DT11" s="7">
        <f t="array" ref="DT11">PRODUCT(1 + 預測IC!$C20:DS20) -1</f>
        <v>0.41735251149513375</v>
      </c>
      <c r="DU11" s="7">
        <f t="array" ref="DU11">PRODUCT(1 + 預測IC!$C20:DT20) -1</f>
        <v>0.25462076972997516</v>
      </c>
      <c r="DV11" s="7">
        <f t="array" ref="DV11">PRODUCT(1 + 預測IC!$C20:DU20) -1</f>
        <v>0.33545380964052796</v>
      </c>
      <c r="DW11" s="7">
        <f t="array" ref="DW11">PRODUCT(1 + 預測IC!$C20:DV20) -1</f>
        <v>0.38524573500205483</v>
      </c>
      <c r="DX11" s="7">
        <f t="array" ref="DX11">PRODUCT(1 + 預測IC!$C20:DW20) -1</f>
        <v>0.3142497528097643</v>
      </c>
      <c r="DY11" s="7">
        <f t="array" ref="DY11">PRODUCT(1 + 預測IC!$C20:DX20) -1</f>
        <v>0.33292156494842118</v>
      </c>
      <c r="DZ11" s="7">
        <f t="array" ref="DZ11">PRODUCT(1 + 預測IC!$C20:DY20) -1</f>
        <v>0.44186174000533063</v>
      </c>
      <c r="EA11" s="7">
        <f t="array" ref="EA11">PRODUCT(1 + 預測IC!$C20:DZ20) -1</f>
        <v>0.49238766440761439</v>
      </c>
      <c r="EB11" s="7">
        <f t="array" ref="EB11">PRODUCT(1 + 預測IC!$C20:EA20) -1</f>
        <v>0.61471189055739606</v>
      </c>
      <c r="EC11" s="7">
        <f t="array" ref="EC11">PRODUCT(1 + 預測IC!$C20:EB20) -1</f>
        <v>0.7759515510393602</v>
      </c>
      <c r="ED11" s="7">
        <f t="array" ref="ED11">PRODUCT(1 + 預測IC!$C20:EC20) -1</f>
        <v>0.9941034536066693</v>
      </c>
      <c r="EE11" s="7">
        <f t="array" ref="EE11">PRODUCT(1 + 預測IC!$C20:ED20) -1</f>
        <v>0.93347814476814994</v>
      </c>
      <c r="EF11" s="7">
        <f t="array" ref="EF11">PRODUCT(1 + 預測IC!$C20:EE20) -1</f>
        <v>1.0766185090183282</v>
      </c>
      <c r="EG11" s="7">
        <f t="array" ref="EG11">PRODUCT(1 + 預測IC!$C20:EF20) -1</f>
        <v>1.2636391663122022</v>
      </c>
    </row>
    <row r="12" spans="3:137" ht="16" customHeight="1">
      <c r="C12" s="6">
        <v>160</v>
      </c>
      <c r="D12" s="7">
        <f t="array" ref="D12">PRODUCT(1 + 預測IC!$C21:C21) -1</f>
        <v>0.58903403281196898</v>
      </c>
      <c r="E12" s="7">
        <f t="array" ref="E12">PRODUCT(1 + 預測IC!$C21:D21) -1</f>
        <v>0.78133618810794525</v>
      </c>
      <c r="F12" s="7">
        <f t="array" ref="F12">PRODUCT(1 + 預測IC!$C21:E21) -1</f>
        <v>1.0468397048061839</v>
      </c>
      <c r="G12" s="7">
        <f t="array" ref="G12">PRODUCT(1 + 預測IC!$C21:F21) -1</f>
        <v>0.94211981926325428</v>
      </c>
      <c r="H12" s="7">
        <f t="array" ref="H12">PRODUCT(1 + 預測IC!$C21:G21) -1</f>
        <v>0.79424069821499699</v>
      </c>
      <c r="I12" s="7">
        <f t="array" ref="I12">PRODUCT(1 + 預測IC!$C21:H21) -1</f>
        <v>0.88762319782368904</v>
      </c>
      <c r="J12" s="7">
        <f t="array" ref="J12">PRODUCT(1 + 預測IC!$C21:I21) -1</f>
        <v>0.86058530632594188</v>
      </c>
      <c r="K12" s="7">
        <f t="array" ref="K12">PRODUCT(1 + 預測IC!$C21:J21) -1</f>
        <v>0.69748984490860599</v>
      </c>
      <c r="L12" s="7">
        <f t="array" ref="L12">PRODUCT(1 + 預測IC!$C21:K21) -1</f>
        <v>0.88420628916024913</v>
      </c>
      <c r="M12" s="7">
        <f t="array" ref="M12">PRODUCT(1 + 預測IC!$C21:L21) -1</f>
        <v>0.86470466631046006</v>
      </c>
      <c r="N12" s="7">
        <f t="array" ref="N12">PRODUCT(1 + 預測IC!$C21:M21) -1</f>
        <v>1.0424471747751669</v>
      </c>
      <c r="O12" s="7">
        <f t="array" ref="O12">PRODUCT(1 + 預測IC!$C21:N21) -1</f>
        <v>1.1484689675264863</v>
      </c>
      <c r="P12" s="7">
        <f t="array" ref="P12">PRODUCT(1 + 預測IC!$C21:O21) -1</f>
        <v>0.84168809705208947</v>
      </c>
      <c r="Q12" s="7">
        <f t="array" ref="Q12">PRODUCT(1 + 預測IC!$C21:P21) -1</f>
        <v>0.86362897472135702</v>
      </c>
      <c r="R12" s="7">
        <f t="array" ref="R12">PRODUCT(1 + 預測IC!$C21:Q21) -1</f>
        <v>1.1860305152279</v>
      </c>
      <c r="S12" s="7">
        <f t="array" ref="S12">PRODUCT(1 + 預測IC!$C21:R21) -1</f>
        <v>1.0547485680151358</v>
      </c>
      <c r="T12" s="7">
        <f t="array" ref="T12">PRODUCT(1 + 預測IC!$C21:S21) -1</f>
        <v>1.0607653803668327</v>
      </c>
      <c r="U12" s="7">
        <f t="array" ref="U12">PRODUCT(1 + 預測IC!$C21:T21) -1</f>
        <v>0.88618919617155067</v>
      </c>
      <c r="V12" s="7">
        <f t="array" ref="V12">PRODUCT(1 + 預測IC!$C21:U21) -1</f>
        <v>0.62196421884740305</v>
      </c>
      <c r="W12" s="7">
        <f t="array" ref="W12">PRODUCT(1 + 預測IC!$C21:V21) -1</f>
        <v>0.70641320476371194</v>
      </c>
      <c r="X12" s="7">
        <f t="array" ref="X12">PRODUCT(1 + 預測IC!$C21:W21) -1</f>
        <v>0.76140058911287323</v>
      </c>
      <c r="Y12" s="7">
        <f t="array" ref="Y12">PRODUCT(1 + 預測IC!$C21:X21) -1</f>
        <v>0.88903338369060836</v>
      </c>
      <c r="Z12" s="7">
        <f t="array" ref="Z12">PRODUCT(1 + 預測IC!$C21:Y21) -1</f>
        <v>0.80139601207897604</v>
      </c>
      <c r="AA12" s="7">
        <f t="array" ref="AA12">PRODUCT(1 + 預測IC!$C21:Z21) -1</f>
        <v>0.88495550182255123</v>
      </c>
      <c r="AB12" s="7">
        <f t="array" ref="AB12">PRODUCT(1 + 預測IC!$C21:AA21) -1</f>
        <v>0.79565370767914056</v>
      </c>
      <c r="AC12" s="7">
        <f t="array" ref="AC12">PRODUCT(1 + 預測IC!$C21:AB21) -1</f>
        <v>0.69390754098778462</v>
      </c>
      <c r="AD12" s="7">
        <f t="array" ref="AD12">PRODUCT(1 + 預測IC!$C21:AC21) -1</f>
        <v>0.76491212589209434</v>
      </c>
      <c r="AE12" s="7">
        <f t="array" ref="AE12">PRODUCT(1 + 預測IC!$C21:AD21) -1</f>
        <v>1.0181338466895196</v>
      </c>
      <c r="AF12" s="7">
        <f t="array" ref="AF12">PRODUCT(1 + 預測IC!$C21:AE21) -1</f>
        <v>1.2884420618048864</v>
      </c>
      <c r="AG12" s="7">
        <f t="array" ref="AG12">PRODUCT(1 + 預測IC!$C21:AF21) -1</f>
        <v>1.6082755288073689</v>
      </c>
      <c r="AH12" s="7">
        <f t="array" ref="AH12">PRODUCT(1 + 預測IC!$C21:AG21) -1</f>
        <v>1.7602598433825634</v>
      </c>
      <c r="AI12" s="7">
        <f t="array" ref="AI12">PRODUCT(1 + 預測IC!$C21:AH21) -1</f>
        <v>2.0655003638806333</v>
      </c>
      <c r="AJ12" s="7">
        <f t="array" ref="AJ12">PRODUCT(1 + 預測IC!$C21:AI21) -1</f>
        <v>2.1442798869109128</v>
      </c>
      <c r="AK12" s="7">
        <f t="array" ref="AK12">PRODUCT(1 + 預測IC!$C21:AJ21) -1</f>
        <v>1.7501732363258187</v>
      </c>
      <c r="AL12" s="7">
        <f t="array" ref="AL12">PRODUCT(1 + 預測IC!$C21:AK21) -1</f>
        <v>1.8098873013790882</v>
      </c>
      <c r="AM12" s="7">
        <f t="array" ref="AM12">PRODUCT(1 + 預測IC!$C21:AL21) -1</f>
        <v>1.8729389684913</v>
      </c>
      <c r="AN12" s="7">
        <f t="array" ref="AN12">PRODUCT(1 + 預測IC!$C21:AM21) -1</f>
        <v>1.9543705959719739</v>
      </c>
      <c r="AO12" s="7">
        <f t="array" ref="AO12">PRODUCT(1 + 預測IC!$C21:AN21) -1</f>
        <v>2.4682307528946921</v>
      </c>
      <c r="AP12" s="7">
        <f t="array" ref="AP12">PRODUCT(1 + 預測IC!$C21:AO21) -1</f>
        <v>2.7292362019929497</v>
      </c>
      <c r="AQ12" s="7">
        <f t="array" ref="AQ12">PRODUCT(1 + 預測IC!$C21:AP21) -1</f>
        <v>3.1600655976194822</v>
      </c>
      <c r="AR12" s="7">
        <f t="array" ref="AR12">PRODUCT(1 + 預測IC!$C21:AQ21) -1</f>
        <v>2.9923936154702462</v>
      </c>
      <c r="AS12" s="7">
        <f t="array" ref="AS12">PRODUCT(1 + 預測IC!$C21:AR21) -1</f>
        <v>2.8963197185581118</v>
      </c>
      <c r="AT12" s="7">
        <f t="array" ref="AT12">PRODUCT(1 + 預測IC!$C21:AS21) -1</f>
        <v>2.5736648889714799</v>
      </c>
      <c r="AU12" s="7">
        <f t="array" ref="AU12">PRODUCT(1 + 預測IC!$C21:AT21) -1</f>
        <v>2.8794060081851294</v>
      </c>
      <c r="AV12" s="7">
        <f t="array" ref="AV12">PRODUCT(1 + 預測IC!$C21:AU21) -1</f>
        <v>3.6484943014083431</v>
      </c>
      <c r="AW12" s="7">
        <f t="array" ref="AW12">PRODUCT(1 + 預測IC!$C21:AV21) -1</f>
        <v>3.8820988373533263</v>
      </c>
      <c r="AX12" s="7">
        <f t="array" ref="AX12">PRODUCT(1 + 預測IC!$C21:AW21) -1</f>
        <v>3.5898714459436318</v>
      </c>
      <c r="AY12" s="7">
        <f t="array" ref="AY12">PRODUCT(1 + 預測IC!$C21:AX21) -1</f>
        <v>2.4919615752051589</v>
      </c>
      <c r="AZ12" s="7">
        <f t="array" ref="AZ12">PRODUCT(1 + 預測IC!$C21:AY21) -1</f>
        <v>1.8099086688057016</v>
      </c>
      <c r="BA12" s="7">
        <f t="array" ref="BA12">PRODUCT(1 + 預測IC!$C21:AZ21) -1</f>
        <v>1.6024807328089743</v>
      </c>
      <c r="BB12" s="7">
        <f t="array" ref="BB12">PRODUCT(1 + 預測IC!$C21:BA21) -1</f>
        <v>1.6558165123875059</v>
      </c>
      <c r="BC12" s="7">
        <f t="array" ref="BC12">PRODUCT(1 + 預測IC!$C21:BB21) -1</f>
        <v>1.4488415658157376</v>
      </c>
      <c r="BD12" s="7">
        <f t="array" ref="BD12">PRODUCT(1 + 預測IC!$C21:BC21) -1</f>
        <v>1.2637210842501116</v>
      </c>
      <c r="BE12" s="7">
        <f t="array" ref="BE12">PRODUCT(1 + 預測IC!$C21:BD21) -1</f>
        <v>1.2778628831157288</v>
      </c>
      <c r="BF12" s="7">
        <f t="array" ref="BF12">PRODUCT(1 + 預測IC!$C21:BE21) -1</f>
        <v>1.1570817961622586</v>
      </c>
      <c r="BG12" s="7">
        <f t="array" ref="BG12">PRODUCT(1 + 預測IC!$C21:BF21) -1</f>
        <v>1.0873102419078959</v>
      </c>
      <c r="BH12" s="7">
        <f t="array" ref="BH12">PRODUCT(1 + 預測IC!$C21:BG21) -1</f>
        <v>1.6333689824214908</v>
      </c>
      <c r="BI12" s="7">
        <f t="array" ref="BI12">PRODUCT(1 + 預測IC!$C21:BH21) -1</f>
        <v>1.8489412320398495</v>
      </c>
      <c r="BJ12" s="7">
        <f t="array" ref="BJ12">PRODUCT(1 + 預測IC!$C21:BI21) -1</f>
        <v>1.8653700776484685</v>
      </c>
      <c r="BK12" s="7">
        <f t="array" ref="BK12">PRODUCT(1 + 預測IC!$C21:BJ21) -1</f>
        <v>2.3884465131493648</v>
      </c>
      <c r="BL12" s="7">
        <f t="array" ref="BL12">PRODUCT(1 + 預測IC!$C21:BK21) -1</f>
        <v>2.2149559906579159</v>
      </c>
      <c r="BM12" s="7">
        <f t="array" ref="BM12">PRODUCT(1 + 預測IC!$C21:BL21) -1</f>
        <v>2.4804523503252041</v>
      </c>
      <c r="BN12" s="7">
        <f t="array" ref="BN12">PRODUCT(1 + 預測IC!$C21:BM21) -1</f>
        <v>2.5307370426635436</v>
      </c>
      <c r="BO12" s="7">
        <f t="array" ref="BO12">PRODUCT(1 + 預測IC!$C21:BN21) -1</f>
        <v>2.6071974608535342</v>
      </c>
      <c r="BP12" s="7">
        <f t="array" ref="BP12">PRODUCT(1 + 預測IC!$C21:BO21) -1</f>
        <v>2.7746402624797777</v>
      </c>
      <c r="BQ12" s="7">
        <f t="array" ref="BQ12">PRODUCT(1 + 預測IC!$C21:BP21) -1</f>
        <v>2.1731789615405797</v>
      </c>
      <c r="BR12" s="7">
        <f t="array" ref="BR12">PRODUCT(1 + 預測IC!$C21:BQ21) -1</f>
        <v>1.9179262389495562</v>
      </c>
      <c r="BS12" s="7">
        <f t="array" ref="BS12">PRODUCT(1 + 預測IC!$C21:BR21) -1</f>
        <v>1.4270423722179211</v>
      </c>
      <c r="BT12" s="7">
        <f t="array" ref="BT12">PRODUCT(1 + 預測IC!$C21:BS21) -1</f>
        <v>1.3535884045650795</v>
      </c>
      <c r="BU12" s="7">
        <f t="array" ref="BU12">PRODUCT(1 + 預測IC!$C21:BT21) -1</f>
        <v>1.6737551631699454</v>
      </c>
      <c r="BV12" s="7">
        <f t="array" ref="BV12">PRODUCT(1 + 預測IC!$C21:BU21) -1</f>
        <v>1.5357642052471472</v>
      </c>
      <c r="BW12" s="7">
        <f t="array" ref="BW12">PRODUCT(1 + 預測IC!$C21:BV21) -1</f>
        <v>1.7195483696382685</v>
      </c>
      <c r="BX12" s="7">
        <f t="array" ref="BX12">PRODUCT(1 + 預測IC!$C21:BW21) -1</f>
        <v>1.7408810437858739</v>
      </c>
      <c r="BY12" s="7">
        <f t="array" ref="BY12">PRODUCT(1 + 預測IC!$C21:BX21) -1</f>
        <v>1.588156180953717</v>
      </c>
      <c r="BZ12" s="7">
        <f t="array" ref="BZ12">PRODUCT(1 + 預測IC!$C21:BY21) -1</f>
        <v>1.3335772167360234</v>
      </c>
      <c r="CA12" s="7">
        <f t="array" ref="CA12">PRODUCT(1 + 預測IC!$C21:BZ21) -1</f>
        <v>0.86705572545673171</v>
      </c>
      <c r="CB12" s="7">
        <f t="array" ref="CB12">PRODUCT(1 + 預測IC!$C21:CA21) -1</f>
        <v>0.93754394817686948</v>
      </c>
      <c r="CC12" s="7">
        <f t="array" ref="CC12">PRODUCT(1 + 預測IC!$C21:CB21) -1</f>
        <v>1.3323965916069733</v>
      </c>
      <c r="CD12" s="7">
        <f t="array" ref="CD12">PRODUCT(1 + 預測IC!$C21:CC21) -1</f>
        <v>0.89346954523219124</v>
      </c>
      <c r="CE12" s="7">
        <f t="array" ref="CE12">PRODUCT(1 + 預測IC!$C21:CD21) -1</f>
        <v>0.75326258245051281</v>
      </c>
      <c r="CF12" s="7">
        <f t="array" ref="CF12">PRODUCT(1 + 預測IC!$C21:CE21) -1</f>
        <v>0.65281658346233651</v>
      </c>
      <c r="CG12" s="7">
        <f t="array" ref="CG12">PRODUCT(1 + 預測IC!$C21:CF21) -1</f>
        <v>0.82824436430761983</v>
      </c>
      <c r="CH12" s="7">
        <f t="array" ref="CH12">PRODUCT(1 + 預測IC!$C21:CG21) -1</f>
        <v>0.91183123552546941</v>
      </c>
      <c r="CI12" s="7">
        <f t="array" ref="CI12">PRODUCT(1 + 預測IC!$C21:CH21) -1</f>
        <v>0.65864619477326336</v>
      </c>
      <c r="CJ12" s="7">
        <f t="array" ref="CJ12">PRODUCT(1 + 預測IC!$C21:CI21) -1</f>
        <v>0.37197615246135762</v>
      </c>
      <c r="CK12" s="7">
        <f t="array" ref="CK12">PRODUCT(1 + 預測IC!$C21:CJ21) -1</f>
        <v>0.32873260275977256</v>
      </c>
      <c r="CL12" s="7">
        <f t="array" ref="CL12">PRODUCT(1 + 預測IC!$C21:CK21) -1</f>
        <v>0.22446918554780715</v>
      </c>
      <c r="CM12" s="7">
        <f t="array" ref="CM12">PRODUCT(1 + 預測IC!$C21:CL21) -1</f>
        <v>0.16815006935012966</v>
      </c>
      <c r="CN12" s="7">
        <f t="array" ref="CN12">PRODUCT(1 + 預測IC!$C21:CM21) -1</f>
        <v>0.20329362235799975</v>
      </c>
      <c r="CO12" s="7">
        <f t="array" ref="CO12">PRODUCT(1 + 預測IC!$C21:CN21) -1</f>
        <v>0.17109353874668898</v>
      </c>
      <c r="CP12" s="7">
        <f t="array" ref="CP12">PRODUCT(1 + 預測IC!$C21:CO21) -1</f>
        <v>-6.9687206727681028E-3</v>
      </c>
      <c r="CQ12" s="7">
        <f t="array" ref="CQ12">PRODUCT(1 + 預測IC!$C21:CP21) -1</f>
        <v>-4.2939652758854363E-2</v>
      </c>
      <c r="CR12" s="7">
        <f t="array" ref="CR12">PRODUCT(1 + 預測IC!$C21:CQ21) -1</f>
        <v>0.264062316449172</v>
      </c>
      <c r="CS12" s="7">
        <f t="array" ref="CS12">PRODUCT(1 + 預測IC!$C21:CR21) -1</f>
        <v>0.24528725958602826</v>
      </c>
      <c r="CT12" s="7">
        <f t="array" ref="CT12">PRODUCT(1 + 預測IC!$C21:CS21) -1</f>
        <v>0.24055445685074939</v>
      </c>
      <c r="CU12" s="7">
        <f t="array" ref="CU12">PRODUCT(1 + 預測IC!$C21:CT21) -1</f>
        <v>0.17792040242378704</v>
      </c>
      <c r="CV12" s="7">
        <f t="array" ref="CV12">PRODUCT(1 + 預測IC!$C21:CU21) -1</f>
        <v>0.21058240241890003</v>
      </c>
      <c r="CW12" s="7">
        <f t="array" ref="CW12">PRODUCT(1 + 預測IC!$C21:CV21) -1</f>
        <v>0.2303291237694054</v>
      </c>
      <c r="CX12" s="7">
        <f t="array" ref="CX12">PRODUCT(1 + 預測IC!$C21:CW21) -1</f>
        <v>0.16227049393060522</v>
      </c>
      <c r="CY12" s="7">
        <f t="array" ref="CY12">PRODUCT(1 + 預測IC!$C21:CX21) -1</f>
        <v>0.23928668809353026</v>
      </c>
      <c r="CZ12" s="7">
        <f t="array" ref="CZ12">PRODUCT(1 + 預測IC!$C21:CY21) -1</f>
        <v>0.11107479297998801</v>
      </c>
      <c r="DA12" s="7">
        <f t="array" ref="DA12">PRODUCT(1 + 預測IC!$C21:CZ21) -1</f>
        <v>0.23906681499804416</v>
      </c>
      <c r="DB12" s="7">
        <f t="array" ref="DB12">PRODUCT(1 + 預測IC!$C21:DA21) -1</f>
        <v>0.32266877197980537</v>
      </c>
      <c r="DC12" s="7">
        <f t="array" ref="DC12">PRODUCT(1 + 預測IC!$C21:DB21) -1</f>
        <v>0.26676173468409825</v>
      </c>
      <c r="DD12" s="7">
        <f t="array" ref="DD12">PRODUCT(1 + 預測IC!$C21:DC21) -1</f>
        <v>0.24478913176848649</v>
      </c>
      <c r="DE12" s="7">
        <f t="array" ref="DE12">PRODUCT(1 + 預測IC!$C21:DD21) -1</f>
        <v>0.29248508978609311</v>
      </c>
      <c r="DF12" s="7">
        <f t="array" ref="DF12">PRODUCT(1 + 預測IC!$C21:DE21) -1</f>
        <v>0.24924851228337652</v>
      </c>
      <c r="DG12" s="7">
        <f t="array" ref="DG12">PRODUCT(1 + 預測IC!$C21:DF21) -1</f>
        <v>0.27616794258499122</v>
      </c>
      <c r="DH12" s="7">
        <f t="array" ref="DH12">PRODUCT(1 + 預測IC!$C21:DG21) -1</f>
        <v>0.32775387627203645</v>
      </c>
      <c r="DI12" s="7">
        <f t="array" ref="DI12">PRODUCT(1 + 預測IC!$C21:DH21) -1</f>
        <v>0.33664847336883708</v>
      </c>
      <c r="DJ12" s="7">
        <f t="array" ref="DJ12">PRODUCT(1 + 預測IC!$C21:DI21) -1</f>
        <v>0.24387313144692446</v>
      </c>
      <c r="DK12" s="7">
        <f t="array" ref="DK12">PRODUCT(1 + 預測IC!$C21:DJ21) -1</f>
        <v>0.19563900072588414</v>
      </c>
      <c r="DL12" s="7">
        <f t="array" ref="DL12">PRODUCT(1 + 預測IC!$C21:DK21) -1</f>
        <v>0.15785457029300543</v>
      </c>
      <c r="DM12" s="7">
        <f t="array" ref="DM12">PRODUCT(1 + 預測IC!$C21:DL21) -1</f>
        <v>0.20159576196314766</v>
      </c>
      <c r="DN12" s="7">
        <f t="array" ref="DN12">PRODUCT(1 + 預測IC!$C21:DM21) -1</f>
        <v>0.12272852785215482</v>
      </c>
      <c r="DO12" s="7">
        <f t="array" ref="DO12">PRODUCT(1 + 預測IC!$C21:DN21) -1</f>
        <v>0.16489202370471956</v>
      </c>
      <c r="DP12" s="7">
        <f t="array" ref="DP12">PRODUCT(1 + 預測IC!$C21:DO21) -1</f>
        <v>0.23118683343323854</v>
      </c>
      <c r="DQ12" s="7">
        <f t="array" ref="DQ12">PRODUCT(1 + 預測IC!$C21:DP21) -1</f>
        <v>0.38020503623456525</v>
      </c>
      <c r="DR12" s="7">
        <f t="array" ref="DR12">PRODUCT(1 + 預測IC!$C21:DQ21) -1</f>
        <v>0.24357198013790149</v>
      </c>
      <c r="DS12" s="7">
        <f t="array" ref="DS12">PRODUCT(1 + 預測IC!$C21:DR21) -1</f>
        <v>0.22982504562708894</v>
      </c>
      <c r="DT12" s="7">
        <f t="array" ref="DT12">PRODUCT(1 + 預測IC!$C21:DS21) -1</f>
        <v>0.18721415779026485</v>
      </c>
      <c r="DU12" s="7">
        <f t="array" ref="DU12">PRODUCT(1 + 預測IC!$C21:DT21) -1</f>
        <v>4.7568768500131142E-2</v>
      </c>
      <c r="DV12" s="7">
        <f t="array" ref="DV12">PRODUCT(1 + 預測IC!$C21:DU21) -1</f>
        <v>-3.8018462771927108E-3</v>
      </c>
      <c r="DW12" s="7">
        <f t="array" ref="DW12">PRODUCT(1 + 預測IC!$C21:DV21) -1</f>
        <v>4.1684332351508147E-3</v>
      </c>
      <c r="DX12" s="7">
        <f t="array" ref="DX12">PRODUCT(1 + 預測IC!$C21:DW21) -1</f>
        <v>0.10951382812599886</v>
      </c>
      <c r="DY12" s="7">
        <f t="array" ref="DY12">PRODUCT(1 + 預測IC!$C21:DX21) -1</f>
        <v>0.19428058510300117</v>
      </c>
      <c r="DZ12" s="7">
        <f t="array" ref="DZ12">PRODUCT(1 + 預測IC!$C21:DY21) -1</f>
        <v>0.2087248890710498</v>
      </c>
      <c r="EA12" s="7">
        <f t="array" ref="EA12">PRODUCT(1 + 預測IC!$C21:DZ21) -1</f>
        <v>0.22267032214730254</v>
      </c>
      <c r="EB12" s="7">
        <f t="array" ref="EB12">PRODUCT(1 + 預測IC!$C21:EA21) -1</f>
        <v>0.29675920161020897</v>
      </c>
      <c r="EC12" s="7">
        <f t="array" ref="EC12">PRODUCT(1 + 預測IC!$C21:EB21) -1</f>
        <v>0.46135942604362867</v>
      </c>
      <c r="ED12" s="7">
        <f t="array" ref="ED12">PRODUCT(1 + 預測IC!$C21:EC21) -1</f>
        <v>0.62888299912489876</v>
      </c>
      <c r="EE12" s="7">
        <f t="array" ref="EE12">PRODUCT(1 + 預測IC!$C21:ED21) -1</f>
        <v>0.55599720752175519</v>
      </c>
      <c r="EF12" s="7">
        <f t="array" ref="EF12">PRODUCT(1 + 預測IC!$C21:EE21) -1</f>
        <v>0.68837621459156551</v>
      </c>
      <c r="EG12" s="7">
        <f t="array" ref="EG12">PRODUCT(1 + 預測IC!$C21:EF21) -1</f>
        <v>0.84527501755152401</v>
      </c>
    </row>
    <row r="13" spans="3:137" ht="16" customHeight="1">
      <c r="C13" s="6">
        <v>192</v>
      </c>
      <c r="D13" s="7">
        <f t="array" ref="D13">PRODUCT(1 + 預測IC!$C22:C22) -1</f>
        <v>0.48688322582293853</v>
      </c>
      <c r="E13" s="7">
        <f t="array" ref="E13">PRODUCT(1 + 預測IC!$C22:D22) -1</f>
        <v>0.706260172988046</v>
      </c>
      <c r="F13" s="7">
        <f t="array" ref="F13">PRODUCT(1 + 預測IC!$C22:E22) -1</f>
        <v>0.97595027823024361</v>
      </c>
      <c r="G13" s="7">
        <f t="array" ref="G13">PRODUCT(1 + 預測IC!$C22:F22) -1</f>
        <v>0.83957163215672725</v>
      </c>
      <c r="H13" s="7">
        <f t="array" ref="H13">PRODUCT(1 + 預測IC!$C22:G22) -1</f>
        <v>0.69709493101398889</v>
      </c>
      <c r="I13" s="7">
        <f t="array" ref="I13">PRODUCT(1 + 預測IC!$C22:H22) -1</f>
        <v>0.68492531090415598</v>
      </c>
      <c r="J13" s="7">
        <f t="array" ref="J13">PRODUCT(1 + 預測IC!$C22:I22) -1</f>
        <v>0.62818996623124557</v>
      </c>
      <c r="K13" s="7">
        <f t="array" ref="K13">PRODUCT(1 + 預測IC!$C22:J22) -1</f>
        <v>0.51189268752565442</v>
      </c>
      <c r="L13" s="7">
        <f t="array" ref="L13">PRODUCT(1 + 預測IC!$C22:K22) -1</f>
        <v>0.70865422221359342</v>
      </c>
      <c r="M13" s="7">
        <f t="array" ref="M13">PRODUCT(1 + 預測IC!$C22:L22) -1</f>
        <v>0.60446929672971628</v>
      </c>
      <c r="N13" s="7">
        <f t="array" ref="N13">PRODUCT(1 + 預測IC!$C22:M22) -1</f>
        <v>0.62128741110588481</v>
      </c>
      <c r="O13" s="7">
        <f t="array" ref="O13">PRODUCT(1 + 預測IC!$C22:N22) -1</f>
        <v>0.78548909714016268</v>
      </c>
      <c r="P13" s="7">
        <f t="array" ref="P13">PRODUCT(1 + 預測IC!$C22:O22) -1</f>
        <v>0.55320840792641657</v>
      </c>
      <c r="Q13" s="7">
        <f t="array" ref="Q13">PRODUCT(1 + 預測IC!$C22:P22) -1</f>
        <v>0.59951263128904575</v>
      </c>
      <c r="R13" s="7">
        <f t="array" ref="R13">PRODUCT(1 + 預測IC!$C22:Q22) -1</f>
        <v>0.8771332521548858</v>
      </c>
      <c r="S13" s="7">
        <f t="array" ref="S13">PRODUCT(1 + 預測IC!$C22:R22) -1</f>
        <v>0.76214745098951941</v>
      </c>
      <c r="T13" s="7">
        <f t="array" ref="T13">PRODUCT(1 + 預測IC!$C22:S22) -1</f>
        <v>0.75328917668820505</v>
      </c>
      <c r="U13" s="7">
        <f t="array" ref="U13">PRODUCT(1 + 預測IC!$C22:T22) -1</f>
        <v>0.62575343387607862</v>
      </c>
      <c r="V13" s="7">
        <f t="array" ref="V13">PRODUCT(1 + 預測IC!$C22:U22) -1</f>
        <v>0.35509438767378976</v>
      </c>
      <c r="W13" s="7">
        <f t="array" ref="W13">PRODUCT(1 + 預測IC!$C22:V22) -1</f>
        <v>0.42914876229652177</v>
      </c>
      <c r="X13" s="7">
        <f t="array" ref="X13">PRODUCT(1 + 預測IC!$C22:W22) -1</f>
        <v>0.50212794576746922</v>
      </c>
      <c r="Y13" s="7">
        <f t="array" ref="Y13">PRODUCT(1 + 預測IC!$C22:X22) -1</f>
        <v>0.6628764740303783</v>
      </c>
      <c r="Z13" s="7">
        <f t="array" ref="Z13">PRODUCT(1 + 預測IC!$C22:Y22) -1</f>
        <v>0.52613809953521584</v>
      </c>
      <c r="AA13" s="7">
        <f t="array" ref="AA13">PRODUCT(1 + 預測IC!$C22:Z22) -1</f>
        <v>0.59162589384077235</v>
      </c>
      <c r="AB13" s="7">
        <f t="array" ref="AB13">PRODUCT(1 + 預測IC!$C22:AA22) -1</f>
        <v>0.50299911204884751</v>
      </c>
      <c r="AC13" s="7">
        <f t="array" ref="AC13">PRODUCT(1 + 預測IC!$C22:AB22) -1</f>
        <v>0.41676861716426128</v>
      </c>
      <c r="AD13" s="7">
        <f t="array" ref="AD13">PRODUCT(1 + 預測IC!$C22:AC22) -1</f>
        <v>0.51040838853199078</v>
      </c>
      <c r="AE13" s="7">
        <f t="array" ref="AE13">PRODUCT(1 + 預測IC!$C22:AD22) -1</f>
        <v>0.79306711336782576</v>
      </c>
      <c r="AF13" s="7">
        <f t="array" ref="AF13">PRODUCT(1 + 預測IC!$C22:AE22) -1</f>
        <v>1.0694049775003909</v>
      </c>
      <c r="AG13" s="7">
        <f t="array" ref="AG13">PRODUCT(1 + 預測IC!$C22:AF22) -1</f>
        <v>1.278113074888017</v>
      </c>
      <c r="AH13" s="7">
        <f t="array" ref="AH13">PRODUCT(1 + 預測IC!$C22:AG22) -1</f>
        <v>1.4058001035229362</v>
      </c>
      <c r="AI13" s="7">
        <f t="array" ref="AI13">PRODUCT(1 + 預測IC!$C22:AH22) -1</f>
        <v>1.8387269483914142</v>
      </c>
      <c r="AJ13" s="7">
        <f t="array" ref="AJ13">PRODUCT(1 + 預測IC!$C22:AI22) -1</f>
        <v>1.971232411191433</v>
      </c>
      <c r="AK13" s="7">
        <f t="array" ref="AK13">PRODUCT(1 + 預測IC!$C22:AJ22) -1</f>
        <v>1.5270229911030526</v>
      </c>
      <c r="AL13" s="7">
        <f t="array" ref="AL13">PRODUCT(1 + 預測IC!$C22:AK22) -1</f>
        <v>1.600036431189312</v>
      </c>
      <c r="AM13" s="7">
        <f t="array" ref="AM13">PRODUCT(1 + 預測IC!$C22:AL22) -1</f>
        <v>1.6551191753887102</v>
      </c>
      <c r="AN13" s="7">
        <f t="array" ref="AN13">PRODUCT(1 + 預測IC!$C22:AM22) -1</f>
        <v>1.7817582731413388</v>
      </c>
      <c r="AO13" s="7">
        <f t="array" ref="AO13">PRODUCT(1 + 預測IC!$C22:AN22) -1</f>
        <v>2.3152551032819257</v>
      </c>
      <c r="AP13" s="7">
        <f t="array" ref="AP13">PRODUCT(1 + 預測IC!$C22:AO22) -1</f>
        <v>2.6884625397959923</v>
      </c>
      <c r="AQ13" s="7">
        <f t="array" ref="AQ13">PRODUCT(1 + 預測IC!$C22:AP22) -1</f>
        <v>3.1836567569244547</v>
      </c>
      <c r="AR13" s="7">
        <f t="array" ref="AR13">PRODUCT(1 + 預測IC!$C22:AQ22) -1</f>
        <v>2.8067751705477457</v>
      </c>
      <c r="AS13" s="7">
        <f t="array" ref="AS13">PRODUCT(1 + 預測IC!$C22:AR22) -1</f>
        <v>2.6032379470676501</v>
      </c>
      <c r="AT13" s="7">
        <f t="array" ref="AT13">PRODUCT(1 + 預測IC!$C22:AS22) -1</f>
        <v>2.2531955577966878</v>
      </c>
      <c r="AU13" s="7">
        <f t="array" ref="AU13">PRODUCT(1 + 預測IC!$C22:AT22) -1</f>
        <v>2.5589856066714471</v>
      </c>
      <c r="AV13" s="7">
        <f t="array" ref="AV13">PRODUCT(1 + 預測IC!$C22:AU22) -1</f>
        <v>3.4061013723752156</v>
      </c>
      <c r="AW13" s="7">
        <f t="array" ref="AW13">PRODUCT(1 + 預測IC!$C22:AV22) -1</f>
        <v>3.7729142377221851</v>
      </c>
      <c r="AX13" s="7">
        <f t="array" ref="AX13">PRODUCT(1 + 預測IC!$C22:AW22) -1</f>
        <v>3.4051326004568923</v>
      </c>
      <c r="AY13" s="7">
        <f t="array" ref="AY13">PRODUCT(1 + 預測IC!$C22:AX22) -1</f>
        <v>3.0234221659468181</v>
      </c>
      <c r="AZ13" s="7">
        <f t="array" ref="AZ13">PRODUCT(1 + 預測IC!$C22:AY22) -1</f>
        <v>2.1165724776138815</v>
      </c>
      <c r="BA13" s="7">
        <f t="array" ref="BA13">PRODUCT(1 + 預測IC!$C22:AZ22) -1</f>
        <v>1.9874810712703455</v>
      </c>
      <c r="BB13" s="7">
        <f t="array" ref="BB13">PRODUCT(1 + 預測IC!$C22:BA22) -1</f>
        <v>2.1287795141154859</v>
      </c>
      <c r="BC13" s="7">
        <f t="array" ref="BC13">PRODUCT(1 + 預測IC!$C22:BB22) -1</f>
        <v>1.967419384159887</v>
      </c>
      <c r="BD13" s="7">
        <f t="array" ref="BD13">PRODUCT(1 + 預測IC!$C22:BC22) -1</f>
        <v>1.4770549428145836</v>
      </c>
      <c r="BE13" s="7">
        <f t="array" ref="BE13">PRODUCT(1 + 預測IC!$C22:BD22) -1</f>
        <v>1.4816224979688841</v>
      </c>
      <c r="BF13" s="7">
        <f t="array" ref="BF13">PRODUCT(1 + 預測IC!$C22:BE22) -1</f>
        <v>1.315635349090182</v>
      </c>
      <c r="BG13" s="7">
        <f t="array" ref="BG13">PRODUCT(1 + 預測IC!$C22:BF22) -1</f>
        <v>1.2870713679407548</v>
      </c>
      <c r="BH13" s="7">
        <f t="array" ref="BH13">PRODUCT(1 + 預測IC!$C22:BG22) -1</f>
        <v>1.9302766511883904</v>
      </c>
      <c r="BI13" s="7">
        <f t="array" ref="BI13">PRODUCT(1 + 預測IC!$C22:BH22) -1</f>
        <v>2.0312126014616583</v>
      </c>
      <c r="BJ13" s="7">
        <f t="array" ref="BJ13">PRODUCT(1 + 預測IC!$C22:BI22) -1</f>
        <v>1.9564548505149593</v>
      </c>
      <c r="BK13" s="7">
        <f t="array" ref="BK13">PRODUCT(1 + 預測IC!$C22:BJ22) -1</f>
        <v>2.4032204502653944</v>
      </c>
      <c r="BL13" s="7">
        <f t="array" ref="BL13">PRODUCT(1 + 預測IC!$C22:BK22) -1</f>
        <v>2.1176098577095019</v>
      </c>
      <c r="BM13" s="7">
        <f t="array" ref="BM13">PRODUCT(1 + 預測IC!$C22:BL22) -1</f>
        <v>2.3486757179824691</v>
      </c>
      <c r="BN13" s="7">
        <f t="array" ref="BN13">PRODUCT(1 + 預測IC!$C22:BM22) -1</f>
        <v>2.4374453034531851</v>
      </c>
      <c r="BO13" s="7">
        <f t="array" ref="BO13">PRODUCT(1 + 預測IC!$C22:BN22) -1</f>
        <v>2.5604408774707954</v>
      </c>
      <c r="BP13" s="7">
        <f t="array" ref="BP13">PRODUCT(1 + 預測IC!$C22:BO22) -1</f>
        <v>3.1180773050756265</v>
      </c>
      <c r="BQ13" s="7">
        <f t="array" ref="BQ13">PRODUCT(1 + 預測IC!$C22:BP22) -1</f>
        <v>2.4033010479176249</v>
      </c>
      <c r="BR13" s="7">
        <f t="array" ref="BR13">PRODUCT(1 + 預測IC!$C22:BQ22) -1</f>
        <v>2.0944859100183928</v>
      </c>
      <c r="BS13" s="7">
        <f t="array" ref="BS13">PRODUCT(1 + 預測IC!$C22:BR22) -1</f>
        <v>1.4059169374992857</v>
      </c>
      <c r="BT13" s="7">
        <f t="array" ref="BT13">PRODUCT(1 + 預測IC!$C22:BS22) -1</f>
        <v>1.3135928731086413</v>
      </c>
      <c r="BU13" s="7">
        <f t="array" ref="BU13">PRODUCT(1 + 預測IC!$C22:BT22) -1</f>
        <v>1.6690633734191023</v>
      </c>
      <c r="BV13" s="7">
        <f t="array" ref="BV13">PRODUCT(1 + 預測IC!$C22:BU22) -1</f>
        <v>1.6353312955833696</v>
      </c>
      <c r="BW13" s="7">
        <f t="array" ref="BW13">PRODUCT(1 + 預測IC!$C22:BV22) -1</f>
        <v>1.8631985883511475</v>
      </c>
      <c r="BX13" s="7">
        <f t="array" ref="BX13">PRODUCT(1 + 預測IC!$C22:BW22) -1</f>
        <v>1.8046701256751136</v>
      </c>
      <c r="BY13" s="7">
        <f t="array" ref="BY13">PRODUCT(1 + 預測IC!$C22:BX22) -1</f>
        <v>1.7146312005500439</v>
      </c>
      <c r="BZ13" s="7">
        <f t="array" ref="BZ13">PRODUCT(1 + 預測IC!$C22:BY22) -1</f>
        <v>1.7492787279220194</v>
      </c>
      <c r="CA13" s="7">
        <f t="array" ref="CA13">PRODUCT(1 + 預測IC!$C22:BZ22) -1</f>
        <v>1.4245099766179816</v>
      </c>
      <c r="CB13" s="7">
        <f t="array" ref="CB13">PRODUCT(1 + 預測IC!$C22:CA22) -1</f>
        <v>1.7000546861725248</v>
      </c>
      <c r="CC13" s="7">
        <f t="array" ref="CC13">PRODUCT(1 + 預測IC!$C22:CB22) -1</f>
        <v>2.357867476479957</v>
      </c>
      <c r="CD13" s="7">
        <f t="array" ref="CD13">PRODUCT(1 + 預測IC!$C22:CC22) -1</f>
        <v>1.6524095830161754</v>
      </c>
      <c r="CE13" s="7">
        <f t="array" ref="CE13">PRODUCT(1 + 預測IC!$C22:CD22) -1</f>
        <v>1.5415923288490125</v>
      </c>
      <c r="CF13" s="7">
        <f t="array" ref="CF13">PRODUCT(1 + 預測IC!$C22:CE22) -1</f>
        <v>1.3544770012592013</v>
      </c>
      <c r="CG13" s="7">
        <f t="array" ref="CG13">PRODUCT(1 + 預測IC!$C22:CF22) -1</f>
        <v>1.626836391185587</v>
      </c>
      <c r="CH13" s="7">
        <f t="array" ref="CH13">PRODUCT(1 + 預測IC!$C22:CG22) -1</f>
        <v>1.8234665254790019</v>
      </c>
      <c r="CI13" s="7">
        <f t="array" ref="CI13">PRODUCT(1 + 預測IC!$C22:CH22) -1</f>
        <v>1.2877752792968682</v>
      </c>
      <c r="CJ13" s="7">
        <f t="array" ref="CJ13">PRODUCT(1 + 預測IC!$C22:CI22) -1</f>
        <v>0.87350920381834052</v>
      </c>
      <c r="CK13" s="7">
        <f t="array" ref="CK13">PRODUCT(1 + 預測IC!$C22:CJ22) -1</f>
        <v>0.83170774498337741</v>
      </c>
      <c r="CL13" s="7">
        <f t="array" ref="CL13">PRODUCT(1 + 預測IC!$C22:CK22) -1</f>
        <v>0.71248930631782259</v>
      </c>
      <c r="CM13" s="7">
        <f t="array" ref="CM13">PRODUCT(1 + 預測IC!$C22:CL22) -1</f>
        <v>0.5517550512448417</v>
      </c>
      <c r="CN13" s="7">
        <f t="array" ref="CN13">PRODUCT(1 + 預測IC!$C22:CM22) -1</f>
        <v>0.60537958180827878</v>
      </c>
      <c r="CO13" s="7">
        <f t="array" ref="CO13">PRODUCT(1 + 預測IC!$C22:CN22) -1</f>
        <v>0.60236611087098924</v>
      </c>
      <c r="CP13" s="7">
        <f t="array" ref="CP13">PRODUCT(1 + 預測IC!$C22:CO22) -1</f>
        <v>0.35960229699643209</v>
      </c>
      <c r="CQ13" s="7">
        <f t="array" ref="CQ13">PRODUCT(1 + 預測IC!$C22:CP22) -1</f>
        <v>0.28866393698492865</v>
      </c>
      <c r="CR13" s="7">
        <f t="array" ref="CR13">PRODUCT(1 + 預測IC!$C22:CQ22) -1</f>
        <v>0.82029862697263778</v>
      </c>
      <c r="CS13" s="7">
        <f t="array" ref="CS13">PRODUCT(1 + 預測IC!$C22:CR22) -1</f>
        <v>0.77233770900533361</v>
      </c>
      <c r="CT13" s="7">
        <f t="array" ref="CT13">PRODUCT(1 + 預測IC!$C22:CS22) -1</f>
        <v>0.54059483262845953</v>
      </c>
      <c r="CU13" s="7">
        <f t="array" ref="CU13">PRODUCT(1 + 預測IC!$C22:CT22) -1</f>
        <v>0.45611071211124599</v>
      </c>
      <c r="CV13" s="7">
        <f t="array" ref="CV13">PRODUCT(1 + 預測IC!$C22:CU22) -1</f>
        <v>0.4793607729838163</v>
      </c>
      <c r="CW13" s="7">
        <f t="array" ref="CW13">PRODUCT(1 + 預測IC!$C22:CV22) -1</f>
        <v>0.53186006033707489</v>
      </c>
      <c r="CX13" s="7">
        <f t="array" ref="CX13">PRODUCT(1 + 預測IC!$C22:CW22) -1</f>
        <v>0.45356115256529494</v>
      </c>
      <c r="CY13" s="7">
        <f t="array" ref="CY13">PRODUCT(1 + 預測IC!$C22:CX22) -1</f>
        <v>0.61434855910681474</v>
      </c>
      <c r="CZ13" s="7">
        <f t="array" ref="CZ13">PRODUCT(1 + 預測IC!$C22:CY22) -1</f>
        <v>0.4698653697282249</v>
      </c>
      <c r="DA13" s="7">
        <f t="array" ref="DA13">PRODUCT(1 + 預測IC!$C22:CZ22) -1</f>
        <v>0.68275486690565801</v>
      </c>
      <c r="DB13" s="7">
        <f t="array" ref="DB13">PRODUCT(1 + 預測IC!$C22:DA22) -1</f>
        <v>0.75073620226255078</v>
      </c>
      <c r="DC13" s="7">
        <f t="array" ref="DC13">PRODUCT(1 + 預測IC!$C22:DB22) -1</f>
        <v>0.63918358895375693</v>
      </c>
      <c r="DD13" s="7">
        <f t="array" ref="DD13">PRODUCT(1 + 預測IC!$C22:DC22) -1</f>
        <v>0.62101976540997184</v>
      </c>
      <c r="DE13" s="7">
        <f t="array" ref="DE13">PRODUCT(1 + 預測IC!$C22:DD22) -1</f>
        <v>0.70490151935856127</v>
      </c>
      <c r="DF13" s="7">
        <f t="array" ref="DF13">PRODUCT(1 + 預測IC!$C22:DE22) -1</f>
        <v>0.58411864234323452</v>
      </c>
      <c r="DG13" s="7">
        <f t="array" ref="DG13">PRODUCT(1 + 預測IC!$C22:DF22) -1</f>
        <v>0.60864214633507685</v>
      </c>
      <c r="DH13" s="7">
        <f t="array" ref="DH13">PRODUCT(1 + 預測IC!$C22:DG22) -1</f>
        <v>0.69079438131957516</v>
      </c>
      <c r="DI13" s="7">
        <f t="array" ref="DI13">PRODUCT(1 + 預測IC!$C22:DH22) -1</f>
        <v>0.7011429684256536</v>
      </c>
      <c r="DJ13" s="7">
        <f t="array" ref="DJ13">PRODUCT(1 + 預測IC!$C22:DI22) -1</f>
        <v>0.5295821581410074</v>
      </c>
      <c r="DK13" s="7">
        <f t="array" ref="DK13">PRODUCT(1 + 預測IC!$C22:DJ22) -1</f>
        <v>0.50210431802146704</v>
      </c>
      <c r="DL13" s="7">
        <f t="array" ref="DL13">PRODUCT(1 + 預測IC!$C22:DK22) -1</f>
        <v>0.56145333034229772</v>
      </c>
      <c r="DM13" s="7">
        <f t="array" ref="DM13">PRODUCT(1 + 預測IC!$C22:DL22) -1</f>
        <v>0.60259384717310449</v>
      </c>
      <c r="DN13" s="7">
        <f t="array" ref="DN13">PRODUCT(1 + 預測IC!$C22:DM22) -1</f>
        <v>0.51856894626833738</v>
      </c>
      <c r="DO13" s="7">
        <f t="array" ref="DO13">PRODUCT(1 + 預測IC!$C22:DN22) -1</f>
        <v>0.64272861695135197</v>
      </c>
      <c r="DP13" s="7">
        <f t="array" ref="DP13">PRODUCT(1 + 預測IC!$C22:DO22) -1</f>
        <v>0.68763778025892175</v>
      </c>
      <c r="DQ13" s="7">
        <f t="array" ref="DQ13">PRODUCT(1 + 預測IC!$C22:DP22) -1</f>
        <v>0.87405955676640268</v>
      </c>
      <c r="DR13" s="7">
        <f t="array" ref="DR13">PRODUCT(1 + 預測IC!$C22:DQ22) -1</f>
        <v>0.69688534347049358</v>
      </c>
      <c r="DS13" s="7">
        <f t="array" ref="DS13">PRODUCT(1 + 預測IC!$C22:DR22) -1</f>
        <v>0.70784235688288355</v>
      </c>
      <c r="DT13" s="7">
        <f t="array" ref="DT13">PRODUCT(1 + 預測IC!$C22:DS22) -1</f>
        <v>0.6017046118650422</v>
      </c>
      <c r="DU13" s="7">
        <f t="array" ref="DU13">PRODUCT(1 + 預測IC!$C22:DT22) -1</f>
        <v>0.40607820577333653</v>
      </c>
      <c r="DV13" s="7">
        <f t="array" ref="DV13">PRODUCT(1 + 預測IC!$C22:DU22) -1</f>
        <v>0.39989744623012746</v>
      </c>
      <c r="DW13" s="7">
        <f t="array" ref="DW13">PRODUCT(1 + 預測IC!$C22:DV22) -1</f>
        <v>0.41690429840490562</v>
      </c>
      <c r="DX13" s="7">
        <f t="array" ref="DX13">PRODUCT(1 + 預測IC!$C22:DW22) -1</f>
        <v>0.49949740019689592</v>
      </c>
      <c r="DY13" s="7">
        <f t="array" ref="DY13">PRODUCT(1 + 預測IC!$C22:DX22) -1</f>
        <v>0.52091805054026552</v>
      </c>
      <c r="DZ13" s="7">
        <f t="array" ref="DZ13">PRODUCT(1 + 預測IC!$C22:DY22) -1</f>
        <v>0.59602067647613199</v>
      </c>
      <c r="EA13" s="7">
        <f t="array" ref="EA13">PRODUCT(1 + 預測IC!$C22:DZ22) -1</f>
        <v>0.61118445240049657</v>
      </c>
      <c r="EB13" s="7">
        <f t="array" ref="EB13">PRODUCT(1 + 預測IC!$C22:EA22) -1</f>
        <v>0.7434809872012671</v>
      </c>
      <c r="EC13" s="7">
        <f t="array" ref="EC13">PRODUCT(1 + 預測IC!$C22:EB22) -1</f>
        <v>1.0582639984395499</v>
      </c>
      <c r="ED13" s="7">
        <f t="array" ref="ED13">PRODUCT(1 + 預測IC!$C22:EC22) -1</f>
        <v>1.2610910345652262</v>
      </c>
      <c r="EE13" s="7">
        <f t="array" ref="EE13">PRODUCT(1 + 預測IC!$C22:ED22) -1</f>
        <v>1.1023625903535081</v>
      </c>
      <c r="EF13" s="7">
        <f t="array" ref="EF13">PRODUCT(1 + 預測IC!$C22:EE22) -1</f>
        <v>1.2890924359652649</v>
      </c>
      <c r="EG13" s="7">
        <f t="array" ref="EG13">PRODUCT(1 + 預測IC!$C22:EF22) -1</f>
        <v>1.4518556120777482</v>
      </c>
    </row>
    <row r="14" spans="3:137" ht="16" customHeight="1">
      <c r="C14" s="6">
        <v>241</v>
      </c>
      <c r="D14" s="7">
        <f t="array" ref="D14">PRODUCT(1 + 預測IC!$C23:C23) -1</f>
        <v>0.49455411274555883</v>
      </c>
      <c r="E14" s="7">
        <f t="array" ref="E14">PRODUCT(1 + 預測IC!$C23:D23) -1</f>
        <v>0.87639798867482055</v>
      </c>
      <c r="F14" s="7">
        <f t="array" ref="F14">PRODUCT(1 + 預測IC!$C23:E23) -1</f>
        <v>1.1735082946750492</v>
      </c>
      <c r="G14" s="7">
        <f t="array" ref="G14">PRODUCT(1 + 預測IC!$C23:F23) -1</f>
        <v>1.0690749487491034</v>
      </c>
      <c r="H14" s="7">
        <f t="array" ref="H14">PRODUCT(1 + 預測IC!$C23:G23) -1</f>
        <v>0.95431235644522583</v>
      </c>
      <c r="I14" s="7">
        <f t="array" ref="I14">PRODUCT(1 + 預測IC!$C23:H23) -1</f>
        <v>0.88121875927005755</v>
      </c>
      <c r="J14" s="7">
        <f t="array" ref="J14">PRODUCT(1 + 預測IC!$C23:I23) -1</f>
        <v>0.71040564468735745</v>
      </c>
      <c r="K14" s="7">
        <f t="array" ref="K14">PRODUCT(1 + 預測IC!$C23:J23) -1</f>
        <v>0.63981295373516334</v>
      </c>
      <c r="L14" s="7">
        <f t="array" ref="L14">PRODUCT(1 + 預測IC!$C23:K23) -1</f>
        <v>0.85863572265903065</v>
      </c>
      <c r="M14" s="7">
        <f t="array" ref="M14">PRODUCT(1 + 預測IC!$C23:L23) -1</f>
        <v>0.75261839867491154</v>
      </c>
      <c r="N14" s="7">
        <f t="array" ref="N14">PRODUCT(1 + 預測IC!$C23:M23) -1</f>
        <v>0.90044937101642164</v>
      </c>
      <c r="O14" s="7">
        <f t="array" ref="O14">PRODUCT(1 + 預測IC!$C23:N23) -1</f>
        <v>1.1321427452710071</v>
      </c>
      <c r="P14" s="7">
        <f t="array" ref="P14">PRODUCT(1 + 預測IC!$C23:O23) -1</f>
        <v>0.7903912139017979</v>
      </c>
      <c r="Q14" s="7">
        <f t="array" ref="Q14">PRODUCT(1 + 預測IC!$C23:P23) -1</f>
        <v>0.84495738239705598</v>
      </c>
      <c r="R14" s="7">
        <f t="array" ref="R14">PRODUCT(1 + 預測IC!$C23:Q23) -1</f>
        <v>1.2169983396296793</v>
      </c>
      <c r="S14" s="7">
        <f t="array" ref="S14">PRODUCT(1 + 預測IC!$C23:R23) -1</f>
        <v>1.256547050628964</v>
      </c>
      <c r="T14" s="7">
        <f t="array" ref="T14">PRODUCT(1 + 預測IC!$C23:S23) -1</f>
        <v>1.0513683572348258</v>
      </c>
      <c r="U14" s="7">
        <f t="array" ref="U14">PRODUCT(1 + 預測IC!$C23:T23) -1</f>
        <v>0.934223916784233</v>
      </c>
      <c r="V14" s="7">
        <f t="array" ref="V14">PRODUCT(1 + 預測IC!$C23:U23) -1</f>
        <v>0.51093770135066996</v>
      </c>
      <c r="W14" s="7">
        <f t="array" ref="W14">PRODUCT(1 + 預測IC!$C23:V23) -1</f>
        <v>0.58372900477013867</v>
      </c>
      <c r="X14" s="7">
        <f t="array" ref="X14">PRODUCT(1 + 預測IC!$C23:W23) -1</f>
        <v>0.54353664427997761</v>
      </c>
      <c r="Y14" s="7">
        <f t="array" ref="Y14">PRODUCT(1 + 預測IC!$C23:X23) -1</f>
        <v>0.75001143608034049</v>
      </c>
      <c r="Z14" s="7">
        <f t="array" ref="Z14">PRODUCT(1 + 預測IC!$C23:Y23) -1</f>
        <v>0.60139046383987571</v>
      </c>
      <c r="AA14" s="7">
        <f t="array" ref="AA14">PRODUCT(1 + 預測IC!$C23:Z23) -1</f>
        <v>0.65011893927841258</v>
      </c>
      <c r="AB14" s="7">
        <f t="array" ref="AB14">PRODUCT(1 + 預測IC!$C23:AA23) -1</f>
        <v>0.48767364225969945</v>
      </c>
      <c r="AC14" s="7">
        <f t="array" ref="AC14">PRODUCT(1 + 預測IC!$C23:AB23) -1</f>
        <v>0.33187859420430121</v>
      </c>
      <c r="AD14" s="7">
        <f t="array" ref="AD14">PRODUCT(1 + 預測IC!$C23:AC23) -1</f>
        <v>0.34057105958682499</v>
      </c>
      <c r="AE14" s="7">
        <f t="array" ref="AE14">PRODUCT(1 + 預測IC!$C23:AD23) -1</f>
        <v>0.63788981188741545</v>
      </c>
      <c r="AF14" s="7">
        <f t="array" ref="AF14">PRODUCT(1 + 預測IC!$C23:AE23) -1</f>
        <v>1.0061403563089111</v>
      </c>
      <c r="AG14" s="7">
        <f t="array" ref="AG14">PRODUCT(1 + 預測IC!$C23:AF23) -1</f>
        <v>1.2421573846147531</v>
      </c>
      <c r="AH14" s="7">
        <f t="array" ref="AH14">PRODUCT(1 + 預測IC!$C23:AG23) -1</f>
        <v>1.4200829575193876</v>
      </c>
      <c r="AI14" s="7">
        <f t="array" ref="AI14">PRODUCT(1 + 預測IC!$C23:AH23) -1</f>
        <v>1.9273736357429394</v>
      </c>
      <c r="AJ14" s="7">
        <f t="array" ref="AJ14">PRODUCT(1 + 預測IC!$C23:AI23) -1</f>
        <v>1.9714304703535817</v>
      </c>
      <c r="AK14" s="7">
        <f t="array" ref="AK14">PRODUCT(1 + 預測IC!$C23:AJ23) -1</f>
        <v>1.512619791800399</v>
      </c>
      <c r="AL14" s="7">
        <f t="array" ref="AL14">PRODUCT(1 + 預測IC!$C23:AK23) -1</f>
        <v>1.5572842272517788</v>
      </c>
      <c r="AM14" s="7">
        <f t="array" ref="AM14">PRODUCT(1 + 預測IC!$C23:AL23) -1</f>
        <v>1.647655649669558</v>
      </c>
      <c r="AN14" s="7">
        <f t="array" ref="AN14">PRODUCT(1 + 預測IC!$C23:AM23) -1</f>
        <v>1.8267027367877842</v>
      </c>
      <c r="AO14" s="7">
        <f t="array" ref="AO14">PRODUCT(1 + 預測IC!$C23:AN23) -1</f>
        <v>2.6800034263641601</v>
      </c>
      <c r="AP14" s="7">
        <f t="array" ref="AP14">PRODUCT(1 + 預測IC!$C23:AO23) -1</f>
        <v>3.2109405455350375</v>
      </c>
      <c r="AQ14" s="7">
        <f t="array" ref="AQ14">PRODUCT(1 + 預測IC!$C23:AP23) -1</f>
        <v>3.7108921728171271</v>
      </c>
      <c r="AR14" s="7">
        <f t="array" ref="AR14">PRODUCT(1 + 預測IC!$C23:AQ23) -1</f>
        <v>3.0991585381198119</v>
      </c>
      <c r="AS14" s="7">
        <f t="array" ref="AS14">PRODUCT(1 + 預測IC!$C23:AR23) -1</f>
        <v>2.8889826527386617</v>
      </c>
      <c r="AT14" s="7">
        <f t="array" ref="AT14">PRODUCT(1 + 預測IC!$C23:AS23) -1</f>
        <v>2.790894276719698</v>
      </c>
      <c r="AU14" s="7">
        <f t="array" ref="AU14">PRODUCT(1 + 預測IC!$C23:AT23) -1</f>
        <v>3.1259291776044913</v>
      </c>
      <c r="AV14" s="7">
        <f t="array" ref="AV14">PRODUCT(1 + 預測IC!$C23:AU23) -1</f>
        <v>3.6189962105666105</v>
      </c>
      <c r="AW14" s="7">
        <f t="array" ref="AW14">PRODUCT(1 + 預測IC!$C23:AV23) -1</f>
        <v>4.1663531669359992</v>
      </c>
      <c r="AX14" s="7">
        <f t="array" ref="AX14">PRODUCT(1 + 預測IC!$C23:AW23) -1</f>
        <v>3.6750572493491864</v>
      </c>
      <c r="AY14" s="7">
        <f t="array" ref="AY14">PRODUCT(1 + 預測IC!$C23:AX23) -1</f>
        <v>3.4224534029314269</v>
      </c>
      <c r="AZ14" s="7">
        <f t="array" ref="AZ14">PRODUCT(1 + 預測IC!$C23:AY23) -1</f>
        <v>2.0219683135574047</v>
      </c>
      <c r="BA14" s="7">
        <f t="array" ref="BA14">PRODUCT(1 + 預測IC!$C23:AZ23) -1</f>
        <v>1.6848564181842409</v>
      </c>
      <c r="BB14" s="7">
        <f t="array" ref="BB14">PRODUCT(1 + 預測IC!$C23:BA23) -1</f>
        <v>1.8520592350952652</v>
      </c>
      <c r="BC14" s="7">
        <f t="array" ref="BC14">PRODUCT(1 + 預測IC!$C23:BB23) -1</f>
        <v>1.6788271969441735</v>
      </c>
      <c r="BD14" s="7">
        <f t="array" ref="BD14">PRODUCT(1 + 預測IC!$C23:BC23) -1</f>
        <v>1.1913609411011783</v>
      </c>
      <c r="BE14" s="7">
        <f t="array" ref="BE14">PRODUCT(1 + 預測IC!$C23:BD23) -1</f>
        <v>1.2274905060877415</v>
      </c>
      <c r="BF14" s="7">
        <f t="array" ref="BF14">PRODUCT(1 + 預測IC!$C23:BE23) -1</f>
        <v>1.0380500091726357</v>
      </c>
      <c r="BG14" s="7">
        <f t="array" ref="BG14">PRODUCT(1 + 預測IC!$C23:BF23) -1</f>
        <v>1.0125566724830182</v>
      </c>
      <c r="BH14" s="7">
        <f t="array" ref="BH14">PRODUCT(1 + 預測IC!$C23:BG23) -1</f>
        <v>1.0840935038996906</v>
      </c>
      <c r="BI14" s="7">
        <f t="array" ref="BI14">PRODUCT(1 + 預測IC!$C23:BH23) -1</f>
        <v>1.0543695616672779</v>
      </c>
      <c r="BJ14" s="7">
        <f t="array" ref="BJ14">PRODUCT(1 + 預測IC!$C23:BI23) -1</f>
        <v>1.109950672486133</v>
      </c>
      <c r="BK14" s="7">
        <f t="array" ref="BK14">PRODUCT(1 + 預測IC!$C23:BJ23) -1</f>
        <v>1.543296412372511</v>
      </c>
      <c r="BL14" s="7">
        <f t="array" ref="BL14">PRODUCT(1 + 預測IC!$C23:BK23) -1</f>
        <v>1.3166984689249102</v>
      </c>
      <c r="BM14" s="7">
        <f t="array" ref="BM14">PRODUCT(1 + 預測IC!$C23:BL23) -1</f>
        <v>1.5675628230986089</v>
      </c>
      <c r="BN14" s="7">
        <f t="array" ref="BN14">PRODUCT(1 + 預測IC!$C23:BM23) -1</f>
        <v>1.8208954128050912</v>
      </c>
      <c r="BO14" s="7">
        <f t="array" ref="BO14">PRODUCT(1 + 預測IC!$C23:BN23) -1</f>
        <v>1.8935001671732876</v>
      </c>
      <c r="BP14" s="7">
        <f t="array" ref="BP14">PRODUCT(1 + 預測IC!$C23:BO23) -1</f>
        <v>2.4522632753269593</v>
      </c>
      <c r="BQ14" s="7">
        <f t="array" ref="BQ14">PRODUCT(1 + 預測IC!$C23:BP23) -1</f>
        <v>1.7055095128882902</v>
      </c>
      <c r="BR14" s="7">
        <f t="array" ref="BR14">PRODUCT(1 + 預測IC!$C23:BQ23) -1</f>
        <v>1.6691528265173492</v>
      </c>
      <c r="BS14" s="7">
        <f t="array" ref="BS14">PRODUCT(1 + 預測IC!$C23:BR23) -1</f>
        <v>1.1401043630597902</v>
      </c>
      <c r="BT14" s="7">
        <f t="array" ref="BT14">PRODUCT(1 + 預測IC!$C23:BS23) -1</f>
        <v>0.94029545537888715</v>
      </c>
      <c r="BU14" s="7">
        <f t="array" ref="BU14">PRODUCT(1 + 預測IC!$C23:BT23) -1</f>
        <v>1.2377945233624716</v>
      </c>
      <c r="BV14" s="7">
        <f t="array" ref="BV14">PRODUCT(1 + 預測IC!$C23:BU23) -1</f>
        <v>1.1347621231035787</v>
      </c>
      <c r="BW14" s="7">
        <f t="array" ref="BW14">PRODUCT(1 + 預測IC!$C23:BV23) -1</f>
        <v>1.3108754241472549</v>
      </c>
      <c r="BX14" s="7">
        <f t="array" ref="BX14">PRODUCT(1 + 預測IC!$C23:BW23) -1</f>
        <v>1.380213088634008</v>
      </c>
      <c r="BY14" s="7">
        <f t="array" ref="BY14">PRODUCT(1 + 預測IC!$C23:BX23) -1</f>
        <v>1.2468656267519931</v>
      </c>
      <c r="BZ14" s="7">
        <f t="array" ref="BZ14">PRODUCT(1 + 預測IC!$C23:BY23) -1</f>
        <v>1.1451937784868083</v>
      </c>
      <c r="CA14" s="7">
        <f t="array" ref="CA14">PRODUCT(1 + 預測IC!$C23:BZ23) -1</f>
        <v>0.93672885873088507</v>
      </c>
      <c r="CB14" s="7">
        <f t="array" ref="CB14">PRODUCT(1 + 預測IC!$C23:CA23) -1</f>
        <v>1.2561181129655656</v>
      </c>
      <c r="CC14" s="7">
        <f t="array" ref="CC14">PRODUCT(1 + 預測IC!$C23:CB23) -1</f>
        <v>1.7787066250148031</v>
      </c>
      <c r="CD14" s="7">
        <f t="array" ref="CD14">PRODUCT(1 + 預測IC!$C23:CC23) -1</f>
        <v>1.0516414948303217</v>
      </c>
      <c r="CE14" s="7">
        <f t="array" ref="CE14">PRODUCT(1 + 預測IC!$C23:CD23) -1</f>
        <v>1.1447578784864154</v>
      </c>
      <c r="CF14" s="7">
        <f t="array" ref="CF14">PRODUCT(1 + 預測IC!$C23:CE23) -1</f>
        <v>1.0490979159924509</v>
      </c>
      <c r="CG14" s="7">
        <f t="array" ref="CG14">PRODUCT(1 + 預測IC!$C23:CF23) -1</f>
        <v>1.3492747274516019</v>
      </c>
      <c r="CH14" s="7">
        <f t="array" ref="CH14">PRODUCT(1 + 預測IC!$C23:CG23) -1</f>
        <v>1.598604966120813</v>
      </c>
      <c r="CI14" s="7">
        <f t="array" ref="CI14">PRODUCT(1 + 預測IC!$C23:CH23) -1</f>
        <v>0.66889378677672684</v>
      </c>
      <c r="CJ14" s="7">
        <f t="array" ref="CJ14">PRODUCT(1 + 預測IC!$C23:CI23) -1</f>
        <v>0.31602854400452784</v>
      </c>
      <c r="CK14" s="7">
        <f t="array" ref="CK14">PRODUCT(1 + 預測IC!$C23:CJ23) -1</f>
        <v>0.31534603575484366</v>
      </c>
      <c r="CL14" s="7">
        <f t="array" ref="CL14">PRODUCT(1 + 預測IC!$C23:CK23) -1</f>
        <v>0.16460815286862163</v>
      </c>
      <c r="CM14" s="7">
        <f t="array" ref="CM14">PRODUCT(1 + 預測IC!$C23:CL23) -1</f>
        <v>0.13389403126595512</v>
      </c>
      <c r="CN14" s="7">
        <f t="array" ref="CN14">PRODUCT(1 + 預測IC!$C23:CM23) -1</f>
        <v>0.24076943828389963</v>
      </c>
      <c r="CO14" s="7">
        <f t="array" ref="CO14">PRODUCT(1 + 預測IC!$C23:CN23) -1</f>
        <v>0.22009129647602044</v>
      </c>
      <c r="CP14" s="7">
        <f t="array" ref="CP14">PRODUCT(1 + 預測IC!$C23:CO23) -1</f>
        <v>-4.6559939750869916E-2</v>
      </c>
      <c r="CQ14" s="7">
        <f t="array" ref="CQ14">PRODUCT(1 + 預測IC!$C23:CP23) -1</f>
        <v>-5.0957326451302132E-2</v>
      </c>
      <c r="CR14" s="7">
        <f t="array" ref="CR14">PRODUCT(1 + 預測IC!$C23:CQ23) -1</f>
        <v>0.16774093933825096</v>
      </c>
      <c r="CS14" s="7">
        <f t="array" ref="CS14">PRODUCT(1 + 預測IC!$C23:CR23) -1</f>
        <v>0.10632187790439507</v>
      </c>
      <c r="CT14" s="7">
        <f t="array" ref="CT14">PRODUCT(1 + 預測IC!$C23:CS23) -1</f>
        <v>-3.8115038486046804E-2</v>
      </c>
      <c r="CU14" s="7">
        <f t="array" ref="CU14">PRODUCT(1 + 預測IC!$C23:CT23) -1</f>
        <v>-8.9890298878718577E-2</v>
      </c>
      <c r="CV14" s="7">
        <f t="array" ref="CV14">PRODUCT(1 + 預測IC!$C23:CU23) -1</f>
        <v>-0.11127871852019877</v>
      </c>
      <c r="CW14" s="7">
        <f t="array" ref="CW14">PRODUCT(1 + 預測IC!$C23:CV23) -1</f>
        <v>-5.5164615448593857E-2</v>
      </c>
      <c r="CX14" s="7">
        <f t="array" ref="CX14">PRODUCT(1 + 預測IC!$C23:CW23) -1</f>
        <v>-8.7889787450430856E-2</v>
      </c>
      <c r="CY14" s="7">
        <f t="array" ref="CY14">PRODUCT(1 + 預測IC!$C23:CX23) -1</f>
        <v>3.3887007126690794E-2</v>
      </c>
      <c r="CZ14" s="7">
        <f t="array" ref="CZ14">PRODUCT(1 + 預測IC!$C23:CY23) -1</f>
        <v>-5.6738888134789667E-3</v>
      </c>
      <c r="DA14" s="7">
        <f t="array" ref="DA14">PRODUCT(1 + 預測IC!$C23:CZ23) -1</f>
        <v>0.21971704928930924</v>
      </c>
      <c r="DB14" s="7">
        <f t="array" ref="DB14">PRODUCT(1 + 預測IC!$C23:DA23) -1</f>
        <v>0.20230263562592987</v>
      </c>
      <c r="DC14" s="7">
        <f t="array" ref="DC14">PRODUCT(1 + 預測IC!$C23:DB23) -1</f>
        <v>0.11201410760351771</v>
      </c>
      <c r="DD14" s="7">
        <f t="array" ref="DD14">PRODUCT(1 + 預測IC!$C23:DC23) -1</f>
        <v>-2.9502092102096866E-2</v>
      </c>
      <c r="DE14" s="7">
        <f t="array" ref="DE14">PRODUCT(1 + 預測IC!$C23:DD23) -1</f>
        <v>1.1662668545425969E-2</v>
      </c>
      <c r="DF14" s="7">
        <f t="array" ref="DF14">PRODUCT(1 + 預測IC!$C23:DE23) -1</f>
        <v>-7.3376400890712179E-2</v>
      </c>
      <c r="DG14" s="7">
        <f t="array" ref="DG14">PRODUCT(1 + 預測IC!$C23:DF23) -1</f>
        <v>-7.3355606788829575E-2</v>
      </c>
      <c r="DH14" s="7">
        <f t="array" ref="DH14">PRODUCT(1 + 預測IC!$C23:DG23) -1</f>
        <v>-8.0004883834628338E-2</v>
      </c>
      <c r="DI14" s="7">
        <f t="array" ref="DI14">PRODUCT(1 + 預測IC!$C23:DH23) -1</f>
        <v>-0.10375873476695097</v>
      </c>
      <c r="DJ14" s="7">
        <f t="array" ref="DJ14">PRODUCT(1 + 預測IC!$C23:DI23) -1</f>
        <v>-0.21252348656864906</v>
      </c>
      <c r="DK14" s="7">
        <f t="array" ref="DK14">PRODUCT(1 + 預測IC!$C23:DJ23) -1</f>
        <v>-0.25031022374670464</v>
      </c>
      <c r="DL14" s="7">
        <f t="array" ref="DL14">PRODUCT(1 + 預測IC!$C23:DK23) -1</f>
        <v>-0.27746902442183996</v>
      </c>
      <c r="DM14" s="7">
        <f t="array" ref="DM14">PRODUCT(1 + 預測IC!$C23:DL23) -1</f>
        <v>-0.28464686772932501</v>
      </c>
      <c r="DN14" s="7">
        <f t="array" ref="DN14">PRODUCT(1 + 預測IC!$C23:DM23) -1</f>
        <v>-0.34059172494043688</v>
      </c>
      <c r="DO14" s="7">
        <f t="array" ref="DO14">PRODUCT(1 + 預測IC!$C23:DN23) -1</f>
        <v>-0.29991712374717527</v>
      </c>
      <c r="DP14" s="7">
        <f t="array" ref="DP14">PRODUCT(1 + 預測IC!$C23:DO23) -1</f>
        <v>-0.28991291670339581</v>
      </c>
      <c r="DQ14" s="7">
        <f t="array" ref="DQ14">PRODUCT(1 + 預測IC!$C23:DP23) -1</f>
        <v>-0.17950398935930401</v>
      </c>
      <c r="DR14" s="7">
        <f t="array" ref="DR14">PRODUCT(1 + 預測IC!$C23:DQ23) -1</f>
        <v>-0.21042666503140883</v>
      </c>
      <c r="DS14" s="7">
        <f t="array" ref="DS14">PRODUCT(1 + 預測IC!$C23:DR23) -1</f>
        <v>-0.20133318806458789</v>
      </c>
      <c r="DT14" s="7">
        <f t="array" ref="DT14">PRODUCT(1 + 預測IC!$C23:DS23) -1</f>
        <v>-0.21235767092600066</v>
      </c>
      <c r="DU14" s="7">
        <f t="array" ref="DU14">PRODUCT(1 + 預測IC!$C23:DT23) -1</f>
        <v>-0.3339788196218979</v>
      </c>
      <c r="DV14" s="7">
        <f t="array" ref="DV14">PRODUCT(1 + 預測IC!$C23:DU23) -1</f>
        <v>-0.3150463794627445</v>
      </c>
      <c r="DW14" s="7">
        <f t="array" ref="DW14">PRODUCT(1 + 預測IC!$C23:DV23) -1</f>
        <v>-0.34494002277231406</v>
      </c>
      <c r="DX14" s="7">
        <f t="array" ref="DX14">PRODUCT(1 + 預測IC!$C23:DW23) -1</f>
        <v>-0.31666595858183788</v>
      </c>
      <c r="DY14" s="7">
        <f t="array" ref="DY14">PRODUCT(1 + 預測IC!$C23:DX23) -1</f>
        <v>-0.29583269101835663</v>
      </c>
      <c r="DZ14" s="7">
        <f t="array" ref="DZ14">PRODUCT(1 + 預測IC!$C23:DY23) -1</f>
        <v>-0.35923409231546843</v>
      </c>
      <c r="EA14" s="7">
        <f t="array" ref="EA14">PRODUCT(1 + 預測IC!$C23:DZ23) -1</f>
        <v>-0.35581584076866879</v>
      </c>
      <c r="EB14" s="7">
        <f t="array" ref="EB14">PRODUCT(1 + 預測IC!$C23:EA23) -1</f>
        <v>-0.32106735805908826</v>
      </c>
      <c r="EC14" s="7">
        <f t="array" ref="EC14">PRODUCT(1 + 預測IC!$C23:EB23) -1</f>
        <v>-0.13407074872564018</v>
      </c>
      <c r="ED14" s="7">
        <f t="array" ref="ED14">PRODUCT(1 + 預測IC!$C23:EC23) -1</f>
        <v>-2.0675429218277586E-3</v>
      </c>
      <c r="EE14" s="7">
        <f t="array" ref="EE14">PRODUCT(1 + 預測IC!$C23:ED23) -1</f>
        <v>-6.1652642676853553E-2</v>
      </c>
      <c r="EF14" s="7">
        <f t="array" ref="EF14">PRODUCT(1 + 預測IC!$C23:EE23) -1</f>
        <v>5.7415383779171547E-2</v>
      </c>
      <c r="EG14" s="7">
        <f t="array" ref="EG14">PRODUCT(1 + 預測IC!$C23:EF23) -1</f>
        <v>0.14002935336745836</v>
      </c>
    </row>
    <row r="15" spans="3:137" ht="16" customHeight="1">
      <c r="C15" s="6">
        <v>321</v>
      </c>
      <c r="D15" s="7">
        <f t="array" ref="D15">PRODUCT(1 + 預測IC!$C24:C24) -1</f>
        <v>0.63578987634030337</v>
      </c>
      <c r="E15" s="7">
        <f t="array" ref="E15">PRODUCT(1 + 預測IC!$C24:D24) -1</f>
        <v>0.87086999950763366</v>
      </c>
      <c r="F15" s="7">
        <f t="array" ref="F15">PRODUCT(1 + 預測IC!$C24:E24) -1</f>
        <v>1.3512789222375283</v>
      </c>
      <c r="G15" s="7">
        <f t="array" ref="G15">PRODUCT(1 + 預測IC!$C24:F24) -1</f>
        <v>1.2785960155905056</v>
      </c>
      <c r="H15" s="7">
        <f t="array" ref="H15">PRODUCT(1 + 預測IC!$C24:G24) -1</f>
        <v>1.4299526567550567</v>
      </c>
      <c r="I15" s="7">
        <f t="array" ref="I15">PRODUCT(1 + 預測IC!$C24:H24) -1</f>
        <v>1.3748687086718814</v>
      </c>
      <c r="J15" s="7">
        <f t="array" ref="J15">PRODUCT(1 + 預測IC!$C24:I24) -1</f>
        <v>0.93788353066151964</v>
      </c>
      <c r="K15" s="7">
        <f t="array" ref="K15">PRODUCT(1 + 預測IC!$C24:J24) -1</f>
        <v>0.94206524370759448</v>
      </c>
      <c r="L15" s="7">
        <f t="array" ref="L15">PRODUCT(1 + 預測IC!$C24:K24) -1</f>
        <v>1.0427562932357679</v>
      </c>
      <c r="M15" s="7">
        <f t="array" ref="M15">PRODUCT(1 + 預測IC!$C24:L24) -1</f>
        <v>0.94473938035560812</v>
      </c>
      <c r="N15" s="7">
        <f t="array" ref="N15">PRODUCT(1 + 預測IC!$C24:M24) -1</f>
        <v>1.0742513879915569</v>
      </c>
      <c r="O15" s="7">
        <f t="array" ref="O15">PRODUCT(1 + 預測IC!$C24:N24) -1</f>
        <v>1.4161910340846338</v>
      </c>
      <c r="P15" s="7">
        <f t="array" ref="P15">PRODUCT(1 + 預測IC!$C24:O24) -1</f>
        <v>0.91064626626710599</v>
      </c>
      <c r="Q15" s="7">
        <f t="array" ref="Q15">PRODUCT(1 + 預測IC!$C24:P24) -1</f>
        <v>0.94810813798259219</v>
      </c>
      <c r="R15" s="7">
        <f t="array" ref="R15">PRODUCT(1 + 預測IC!$C24:Q24) -1</f>
        <v>1.4035278765612986</v>
      </c>
      <c r="S15" s="7">
        <f t="array" ref="S15">PRODUCT(1 + 預測IC!$C24:R24) -1</f>
        <v>1.1404722373232037</v>
      </c>
      <c r="T15" s="7">
        <f t="array" ref="T15">PRODUCT(1 + 預測IC!$C24:S24) -1</f>
        <v>0.74713117312313515</v>
      </c>
      <c r="U15" s="7">
        <f t="array" ref="U15">PRODUCT(1 + 預測IC!$C24:T24) -1</f>
        <v>0.67549400732988851</v>
      </c>
      <c r="V15" s="7">
        <f t="array" ref="V15">PRODUCT(1 + 預測IC!$C24:U24) -1</f>
        <v>0.312084265372369</v>
      </c>
      <c r="W15" s="7">
        <f t="array" ref="W15">PRODUCT(1 + 預測IC!$C24:V24) -1</f>
        <v>0.41259687280839108</v>
      </c>
      <c r="X15" s="7">
        <f t="array" ref="X15">PRODUCT(1 + 預測IC!$C24:W24) -1</f>
        <v>0.34533353629681107</v>
      </c>
      <c r="Y15" s="7">
        <f t="array" ref="Y15">PRODUCT(1 + 預測IC!$C24:X24) -1</f>
        <v>0.5220315977670571</v>
      </c>
      <c r="Z15" s="7">
        <f t="array" ref="Z15">PRODUCT(1 + 預測IC!$C24:Y24) -1</f>
        <v>0.35721315451753477</v>
      </c>
      <c r="AA15" s="7">
        <f t="array" ref="AA15">PRODUCT(1 + 預測IC!$C24:Z24) -1</f>
        <v>0.38276264291958251</v>
      </c>
      <c r="AB15" s="7">
        <f t="array" ref="AB15">PRODUCT(1 + 預測IC!$C24:AA24) -1</f>
        <v>0.30141630713940426</v>
      </c>
      <c r="AC15" s="7">
        <f t="array" ref="AC15">PRODUCT(1 + 預測IC!$C24:AB24) -1</f>
        <v>0.20931360140222144</v>
      </c>
      <c r="AD15" s="7">
        <f t="array" ref="AD15">PRODUCT(1 + 預測IC!$C24:AC24) -1</f>
        <v>0.32825280342724672</v>
      </c>
      <c r="AE15" s="7">
        <f t="array" ref="AE15">PRODUCT(1 + 預測IC!$C24:AD24) -1</f>
        <v>0.52813928586477354</v>
      </c>
      <c r="AF15" s="7">
        <f t="array" ref="AF15">PRODUCT(1 + 預測IC!$C24:AE24) -1</f>
        <v>0.97310402739292146</v>
      </c>
      <c r="AG15" s="7">
        <f t="array" ref="AG15">PRODUCT(1 + 預測IC!$C24:AF24) -1</f>
        <v>1.3366252788641133</v>
      </c>
      <c r="AH15" s="7">
        <f t="array" ref="AH15">PRODUCT(1 + 預測IC!$C24:AG24) -1</f>
        <v>1.7164014126640232</v>
      </c>
      <c r="AI15" s="7">
        <f t="array" ref="AI15">PRODUCT(1 + 預測IC!$C24:AH24) -1</f>
        <v>2.4823302796042044</v>
      </c>
      <c r="AJ15" s="7">
        <f t="array" ref="AJ15">PRODUCT(1 + 預測IC!$C24:AI24) -1</f>
        <v>2.6637442908748361</v>
      </c>
      <c r="AK15" s="7">
        <f t="array" ref="AK15">PRODUCT(1 + 預測IC!$C24:AJ24) -1</f>
        <v>2.7677665316783688</v>
      </c>
      <c r="AL15" s="7">
        <f t="array" ref="AL15">PRODUCT(1 + 預測IC!$C24:AK24) -1</f>
        <v>2.9735285549885897</v>
      </c>
      <c r="AM15" s="7">
        <f t="array" ref="AM15">PRODUCT(1 + 預測IC!$C24:AL24) -1</f>
        <v>3.0265772660557539</v>
      </c>
      <c r="AN15" s="7">
        <f t="array" ref="AN15">PRODUCT(1 + 預測IC!$C24:AM24) -1</f>
        <v>3.3233375872135493</v>
      </c>
      <c r="AO15" s="7">
        <f t="array" ref="AO15">PRODUCT(1 + 預測IC!$C24:AN24) -1</f>
        <v>4.9860129410117739</v>
      </c>
      <c r="AP15" s="7">
        <f t="array" ref="AP15">PRODUCT(1 + 預測IC!$C24:AO24) -1</f>
        <v>5.989032754497793</v>
      </c>
      <c r="AQ15" s="7">
        <f t="array" ref="AQ15">PRODUCT(1 + 預測IC!$C24:AP24) -1</f>
        <v>6.5339110767369659</v>
      </c>
      <c r="AR15" s="7">
        <f t="array" ref="AR15">PRODUCT(1 + 預測IC!$C24:AQ24) -1</f>
        <v>6.5696723216805051</v>
      </c>
      <c r="AS15" s="7">
        <f t="array" ref="AS15">PRODUCT(1 + 預測IC!$C24:AR24) -1</f>
        <v>5.692773093426144</v>
      </c>
      <c r="AT15" s="7">
        <f t="array" ref="AT15">PRODUCT(1 + 預測IC!$C24:AS24) -1</f>
        <v>5.4585898645775233</v>
      </c>
      <c r="AU15" s="7">
        <f t="array" ref="AU15">PRODUCT(1 + 預測IC!$C24:AT24) -1</f>
        <v>6.0801239855960825</v>
      </c>
      <c r="AV15" s="7">
        <f t="array" ref="AV15">PRODUCT(1 + 預測IC!$C24:AU24) -1</f>
        <v>6.8177372054586565</v>
      </c>
      <c r="AW15" s="7">
        <f t="array" ref="AW15">PRODUCT(1 + 預測IC!$C24:AV24) -1</f>
        <v>8.1221184525893246</v>
      </c>
      <c r="AX15" s="7">
        <f t="array" ref="AX15">PRODUCT(1 + 預測IC!$C24:AW24) -1</f>
        <v>7.0355372490673229</v>
      </c>
      <c r="AY15" s="7">
        <f t="array" ref="AY15">PRODUCT(1 + 預測IC!$C24:AX24) -1</f>
        <v>6.7168087301460933</v>
      </c>
      <c r="AZ15" s="7">
        <f t="array" ref="AZ15">PRODUCT(1 + 預測IC!$C24:AY24) -1</f>
        <v>4.7600177182560701</v>
      </c>
      <c r="BA15" s="7">
        <f t="array" ref="BA15">PRODUCT(1 + 預測IC!$C24:AZ24) -1</f>
        <v>4.252739343376815</v>
      </c>
      <c r="BB15" s="7">
        <f t="array" ref="BB15">PRODUCT(1 + 預測IC!$C24:BA24) -1</f>
        <v>4.399940392237351</v>
      </c>
      <c r="BC15" s="7">
        <f t="array" ref="BC15">PRODUCT(1 + 預測IC!$C24:BB24) -1</f>
        <v>3.6857092536703622</v>
      </c>
      <c r="BD15" s="7">
        <f t="array" ref="BD15">PRODUCT(1 + 預測IC!$C24:BC24) -1</f>
        <v>3.405951079124514</v>
      </c>
      <c r="BE15" s="7">
        <f t="array" ref="BE15">PRODUCT(1 + 預測IC!$C24:BD24) -1</f>
        <v>3.6585805181122035</v>
      </c>
      <c r="BF15" s="7">
        <f t="array" ref="BF15">PRODUCT(1 + 預測IC!$C24:BE24) -1</f>
        <v>3.270783866222529</v>
      </c>
      <c r="BG15" s="7">
        <f t="array" ref="BG15">PRODUCT(1 + 預測IC!$C24:BF24) -1</f>
        <v>3.0769327314001069</v>
      </c>
      <c r="BH15" s="7">
        <f t="array" ref="BH15">PRODUCT(1 + 預測IC!$C24:BG24) -1</f>
        <v>3.0102639898909516</v>
      </c>
      <c r="BI15" s="7">
        <f t="array" ref="BI15">PRODUCT(1 + 預測IC!$C24:BH24) -1</f>
        <v>2.8766178855798432</v>
      </c>
      <c r="BJ15" s="7">
        <f t="array" ref="BJ15">PRODUCT(1 + 預測IC!$C24:BI24) -1</f>
        <v>3.1811954812906045</v>
      </c>
      <c r="BK15" s="7">
        <f t="array" ref="BK15">PRODUCT(1 + 預測IC!$C24:BJ24) -1</f>
        <v>4.338820510840586</v>
      </c>
      <c r="BL15" s="7">
        <f t="array" ref="BL15">PRODUCT(1 + 預測IC!$C24:BK24) -1</f>
        <v>3.8463755093408905</v>
      </c>
      <c r="BM15" s="7">
        <f t="array" ref="BM15">PRODUCT(1 + 預測IC!$C24:BL24) -1</f>
        <v>4.2142583048172986</v>
      </c>
      <c r="BN15" s="7">
        <f t="array" ref="BN15">PRODUCT(1 + 預測IC!$C24:BM24) -1</f>
        <v>4.8191836502435645</v>
      </c>
      <c r="BO15" s="7">
        <f t="array" ref="BO15">PRODUCT(1 + 預測IC!$C24:BN24) -1</f>
        <v>5.8347828453580552</v>
      </c>
      <c r="BP15" s="7">
        <f t="array" ref="BP15">PRODUCT(1 + 預測IC!$C24:BO24) -1</f>
        <v>6.9234208243289332</v>
      </c>
      <c r="BQ15" s="7">
        <f t="array" ref="BQ15">PRODUCT(1 + 預測IC!$C24:BP24) -1</f>
        <v>5.031781454079467</v>
      </c>
      <c r="BR15" s="7">
        <f t="array" ref="BR15">PRODUCT(1 + 預測IC!$C24:BQ24) -1</f>
        <v>3.9231070090630622</v>
      </c>
      <c r="BS15" s="7">
        <f t="array" ref="BS15">PRODUCT(1 + 預測IC!$C24:BR24) -1</f>
        <v>3.1863772608882348</v>
      </c>
      <c r="BT15" s="7">
        <f t="array" ref="BT15">PRODUCT(1 + 預測IC!$C24:BS24) -1</f>
        <v>3.114049875723949</v>
      </c>
      <c r="BU15" s="7">
        <f t="array" ref="BU15">PRODUCT(1 + 預測IC!$C24:BT24) -1</f>
        <v>3.8006559032605365</v>
      </c>
      <c r="BV15" s="7">
        <f t="array" ref="BV15">PRODUCT(1 + 預測IC!$C24:BU24) -1</f>
        <v>3.3162761484732419</v>
      </c>
      <c r="BW15" s="7">
        <f t="array" ref="BW15">PRODUCT(1 + 預測IC!$C24:BV24) -1</f>
        <v>3.7772100483510078</v>
      </c>
      <c r="BX15" s="7">
        <f t="array" ref="BX15">PRODUCT(1 + 預測IC!$C24:BW24) -1</f>
        <v>3.9423026925064848</v>
      </c>
      <c r="BY15" s="7">
        <f t="array" ref="BY15">PRODUCT(1 + 預測IC!$C24:BX24) -1</f>
        <v>3.8759394582530735</v>
      </c>
      <c r="BZ15" s="7">
        <f t="array" ref="BZ15">PRODUCT(1 + 預測IC!$C24:BY24) -1</f>
        <v>3.9967653660504441</v>
      </c>
      <c r="CA15" s="7">
        <f t="array" ref="CA15">PRODUCT(1 + 預測IC!$C24:BZ24) -1</f>
        <v>3.3769137827084226</v>
      </c>
      <c r="CB15" s="7">
        <f t="array" ref="CB15">PRODUCT(1 + 預測IC!$C24:CA24) -1</f>
        <v>4.2308351870476368</v>
      </c>
      <c r="CC15" s="7">
        <f t="array" ref="CC15">PRODUCT(1 + 預測IC!$C24:CB24) -1</f>
        <v>5.5761025451932218</v>
      </c>
      <c r="CD15" s="7">
        <f t="array" ref="CD15">PRODUCT(1 + 預測IC!$C24:CC24) -1</f>
        <v>4.2096357387832963</v>
      </c>
      <c r="CE15" s="7">
        <f t="array" ref="CE15">PRODUCT(1 + 預測IC!$C24:CD24) -1</f>
        <v>4.8749293124096136</v>
      </c>
      <c r="CF15" s="7">
        <f t="array" ref="CF15">PRODUCT(1 + 預測IC!$C24:CE24) -1</f>
        <v>4.702737829933592</v>
      </c>
      <c r="CG15" s="7">
        <f t="array" ref="CG15">PRODUCT(1 + 預測IC!$C24:CF24) -1</f>
        <v>5.8784897700477883</v>
      </c>
      <c r="CH15" s="7">
        <f t="array" ref="CH15">PRODUCT(1 + 預測IC!$C24:CG24) -1</f>
        <v>7.1880316847489123</v>
      </c>
      <c r="CI15" s="7">
        <f t="array" ref="CI15">PRODUCT(1 + 預測IC!$C24:CH24) -1</f>
        <v>5.8761872974658607</v>
      </c>
      <c r="CJ15" s="7">
        <f t="array" ref="CJ15">PRODUCT(1 + 預測IC!$C24:CI24) -1</f>
        <v>4.0468477485952654</v>
      </c>
      <c r="CK15" s="7">
        <f t="array" ref="CK15">PRODUCT(1 + 預測IC!$C24:CJ24) -1</f>
        <v>4.1110645324079451</v>
      </c>
      <c r="CL15" s="7">
        <f t="array" ref="CL15">PRODUCT(1 + 預測IC!$C24:CK24) -1</f>
        <v>3.4453160757868329</v>
      </c>
      <c r="CM15" s="7">
        <f t="array" ref="CM15">PRODUCT(1 + 預測IC!$C24:CL24) -1</f>
        <v>2.8124144361188073</v>
      </c>
      <c r="CN15" s="7">
        <f t="array" ref="CN15">PRODUCT(1 + 預測IC!$C24:CM24) -1</f>
        <v>3.1255863539839916</v>
      </c>
      <c r="CO15" s="7">
        <f t="array" ref="CO15">PRODUCT(1 + 預測IC!$C24:CN24) -1</f>
        <v>2.6688960313902164</v>
      </c>
      <c r="CP15" s="7">
        <f t="array" ref="CP15">PRODUCT(1 + 預測IC!$C24:CO24) -1</f>
        <v>1.8819899833840785</v>
      </c>
      <c r="CQ15" s="7">
        <f t="array" ref="CQ15">PRODUCT(1 + 預測IC!$C24:CP24) -1</f>
        <v>1.794540196336718</v>
      </c>
      <c r="CR15" s="7">
        <f t="array" ref="CR15">PRODUCT(1 + 預測IC!$C24:CQ24) -1</f>
        <v>2.4120206184124098</v>
      </c>
      <c r="CS15" s="7">
        <f t="array" ref="CS15">PRODUCT(1 + 預測IC!$C24:CR24) -1</f>
        <v>2.2214018124939559</v>
      </c>
      <c r="CT15" s="7">
        <f t="array" ref="CT15">PRODUCT(1 + 預測IC!$C24:CS24) -1</f>
        <v>1.5598386974128551</v>
      </c>
      <c r="CU15" s="7">
        <f t="array" ref="CU15">PRODUCT(1 + 預測IC!$C24:CT24) -1</f>
        <v>1.2395275640642951</v>
      </c>
      <c r="CV15" s="7">
        <f t="array" ref="CV15">PRODUCT(1 + 預測IC!$C24:CU24) -1</f>
        <v>1.3174872816162653</v>
      </c>
      <c r="CW15" s="7">
        <f t="array" ref="CW15">PRODUCT(1 + 預測IC!$C24:CV24) -1</f>
        <v>1.4463101020424545</v>
      </c>
      <c r="CX15" s="7">
        <f t="array" ref="CX15">PRODUCT(1 + 預測IC!$C24:CW24) -1</f>
        <v>1.1125375026182085</v>
      </c>
      <c r="CY15" s="7">
        <f t="array" ref="CY15">PRODUCT(1 + 預測IC!$C24:CX24) -1</f>
        <v>1.5328164286923149</v>
      </c>
      <c r="CZ15" s="7">
        <f t="array" ref="CZ15">PRODUCT(1 + 預測IC!$C24:CY24) -1</f>
        <v>1.4004147797213871</v>
      </c>
      <c r="DA15" s="7">
        <f t="array" ref="DA15">PRODUCT(1 + 預測IC!$C24:CZ24) -1</f>
        <v>2.0147179794433874</v>
      </c>
      <c r="DB15" s="7">
        <f t="array" ref="DB15">PRODUCT(1 + 預測IC!$C24:DA24) -1</f>
        <v>2.0141586966537561</v>
      </c>
      <c r="DC15" s="7">
        <f t="array" ref="DC15">PRODUCT(1 + 預測IC!$C24:DB24) -1</f>
        <v>1.8127102916889362</v>
      </c>
      <c r="DD15" s="7">
        <f t="array" ref="DD15">PRODUCT(1 + 預測IC!$C24:DC24) -1</f>
        <v>1.5265869058001242</v>
      </c>
      <c r="DE15" s="7">
        <f t="array" ref="DE15">PRODUCT(1 + 預測IC!$C24:DD24) -1</f>
        <v>1.8295729346116132</v>
      </c>
      <c r="DF15" s="7">
        <f t="array" ref="DF15">PRODUCT(1 + 預測IC!$C24:DE24) -1</f>
        <v>1.6374659657549038</v>
      </c>
      <c r="DG15" s="7">
        <f t="array" ref="DG15">PRODUCT(1 + 預測IC!$C24:DF24) -1</f>
        <v>1.6729069946144626</v>
      </c>
      <c r="DH15" s="7">
        <f t="array" ref="DH15">PRODUCT(1 + 預測IC!$C24:DG24) -1</f>
        <v>1.5654897202389613</v>
      </c>
      <c r="DI15" s="7">
        <f t="array" ref="DI15">PRODUCT(1 + 預測IC!$C24:DH24) -1</f>
        <v>1.4186439439860892</v>
      </c>
      <c r="DJ15" s="7">
        <f t="array" ref="DJ15">PRODUCT(1 + 預測IC!$C24:DI24) -1</f>
        <v>1.1036067093381896</v>
      </c>
      <c r="DK15" s="7">
        <f t="array" ref="DK15">PRODUCT(1 + 預測IC!$C24:DJ24) -1</f>
        <v>1.0534049301067654</v>
      </c>
      <c r="DL15" s="7">
        <f t="array" ref="DL15">PRODUCT(1 + 預測IC!$C24:DK24) -1</f>
        <v>1.1571594357007946</v>
      </c>
      <c r="DM15" s="7">
        <f t="array" ref="DM15">PRODUCT(1 + 預測IC!$C24:DL24) -1</f>
        <v>1.1860715321665762</v>
      </c>
      <c r="DN15" s="7">
        <f t="array" ref="DN15">PRODUCT(1 + 預測IC!$C24:DM24) -1</f>
        <v>1.0816875968187438</v>
      </c>
      <c r="DO15" s="7">
        <f t="array" ref="DO15">PRODUCT(1 + 預測IC!$C24:DN24) -1</f>
        <v>1.2553793348530742</v>
      </c>
      <c r="DP15" s="7">
        <f t="array" ref="DP15">PRODUCT(1 + 預測IC!$C24:DO24) -1</f>
        <v>1.3293955062245142</v>
      </c>
      <c r="DQ15" s="7">
        <f t="array" ref="DQ15">PRODUCT(1 + 預測IC!$C24:DP24) -1</f>
        <v>1.4435071815328415</v>
      </c>
      <c r="DR15" s="7">
        <f t="array" ref="DR15">PRODUCT(1 + 預測IC!$C24:DQ24) -1</f>
        <v>1.2126209312463585</v>
      </c>
      <c r="DS15" s="7">
        <f t="array" ref="DS15">PRODUCT(1 + 預測IC!$C24:DR24) -1</f>
        <v>1.2673996249617963</v>
      </c>
      <c r="DT15" s="7">
        <f t="array" ref="DT15">PRODUCT(1 + 預測IC!$C24:DS24) -1</f>
        <v>0.98580164407535786</v>
      </c>
      <c r="DU15" s="7">
        <f t="array" ref="DU15">PRODUCT(1 + 預測IC!$C24:DT24) -1</f>
        <v>0.62212262712907918</v>
      </c>
      <c r="DV15" s="7">
        <f t="array" ref="DV15">PRODUCT(1 + 預測IC!$C24:DU24) -1</f>
        <v>0.6101448538631935</v>
      </c>
      <c r="DW15" s="7">
        <f t="array" ref="DW15">PRODUCT(1 + 預測IC!$C24:DV24) -1</f>
        <v>0.40715349222073227</v>
      </c>
      <c r="DX15" s="7">
        <f t="array" ref="DX15">PRODUCT(1 + 預測IC!$C24:DW24) -1</f>
        <v>0.37082416175338029</v>
      </c>
      <c r="DY15" s="7">
        <f t="array" ref="DY15">PRODUCT(1 + 預測IC!$C24:DX24) -1</f>
        <v>0.42764447823566276</v>
      </c>
      <c r="DZ15" s="7">
        <f t="array" ref="DZ15">PRODUCT(1 + 預測IC!$C24:DY24) -1</f>
        <v>0.22726261286236449</v>
      </c>
      <c r="EA15" s="7">
        <f t="array" ref="EA15">PRODUCT(1 + 預測IC!$C24:DZ24) -1</f>
        <v>0.14926481036174311</v>
      </c>
      <c r="EB15" s="7">
        <f t="array" ref="EB15">PRODUCT(1 + 預測IC!$C24:EA24) -1</f>
        <v>0.39718730405316038</v>
      </c>
      <c r="EC15" s="7">
        <f t="array" ref="EC15">PRODUCT(1 + 預測IC!$C24:EB24) -1</f>
        <v>0.74201946719330225</v>
      </c>
      <c r="ED15" s="7">
        <f t="array" ref="ED15">PRODUCT(1 + 預測IC!$C24:EC24) -1</f>
        <v>1.0507964910766763</v>
      </c>
      <c r="EE15" s="7">
        <f t="array" ref="EE15">PRODUCT(1 + 預測IC!$C24:ED24) -1</f>
        <v>0.90995474713258018</v>
      </c>
      <c r="EF15" s="7">
        <f t="array" ref="EF15">PRODUCT(1 + 預測IC!$C24:EE24) -1</f>
        <v>1.1484800833032134</v>
      </c>
      <c r="EG15" s="7">
        <f t="array" ref="EG15">PRODUCT(1 + 預測IC!$C24:EF24) -1</f>
        <v>1.4048166724406301</v>
      </c>
    </row>
    <row r="16" spans="3:137" ht="16" customHeight="1">
      <c r="C16" s="6">
        <v>482</v>
      </c>
      <c r="D16" s="7">
        <f t="array" ref="D16">PRODUCT(1 + 預測IC!$C25:C25) -1</f>
        <v>0.63761017581609125</v>
      </c>
      <c r="E16" s="7">
        <f t="array" ref="E16">PRODUCT(1 + 預測IC!$C25:D25) -1</f>
        <v>1.0272889384087449</v>
      </c>
      <c r="F16" s="7">
        <f t="array" ref="F16">PRODUCT(1 + 預測IC!$C25:E25) -1</f>
        <v>1.2769068156704515</v>
      </c>
      <c r="G16" s="7">
        <f t="array" ref="G16">PRODUCT(1 + 預測IC!$C25:F25) -1</f>
        <v>1.1057058897655994</v>
      </c>
      <c r="H16" s="7">
        <f t="array" ref="H16">PRODUCT(1 + 預測IC!$C25:G25) -1</f>
        <v>1.6643564835385667</v>
      </c>
      <c r="I16" s="7">
        <f t="array" ref="I16">PRODUCT(1 + 預測IC!$C25:H25) -1</f>
        <v>1.3558931644798027</v>
      </c>
      <c r="J16" s="7">
        <f t="array" ref="J16">PRODUCT(1 + 預測IC!$C25:I25) -1</f>
        <v>1.0936424784468324</v>
      </c>
      <c r="K16" s="7">
        <f t="array" ref="K16">PRODUCT(1 + 預測IC!$C25:J25) -1</f>
        <v>1.1703740784004393</v>
      </c>
      <c r="L16" s="7">
        <f t="array" ref="L16">PRODUCT(1 + 預測IC!$C25:K25) -1</f>
        <v>1.2451180434955114</v>
      </c>
      <c r="M16" s="7">
        <f t="array" ref="M16">PRODUCT(1 + 預測IC!$C25:L25) -1</f>
        <v>1.2281741118535647</v>
      </c>
      <c r="N16" s="7">
        <f t="array" ref="N16">PRODUCT(1 + 預測IC!$C25:M25) -1</f>
        <v>1.1030894036155958</v>
      </c>
      <c r="O16" s="7">
        <f t="array" ref="O16">PRODUCT(1 + 預測IC!$C25:N25) -1</f>
        <v>1.5040674451811817</v>
      </c>
      <c r="P16" s="7">
        <f t="array" ref="P16">PRODUCT(1 + 預測IC!$C25:O25) -1</f>
        <v>0.88656920574055387</v>
      </c>
      <c r="Q16" s="7">
        <f t="array" ref="Q16">PRODUCT(1 + 預測IC!$C25:P25) -1</f>
        <v>0.92776793720093176</v>
      </c>
      <c r="R16" s="7">
        <f t="array" ref="R16">PRODUCT(1 + 預測IC!$C25:Q25) -1</f>
        <v>1.5333950148629336</v>
      </c>
      <c r="S16" s="7">
        <f t="array" ref="S16">PRODUCT(1 + 預測IC!$C25:R25) -1</f>
        <v>1.0583055484560666</v>
      </c>
      <c r="T16" s="7">
        <f t="array" ref="T16">PRODUCT(1 + 預測IC!$C25:S25) -1</f>
        <v>0.60694456163546029</v>
      </c>
      <c r="U16" s="7">
        <f t="array" ref="U16">PRODUCT(1 + 預測IC!$C25:T25) -1</f>
        <v>0.54766447464033563</v>
      </c>
      <c r="V16" s="7">
        <f t="array" ref="V16">PRODUCT(1 + 預測IC!$C25:U25) -1</f>
        <v>0.22269839867446328</v>
      </c>
      <c r="W16" s="7">
        <f t="array" ref="W16">PRODUCT(1 + 預測IC!$C25:V25) -1</f>
        <v>0.17591473586693884</v>
      </c>
      <c r="X16" s="7">
        <f t="array" ref="X16">PRODUCT(1 + 預測IC!$C25:W25) -1</f>
        <v>0.18878412284953017</v>
      </c>
      <c r="Y16" s="7">
        <f t="array" ref="Y16">PRODUCT(1 + 預測IC!$C25:X25) -1</f>
        <v>0.3118996027106391</v>
      </c>
      <c r="Z16" s="7">
        <f t="array" ref="Z16">PRODUCT(1 + 預測IC!$C25:Y25) -1</f>
        <v>0.11609000996347763</v>
      </c>
      <c r="AA16" s="7">
        <f t="array" ref="AA16">PRODUCT(1 + 預測IC!$C25:Z25) -1</f>
        <v>9.209123047762513E-2</v>
      </c>
      <c r="AB16" s="7">
        <f t="array" ref="AB16">PRODUCT(1 + 預測IC!$C25:AA25) -1</f>
        <v>-4.7807891209479481E-2</v>
      </c>
      <c r="AC16" s="7">
        <f t="array" ref="AC16">PRODUCT(1 + 預測IC!$C25:AB25) -1</f>
        <v>-0.14245919776440674</v>
      </c>
      <c r="AD16" s="7">
        <f t="array" ref="AD16">PRODUCT(1 + 預測IC!$C25:AC25) -1</f>
        <v>1.0526053376200828E-2</v>
      </c>
      <c r="AE16" s="7">
        <f t="array" ref="AE16">PRODUCT(1 + 預測IC!$C25:AD25) -1</f>
        <v>0.16555765337985928</v>
      </c>
      <c r="AF16" s="7">
        <f t="array" ref="AF16">PRODUCT(1 + 預測IC!$C25:AE25) -1</f>
        <v>0.60855841632343166</v>
      </c>
      <c r="AG16" s="7">
        <f t="array" ref="AG16">PRODUCT(1 + 預測IC!$C25:AF25) -1</f>
        <v>0.8246396091531909</v>
      </c>
      <c r="AH16" s="7">
        <f t="array" ref="AH16">PRODUCT(1 + 預測IC!$C25:AG25) -1</f>
        <v>1.2073399290809292</v>
      </c>
      <c r="AI16" s="7">
        <f t="array" ref="AI16">PRODUCT(1 + 預測IC!$C25:AH25) -1</f>
        <v>2.0742532170980663</v>
      </c>
      <c r="AJ16" s="7">
        <f t="array" ref="AJ16">PRODUCT(1 + 預測IC!$C25:AI25) -1</f>
        <v>2.2962415649864578</v>
      </c>
      <c r="AK16" s="7">
        <f t="array" ref="AK16">PRODUCT(1 + 預測IC!$C25:AJ25) -1</f>
        <v>2.4175434358494918</v>
      </c>
      <c r="AL16" s="7">
        <f t="array" ref="AL16">PRODUCT(1 + 預測IC!$C25:AK25) -1</f>
        <v>2.6366550685579511</v>
      </c>
      <c r="AM16" s="7">
        <f t="array" ref="AM16">PRODUCT(1 + 預測IC!$C25:AL25) -1</f>
        <v>2.9153230623225799</v>
      </c>
      <c r="AN16" s="7">
        <f t="array" ref="AN16">PRODUCT(1 + 預測IC!$C25:AM25) -1</f>
        <v>2.9270460203988615</v>
      </c>
      <c r="AO16" s="7">
        <f t="array" ref="AO16">PRODUCT(1 + 預測IC!$C25:AN25) -1</f>
        <v>4.4086874354528067</v>
      </c>
      <c r="AP16" s="7">
        <f t="array" ref="AP16">PRODUCT(1 + 預測IC!$C25:AO25) -1</f>
        <v>5.2882267384110229</v>
      </c>
      <c r="AQ16" s="7">
        <f t="array" ref="AQ16">PRODUCT(1 + 預測IC!$C25:AP25) -1</f>
        <v>6.7524689650220999</v>
      </c>
      <c r="AR16" s="7">
        <f t="array" ref="AR16">PRODUCT(1 + 預測IC!$C25:AQ25) -1</f>
        <v>7.0225659678739945</v>
      </c>
      <c r="AS16" s="7">
        <f t="array" ref="AS16">PRODUCT(1 + 預測IC!$C25:AR25) -1</f>
        <v>5.3920093849044246</v>
      </c>
      <c r="AT16" s="7">
        <f t="array" ref="AT16">PRODUCT(1 + 預測IC!$C25:AS25) -1</f>
        <v>5.0080668564058639</v>
      </c>
      <c r="AU16" s="7">
        <f t="array" ref="AU16">PRODUCT(1 + 預測IC!$C25:AT25) -1</f>
        <v>5.7612393878757562</v>
      </c>
      <c r="AV16" s="7">
        <f t="array" ref="AV16">PRODUCT(1 + 預測IC!$C25:AU25) -1</f>
        <v>6.2965405441791829</v>
      </c>
      <c r="AW16" s="7">
        <f t="array" ref="AW16">PRODUCT(1 + 預測IC!$C25:AV25) -1</f>
        <v>8.0612724919992012</v>
      </c>
      <c r="AX16" s="7">
        <f t="array" ref="AX16">PRODUCT(1 + 預測IC!$C25:AW25) -1</f>
        <v>6.3274902898064616</v>
      </c>
      <c r="AY16" s="7">
        <f t="array" ref="AY16">PRODUCT(1 + 預測IC!$C25:AX25) -1</f>
        <v>6.3107200922089239</v>
      </c>
      <c r="AZ16" s="7">
        <f t="array" ref="AZ16">PRODUCT(1 + 預測IC!$C25:AY25) -1</f>
        <v>4.0138491854256877</v>
      </c>
      <c r="BA16" s="7">
        <f t="array" ref="BA16">PRODUCT(1 + 預測IC!$C25:AZ25) -1</f>
        <v>3.4208667537786956</v>
      </c>
      <c r="BB16" s="7">
        <f t="array" ref="BB16">PRODUCT(1 + 預測IC!$C25:BA25) -1</f>
        <v>3.5085635973432545</v>
      </c>
      <c r="BC16" s="7">
        <f t="array" ref="BC16">PRODUCT(1 + 預測IC!$C25:BB25) -1</f>
        <v>2.2243529639455075</v>
      </c>
      <c r="BD16" s="7">
        <f t="array" ref="BD16">PRODUCT(1 + 預測IC!$C25:BC25) -1</f>
        <v>1.9380017704829742</v>
      </c>
      <c r="BE16" s="7">
        <f t="array" ref="BE16">PRODUCT(1 + 預測IC!$C25:BD25) -1</f>
        <v>2.0677391024640155</v>
      </c>
      <c r="BF16" s="7">
        <f t="array" ref="BF16">PRODUCT(1 + 預測IC!$C25:BE25) -1</f>
        <v>2.1324510611185361</v>
      </c>
      <c r="BG16" s="7">
        <f t="array" ref="BG16">PRODUCT(1 + 預測IC!$C25:BF25) -1</f>
        <v>1.9784645498282658</v>
      </c>
      <c r="BH16" s="7">
        <f t="array" ref="BH16">PRODUCT(1 + 預測IC!$C25:BG25) -1</f>
        <v>1.8614197525315035</v>
      </c>
      <c r="BI16" s="7">
        <f t="array" ref="BI16">PRODUCT(1 + 預測IC!$C25:BH25) -1</f>
        <v>1.6705528676684858</v>
      </c>
      <c r="BJ16" s="7">
        <f t="array" ref="BJ16">PRODUCT(1 + 預測IC!$C25:BI25) -1</f>
        <v>1.0159357614141649</v>
      </c>
      <c r="BK16" s="7">
        <f t="array" ref="BK16">PRODUCT(1 + 預測IC!$C25:BJ25) -1</f>
        <v>1.6535352631199491</v>
      </c>
      <c r="BL16" s="7">
        <f t="array" ref="BL16">PRODUCT(1 + 預測IC!$C25:BK25) -1</f>
        <v>1.599721629541897</v>
      </c>
      <c r="BM16" s="7">
        <f t="array" ref="BM16">PRODUCT(1 + 預測IC!$C25:BL25) -1</f>
        <v>1.6844068922842288</v>
      </c>
      <c r="BN16" s="7">
        <f t="array" ref="BN16">PRODUCT(1 + 預測IC!$C25:BM25) -1</f>
        <v>2.1338455412453929</v>
      </c>
      <c r="BO16" s="7">
        <f t="array" ref="BO16">PRODUCT(1 + 預測IC!$C25:BN25) -1</f>
        <v>2.7334302502132619</v>
      </c>
      <c r="BP16" s="7">
        <f t="array" ref="BP16">PRODUCT(1 + 預測IC!$C25:BO25) -1</f>
        <v>3.1978540515342448</v>
      </c>
      <c r="BQ16" s="7">
        <f t="array" ref="BQ16">PRODUCT(1 + 預測IC!$C25:BP25) -1</f>
        <v>1.6731649742459962</v>
      </c>
      <c r="BR16" s="7">
        <f t="array" ref="BR16">PRODUCT(1 + 預測IC!$C25:BQ25) -1</f>
        <v>1.1299731373249995</v>
      </c>
      <c r="BS16" s="7">
        <f t="array" ref="BS16">PRODUCT(1 + 預測IC!$C25:BR25) -1</f>
        <v>0.60979192124612558</v>
      </c>
      <c r="BT16" s="7">
        <f t="array" ref="BT16">PRODUCT(1 + 預測IC!$C25:BS25) -1</f>
        <v>0.52030401064315224</v>
      </c>
      <c r="BU16" s="7">
        <f t="array" ref="BU16">PRODUCT(1 + 預測IC!$C25:BT25) -1</f>
        <v>0.9002180581538477</v>
      </c>
      <c r="BV16" s="7">
        <f t="array" ref="BV16">PRODUCT(1 + 預測IC!$C25:BU25) -1</f>
        <v>1.039264093374145</v>
      </c>
      <c r="BW16" s="7">
        <f t="array" ref="BW16">PRODUCT(1 + 預測IC!$C25:BV25) -1</f>
        <v>1.5435570709644049</v>
      </c>
      <c r="BX16" s="7">
        <f t="array" ref="BX16">PRODUCT(1 + 預測IC!$C25:BW25) -1</f>
        <v>1.8085134396563753</v>
      </c>
      <c r="BY16" s="7">
        <f t="array" ref="BY16">PRODUCT(1 + 預測IC!$C25:BX25) -1</f>
        <v>1.7436055632736109</v>
      </c>
      <c r="BZ16" s="7">
        <f t="array" ref="BZ16">PRODUCT(1 + 預測IC!$C25:BY25) -1</f>
        <v>2.1294055929844378</v>
      </c>
      <c r="CA16" s="7">
        <f t="array" ref="CA16">PRODUCT(1 + 預測IC!$C25:BZ25) -1</f>
        <v>1.5991529879345641</v>
      </c>
      <c r="CB16" s="7">
        <f t="array" ref="CB16">PRODUCT(1 + 預測IC!$C25:CA25) -1</f>
        <v>2.0582661725446476</v>
      </c>
      <c r="CC16" s="7">
        <f t="array" ref="CC16">PRODUCT(1 + 預測IC!$C25:CB25) -1</f>
        <v>2.5961418749134104</v>
      </c>
      <c r="CD16" s="7">
        <f t="array" ref="CD16">PRODUCT(1 + 預測IC!$C25:CC25) -1</f>
        <v>2.014936817396018</v>
      </c>
      <c r="CE16" s="7">
        <f t="array" ref="CE16">PRODUCT(1 + 預測IC!$C25:CD25) -1</f>
        <v>2.7773456668986793</v>
      </c>
      <c r="CF16" s="7">
        <f t="array" ref="CF16">PRODUCT(1 + 預測IC!$C25:CE25) -1</f>
        <v>2.3358552839984426</v>
      </c>
      <c r="CG16" s="7">
        <f t="array" ref="CG16">PRODUCT(1 + 預測IC!$C25:CF25) -1</f>
        <v>2.2852646702800388</v>
      </c>
      <c r="CH16" s="7">
        <f t="array" ref="CH16">PRODUCT(1 + 預測IC!$C25:CG25) -1</f>
        <v>2.5653094505983196</v>
      </c>
      <c r="CI16" s="7">
        <f t="array" ref="CI16">PRODUCT(1 + 預測IC!$C25:CH25) -1</f>
        <v>2.6147341874910932</v>
      </c>
      <c r="CJ16" s="7">
        <f t="array" ref="CJ16">PRODUCT(1 + 預測IC!$C25:CI25) -1</f>
        <v>1.1260421187113523</v>
      </c>
      <c r="CK16" s="7">
        <f t="array" ref="CK16">PRODUCT(1 + 預測IC!$C25:CJ25) -1</f>
        <v>1.3090132785407187</v>
      </c>
      <c r="CL16" s="7">
        <f t="array" ref="CL16">PRODUCT(1 + 預測IC!$C25:CK25) -1</f>
        <v>0.91318281791456735</v>
      </c>
      <c r="CM16" s="7">
        <f t="array" ref="CM16">PRODUCT(1 + 預測IC!$C25:CL25) -1</f>
        <v>0.79564627885506889</v>
      </c>
      <c r="CN16" s="7">
        <f t="array" ref="CN16">PRODUCT(1 + 預測IC!$C25:CM25) -1</f>
        <v>0.89202602961866484</v>
      </c>
      <c r="CO16" s="7">
        <f t="array" ref="CO16">PRODUCT(1 + 預測IC!$C25:CN25) -1</f>
        <v>0.74738374538885699</v>
      </c>
      <c r="CP16" s="7">
        <f t="array" ref="CP16">PRODUCT(1 + 預測IC!$C25:CO25) -1</f>
        <v>0.2707113909389034</v>
      </c>
      <c r="CQ16" s="7">
        <f t="array" ref="CQ16">PRODUCT(1 + 預測IC!$C25:CP25) -1</f>
        <v>7.7062844491396998E-2</v>
      </c>
      <c r="CR16" s="7">
        <f t="array" ref="CR16">PRODUCT(1 + 預測IC!$C25:CQ25) -1</f>
        <v>0.40295503979971437</v>
      </c>
      <c r="CS16" s="7">
        <f t="array" ref="CS16">PRODUCT(1 + 預測IC!$C25:CR25) -1</f>
        <v>0.14863465789352315</v>
      </c>
      <c r="CT16" s="7">
        <f t="array" ref="CT16">PRODUCT(1 + 預測IC!$C25:CS25) -1</f>
        <v>2.5038108548852023E-2</v>
      </c>
      <c r="CU16" s="7">
        <f t="array" ref="CU16">PRODUCT(1 + 預測IC!$C25:CT25) -1</f>
        <v>-6.211173109733259E-2</v>
      </c>
      <c r="CV16" s="7">
        <f t="array" ref="CV16">PRODUCT(1 + 預測IC!$C25:CU25) -1</f>
        <v>2.4623760154404817E-2</v>
      </c>
      <c r="CW16" s="7">
        <f t="array" ref="CW16">PRODUCT(1 + 預測IC!$C25:CV25) -1</f>
        <v>8.2924034046615303E-2</v>
      </c>
      <c r="CX16" s="7">
        <f t="array" ref="CX16">PRODUCT(1 + 預測IC!$C25:CW25) -1</f>
        <v>-6.8543993378227253E-2</v>
      </c>
      <c r="CY16" s="7">
        <f t="array" ref="CY16">PRODUCT(1 + 預測IC!$C25:CX25) -1</f>
        <v>0.12297197214007927</v>
      </c>
      <c r="CZ16" s="7">
        <f t="array" ref="CZ16">PRODUCT(1 + 預測IC!$C25:CY25) -1</f>
        <v>4.4641906566283529E-2</v>
      </c>
      <c r="DA16" s="7">
        <f t="array" ref="DA16">PRODUCT(1 + 預測IC!$C25:CZ25) -1</f>
        <v>0.40618940692359762</v>
      </c>
      <c r="DB16" s="7">
        <f t="array" ref="DB16">PRODUCT(1 + 預測IC!$C25:DA25) -1</f>
        <v>0.48185078995728192</v>
      </c>
      <c r="DC16" s="7">
        <f t="array" ref="DC16">PRODUCT(1 + 預測IC!$C25:DB25) -1</f>
        <v>0.33069080330149925</v>
      </c>
      <c r="DD16" s="7">
        <f t="array" ref="DD16">PRODUCT(1 + 預測IC!$C25:DC25) -1</f>
        <v>0.10133577526289206</v>
      </c>
      <c r="DE16" s="7">
        <f t="array" ref="DE16">PRODUCT(1 + 預測IC!$C25:DD25) -1</f>
        <v>0.20848317317843845</v>
      </c>
      <c r="DF16" s="7">
        <f t="array" ref="DF16">PRODUCT(1 + 預測IC!$C25:DE25) -1</f>
        <v>-8.0117017089665898E-2</v>
      </c>
      <c r="DG16" s="7">
        <f t="array" ref="DG16">PRODUCT(1 + 預測IC!$C25:DF25) -1</f>
        <v>-4.5096840265761551E-2</v>
      </c>
      <c r="DH16" s="7">
        <f t="array" ref="DH16">PRODUCT(1 + 預測IC!$C25:DG25) -1</f>
        <v>-0.13344976602314518</v>
      </c>
      <c r="DI16" s="7">
        <f t="array" ref="DI16">PRODUCT(1 + 預測IC!$C25:DH25) -1</f>
        <v>-0.18091023437012377</v>
      </c>
      <c r="DJ16" s="7">
        <f t="array" ref="DJ16">PRODUCT(1 + 預測IC!$C25:DI25) -1</f>
        <v>-0.34080057243221029</v>
      </c>
      <c r="DK16" s="7">
        <f t="array" ref="DK16">PRODUCT(1 + 預測IC!$C25:DJ25) -1</f>
        <v>-0.34872381612406289</v>
      </c>
      <c r="DL16" s="7">
        <f t="array" ref="DL16">PRODUCT(1 + 預測IC!$C25:DK25) -1</f>
        <v>-0.2919637783980914</v>
      </c>
      <c r="DM16" s="7">
        <f t="array" ref="DM16">PRODUCT(1 + 預測IC!$C25:DL25) -1</f>
        <v>-0.27033211762703857</v>
      </c>
      <c r="DN16" s="7">
        <f t="array" ref="DN16">PRODUCT(1 + 預測IC!$C25:DM25) -1</f>
        <v>-0.14734342111183896</v>
      </c>
      <c r="DO16" s="7">
        <f t="array" ref="DO16">PRODUCT(1 + 預測IC!$C25:DN25) -1</f>
        <v>-0.25114395613412954</v>
      </c>
      <c r="DP16" s="7">
        <f t="array" ref="DP16">PRODUCT(1 + 預測IC!$C25:DO25) -1</f>
        <v>-0.25095687715831816</v>
      </c>
      <c r="DQ16" s="7">
        <f t="array" ref="DQ16">PRODUCT(1 + 預測IC!$C25:DP25) -1</f>
        <v>-0.29077987361802027</v>
      </c>
      <c r="DR16" s="7">
        <f t="array" ref="DR16">PRODUCT(1 + 預測IC!$C25:DQ25) -1</f>
        <v>-0.33975267127100883</v>
      </c>
      <c r="DS16" s="7">
        <f t="array" ref="DS16">PRODUCT(1 + 預測IC!$C25:DR25) -1</f>
        <v>-0.29849044611076769</v>
      </c>
      <c r="DT16" s="7">
        <f t="array" ref="DT16">PRODUCT(1 + 預測IC!$C25:DS25) -1</f>
        <v>-0.46363322048914324</v>
      </c>
      <c r="DU16" s="7">
        <f t="array" ref="DU16">PRODUCT(1 + 預測IC!$C25:DT25) -1</f>
        <v>-0.58704465164361086</v>
      </c>
      <c r="DV16" s="7">
        <f t="array" ref="DV16">PRODUCT(1 + 預測IC!$C25:DU25) -1</f>
        <v>-0.61363244323365362</v>
      </c>
      <c r="DW16" s="7">
        <f t="array" ref="DW16">PRODUCT(1 + 預測IC!$C25:DV25) -1</f>
        <v>-0.66861371163569094</v>
      </c>
      <c r="DX16" s="7">
        <f t="array" ref="DX16">PRODUCT(1 + 預測IC!$C25:DW25) -1</f>
        <v>-0.68163431264818963</v>
      </c>
      <c r="DY16" s="7">
        <f t="array" ref="DY16">PRODUCT(1 + 預測IC!$C25:DX25) -1</f>
        <v>-0.64662402852203105</v>
      </c>
      <c r="DZ16" s="7">
        <f t="array" ref="DZ16">PRODUCT(1 + 預測IC!$C25:DY25) -1</f>
        <v>-0.67562620936328965</v>
      </c>
      <c r="EA16" s="7">
        <f t="array" ref="EA16">PRODUCT(1 + 預測IC!$C25:DZ25) -1</f>
        <v>-0.68838908417900324</v>
      </c>
      <c r="EB16" s="7">
        <f t="array" ref="EB16">PRODUCT(1 + 預測IC!$C25:EA25) -1</f>
        <v>-0.60785147608220669</v>
      </c>
      <c r="EC16" s="7">
        <f t="array" ref="EC16">PRODUCT(1 + 預測IC!$C25:EB25) -1</f>
        <v>-0.47183284562487127</v>
      </c>
      <c r="ED16" s="7">
        <f t="array" ref="ED16">PRODUCT(1 + 預測IC!$C25:EC25) -1</f>
        <v>-0.37406164735835679</v>
      </c>
      <c r="EE16" s="7">
        <f t="array" ref="EE16">PRODUCT(1 + 預測IC!$C25:ED25) -1</f>
        <v>-0.43516019956424012</v>
      </c>
      <c r="EF16" s="7">
        <f t="array" ref="EF16">PRODUCT(1 + 預測IC!$C25:EE25) -1</f>
        <v>-0.37879044282514196</v>
      </c>
      <c r="EG16" s="7">
        <f t="array" ref="EG16">PRODUCT(1 + 預測IC!$C25:EF25) -1</f>
        <v>-0.34164075430839191</v>
      </c>
    </row>
    <row r="17" spans="1:138" ht="16" customHeight="1">
      <c r="C17" s="6">
        <v>964</v>
      </c>
      <c r="D17" s="7">
        <f t="array" ref="D17">PRODUCT(1 + 預測IC!$C26:C26) -1</f>
        <v>0.90919897806039884</v>
      </c>
      <c r="E17" s="7">
        <f t="array" ref="E17">PRODUCT(1 + 預測IC!$C26:D26) -1</f>
        <v>1.6504358709121614</v>
      </c>
      <c r="F17" s="7">
        <f t="array" ref="F17">PRODUCT(1 + 預測IC!$C26:E26) -1</f>
        <v>1.9936007898441499</v>
      </c>
      <c r="G17" s="7">
        <f t="array" ref="G17">PRODUCT(1 + 預測IC!$C26:F26) -1</f>
        <v>1.5850968365634048</v>
      </c>
      <c r="H17" s="7">
        <f t="array" ref="H17">PRODUCT(1 + 預測IC!$C26:G26) -1</f>
        <v>2.805520377306725</v>
      </c>
      <c r="I17" s="7">
        <f t="array" ref="I17">PRODUCT(1 + 預測IC!$C26:H26) -1</f>
        <v>3.6011062391519006</v>
      </c>
      <c r="J17" s="7">
        <f t="array" ref="J17">PRODUCT(1 + 預測IC!$C26:I26) -1</f>
        <v>2.1014859465732516</v>
      </c>
      <c r="K17" s="7">
        <f t="array" ref="K17">PRODUCT(1 + 預測IC!$C26:J26) -1</f>
        <v>1.5102683453721091</v>
      </c>
      <c r="L17" s="7">
        <f t="array" ref="L17">PRODUCT(1 + 預測IC!$C26:K26) -1</f>
        <v>1.621553038786494</v>
      </c>
      <c r="M17" s="7">
        <f t="array" ref="M17">PRODUCT(1 + 預測IC!$C26:L26) -1</f>
        <v>2.2823125847359127</v>
      </c>
      <c r="N17" s="7">
        <f t="array" ref="N17">PRODUCT(1 + 預測IC!$C26:M26) -1</f>
        <v>2.747277054910267</v>
      </c>
      <c r="O17" s="7">
        <f t="array" ref="O17">PRODUCT(1 + 預測IC!$C26:N26) -1</f>
        <v>3.3972497569837108</v>
      </c>
      <c r="P17" s="7">
        <f t="array" ref="P17">PRODUCT(1 + 預測IC!$C26:O26) -1</f>
        <v>1.5911809912973673</v>
      </c>
      <c r="Q17" s="7">
        <f t="array" ref="Q17">PRODUCT(1 + 預測IC!$C26:P26) -1</f>
        <v>1.7708596862696462</v>
      </c>
      <c r="R17" s="7">
        <f t="array" ref="R17">PRODUCT(1 + 預測IC!$C26:Q26) -1</f>
        <v>3.4590620700773975</v>
      </c>
      <c r="S17" s="7">
        <f t="array" ref="S17">PRODUCT(1 + 預測IC!$C26:R26) -1</f>
        <v>2.157991839356181</v>
      </c>
      <c r="T17" s="7">
        <f t="array" ref="T17">PRODUCT(1 + 預測IC!$C26:S26) -1</f>
        <v>1.2297812377077806</v>
      </c>
      <c r="U17" s="7">
        <f t="array" ref="U17">PRODUCT(1 + 預測IC!$C26:T26) -1</f>
        <v>1.3162993325345616</v>
      </c>
      <c r="V17" s="7">
        <f t="array" ref="V17">PRODUCT(1 + 預測IC!$C26:U26) -1</f>
        <v>0.3359720494894809</v>
      </c>
      <c r="W17" s="7">
        <f t="array" ref="W17">PRODUCT(1 + 預測IC!$C26:V26) -1</f>
        <v>0.55470698607255042</v>
      </c>
      <c r="X17" s="7">
        <f t="array" ref="X17">PRODUCT(1 + 預測IC!$C26:W26) -1</f>
        <v>0.69028698972208336</v>
      </c>
      <c r="Y17" s="7">
        <f t="array" ref="Y17">PRODUCT(1 + 預測IC!$C26:X26) -1</f>
        <v>0.91277683352076644</v>
      </c>
      <c r="Z17" s="7">
        <f t="array" ref="Z17">PRODUCT(1 + 預測IC!$C26:Y26) -1</f>
        <v>0.67497572450449872</v>
      </c>
      <c r="AA17" s="7">
        <f t="array" ref="AA17">PRODUCT(1 + 預測IC!$C26:Z26) -1</f>
        <v>0.77070753741225584</v>
      </c>
      <c r="AB17" s="7">
        <f t="array" ref="AB17">PRODUCT(1 + 預測IC!$C26:AA26) -1</f>
        <v>0.82301362305437409</v>
      </c>
      <c r="AC17" s="7">
        <f t="array" ref="AC17">PRODUCT(1 + 預測IC!$C26:AB26) -1</f>
        <v>0.65467573000907242</v>
      </c>
      <c r="AD17" s="7">
        <f t="array" ref="AD17">PRODUCT(1 + 預測IC!$C26:AC26) -1</f>
        <v>1.3220064460909717</v>
      </c>
      <c r="AE17" s="7">
        <f t="array" ref="AE17">PRODUCT(1 + 預測IC!$C26:AD26) -1</f>
        <v>2.4809215801138378</v>
      </c>
      <c r="AF17" s="7">
        <f t="array" ref="AF17">PRODUCT(1 + 預測IC!$C26:AE26) -1</f>
        <v>3.1389708094154027</v>
      </c>
      <c r="AG17" s="7">
        <f t="array" ref="AG17">PRODUCT(1 + 預測IC!$C26:AF26) -1</f>
        <v>3.1404385569695386</v>
      </c>
      <c r="AH17" s="7">
        <f t="array" ref="AH17">PRODUCT(1 + 預測IC!$C26:AG26) -1</f>
        <v>4.4290141364574049</v>
      </c>
      <c r="AI17" s="7">
        <f t="array" ref="AI17">PRODUCT(1 + 預測IC!$C26:AH26) -1</f>
        <v>9.3310775548697507</v>
      </c>
      <c r="AJ17" s="7">
        <f t="array" ref="AJ17">PRODUCT(1 + 預測IC!$C26:AI26) -1</f>
        <v>10.331123287581281</v>
      </c>
      <c r="AK17" s="7">
        <f t="array" ref="AK17">PRODUCT(1 + 預測IC!$C26:AJ26) -1</f>
        <v>11.238701842092453</v>
      </c>
      <c r="AL17" s="7">
        <f t="array" ref="AL17">PRODUCT(1 + 預測IC!$C26:AK26) -1</f>
        <v>14.43034729191776</v>
      </c>
      <c r="AM17" s="7">
        <f t="array" ref="AM17">PRODUCT(1 + 預測IC!$C26:AL26) -1</f>
        <v>15.14098282884531</v>
      </c>
      <c r="AN17" s="7">
        <f t="array" ref="AN17">PRODUCT(1 + 預測IC!$C26:AM26) -1</f>
        <v>15.523555016810558</v>
      </c>
      <c r="AO17" s="7">
        <f t="array" ref="AO17">PRODUCT(1 + 預測IC!$C26:AN26) -1</f>
        <v>17.715775676859451</v>
      </c>
      <c r="AP17" s="7">
        <f t="array" ref="AP17">PRODUCT(1 + 預測IC!$C26:AO26) -1</f>
        <v>19.62833205338292</v>
      </c>
      <c r="AQ17" s="7">
        <f t="array" ref="AQ17">PRODUCT(1 + 預測IC!$C26:AP26) -1</f>
        <v>21.392785664533637</v>
      </c>
      <c r="AR17" s="7">
        <f t="array" ref="AR17">PRODUCT(1 + 預測IC!$C26:AQ26) -1</f>
        <v>19.16177782008311</v>
      </c>
      <c r="AS17" s="7">
        <f t="array" ref="AS17">PRODUCT(1 + 預測IC!$C26:AR26) -1</f>
        <v>10.65100188933309</v>
      </c>
      <c r="AT17" s="7">
        <f t="array" ref="AT17">PRODUCT(1 + 預測IC!$C26:AS26) -1</f>
        <v>6.7328029522491137</v>
      </c>
      <c r="AU17" s="7">
        <f t="array" ref="AU17">PRODUCT(1 + 預測IC!$C26:AT26) -1</f>
        <v>9.287948705016813</v>
      </c>
      <c r="AV17" s="7">
        <f t="array" ref="AV17">PRODUCT(1 + 預測IC!$C26:AU26) -1</f>
        <v>10.348340802114517</v>
      </c>
      <c r="AW17" s="7">
        <f t="array" ref="AW17">PRODUCT(1 + 預測IC!$C26:AV26) -1</f>
        <v>14.696192309991833</v>
      </c>
      <c r="AX17" s="7">
        <f t="array" ref="AX17">PRODUCT(1 + 預測IC!$C26:AW26) -1</f>
        <v>12.707563657292074</v>
      </c>
      <c r="AY17" s="7">
        <f t="array" ref="AY17">PRODUCT(1 + 預測IC!$C26:AX26) -1</f>
        <v>13.71522722674697</v>
      </c>
      <c r="AZ17" s="7">
        <f t="array" ref="AZ17">PRODUCT(1 + 預測IC!$C26:AY26) -1</f>
        <v>3.2554295230803181</v>
      </c>
      <c r="BA17" s="7">
        <f t="array" ref="BA17">PRODUCT(1 + 預測IC!$C26:AZ26) -1</f>
        <v>2.4409622150600776</v>
      </c>
      <c r="BB17" s="7">
        <f t="array" ref="BB17">PRODUCT(1 + 預測IC!$C26:BA26) -1</f>
        <v>2.1521252997024578</v>
      </c>
      <c r="BC17" s="7">
        <f t="array" ref="BC17">PRODUCT(1 + 預測IC!$C26:BB26) -1</f>
        <v>6.671445361967776E-2</v>
      </c>
      <c r="BD17" s="7">
        <f t="array" ref="BD17">PRODUCT(1 + 預測IC!$C26:BC26) -1</f>
        <v>-0.14278936574393286</v>
      </c>
      <c r="BE17" s="7">
        <f t="array" ref="BE17">PRODUCT(1 + 預測IC!$C26:BD26) -1</f>
        <v>-0.1107886984863572</v>
      </c>
      <c r="BF17" s="7">
        <f t="array" ref="BF17">PRODUCT(1 + 預測IC!$C26:BE26) -1</f>
        <v>-0.19118857585371984</v>
      </c>
      <c r="BG17" s="7">
        <f t="array" ref="BG17">PRODUCT(1 + 預測IC!$C26:BF26) -1</f>
        <v>-0.18210542777715788</v>
      </c>
      <c r="BH17" s="7">
        <f t="array" ref="BH17">PRODUCT(1 + 預測IC!$C26:BG26) -1</f>
        <v>-0.29649113943750349</v>
      </c>
      <c r="BI17" s="7">
        <f t="array" ref="BI17">PRODUCT(1 + 預測IC!$C26:BH26) -1</f>
        <v>-0.3194173612893042</v>
      </c>
      <c r="BJ17" s="7">
        <f t="array" ref="BJ17">PRODUCT(1 + 預測IC!$C26:BI26) -1</f>
        <v>-0.35880004334352611</v>
      </c>
      <c r="BK17" s="7">
        <f t="array" ref="BK17">PRODUCT(1 + 預測IC!$C26:BJ26) -1</f>
        <v>-0.1103649284693824</v>
      </c>
      <c r="BL17" s="7">
        <f t="array" ref="BL17">PRODUCT(1 + 預測IC!$C26:BK26) -1</f>
        <v>-0.10145102796832917</v>
      </c>
      <c r="BM17" s="7">
        <f t="array" ref="BM17">PRODUCT(1 + 預測IC!$C26:BL26) -1</f>
        <v>-6.0884938071406713E-2</v>
      </c>
      <c r="BN17" s="7">
        <f t="array" ref="BN17">PRODUCT(1 + 預測IC!$C26:BM26) -1</f>
        <v>1.8088805005086694E-2</v>
      </c>
      <c r="BO17" s="7">
        <f t="array" ref="BO17">PRODUCT(1 + 預測IC!$C26:BN26) -1</f>
        <v>0.20656592974620169</v>
      </c>
      <c r="BP17" s="7">
        <f t="array" ref="BP17">PRODUCT(1 + 預測IC!$C26:BO26) -1</f>
        <v>0.17438893141081224</v>
      </c>
      <c r="BQ17" s="7">
        <f t="array" ref="BQ17">PRODUCT(1 + 預測IC!$C26:BP26) -1</f>
        <v>-0.80786292325126074</v>
      </c>
      <c r="BR17" s="7">
        <f t="array" ref="BR17">PRODUCT(1 + 預測IC!$C26:BQ26) -1</f>
        <v>-0.83417438440331737</v>
      </c>
      <c r="BS17" s="7">
        <f t="array" ref="BS17">PRODUCT(1 + 預測IC!$C26:BR26) -1</f>
        <v>-0.89747249857464617</v>
      </c>
      <c r="BT17" s="7">
        <f t="array" ref="BT17">PRODUCT(1 + 預測IC!$C26:BS26) -1</f>
        <v>-0.90994199957078847</v>
      </c>
      <c r="BU17" s="7">
        <f t="array" ref="BU17">PRODUCT(1 + 預測IC!$C26:BT26) -1</f>
        <v>-0.91496716901934705</v>
      </c>
      <c r="BV17" s="7">
        <f t="array" ref="BV17">PRODUCT(1 + 預測IC!$C26:BU26) -1</f>
        <v>-0.91927728664167496</v>
      </c>
      <c r="BW17" s="7">
        <f t="array" ref="BW17">PRODUCT(1 + 預測IC!$C26:BV26) -1</f>
        <v>-0.92528531273856673</v>
      </c>
      <c r="BX17" s="7">
        <f t="array" ref="BX17">PRODUCT(1 + 預測IC!$C26:BW26) -1</f>
        <v>-0.92100357395552723</v>
      </c>
      <c r="BY17" s="7">
        <f t="array" ref="BY17">PRODUCT(1 + 預測IC!$C26:BX26) -1</f>
        <v>-0.91574204514132362</v>
      </c>
      <c r="BZ17" s="7">
        <f t="array" ref="BZ17">PRODUCT(1 + 預測IC!$C26:BY26) -1</f>
        <v>-0.90247996251265905</v>
      </c>
      <c r="CA17" s="7">
        <f t="array" ref="CA17">PRODUCT(1 + 預測IC!$C26:BZ26) -1</f>
        <v>-0.94260959567740499</v>
      </c>
      <c r="CB17" s="7">
        <f t="array" ref="CB17">PRODUCT(1 + 預測IC!$C26:CA26) -1</f>
        <v>-0.93953768286041928</v>
      </c>
      <c r="CC17" s="7">
        <f t="array" ref="CC17">PRODUCT(1 + 預測IC!$C26:CB26) -1</f>
        <v>-0.91916617593320216</v>
      </c>
      <c r="CD17" s="7">
        <f t="array" ref="CD17">PRODUCT(1 + 預測IC!$C26:CC26) -1</f>
        <v>-0.93700567415199498</v>
      </c>
      <c r="CE17" s="7">
        <f t="array" ref="CE17">PRODUCT(1 + 預測IC!$C26:CD26) -1</f>
        <v>-0.9023214401466052</v>
      </c>
      <c r="CF17" s="7">
        <f t="array" ref="CF17">PRODUCT(1 + 預測IC!$C26:CE26) -1</f>
        <v>-0.88477128435198227</v>
      </c>
      <c r="CG17" s="7">
        <f t="array" ref="CG17">PRODUCT(1 + 預測IC!$C26:CF26) -1</f>
        <v>-0.88707968094101797</v>
      </c>
      <c r="CH17" s="7">
        <f t="array" ref="CH17">PRODUCT(1 + 預測IC!$C26:CG26) -1</f>
        <v>-0.87629731138375955</v>
      </c>
      <c r="CI17" s="7">
        <f t="array" ref="CI17">PRODUCT(1 + 預測IC!$C26:CH26) -1</f>
        <v>-0.93516931927616687</v>
      </c>
      <c r="CJ17" s="7">
        <f t="array" ref="CJ17">PRODUCT(1 + 預測IC!$C26:CI26) -1</f>
        <v>-0.93049562511049677</v>
      </c>
      <c r="CK17" s="7">
        <f t="array" ref="CK17">PRODUCT(1 + 預測IC!$C26:CJ26) -1</f>
        <v>-0.90931607472593012</v>
      </c>
      <c r="CL17" s="7">
        <f t="array" ref="CL17">PRODUCT(1 + 預測IC!$C26:CK26) -1</f>
        <v>-0.91433233415647286</v>
      </c>
      <c r="CM17" s="7">
        <f t="array" ref="CM17">PRODUCT(1 + 預測IC!$C26:CL26) -1</f>
        <v>-0.91752339311955877</v>
      </c>
      <c r="CN17" s="7">
        <f t="array" ref="CN17">PRODUCT(1 + 預測IC!$C26:CM26) -1</f>
        <v>-0.90083852565875455</v>
      </c>
      <c r="CO17" s="7">
        <f t="array" ref="CO17">PRODUCT(1 + 預測IC!$C26:CN26) -1</f>
        <v>-0.89440063657886359</v>
      </c>
      <c r="CP17" s="7">
        <f t="array" ref="CP17">PRODUCT(1 + 預測IC!$C26:CO26) -1</f>
        <v>-0.92130540009924844</v>
      </c>
      <c r="CQ17" s="7">
        <f t="array" ref="CQ17">PRODUCT(1 + 預測IC!$C26:CP26) -1</f>
        <v>-0.91641419757017806</v>
      </c>
      <c r="CR17" s="7">
        <f t="array" ref="CR17">PRODUCT(1 + 預測IC!$C26:CQ26) -1</f>
        <v>-0.86277095003361159</v>
      </c>
      <c r="CS17" s="7">
        <f t="array" ref="CS17">PRODUCT(1 + 預測IC!$C26:CR26) -1</f>
        <v>-0.91134937643687763</v>
      </c>
      <c r="CT17" s="7">
        <f t="array" ref="CT17">PRODUCT(1 + 預測IC!$C26:CS26) -1</f>
        <v>-0.91652346842357757</v>
      </c>
      <c r="CU17" s="7">
        <f t="array" ref="CU17">PRODUCT(1 + 預測IC!$C26:CT26) -1</f>
        <v>-0.92709191423944115</v>
      </c>
      <c r="CV17" s="7">
        <f t="array" ref="CV17">PRODUCT(1 + 預測IC!$C26:CU26) -1</f>
        <v>-0.92240949376661185</v>
      </c>
      <c r="CW17" s="7">
        <f t="array" ref="CW17">PRODUCT(1 + 預測IC!$C26:CV26) -1</f>
        <v>-0.91408061771987892</v>
      </c>
      <c r="CX17" s="7">
        <f t="array" ref="CX17">PRODUCT(1 + 預測IC!$C26:CW26) -1</f>
        <v>-0.9336147040646755</v>
      </c>
      <c r="CY17" s="7">
        <f t="array" ref="CY17">PRODUCT(1 + 預測IC!$C26:CX26) -1</f>
        <v>-0.92166895081654776</v>
      </c>
      <c r="CZ17" s="7">
        <f t="array" ref="CZ17">PRODUCT(1 + 預測IC!$C26:CY26) -1</f>
        <v>-0.92131032083523468</v>
      </c>
      <c r="DA17" s="7">
        <f t="array" ref="DA17">PRODUCT(1 + 預測IC!$C26:CZ26) -1</f>
        <v>-0.88867969413592096</v>
      </c>
      <c r="DB17" s="7">
        <f t="array" ref="DB17">PRODUCT(1 + 預測IC!$C26:DA26) -1</f>
        <v>-0.92067624985921248</v>
      </c>
      <c r="DC17" s="7">
        <f t="array" ref="DC17">PRODUCT(1 + 預測IC!$C26:DB26) -1</f>
        <v>-0.93285516970476245</v>
      </c>
      <c r="DD17" s="7">
        <f t="array" ref="DD17">PRODUCT(1 + 預測IC!$C26:DC26) -1</f>
        <v>-0.9416851559700079</v>
      </c>
      <c r="DE17" s="7">
        <f t="array" ref="DE17">PRODUCT(1 + 預測IC!$C26:DD26) -1</f>
        <v>-0.93207030737014374</v>
      </c>
      <c r="DF17" s="7">
        <f t="array" ref="DF17">PRODUCT(1 + 預測IC!$C26:DE26) -1</f>
        <v>-0.94847703964151198</v>
      </c>
      <c r="DG17" s="7">
        <f t="array" ref="DG17">PRODUCT(1 + 預測IC!$C26:DF26) -1</f>
        <v>-0.94911508457085048</v>
      </c>
      <c r="DH17" s="7">
        <f t="array" ref="DH17">PRODUCT(1 + 預測IC!$C26:DG26) -1</f>
        <v>-0.95505148887825808</v>
      </c>
      <c r="DI17" s="7">
        <f t="array" ref="DI17">PRODUCT(1 + 預測IC!$C26:DH26) -1</f>
        <v>-0.95047514883825157</v>
      </c>
      <c r="DJ17" s="7">
        <f t="array" ref="DJ17">PRODUCT(1 + 預測IC!$C26:DI26) -1</f>
        <v>-0.95628343226480683</v>
      </c>
      <c r="DK17" s="7">
        <f t="array" ref="DK17">PRODUCT(1 + 預測IC!$C26:DJ26) -1</f>
        <v>-0.95365796160090555</v>
      </c>
      <c r="DL17" s="7">
        <f t="array" ref="DL17">PRODUCT(1 + 預測IC!$C26:DK26) -1</f>
        <v>-0.95235057541591139</v>
      </c>
      <c r="DM17" s="7">
        <f t="array" ref="DM17">PRODUCT(1 + 預測IC!$C26:DL26) -1</f>
        <v>-0.96095186694522339</v>
      </c>
      <c r="DN17" s="7">
        <f t="array" ref="DN17">PRODUCT(1 + 預測IC!$C26:DM26) -1</f>
        <v>-0.96476091696305577</v>
      </c>
      <c r="DO17" s="7">
        <f t="array" ref="DO17">PRODUCT(1 + 預測IC!$C26:DN26) -1</f>
        <v>-0.9629658300981172</v>
      </c>
      <c r="DP17" s="7">
        <f t="array" ref="DP17">PRODUCT(1 + 預測IC!$C26:DO26) -1</f>
        <v>-0.96670068745515081</v>
      </c>
      <c r="DQ17" s="7">
        <f t="array" ref="DQ17">PRODUCT(1 + 預測IC!$C26:DP26) -1</f>
        <v>-0.96342083289965652</v>
      </c>
      <c r="DR17" s="7">
        <f t="array" ref="DR17">PRODUCT(1 + 預測IC!$C26:DQ26) -1</f>
        <v>-0.96556712567756342</v>
      </c>
      <c r="DS17" s="7">
        <f t="array" ref="DS17">PRODUCT(1 + 預測IC!$C26:DR26) -1</f>
        <v>-0.96481312809222675</v>
      </c>
      <c r="DT17" s="7">
        <f t="array" ref="DT17">PRODUCT(1 + 預測IC!$C26:DS26) -1</f>
        <v>-0.97429178013409667</v>
      </c>
      <c r="DU17" s="7">
        <f t="array" ref="DU17">PRODUCT(1 + 預測IC!$C26:DT26) -1</f>
        <v>-0.98514279834131657</v>
      </c>
      <c r="DV17" s="7">
        <f t="array" ref="DV17">PRODUCT(1 + 預測IC!$C26:DU26) -1</f>
        <v>-0.98625897536136919</v>
      </c>
      <c r="DW17" s="7">
        <f t="array" ref="DW17">PRODUCT(1 + 預測IC!$C26:DV26) -1</f>
        <v>-0.98912178492353253</v>
      </c>
      <c r="DX17" s="7">
        <f t="array" ref="DX17">PRODUCT(1 + 預測IC!$C26:DW26) -1</f>
        <v>-0.98928035979513362</v>
      </c>
      <c r="DY17" s="7">
        <f t="array" ref="DY17">PRODUCT(1 + 預測IC!$C26:DX26) -1</f>
        <v>-0.98469705936053742</v>
      </c>
      <c r="DZ17" s="7">
        <f t="array" ref="DZ17">PRODUCT(1 + 預測IC!$C26:DY26) -1</f>
        <v>-0.98626550368162991</v>
      </c>
      <c r="EA17" s="7">
        <f t="array" ref="EA17">PRODUCT(1 + 預測IC!$C26:DZ26) -1</f>
        <v>-0.98569587921517876</v>
      </c>
      <c r="EB17" s="7">
        <f t="array" ref="EB17">PRODUCT(1 + 預測IC!$C26:EA26) -1</f>
        <v>-0.97713260276005831</v>
      </c>
      <c r="EC17" s="7">
        <f t="array" ref="EC17">PRODUCT(1 + 預測IC!$C26:EB26) -1</f>
        <v>-0.97230357416165525</v>
      </c>
      <c r="ED17" s="7">
        <f t="array" ref="ED17">PRODUCT(1 + 預測IC!$C26:EC26) -1</f>
        <v>-0.95791527597459292</v>
      </c>
      <c r="EE17" s="7">
        <f t="array" ref="EE17">PRODUCT(1 + 預測IC!$C26:ED26) -1</f>
        <v>-0.96223102013986139</v>
      </c>
      <c r="EF17" s="7">
        <f t="array" ref="EF17">PRODUCT(1 + 預測IC!$C26:EE26) -1</f>
        <v>-0.95814695108787407</v>
      </c>
      <c r="EG17" s="7">
        <f t="array" ref="EG17">PRODUCT(1 + 預測IC!$C26:EF26) -1</f>
        <v>-0.95411919748414975</v>
      </c>
    </row>
    <row r="18" spans="1:138" ht="16" customHeight="1">
      <c r="C18" s="29" t="s">
        <v>147</v>
      </c>
      <c r="D18" s="37">
        <f t="array" ref="D18">PRODUCT(1 + 預測IC!$C27:C27) -1</f>
        <v>-1.7446770539390366E-2</v>
      </c>
      <c r="E18" s="37">
        <f t="array" ref="E18">PRODUCT(1 + 預測IC!$C27:D27) -1</f>
        <v>2.893123339404724E-3</v>
      </c>
      <c r="F18" s="37">
        <f t="array" ref="F18">PRODUCT(1 + 預測IC!$C27:E27) -1</f>
        <v>2.6944635852046872E-2</v>
      </c>
      <c r="G18" s="37">
        <f t="array" ref="G18">PRODUCT(1 + 預測IC!$C27:F27) -1</f>
        <v>2.0210365301730038E-2</v>
      </c>
      <c r="H18" s="37">
        <f t="array" ref="H18">PRODUCT(1 + 預測IC!$C27:G27) -1</f>
        <v>5.269909680859941E-2</v>
      </c>
      <c r="I18" s="37">
        <f t="array" ref="I18">PRODUCT(1 + 預測IC!$C27:H27) -1</f>
        <v>8.8857766197530053E-2</v>
      </c>
      <c r="J18" s="37">
        <f t="array" ref="J18">PRODUCT(1 + 預測IC!$C27:I27) -1</f>
        <v>7.9869318529145472E-2</v>
      </c>
      <c r="K18" s="37">
        <f t="array" ref="K18">PRODUCT(1 + 預測IC!$C27:J27) -1</f>
        <v>9.3738646464063713E-2</v>
      </c>
      <c r="L18" s="37">
        <f t="array" ref="L18">PRODUCT(1 + 預測IC!$C27:K27) -1</f>
        <v>3.7937714394164157E-2</v>
      </c>
      <c r="M18" s="37">
        <f t="array" ref="M18">PRODUCT(1 + 預測IC!$C27:L27) -1</f>
        <v>3.8844812525307137E-2</v>
      </c>
      <c r="N18" s="37">
        <f t="array" ref="N18">PRODUCT(1 + 預測IC!$C27:M27) -1</f>
        <v>6.3142951706360639E-2</v>
      </c>
      <c r="O18" s="37">
        <f t="array" ref="O18">PRODUCT(1 + 預測IC!$C27:N27) -1</f>
        <v>7.6952085951054405E-2</v>
      </c>
      <c r="P18" s="37">
        <f t="array" ref="P18">PRODUCT(1 + 預測IC!$C27:O27) -1</f>
        <v>8.3257197491512391E-2</v>
      </c>
      <c r="Q18" s="37">
        <f t="array" ref="Q18">PRODUCT(1 + 預測IC!$C27:P27) -1</f>
        <v>0.11295275081672607</v>
      </c>
      <c r="R18" s="37">
        <f t="array" ref="R18">PRODUCT(1 + 預測IC!$C27:Q27) -1</f>
        <v>0.10882042835093308</v>
      </c>
      <c r="S18" s="37">
        <f t="array" ref="S18">PRODUCT(1 + 預測IC!$C27:R27) -1</f>
        <v>0.13551706985268064</v>
      </c>
      <c r="T18" s="37">
        <f t="array" ref="T18">PRODUCT(1 + 預測IC!$C27:S27) -1</f>
        <v>0.12167508804368476</v>
      </c>
      <c r="U18" s="37">
        <f t="array" ref="U18">PRODUCT(1 + 預測IC!$C27:T27) -1</f>
        <v>7.7088976461827885E-2</v>
      </c>
      <c r="V18" s="37">
        <f t="array" ref="V18">PRODUCT(1 + 預測IC!$C27:U27) -1</f>
        <v>-1.7059521199481731E-3</v>
      </c>
      <c r="W18" s="37">
        <f t="array" ref="W18">PRODUCT(1 + 預測IC!$C27:V27) -1</f>
        <v>-5.9866792867339091E-2</v>
      </c>
      <c r="X18" s="37">
        <f t="array" ref="X18">PRODUCT(1 + 預測IC!$C27:W27) -1</f>
        <v>-5.9140260213613516E-2</v>
      </c>
      <c r="Y18" s="37">
        <f t="array" ref="Y18">PRODUCT(1 + 預測IC!$C27:X27) -1</f>
        <v>-1.7185893241652206E-2</v>
      </c>
      <c r="Z18" s="37">
        <f t="array" ref="Z18">PRODUCT(1 + 預測IC!$C27:Y27) -1</f>
        <v>-4.4409529547694393E-2</v>
      </c>
      <c r="AA18" s="37">
        <f t="array" ref="AA18">PRODUCT(1 + 預測IC!$C27:Z27) -1</f>
        <v>-4.2407561826578566E-2</v>
      </c>
      <c r="AB18" s="37">
        <f t="array" ref="AB18">PRODUCT(1 + 預測IC!$C27:AA27) -1</f>
        <v>-6.481575250614946E-2</v>
      </c>
      <c r="AC18" s="37">
        <f t="array" ref="AC18">PRODUCT(1 + 預測IC!$C27:AB27) -1</f>
        <v>-3.4768870774049443E-2</v>
      </c>
      <c r="AD18" s="37">
        <f t="array" ref="AD18">PRODUCT(1 + 預測IC!$C27:AC27) -1</f>
        <v>2.7817794451217015E-3</v>
      </c>
      <c r="AE18" s="37">
        <f t="array" ref="AE18">PRODUCT(1 + 預測IC!$C27:AD27) -1</f>
        <v>-4.0202844765013457E-2</v>
      </c>
      <c r="AF18" s="37">
        <f t="array" ref="AF18">PRODUCT(1 + 預測IC!$C27:AE27) -1</f>
        <v>-2.2305320482664204E-2</v>
      </c>
      <c r="AG18" s="37">
        <f t="array" ref="AG18">PRODUCT(1 + 預測IC!$C27:AF27) -1</f>
        <v>-7.4152570234460313E-3</v>
      </c>
      <c r="AH18" s="37">
        <f t="array" ref="AH18">PRODUCT(1 + 預測IC!$C27:AG27) -1</f>
        <v>2.8334274381314417E-2</v>
      </c>
      <c r="AI18" s="37">
        <f t="array" ref="AI18">PRODUCT(1 + 預測IC!$C27:AH27) -1</f>
        <v>3.7953941892352683E-2</v>
      </c>
      <c r="AJ18" s="37">
        <f t="array" ref="AJ18">PRODUCT(1 + 預測IC!$C27:AI27) -1</f>
        <v>4.9110131735873752E-2</v>
      </c>
      <c r="AK18" s="37">
        <f t="array" ref="AK18">PRODUCT(1 + 預測IC!$C27:AJ27) -1</f>
        <v>6.3123886850196875E-2</v>
      </c>
      <c r="AL18" s="37">
        <f t="array" ref="AL18">PRODUCT(1 + 預測IC!$C27:AK27) -1</f>
        <v>5.7454515782098925E-2</v>
      </c>
      <c r="AM18" s="37">
        <f t="array" ref="AM18">PRODUCT(1 + 預測IC!$C27:AL27) -1</f>
        <v>5.8917118987427575E-2</v>
      </c>
      <c r="AN18" s="37">
        <f t="array" ref="AN18">PRODUCT(1 + 預測IC!$C27:AM27) -1</f>
        <v>8.0938283596681648E-2</v>
      </c>
      <c r="AO18" s="37">
        <f t="array" ref="AO18">PRODUCT(1 + 預測IC!$C27:AN27) -1</f>
        <v>0.11500697453770203</v>
      </c>
      <c r="AP18" s="37">
        <f t="array" ref="AP18">PRODUCT(1 + 預測IC!$C27:AO27) -1</f>
        <v>0.12196653200545171</v>
      </c>
      <c r="AQ18" s="37">
        <f t="array" ref="AQ18">PRODUCT(1 + 預測IC!$C27:AP27) -1</f>
        <v>0.12886130991117528</v>
      </c>
      <c r="AR18" s="37">
        <f t="array" ref="AR18">PRODUCT(1 + 預測IC!$C27:AQ27) -1</f>
        <v>0.14799139743631429</v>
      </c>
      <c r="AS18" s="37">
        <f t="array" ref="AS18">PRODUCT(1 + 預測IC!$C27:AR27) -1</f>
        <v>0.18780698843660248</v>
      </c>
      <c r="AT18" s="37">
        <f t="array" ref="AT18">PRODUCT(1 + 預測IC!$C27:AS27) -1</f>
        <v>0.19148751365039929</v>
      </c>
      <c r="AU18" s="37">
        <f t="array" ref="AU18">PRODUCT(1 + 預測IC!$C27:AT27) -1</f>
        <v>0.20945675046088996</v>
      </c>
      <c r="AV18" s="37">
        <f t="array" ref="AV18">PRODUCT(1 + 預測IC!$C27:AU27) -1</f>
        <v>0.18617324550329584</v>
      </c>
      <c r="AW18" s="37">
        <f t="array" ref="AW18">PRODUCT(1 + 預測IC!$C27:AV27) -1</f>
        <v>0.23209180697664689</v>
      </c>
      <c r="AX18" s="37">
        <f t="array" ref="AX18">PRODUCT(1 + 預測IC!$C27:AW27) -1</f>
        <v>0.20516203655681697</v>
      </c>
      <c r="AY18" s="37">
        <f t="array" ref="AY18">PRODUCT(1 + 預測IC!$C27:AX27) -1</f>
        <v>0.21453132863303215</v>
      </c>
      <c r="AZ18" s="37">
        <f t="array" ref="AZ18">PRODUCT(1 + 預測IC!$C27:AY27) -1</f>
        <v>0.2660241129922889</v>
      </c>
      <c r="BA18" s="37">
        <f t="array" ref="BA18">PRODUCT(1 + 預測IC!$C27:AZ27) -1</f>
        <v>0.23271631642995261</v>
      </c>
      <c r="BB18" s="37">
        <f t="array" ref="BB18">PRODUCT(1 + 預測IC!$C27:BA27) -1</f>
        <v>0.24451556797958407</v>
      </c>
      <c r="BC18" s="37">
        <f t="array" ref="BC18">PRODUCT(1 + 預測IC!$C27:BB27) -1</f>
        <v>0.21433638745422812</v>
      </c>
      <c r="BD18" s="37">
        <f t="array" ref="BD18">PRODUCT(1 + 預測IC!$C27:BC27) -1</f>
        <v>0.23882150637103883</v>
      </c>
      <c r="BE18" s="37">
        <f t="array" ref="BE18">PRODUCT(1 + 預測IC!$C27:BD27) -1</f>
        <v>0.23447943849994912</v>
      </c>
      <c r="BF18" s="37">
        <f t="array" ref="BF18">PRODUCT(1 + 預測IC!$C27:BE27) -1</f>
        <v>0.25935658802508499</v>
      </c>
      <c r="BG18" s="37">
        <f t="array" ref="BG18">PRODUCT(1 + 預測IC!$C27:BF27) -1</f>
        <v>0.26008869763716325</v>
      </c>
      <c r="BH18" s="37">
        <f t="array" ref="BH18">PRODUCT(1 + 預測IC!$C27:BG27) -1</f>
        <v>0.2535114114609236</v>
      </c>
      <c r="BI18" s="37">
        <f t="array" ref="BI18">PRODUCT(1 + 預測IC!$C27:BH27) -1</f>
        <v>0.10826483627727623</v>
      </c>
      <c r="BJ18" s="37">
        <f t="array" ref="BJ18">PRODUCT(1 + 預測IC!$C27:BI27) -1</f>
        <v>0.11793469710078752</v>
      </c>
      <c r="BK18" s="37">
        <f t="array" ref="BK18">PRODUCT(1 + 預測IC!$C27:BJ27) -1</f>
        <v>9.9625988810205346E-2</v>
      </c>
      <c r="BL18" s="37">
        <f t="array" ref="BL18">PRODUCT(1 + 預測IC!$C27:BK27) -1</f>
        <v>0.12254260303831388</v>
      </c>
      <c r="BM18" s="37">
        <f t="array" ref="BM18">PRODUCT(1 + 預測IC!$C27:BL27) -1</f>
        <v>0.17302993558173996</v>
      </c>
      <c r="BN18" s="37">
        <f t="array" ref="BN18">PRODUCT(1 + 預測IC!$C27:BM27) -1</f>
        <v>0.20112905370185397</v>
      </c>
      <c r="BO18" s="37">
        <f t="array" ref="BO18">PRODUCT(1 + 預測IC!$C27:BN27) -1</f>
        <v>0.23745011694095197</v>
      </c>
      <c r="BP18" s="37">
        <f t="array" ref="BP18">PRODUCT(1 + 預測IC!$C27:BO27) -1</f>
        <v>0.18334151222801376</v>
      </c>
      <c r="BQ18" s="37">
        <f t="array" ref="BQ18">PRODUCT(1 + 預測IC!$C27:BP27) -1</f>
        <v>0.20924423024871497</v>
      </c>
      <c r="BR18" s="37">
        <f t="array" ref="BR18">PRODUCT(1 + 預測IC!$C27:BQ27) -1</f>
        <v>0.21967690051673561</v>
      </c>
      <c r="BS18" s="37">
        <f t="array" ref="BS18">PRODUCT(1 + 預測IC!$C27:BR27) -1</f>
        <v>0.1962676978767699</v>
      </c>
      <c r="BT18" s="37">
        <f t="array" ref="BT18">PRODUCT(1 + 預測IC!$C27:BS27) -1</f>
        <v>0.21987619627534571</v>
      </c>
      <c r="BU18" s="37">
        <f t="array" ref="BU18">PRODUCT(1 + 預測IC!$C27:BT27) -1</f>
        <v>0.27805738326883356</v>
      </c>
      <c r="BV18" s="37">
        <f t="array" ref="BV18">PRODUCT(1 + 預測IC!$C27:BU27) -1</f>
        <v>0.29269729646247922</v>
      </c>
      <c r="BW18" s="37">
        <f t="array" ref="BW18">PRODUCT(1 + 預測IC!$C27:BV27) -1</f>
        <v>0.34857881761669129</v>
      </c>
      <c r="BX18" s="37">
        <f t="array" ref="BX18">PRODUCT(1 + 預測IC!$C27:BW27) -1</f>
        <v>0.2909305384219143</v>
      </c>
      <c r="BY18" s="37">
        <f t="array" ref="BY18">PRODUCT(1 + 預測IC!$C27:BX27) -1</f>
        <v>0.26793739709811137</v>
      </c>
      <c r="BZ18" s="37">
        <f t="array" ref="BZ18">PRODUCT(1 + 預測IC!$C27:BY27) -1</f>
        <v>7.628473289061688E-2</v>
      </c>
      <c r="CA18" s="37">
        <f t="array" ref="CA18">PRODUCT(1 + 預測IC!$C27:BZ27) -1</f>
        <v>0.20998513144491437</v>
      </c>
      <c r="CB18" s="37">
        <f t="array" ref="CB18">PRODUCT(1 + 預測IC!$C27:CA27) -1</f>
        <v>0.20447092205281336</v>
      </c>
      <c r="CC18" s="37">
        <f t="array" ref="CC18">PRODUCT(1 + 預測IC!$C27:CB27) -1</f>
        <v>0.27699361006036605</v>
      </c>
      <c r="CD18" s="37">
        <f t="array" ref="CD18">PRODUCT(1 + 預測IC!$C27:CC27) -1</f>
        <v>0.38680488733361829</v>
      </c>
      <c r="CE18" s="37">
        <f t="array" ref="CE18">PRODUCT(1 + 預測IC!$C27:CD27) -1</f>
        <v>0.37874965946081551</v>
      </c>
      <c r="CF18" s="37">
        <f t="array" ref="CF18">PRODUCT(1 + 預測IC!$C27:CE27) -1</f>
        <v>0.37042015435709108</v>
      </c>
      <c r="CG18" s="37">
        <f t="array" ref="CG18">PRODUCT(1 + 預測IC!$C27:CF27) -1</f>
        <v>0.37378086910184649</v>
      </c>
      <c r="CH18" s="37">
        <f t="array" ref="CH18">PRODUCT(1 + 預測IC!$C27:CG27) -1</f>
        <v>0.49692143719092186</v>
      </c>
      <c r="CI18" s="37">
        <f t="array" ref="CI18">PRODUCT(1 + 預測IC!$C27:CH27) -1</f>
        <v>0.603191980394987</v>
      </c>
      <c r="CJ18" s="37">
        <f t="array" ref="CJ18">PRODUCT(1 + 預測IC!$C27:CI27) -1</f>
        <v>0.64675173719730239</v>
      </c>
      <c r="CK18" s="37">
        <f t="array" ref="CK18">PRODUCT(1 + 預測IC!$C27:CJ27) -1</f>
        <v>0.73315421285472704</v>
      </c>
      <c r="CL18" s="37">
        <f t="array" ref="CL18">PRODUCT(1 + 預測IC!$C27:CK27) -1</f>
        <v>0.7842487445659152</v>
      </c>
      <c r="CM18" s="37">
        <f t="array" ref="CM18">PRODUCT(1 + 預測IC!$C27:CL27) -1</f>
        <v>0.90348131155309508</v>
      </c>
      <c r="CN18" s="37">
        <f t="array" ref="CN18">PRODUCT(1 + 預測IC!$C27:CM27) -1</f>
        <v>0.8487139113221478</v>
      </c>
      <c r="CO18" s="37">
        <f t="array" ref="CO18">PRODUCT(1 + 預測IC!$C27:CN27) -1</f>
        <v>0.92166881344527685</v>
      </c>
      <c r="CP18" s="37">
        <f t="array" ref="CP18">PRODUCT(1 + 預測IC!$C27:CO27) -1</f>
        <v>0.86588067898046694</v>
      </c>
      <c r="CQ18" s="37">
        <f t="array" ref="CQ18">PRODUCT(1 + 預測IC!$C27:CP27) -1</f>
        <v>0.89197293519067467</v>
      </c>
      <c r="CR18" s="37">
        <f t="array" ref="CR18">PRODUCT(1 + 預測IC!$C27:CQ27) -1</f>
        <v>0.83090579105751727</v>
      </c>
      <c r="CS18" s="37">
        <f t="array" ref="CS18">PRODUCT(1 + 預測IC!$C27:CR27) -1</f>
        <v>0.83658814745105547</v>
      </c>
      <c r="CT18" s="37">
        <f t="array" ref="CT18">PRODUCT(1 + 預測IC!$C27:CS27) -1</f>
        <v>0.88358984642415717</v>
      </c>
      <c r="CU18" s="37">
        <f t="array" ref="CU18">PRODUCT(1 + 預測IC!$C27:CT27) -1</f>
        <v>0.9672059526983301</v>
      </c>
      <c r="CV18" s="37">
        <f t="array" ref="CV18">PRODUCT(1 + 預測IC!$C27:CU27) -1</f>
        <v>0.90752297284093331</v>
      </c>
      <c r="CW18" s="37">
        <f t="array" ref="CW18">PRODUCT(1 + 預測IC!$C27:CV27) -1</f>
        <v>0.90512335385454468</v>
      </c>
      <c r="CX18" s="37">
        <f t="array" ref="CX18">PRODUCT(1 + 預測IC!$C27:CW27) -1</f>
        <v>0.90957440110152876</v>
      </c>
      <c r="CY18" s="37">
        <f t="array" ref="CY18">PRODUCT(1 + 預測IC!$C27:CX27) -1</f>
        <v>0.78685723504233995</v>
      </c>
      <c r="CZ18" s="37">
        <f t="array" ref="CZ18">PRODUCT(1 + 預測IC!$C27:CY27) -1</f>
        <v>0.80992516787144164</v>
      </c>
      <c r="DA18" s="37">
        <f t="array" ref="DA18">PRODUCT(1 + 預測IC!$C27:CZ27) -1</f>
        <v>0.58282101623526672</v>
      </c>
      <c r="DB18" s="37">
        <f t="array" ref="DB18">PRODUCT(1 + 預測IC!$C27:DA27) -1</f>
        <v>0.60132527488651344</v>
      </c>
      <c r="DC18" s="37">
        <f t="array" ref="DC18">PRODUCT(1 + 預測IC!$C27:DB27) -1</f>
        <v>0.61147422419279152</v>
      </c>
      <c r="DD18" s="37">
        <f t="array" ref="DD18">PRODUCT(1 + 預測IC!$C27:DC27) -1</f>
        <v>0.42243966588262949</v>
      </c>
      <c r="DE18" s="37">
        <f t="array" ref="DE18">PRODUCT(1 + 預測IC!$C27:DD27) -1</f>
        <v>0.37121637307647259</v>
      </c>
      <c r="DF18" s="37">
        <f t="array" ref="DF18">PRODUCT(1 + 預測IC!$C27:DE27) -1</f>
        <v>0.5616938276257708</v>
      </c>
      <c r="DG18" s="37">
        <f t="array" ref="DG18">PRODUCT(1 + 預測IC!$C27:DF27) -1</f>
        <v>0.48182332962932128</v>
      </c>
      <c r="DH18" s="37">
        <f t="array" ref="DH18">PRODUCT(1 + 預測IC!$C27:DG27) -1</f>
        <v>0.59552577817978314</v>
      </c>
      <c r="DI18" s="37">
        <f t="array" ref="DI18">PRODUCT(1 + 預測IC!$C27:DH27) -1</f>
        <v>0.62027043996328524</v>
      </c>
      <c r="DJ18" s="37">
        <f t="array" ref="DJ18">PRODUCT(1 + 預測IC!$C27:DI27) -1</f>
        <v>0.65789923395288952</v>
      </c>
      <c r="DK18" s="37">
        <f t="array" ref="DK18">PRODUCT(1 + 預測IC!$C27:DJ27) -1</f>
        <v>0.62743885630809859</v>
      </c>
      <c r="DL18" s="37">
        <f t="array" ref="DL18">PRODUCT(1 + 預測IC!$C27:DK27) -1</f>
        <v>0.72866394865424411</v>
      </c>
      <c r="DM18" s="37">
        <f t="array" ref="DM18">PRODUCT(1 + 預測IC!$C27:DL27) -1</f>
        <v>0.76340716304992284</v>
      </c>
      <c r="DN18" s="37">
        <f t="array" ref="DN18">PRODUCT(1 + 預測IC!$C27:DM27) -1</f>
        <v>0.78721129009524526</v>
      </c>
      <c r="DO18" s="37">
        <f t="array" ref="DO18">PRODUCT(1 + 預測IC!$C27:DN27) -1</f>
        <v>0.73314419395664854</v>
      </c>
      <c r="DP18" s="37">
        <f t="array" ref="DP18">PRODUCT(1 + 預測IC!$C27:DO27) -1</f>
        <v>0.7036411650845571</v>
      </c>
      <c r="DQ18" s="37">
        <f t="array" ref="DQ18">PRODUCT(1 + 預測IC!$C27:DP27) -1</f>
        <v>0.666521339911188</v>
      </c>
      <c r="DR18" s="37">
        <f t="array" ref="DR18">PRODUCT(1 + 預測IC!$C27:DQ27) -1</f>
        <v>0.80941825308633253</v>
      </c>
      <c r="DS18" s="37">
        <f t="array" ref="DS18">PRODUCT(1 + 預測IC!$C27:DR27) -1</f>
        <v>0.86027510799998974</v>
      </c>
      <c r="DT18" s="37">
        <f t="array" ref="DT18">PRODUCT(1 + 預測IC!$C27:DS27) -1</f>
        <v>0.85599059714061299</v>
      </c>
      <c r="DU18" s="37">
        <f t="array" ref="DU18">PRODUCT(1 + 預測IC!$C27:DT27) -1</f>
        <v>0.9645125910761998</v>
      </c>
      <c r="DV18" s="37">
        <f t="array" ref="DV18">PRODUCT(1 + 預測IC!$C27:DU27) -1</f>
        <v>1.0974294483812512</v>
      </c>
      <c r="DW18" s="37">
        <f t="array" ref="DW18">PRODUCT(1 + 預測IC!$C27:DV27) -1</f>
        <v>1.1079601605760616</v>
      </c>
      <c r="DX18" s="37">
        <f t="array" ref="DX18">PRODUCT(1 + 預測IC!$C27:DW27) -1</f>
        <v>1.1868319851241949</v>
      </c>
      <c r="DY18" s="37">
        <f t="array" ref="DY18">PRODUCT(1 + 預測IC!$C27:DX27) -1</f>
        <v>1.3707686184169408</v>
      </c>
      <c r="DZ18" s="37">
        <f t="array" ref="DZ18">PRODUCT(1 + 預測IC!$C27:DY27) -1</f>
        <v>1.2834475238077694</v>
      </c>
      <c r="EA18" s="37">
        <f t="array" ref="EA18">PRODUCT(1 + 預測IC!$C27:DZ27) -1</f>
        <v>1.2905072649494538</v>
      </c>
      <c r="EB18" s="37">
        <f t="array" ref="EB18">PRODUCT(1 + 預測IC!$C27:EA27) -1</f>
        <v>1.2860233033025419</v>
      </c>
      <c r="EC18" s="37">
        <f t="array" ref="EC18">PRODUCT(1 + 預測IC!$C27:EB27) -1</f>
        <v>1.3465094307246845</v>
      </c>
      <c r="ED18" s="37">
        <f t="array" ref="ED18">PRODUCT(1 + 預測IC!$C27:EC27) -1</f>
        <v>1.2884273650883467</v>
      </c>
      <c r="EE18" s="37">
        <f t="array" ref="EE18">PRODUCT(1 + 預測IC!$C27:ED27) -1</f>
        <v>1.3664981882262612</v>
      </c>
      <c r="EF18" s="37">
        <f t="array" ref="EF18">PRODUCT(1 + 預測IC!$C27:EE27) -1</f>
        <v>1.4163413115117764</v>
      </c>
      <c r="EG18" s="37">
        <f t="array" ref="EG18">PRODUCT(1 + 預測IC!$C27:EF27) -1</f>
        <v>1.367344209826507</v>
      </c>
    </row>
    <row r="22" spans="1:138" s="1" customFormat="1" ht="16" customHeight="1">
      <c r="C22" s="6" t="s">
        <v>144</v>
      </c>
      <c r="D22" s="1" t="s">
        <v>3</v>
      </c>
      <c r="E22" s="1" t="s">
        <v>4</v>
      </c>
      <c r="F22" s="1" t="s">
        <v>5</v>
      </c>
      <c r="G22" s="1" t="s">
        <v>6</v>
      </c>
      <c r="H22" s="1" t="s">
        <v>7</v>
      </c>
      <c r="I22" s="1" t="s">
        <v>8</v>
      </c>
      <c r="J22" s="1" t="s">
        <v>9</v>
      </c>
      <c r="K22" s="1" t="s">
        <v>10</v>
      </c>
      <c r="L22" s="1" t="s">
        <v>11</v>
      </c>
      <c r="M22" s="1" t="s">
        <v>12</v>
      </c>
      <c r="N22" s="1" t="s">
        <v>13</v>
      </c>
      <c r="O22" s="1" t="s">
        <v>14</v>
      </c>
      <c r="P22" s="1" t="s">
        <v>15</v>
      </c>
      <c r="Q22" s="1" t="s">
        <v>16</v>
      </c>
      <c r="R22" s="1" t="s">
        <v>17</v>
      </c>
      <c r="S22" s="1" t="s">
        <v>18</v>
      </c>
      <c r="T22" s="1" t="s">
        <v>19</v>
      </c>
      <c r="U22" s="1" t="s">
        <v>20</v>
      </c>
      <c r="V22" s="1" t="s">
        <v>21</v>
      </c>
      <c r="W22" s="1" t="s">
        <v>22</v>
      </c>
      <c r="X22" s="1" t="s">
        <v>23</v>
      </c>
      <c r="Y22" s="1" t="s">
        <v>24</v>
      </c>
      <c r="Z22" s="1" t="s">
        <v>25</v>
      </c>
      <c r="AA22" s="1" t="s">
        <v>26</v>
      </c>
      <c r="AB22" s="1" t="s">
        <v>27</v>
      </c>
      <c r="AC22" s="1" t="s">
        <v>28</v>
      </c>
      <c r="AD22" s="1" t="s">
        <v>29</v>
      </c>
      <c r="AE22" s="1" t="s">
        <v>30</v>
      </c>
      <c r="AF22" s="1" t="s">
        <v>31</v>
      </c>
      <c r="AG22" s="1" t="s">
        <v>32</v>
      </c>
      <c r="AH22" s="1" t="s">
        <v>33</v>
      </c>
      <c r="AI22" s="1" t="s">
        <v>34</v>
      </c>
      <c r="AJ22" s="1" t="s">
        <v>35</v>
      </c>
      <c r="AK22" s="1" t="s">
        <v>36</v>
      </c>
      <c r="AL22" s="1" t="s">
        <v>37</v>
      </c>
      <c r="AM22" s="1" t="s">
        <v>38</v>
      </c>
      <c r="AN22" s="1" t="s">
        <v>39</v>
      </c>
      <c r="AO22" s="1" t="s">
        <v>40</v>
      </c>
      <c r="AP22" s="1" t="s">
        <v>41</v>
      </c>
      <c r="AQ22" s="1" t="s">
        <v>42</v>
      </c>
      <c r="AR22" s="1" t="s">
        <v>43</v>
      </c>
      <c r="AS22" s="1" t="s">
        <v>44</v>
      </c>
      <c r="AT22" s="1" t="s">
        <v>45</v>
      </c>
      <c r="AU22" s="1" t="s">
        <v>46</v>
      </c>
      <c r="AV22" s="1" t="s">
        <v>47</v>
      </c>
      <c r="AW22" s="1" t="s">
        <v>48</v>
      </c>
      <c r="AX22" s="1" t="s">
        <v>49</v>
      </c>
      <c r="AY22" s="1" t="s">
        <v>50</v>
      </c>
      <c r="AZ22" s="1" t="s">
        <v>51</v>
      </c>
      <c r="BA22" s="1" t="s">
        <v>52</v>
      </c>
      <c r="BB22" s="1" t="s">
        <v>53</v>
      </c>
      <c r="BC22" s="1" t="s">
        <v>54</v>
      </c>
      <c r="BD22" s="1" t="s">
        <v>55</v>
      </c>
      <c r="BE22" s="1" t="s">
        <v>56</v>
      </c>
      <c r="BF22" s="1" t="s">
        <v>57</v>
      </c>
      <c r="BG22" s="1" t="s">
        <v>58</v>
      </c>
      <c r="BH22" s="1" t="s">
        <v>59</v>
      </c>
      <c r="BI22" s="1" t="s">
        <v>60</v>
      </c>
      <c r="BJ22" s="1" t="s">
        <v>61</v>
      </c>
      <c r="BK22" s="1" t="s">
        <v>62</v>
      </c>
      <c r="BL22" s="1" t="s">
        <v>63</v>
      </c>
      <c r="BM22" s="1" t="s">
        <v>64</v>
      </c>
      <c r="BN22" s="1" t="s">
        <v>65</v>
      </c>
      <c r="BO22" s="1" t="s">
        <v>66</v>
      </c>
      <c r="BP22" s="1" t="s">
        <v>67</v>
      </c>
      <c r="BQ22" s="1" t="s">
        <v>68</v>
      </c>
      <c r="BR22" s="1" t="s">
        <v>69</v>
      </c>
      <c r="BS22" s="1" t="s">
        <v>70</v>
      </c>
      <c r="BT22" s="1" t="s">
        <v>71</v>
      </c>
      <c r="BU22" s="1" t="s">
        <v>72</v>
      </c>
      <c r="BV22" s="1" t="s">
        <v>73</v>
      </c>
      <c r="BW22" s="1" t="s">
        <v>74</v>
      </c>
      <c r="BX22" s="1" t="s">
        <v>75</v>
      </c>
      <c r="BY22" s="1" t="s">
        <v>76</v>
      </c>
      <c r="BZ22" s="1" t="s">
        <v>77</v>
      </c>
      <c r="CA22" s="1" t="s">
        <v>78</v>
      </c>
      <c r="CB22" s="1" t="s">
        <v>79</v>
      </c>
      <c r="CC22" s="1" t="s">
        <v>80</v>
      </c>
      <c r="CD22" s="1" t="s">
        <v>81</v>
      </c>
      <c r="CE22" s="1" t="s">
        <v>82</v>
      </c>
      <c r="CF22" s="1" t="s">
        <v>83</v>
      </c>
      <c r="CG22" s="1" t="s">
        <v>84</v>
      </c>
      <c r="CH22" s="1" t="s">
        <v>85</v>
      </c>
      <c r="CI22" s="1" t="s">
        <v>86</v>
      </c>
      <c r="CJ22" s="1" t="s">
        <v>87</v>
      </c>
      <c r="CK22" s="1" t="s">
        <v>88</v>
      </c>
      <c r="CL22" s="1" t="s">
        <v>89</v>
      </c>
      <c r="CM22" s="1" t="s">
        <v>90</v>
      </c>
      <c r="CN22" s="1" t="s">
        <v>91</v>
      </c>
      <c r="CO22" s="1" t="s">
        <v>92</v>
      </c>
      <c r="CP22" s="1" t="s">
        <v>93</v>
      </c>
      <c r="CQ22" s="1" t="s">
        <v>94</v>
      </c>
      <c r="CR22" s="1" t="s">
        <v>95</v>
      </c>
      <c r="CS22" s="1" t="s">
        <v>96</v>
      </c>
      <c r="CT22" s="1" t="s">
        <v>97</v>
      </c>
      <c r="CU22" s="1" t="s">
        <v>98</v>
      </c>
      <c r="CV22" s="1" t="s">
        <v>99</v>
      </c>
      <c r="CW22" s="1" t="s">
        <v>100</v>
      </c>
      <c r="CX22" s="1" t="s">
        <v>101</v>
      </c>
      <c r="CY22" s="1" t="s">
        <v>102</v>
      </c>
      <c r="CZ22" s="1" t="s">
        <v>103</v>
      </c>
      <c r="DA22" s="1" t="s">
        <v>104</v>
      </c>
      <c r="DB22" s="1" t="s">
        <v>105</v>
      </c>
      <c r="DC22" s="1" t="s">
        <v>106</v>
      </c>
      <c r="DD22" s="1" t="s">
        <v>107</v>
      </c>
      <c r="DE22" s="1" t="s">
        <v>108</v>
      </c>
      <c r="DF22" s="1" t="s">
        <v>109</v>
      </c>
      <c r="DG22" s="1" t="s">
        <v>110</v>
      </c>
      <c r="DH22" s="1" t="s">
        <v>111</v>
      </c>
      <c r="DI22" s="1" t="s">
        <v>112</v>
      </c>
      <c r="DJ22" s="1" t="s">
        <v>113</v>
      </c>
      <c r="DK22" s="1" t="s">
        <v>114</v>
      </c>
      <c r="DL22" s="1" t="s">
        <v>115</v>
      </c>
      <c r="DM22" s="1" t="s">
        <v>116</v>
      </c>
      <c r="DN22" s="1" t="s">
        <v>117</v>
      </c>
      <c r="DO22" s="1" t="s">
        <v>118</v>
      </c>
      <c r="DP22" s="1" t="s">
        <v>119</v>
      </c>
      <c r="DQ22" s="1" t="s">
        <v>120</v>
      </c>
      <c r="DR22" s="1" t="s">
        <v>121</v>
      </c>
      <c r="DS22" s="1" t="s">
        <v>122</v>
      </c>
      <c r="DT22" s="1" t="s">
        <v>123</v>
      </c>
      <c r="DU22" s="1" t="s">
        <v>124</v>
      </c>
      <c r="DV22" s="1" t="s">
        <v>125</v>
      </c>
      <c r="DW22" s="1" t="s">
        <v>126</v>
      </c>
      <c r="DX22" s="1" t="s">
        <v>127</v>
      </c>
      <c r="DY22" s="1" t="s">
        <v>128</v>
      </c>
      <c r="DZ22" s="1" t="s">
        <v>129</v>
      </c>
      <c r="EA22" s="1" t="s">
        <v>130</v>
      </c>
      <c r="EB22" s="1" t="s">
        <v>131</v>
      </c>
      <c r="EC22" s="1" t="s">
        <v>132</v>
      </c>
      <c r="ED22" s="1" t="s">
        <v>133</v>
      </c>
      <c r="EE22" s="1" t="s">
        <v>134</v>
      </c>
      <c r="EF22" s="1" t="s">
        <v>135</v>
      </c>
      <c r="EG22" s="1" t="s">
        <v>146</v>
      </c>
      <c r="EH22" s="30"/>
    </row>
    <row r="23" spans="1:138" s="1" customFormat="1" ht="16" customHeight="1">
      <c r="C23" s="6">
        <v>10</v>
      </c>
      <c r="D23" s="7">
        <v>0.13959367873036821</v>
      </c>
      <c r="E23" s="7">
        <v>0.16933572552470522</v>
      </c>
      <c r="F23" s="7">
        <v>0.16386018932133251</v>
      </c>
      <c r="G23" s="7">
        <v>0.14457407944950651</v>
      </c>
      <c r="H23" s="7">
        <v>0.12424499485554419</v>
      </c>
      <c r="I23" s="7">
        <v>0.11544680506226479</v>
      </c>
      <c r="J23" s="7">
        <v>0.11930726355857368</v>
      </c>
      <c r="K23" s="7">
        <v>9.9385261211944131E-2</v>
      </c>
      <c r="L23" s="7">
        <v>9.3482788082067891E-2</v>
      </c>
      <c r="M23" s="7">
        <v>9.9760865083817318E-2</v>
      </c>
      <c r="N23" s="7">
        <v>8.1198078215265035E-2</v>
      </c>
      <c r="O23" s="7">
        <v>9.2425253565052046E-2</v>
      </c>
      <c r="P23" s="7">
        <v>6.2466456660829728E-2</v>
      </c>
      <c r="Q23" s="7">
        <v>6.3968072426462852E-2</v>
      </c>
      <c r="R23" s="7">
        <v>4.633557471583849E-2</v>
      </c>
      <c r="S23" s="7">
        <v>2.7033216022445572E-2</v>
      </c>
      <c r="T23" s="7">
        <v>3.0055820226227103E-2</v>
      </c>
      <c r="U23" s="7">
        <v>2.0464997292072074E-2</v>
      </c>
      <c r="V23" s="7">
        <v>1.4224159019833982E-2</v>
      </c>
      <c r="W23" s="7">
        <v>4.7966753869187251E-2</v>
      </c>
      <c r="X23" s="7">
        <v>3.503304277104502E-2</v>
      </c>
      <c r="Y23" s="7">
        <v>0.12593592268603104</v>
      </c>
      <c r="Z23" s="7">
        <v>6.2054117950333554E-2</v>
      </c>
      <c r="AA23" s="7">
        <v>7.3185150981883496E-2</v>
      </c>
      <c r="AB23" s="7">
        <v>6.981934030535708E-2</v>
      </c>
      <c r="AC23" s="7">
        <v>7.8467847419528391E-2</v>
      </c>
      <c r="AD23" s="7">
        <v>0.10863192891928142</v>
      </c>
      <c r="AE23" s="7">
        <v>0.1119422751843</v>
      </c>
      <c r="AF23" s="7">
        <v>0.10735177963237841</v>
      </c>
      <c r="AG23" s="7">
        <v>0.10385985873546977</v>
      </c>
      <c r="AH23" s="7">
        <v>0.12067085706236691</v>
      </c>
      <c r="AI23" s="7">
        <v>0.14451797004432509</v>
      </c>
      <c r="AJ23" s="7">
        <v>0.1476446547948409</v>
      </c>
      <c r="AK23" s="7">
        <v>0.11936884326780994</v>
      </c>
      <c r="AL23" s="7">
        <v>9.9087136918512453E-2</v>
      </c>
      <c r="AM23" s="7">
        <v>9.9878210464589889E-2</v>
      </c>
      <c r="AN23" s="7">
        <v>7.6881735257965156E-2</v>
      </c>
      <c r="AO23" s="7">
        <v>8.4767899039784211E-2</v>
      </c>
      <c r="AP23" s="7">
        <v>0.10407339104178503</v>
      </c>
      <c r="AQ23" s="7">
        <v>0.14199469246306218</v>
      </c>
      <c r="AR23" s="7">
        <v>0.16501662828230224</v>
      </c>
      <c r="AS23" s="7">
        <v>0.17096620984222377</v>
      </c>
      <c r="AT23" s="7">
        <v>0.19137722692495029</v>
      </c>
      <c r="AU23" s="7">
        <v>0.18003356808785798</v>
      </c>
      <c r="AV23" s="7">
        <v>0.19137062696386109</v>
      </c>
      <c r="AW23" s="7">
        <v>0.19988865501463926</v>
      </c>
      <c r="AX23" s="7">
        <v>0.20723112810340982</v>
      </c>
      <c r="AY23" s="7">
        <v>0.1798692566675868</v>
      </c>
      <c r="AZ23" s="7">
        <v>0.17329888185708264</v>
      </c>
      <c r="BA23" s="7">
        <v>0.1786929241222015</v>
      </c>
      <c r="BB23" s="7">
        <v>0.20302628183697613</v>
      </c>
      <c r="BC23" s="7">
        <v>0.18409114728910447</v>
      </c>
      <c r="BD23" s="7">
        <v>0.18969729557016368</v>
      </c>
      <c r="BE23" s="7">
        <v>0.19878396824379152</v>
      </c>
      <c r="BF23" s="7">
        <v>0.1705310804567346</v>
      </c>
      <c r="BG23" s="7">
        <v>0.18850291663783647</v>
      </c>
      <c r="BH23" s="7">
        <v>0.22562561538788328</v>
      </c>
      <c r="BI23" s="7">
        <v>0.21531072522127848</v>
      </c>
      <c r="BJ23" s="7">
        <v>0.21227099277568939</v>
      </c>
      <c r="BK23" s="7">
        <v>0.20750291767416584</v>
      </c>
      <c r="BL23" s="7">
        <v>0.21147612251389813</v>
      </c>
      <c r="BM23" s="7">
        <v>0.25874066381733063</v>
      </c>
      <c r="BN23" s="7">
        <v>0.24720706854488483</v>
      </c>
      <c r="BO23" s="7">
        <v>0.23639781304712049</v>
      </c>
      <c r="BP23" s="7">
        <v>0.25246195641999836</v>
      </c>
      <c r="BQ23" s="7">
        <v>0.23325671844283002</v>
      </c>
      <c r="BR23" s="7">
        <v>0.20685240769627944</v>
      </c>
      <c r="BS23" s="7">
        <v>0.21579834520970342</v>
      </c>
      <c r="BT23" s="7">
        <v>0.20691375576760551</v>
      </c>
      <c r="BU23" s="7">
        <v>0.2525854807203014</v>
      </c>
      <c r="BV23" s="7">
        <v>0.27412775513107657</v>
      </c>
      <c r="BW23" s="7">
        <v>0.27885418469098533</v>
      </c>
      <c r="BX23" s="7">
        <v>0.31499856956414352</v>
      </c>
      <c r="BY23" s="7">
        <v>0.31258902782135078</v>
      </c>
      <c r="BZ23" s="7">
        <v>0.35654306785717371</v>
      </c>
      <c r="CA23" s="7">
        <v>0.26561598665032471</v>
      </c>
      <c r="CB23" s="7">
        <v>0.26026614456721653</v>
      </c>
      <c r="CC23" s="7">
        <v>0.26291562322984974</v>
      </c>
      <c r="CD23" s="7">
        <v>0.24594223167108198</v>
      </c>
      <c r="CE23" s="7">
        <v>0.1930866892658798</v>
      </c>
      <c r="CF23" s="7">
        <v>0.22495296240053286</v>
      </c>
      <c r="CG23" s="7">
        <v>0.26149281627446075</v>
      </c>
      <c r="CH23" s="7">
        <v>0.24987476388299101</v>
      </c>
      <c r="CI23" s="7">
        <v>0.31835679511936199</v>
      </c>
      <c r="CJ23" s="7">
        <v>0.32110796016530618</v>
      </c>
      <c r="CK23" s="7">
        <v>0.28570412523667876</v>
      </c>
      <c r="CL23" s="7">
        <v>0.23464975538741317</v>
      </c>
      <c r="CM23" s="7">
        <v>0.33989647840464898</v>
      </c>
      <c r="CN23" s="7">
        <v>0.31725596297294212</v>
      </c>
      <c r="CO23" s="7">
        <v>0.36110909081907727</v>
      </c>
      <c r="CP23" s="7">
        <v>0.28165135875891734</v>
      </c>
      <c r="CQ23" s="7">
        <v>0.25390570916375599</v>
      </c>
      <c r="CR23" s="7">
        <v>0.24216268903132021</v>
      </c>
      <c r="CS23" s="7">
        <v>0.22999840538848382</v>
      </c>
      <c r="CT23" s="7">
        <v>0.22903826188728127</v>
      </c>
      <c r="CU23" s="7">
        <v>0.2573691878675759</v>
      </c>
      <c r="CV23" s="7">
        <v>0.21178306371902988</v>
      </c>
      <c r="CW23" s="7">
        <v>0.24208932918999726</v>
      </c>
      <c r="CX23" s="7">
        <v>0.23978523194623524</v>
      </c>
      <c r="CY23" s="7">
        <v>0.20484748528196328</v>
      </c>
      <c r="CZ23" s="7">
        <v>0.20682098778176883</v>
      </c>
      <c r="DA23" s="7">
        <v>0.21039067928823663</v>
      </c>
      <c r="DB23" s="7">
        <v>0.28571341028503983</v>
      </c>
      <c r="DC23" s="7">
        <v>0.30417081967416859</v>
      </c>
      <c r="DD23" s="7">
        <v>0.20504143186701862</v>
      </c>
      <c r="DE23" s="7">
        <v>0.21994281499693269</v>
      </c>
      <c r="DF23" s="7">
        <v>0.29089715318842768</v>
      </c>
      <c r="DG23" s="7">
        <v>0.28442984816426908</v>
      </c>
      <c r="DH23" s="7">
        <v>0.33818459568915227</v>
      </c>
      <c r="DI23" s="7">
        <v>0.34868344477586755</v>
      </c>
      <c r="DJ23" s="7">
        <v>0.38271234116061814</v>
      </c>
      <c r="DK23" s="7">
        <v>0.42857286504315906</v>
      </c>
      <c r="DL23" s="7">
        <v>0.45500314244793083</v>
      </c>
      <c r="DM23" s="7">
        <v>0.48195699482592369</v>
      </c>
      <c r="DN23" s="7">
        <v>0.54407770466844374</v>
      </c>
      <c r="DO23" s="7">
        <v>0.49672005481349202</v>
      </c>
      <c r="DP23" s="7">
        <v>0.49209882392108195</v>
      </c>
      <c r="DQ23" s="7">
        <v>0.51047015718342048</v>
      </c>
      <c r="DR23" s="7">
        <v>0.50319561139189317</v>
      </c>
      <c r="DS23" s="7">
        <v>0.52423167552671823</v>
      </c>
      <c r="DT23" s="7">
        <v>0.53494457721515132</v>
      </c>
      <c r="DU23" s="7">
        <v>0.57655083331831003</v>
      </c>
      <c r="DV23" s="7">
        <v>0.57682780243713117</v>
      </c>
      <c r="DW23" s="7">
        <v>0.53586939396105238</v>
      </c>
      <c r="DX23" s="7">
        <v>0.47806776958374897</v>
      </c>
      <c r="DY23" s="7">
        <v>0.46729743684704705</v>
      </c>
      <c r="DZ23" s="7">
        <v>0.485919769818419</v>
      </c>
      <c r="EA23" s="7">
        <v>0.52141489454761536</v>
      </c>
      <c r="EB23" s="7">
        <v>0.4331975104306367</v>
      </c>
      <c r="EC23" s="7">
        <v>0.44417596836329709</v>
      </c>
      <c r="ED23" s="7">
        <v>0.41860411850015455</v>
      </c>
      <c r="EE23" s="7">
        <v>0.41182578895889765</v>
      </c>
      <c r="EF23" s="7">
        <v>0.38963336695279893</v>
      </c>
      <c r="EG23" s="7">
        <v>0.44838618321439094</v>
      </c>
      <c r="EH23" s="30"/>
    </row>
    <row r="24" spans="1:138" s="1" customFormat="1" ht="16" customHeight="1">
      <c r="C24" s="6">
        <v>20</v>
      </c>
      <c r="D24" s="1">
        <v>0.19687692674233026</v>
      </c>
      <c r="E24" s="1">
        <v>0.28415019455093438</v>
      </c>
      <c r="F24" s="1">
        <v>0.2671268362332051</v>
      </c>
      <c r="G24" s="1">
        <v>0.29766150888542575</v>
      </c>
      <c r="H24" s="1">
        <v>0.30694418160155212</v>
      </c>
      <c r="I24" s="1">
        <v>0.29481736719714924</v>
      </c>
      <c r="J24" s="1">
        <v>0.31888951779540919</v>
      </c>
      <c r="K24" s="1">
        <v>0.30473682988394768</v>
      </c>
      <c r="L24" s="1">
        <v>0.25365244991929137</v>
      </c>
      <c r="M24" s="1">
        <v>0.28019311456709661</v>
      </c>
      <c r="N24" s="1">
        <v>0.28254555263688519</v>
      </c>
      <c r="O24" s="1">
        <v>0.2667206851579742</v>
      </c>
      <c r="P24" s="1">
        <v>0.21653133272167646</v>
      </c>
      <c r="Q24" s="1">
        <v>0.20990453196342673</v>
      </c>
      <c r="R24" s="1">
        <v>0.21726803225067837</v>
      </c>
      <c r="S24" s="1">
        <v>0.18510837118924806</v>
      </c>
      <c r="T24" s="1">
        <v>0.17685881609509968</v>
      </c>
      <c r="U24" s="1">
        <v>0.16755732152351333</v>
      </c>
      <c r="V24" s="1">
        <v>0.10626639144140038</v>
      </c>
      <c r="W24" s="1">
        <v>0.15155842157215793</v>
      </c>
      <c r="X24" s="1">
        <v>0.16446080494649995</v>
      </c>
      <c r="Y24" s="1">
        <v>0.27698768718453781</v>
      </c>
      <c r="Z24" s="1">
        <v>0.2213279404478905</v>
      </c>
      <c r="AA24" s="1">
        <v>0.24942788855266285</v>
      </c>
      <c r="AB24" s="1">
        <v>0.22111523703658942</v>
      </c>
      <c r="AC24" s="1">
        <v>0.23357719560034274</v>
      </c>
      <c r="AD24" s="1">
        <v>0.2584629882313747</v>
      </c>
      <c r="AE24" s="1">
        <v>0.28961602011003618</v>
      </c>
      <c r="AF24" s="1">
        <v>0.26572203903701341</v>
      </c>
      <c r="AG24" s="1">
        <v>0.28831645676401529</v>
      </c>
      <c r="AH24" s="1">
        <v>0.30185767989209444</v>
      </c>
      <c r="AI24" s="1">
        <v>0.34306877790377932</v>
      </c>
      <c r="AJ24" s="1">
        <v>0.33647265681999561</v>
      </c>
      <c r="AK24" s="1">
        <v>0.28497861338730779</v>
      </c>
      <c r="AL24" s="1">
        <v>0.235859916862591</v>
      </c>
      <c r="AM24" s="1">
        <v>0.22884566499635728</v>
      </c>
      <c r="AN24" s="1">
        <v>0.21281511417918919</v>
      </c>
      <c r="AO24" s="1">
        <v>0.23379052085984831</v>
      </c>
      <c r="AP24" s="1">
        <v>0.28110897305378724</v>
      </c>
      <c r="AQ24" s="1">
        <v>0.35154521361167879</v>
      </c>
      <c r="AR24" s="1">
        <v>0.37073716465306883</v>
      </c>
      <c r="AS24" s="1">
        <v>0.37887360339517562</v>
      </c>
      <c r="AT24" s="1">
        <v>0.42347334302036121</v>
      </c>
      <c r="AU24" s="1">
        <v>0.4109040001946509</v>
      </c>
      <c r="AV24" s="1">
        <v>0.46209323257740476</v>
      </c>
      <c r="AW24" s="1">
        <v>0.48696196998402153</v>
      </c>
      <c r="AX24" s="1">
        <v>0.42085466215446177</v>
      </c>
      <c r="AY24" s="1">
        <v>0.38576432567956664</v>
      </c>
      <c r="AZ24" s="1">
        <v>0.37961367049600292</v>
      </c>
      <c r="BA24" s="1">
        <v>0.39729208760721879</v>
      </c>
      <c r="BB24" s="1">
        <v>0.45898877701191299</v>
      </c>
      <c r="BC24" s="1">
        <v>0.41021833074268743</v>
      </c>
      <c r="BD24" s="1">
        <v>0.40502391884216937</v>
      </c>
      <c r="BE24" s="1">
        <v>0.43340465224560698</v>
      </c>
      <c r="BF24" s="1">
        <v>0.38242322645059801</v>
      </c>
      <c r="BG24" s="1">
        <v>0.36972723437718202</v>
      </c>
      <c r="BH24" s="1">
        <v>0.41735184585721541</v>
      </c>
      <c r="BI24" s="1">
        <v>0.40341727234375391</v>
      </c>
      <c r="BJ24" s="1">
        <v>0.45409766311022515</v>
      </c>
      <c r="BK24" s="1">
        <v>0.45153111144765501</v>
      </c>
      <c r="BL24" s="1">
        <v>0.44888118199642446</v>
      </c>
      <c r="BM24" s="1">
        <v>0.49397217994905351</v>
      </c>
      <c r="BN24" s="1">
        <v>0.47344497470708613</v>
      </c>
      <c r="BO24" s="1">
        <v>0.47339203341205227</v>
      </c>
      <c r="BP24" s="1">
        <v>0.51070412689990707</v>
      </c>
      <c r="BQ24" s="1">
        <v>0.45749759751042229</v>
      </c>
      <c r="BR24" s="1">
        <v>0.41723294668376987</v>
      </c>
      <c r="BS24" s="1">
        <v>0.39617931728011513</v>
      </c>
      <c r="BT24" s="1">
        <v>0.35881452739490682</v>
      </c>
      <c r="BU24" s="1">
        <v>0.42802383367031327</v>
      </c>
      <c r="BV24" s="1">
        <v>0.40191221307329172</v>
      </c>
      <c r="BW24" s="1">
        <v>0.43748766128238681</v>
      </c>
      <c r="BX24" s="1">
        <v>0.49772574127623104</v>
      </c>
      <c r="BY24" s="1">
        <v>0.48505076878633524</v>
      </c>
      <c r="BZ24" s="1">
        <v>0.45577863005852004</v>
      </c>
      <c r="CA24" s="1">
        <v>0.30348968263212162</v>
      </c>
      <c r="CB24" s="1">
        <v>0.26186613995986474</v>
      </c>
      <c r="CC24" s="1">
        <v>0.28090383949337516</v>
      </c>
      <c r="CD24" s="1">
        <v>0.24022320237698347</v>
      </c>
      <c r="CE24" s="1">
        <v>0.21288365217592453</v>
      </c>
      <c r="CF24" s="1">
        <v>0.27653356136059104</v>
      </c>
      <c r="CG24" s="1">
        <v>0.31715342094773402</v>
      </c>
      <c r="CH24" s="1">
        <v>0.29689611945297223</v>
      </c>
      <c r="CI24" s="1">
        <v>0.36814006667226806</v>
      </c>
      <c r="CJ24" s="1">
        <v>0.33467776450735798</v>
      </c>
      <c r="CK24" s="1">
        <v>0.32641415181915545</v>
      </c>
      <c r="CL24" s="1">
        <v>0.2682965505101349</v>
      </c>
      <c r="CM24" s="1">
        <v>0.35084710012580977</v>
      </c>
      <c r="CN24" s="1">
        <v>0.31621107370564006</v>
      </c>
      <c r="CO24" s="1">
        <v>0.33903326689287328</v>
      </c>
      <c r="CP24" s="1">
        <v>0.21176887201426919</v>
      </c>
      <c r="CQ24" s="1">
        <v>0.22757708832043022</v>
      </c>
      <c r="CR24" s="1">
        <v>0.23740023954981471</v>
      </c>
      <c r="CS24" s="1">
        <v>0.22520064878424728</v>
      </c>
      <c r="CT24" s="1">
        <v>0.21319126096667262</v>
      </c>
      <c r="CU24" s="1">
        <v>0.24958595533070427</v>
      </c>
      <c r="CV24" s="1">
        <v>0.20042853339099076</v>
      </c>
      <c r="CW24" s="1">
        <v>0.25372915872472124</v>
      </c>
      <c r="CX24" s="1">
        <v>0.23908125805119651</v>
      </c>
      <c r="CY24" s="1">
        <v>0.2212717632971537</v>
      </c>
      <c r="CZ24" s="1">
        <v>0.20767580111848027</v>
      </c>
      <c r="DA24" s="1">
        <v>0.20840512477791751</v>
      </c>
      <c r="DB24" s="1">
        <v>0.29258078918125374</v>
      </c>
      <c r="DC24" s="1">
        <v>0.30252857044929105</v>
      </c>
      <c r="DD24" s="1">
        <v>0.19538266069235122</v>
      </c>
      <c r="DE24" s="1">
        <v>0.24891764476287936</v>
      </c>
      <c r="DF24" s="1">
        <v>0.34026005556960626</v>
      </c>
      <c r="DG24" s="1">
        <v>0.35340392078391569</v>
      </c>
      <c r="DH24" s="1">
        <v>0.41097801528218336</v>
      </c>
      <c r="DI24" s="1">
        <v>0.44601509388960836</v>
      </c>
      <c r="DJ24" s="1">
        <v>0.46996027233817439</v>
      </c>
      <c r="DK24" s="1">
        <v>0.49951581447857696</v>
      </c>
      <c r="DL24" s="1">
        <v>0.52280931031336686</v>
      </c>
      <c r="DM24" s="1">
        <v>0.57368703522064601</v>
      </c>
      <c r="DN24" s="1">
        <v>0.64480451271289052</v>
      </c>
      <c r="DO24" s="1">
        <v>0.59839387917244968</v>
      </c>
      <c r="DP24" s="1">
        <v>0.60260638633355312</v>
      </c>
      <c r="DQ24" s="1">
        <v>0.63295772791356364</v>
      </c>
      <c r="DR24" s="1">
        <v>0.63330132687151131</v>
      </c>
      <c r="DS24" s="1">
        <v>0.71187009326507078</v>
      </c>
      <c r="DT24" s="1">
        <v>0.74611869340070958</v>
      </c>
      <c r="DU24" s="1">
        <v>0.77646132701062931</v>
      </c>
      <c r="DV24" s="1">
        <v>0.75568101015639066</v>
      </c>
      <c r="DW24" s="1">
        <v>0.700132253669143</v>
      </c>
      <c r="DX24" s="1">
        <v>0.62649136242101178</v>
      </c>
      <c r="DY24" s="1">
        <v>0.59803616251887659</v>
      </c>
      <c r="DZ24" s="1">
        <v>0.64878049143669281</v>
      </c>
      <c r="EA24" s="1">
        <v>0.69572545522883256</v>
      </c>
      <c r="EB24" s="1">
        <v>0.61686954217639189</v>
      </c>
      <c r="EC24" s="1">
        <v>0.67371477406533864</v>
      </c>
      <c r="ED24" s="1">
        <v>0.61750221943388617</v>
      </c>
      <c r="EE24" s="1">
        <v>0.54237861634029216</v>
      </c>
      <c r="EF24" s="1">
        <v>0.52387629218976839</v>
      </c>
      <c r="EG24" s="1">
        <v>0.59427973657686994</v>
      </c>
      <c r="EH24" s="30"/>
    </row>
    <row r="25" spans="1:138" s="1" customFormat="1" ht="16" customHeight="1">
      <c r="C25" s="6">
        <v>50</v>
      </c>
      <c r="D25" s="1">
        <v>0.36308230375568429</v>
      </c>
      <c r="E25" s="1">
        <v>0.44786763022185805</v>
      </c>
      <c r="F25" s="1">
        <v>0.42799653753368361</v>
      </c>
      <c r="G25" s="1">
        <v>0.47299152255052457</v>
      </c>
      <c r="H25" s="1">
        <v>0.50310176064714507</v>
      </c>
      <c r="I25" s="1">
        <v>0.52342709865207016</v>
      </c>
      <c r="J25" s="1">
        <v>0.49327671592849276</v>
      </c>
      <c r="K25" s="1">
        <v>0.36526812357174121</v>
      </c>
      <c r="L25" s="1">
        <v>0.30824816304966274</v>
      </c>
      <c r="M25" s="1">
        <v>0.32901888110270017</v>
      </c>
      <c r="N25" s="1">
        <v>0.31763240532750614</v>
      </c>
      <c r="O25" s="1">
        <v>0.26582869501804818</v>
      </c>
      <c r="P25" s="1">
        <v>0.21083196914983993</v>
      </c>
      <c r="Q25" s="1">
        <v>0.20922197589077252</v>
      </c>
      <c r="R25" s="1">
        <v>0.23782020663035075</v>
      </c>
      <c r="S25" s="1">
        <v>0.1724976505539062</v>
      </c>
      <c r="T25" s="1">
        <v>0.1430899541590136</v>
      </c>
      <c r="U25" s="1">
        <v>8.8946814940573216E-2</v>
      </c>
      <c r="V25" s="1">
        <v>1.8835712084791512E-2</v>
      </c>
      <c r="W25" s="1">
        <v>0.10423714128470318</v>
      </c>
      <c r="X25" s="1">
        <v>0.1355052929448477</v>
      </c>
      <c r="Y25" s="1">
        <v>0.28062133910407172</v>
      </c>
      <c r="Z25" s="1">
        <v>0.19341863236825496</v>
      </c>
      <c r="AA25" s="1">
        <v>0.26220477337277925</v>
      </c>
      <c r="AB25" s="1">
        <v>0.18608140471561541</v>
      </c>
      <c r="AC25" s="1">
        <v>0.15956578540526301</v>
      </c>
      <c r="AD25" s="1">
        <v>0.22269766680395664</v>
      </c>
      <c r="AE25" s="1">
        <v>0.29292703271013387</v>
      </c>
      <c r="AF25" s="1">
        <v>0.28354291014735011</v>
      </c>
      <c r="AG25" s="1">
        <v>0.38853835583196927</v>
      </c>
      <c r="AH25" s="1">
        <v>0.40926453456609724</v>
      </c>
      <c r="AI25" s="1">
        <v>0.48483808353879132</v>
      </c>
      <c r="AJ25" s="1">
        <v>0.53690681290232734</v>
      </c>
      <c r="AK25" s="1">
        <v>0.457269308389886</v>
      </c>
      <c r="AL25" s="1">
        <v>0.45121796147905635</v>
      </c>
      <c r="AM25" s="1">
        <v>0.383684438243729</v>
      </c>
      <c r="AN25" s="1">
        <v>0.37056971213079226</v>
      </c>
      <c r="AO25" s="1">
        <v>0.44700037955276928</v>
      </c>
      <c r="AP25" s="1">
        <v>0.5832884098512523</v>
      </c>
      <c r="AQ25" s="1">
        <v>0.74149168894882322</v>
      </c>
      <c r="AR25" s="1">
        <v>0.65301491056650174</v>
      </c>
      <c r="AS25" s="1">
        <v>0.65504776387578301</v>
      </c>
      <c r="AT25" s="1">
        <v>0.69979398347691024</v>
      </c>
      <c r="AU25" s="1">
        <v>0.7827271273289802</v>
      </c>
      <c r="AV25" s="1">
        <v>0.90340996623142056</v>
      </c>
      <c r="AW25" s="1">
        <v>0.92955120448266659</v>
      </c>
      <c r="AX25" s="1">
        <v>0.90824958985304272</v>
      </c>
      <c r="AY25" s="1">
        <v>0.8109645310931739</v>
      </c>
      <c r="AZ25" s="1">
        <v>0.81578744974686601</v>
      </c>
      <c r="BA25" s="1">
        <v>0.86615329885238324</v>
      </c>
      <c r="BB25" s="1">
        <v>0.95178052533477331</v>
      </c>
      <c r="BC25" s="1">
        <v>0.80387826195733703</v>
      </c>
      <c r="BD25" s="1">
        <v>0.78445289369175231</v>
      </c>
      <c r="BE25" s="1">
        <v>0.80724705697362187</v>
      </c>
      <c r="BF25" s="1">
        <v>0.76360887926513632</v>
      </c>
      <c r="BG25" s="1">
        <v>0.7302237371708955</v>
      </c>
      <c r="BH25" s="1">
        <v>0.92698635861168754</v>
      </c>
      <c r="BI25" s="1">
        <v>1.0801392694497549</v>
      </c>
      <c r="BJ25" s="1">
        <v>1.0123484029783207</v>
      </c>
      <c r="BK25" s="1">
        <v>1.0679556579890246</v>
      </c>
      <c r="BL25" s="1">
        <v>1.0665187487686749</v>
      </c>
      <c r="BM25" s="1">
        <v>1.183906372686554</v>
      </c>
      <c r="BN25" s="1">
        <v>1.1235915606408544</v>
      </c>
      <c r="BO25" s="1">
        <v>1.1171227794102934</v>
      </c>
      <c r="BP25" s="1">
        <v>1.1756397431158363</v>
      </c>
      <c r="BQ25" s="1">
        <v>1.1099119039534897</v>
      </c>
      <c r="BR25" s="1">
        <v>1.1088451505192758</v>
      </c>
      <c r="BS25" s="1">
        <v>0.98611143761491293</v>
      </c>
      <c r="BT25" s="1">
        <v>0.97516650649169412</v>
      </c>
      <c r="BU25" s="1">
        <v>1.0104096126086808</v>
      </c>
      <c r="BV25" s="1">
        <v>0.87514248505242631</v>
      </c>
      <c r="BW25" s="1">
        <v>0.9688439857618123</v>
      </c>
      <c r="BX25" s="1">
        <v>1.1077018804699912</v>
      </c>
      <c r="BY25" s="1">
        <v>1.1197759221432975</v>
      </c>
      <c r="BZ25" s="1">
        <v>1.0860671336899537</v>
      </c>
      <c r="CA25" s="1">
        <v>0.75993432233599756</v>
      </c>
      <c r="CB25" s="1">
        <v>0.72299498289835173</v>
      </c>
      <c r="CC25" s="1">
        <v>0.90250817034362796</v>
      </c>
      <c r="CD25" s="1">
        <v>0.86647567601556275</v>
      </c>
      <c r="CE25" s="1">
        <v>0.83603581902708601</v>
      </c>
      <c r="CF25" s="1">
        <v>0.81658535579672131</v>
      </c>
      <c r="CG25" s="1">
        <v>0.90758367945520857</v>
      </c>
      <c r="CH25" s="1">
        <v>0.94434997537292542</v>
      </c>
      <c r="CI25" s="1">
        <v>1.0857571495231895</v>
      </c>
      <c r="CJ25" s="1">
        <v>1.0771427141328851</v>
      </c>
      <c r="CK25" s="1">
        <v>0.95672585187136039</v>
      </c>
      <c r="CL25" s="1">
        <v>0.90111928711604317</v>
      </c>
      <c r="CM25" s="1">
        <v>0.92156399404429146</v>
      </c>
      <c r="CN25" s="1">
        <v>0.90406909686992698</v>
      </c>
      <c r="CO25" s="1">
        <v>1.0029882518326532</v>
      </c>
      <c r="CP25" s="1">
        <v>0.48677672951288309</v>
      </c>
      <c r="CQ25" s="1">
        <v>0.58113758022136608</v>
      </c>
      <c r="CR25" s="1">
        <v>0.70110698295360874</v>
      </c>
      <c r="CS25" s="1">
        <v>0.76288702384927598</v>
      </c>
      <c r="CT25" s="1">
        <v>0.78348359525488975</v>
      </c>
      <c r="CU25" s="1">
        <v>0.82072996922668362</v>
      </c>
      <c r="CV25" s="1">
        <v>0.72444598358480627</v>
      </c>
      <c r="CW25" s="1">
        <v>0.85943603833192239</v>
      </c>
      <c r="CX25" s="1">
        <v>0.78048657018567869</v>
      </c>
      <c r="CY25" s="1">
        <v>0.7503461255910473</v>
      </c>
      <c r="CZ25" s="1">
        <v>0.74440912701805972</v>
      </c>
      <c r="DA25" s="1">
        <v>0.76390050261424758</v>
      </c>
      <c r="DB25" s="1">
        <v>0.92213985888197314</v>
      </c>
      <c r="DC25" s="1">
        <v>0.85982730022895471</v>
      </c>
      <c r="DD25" s="1">
        <v>0.72387156057662505</v>
      </c>
      <c r="DE25" s="1">
        <v>0.77807270181668997</v>
      </c>
      <c r="DF25" s="1">
        <v>0.8513137638387458</v>
      </c>
      <c r="DG25" s="1">
        <v>0.84036857862078351</v>
      </c>
      <c r="DH25" s="1">
        <v>0.92070473770428229</v>
      </c>
      <c r="DI25" s="1">
        <v>0.9020041276386408</v>
      </c>
      <c r="DJ25" s="1">
        <v>0.85098785618529704</v>
      </c>
      <c r="DK25" s="1">
        <v>0.89551702976396985</v>
      </c>
      <c r="DL25" s="1">
        <v>0.85026753822912982</v>
      </c>
      <c r="DM25" s="1">
        <v>0.99015213183619699</v>
      </c>
      <c r="DN25" s="1">
        <v>1.1212804017460449</v>
      </c>
      <c r="DO25" s="1">
        <v>1.1696022496434875</v>
      </c>
      <c r="DP25" s="1">
        <v>1.2241819358201096</v>
      </c>
      <c r="DQ25" s="1">
        <v>1.452614507975075</v>
      </c>
      <c r="DR25" s="1">
        <v>1.439537677127654</v>
      </c>
      <c r="DS25" s="1">
        <v>1.4714416753476782</v>
      </c>
      <c r="DT25" s="1">
        <v>1.5897232213091699</v>
      </c>
      <c r="DU25" s="1">
        <v>1.6033049791070799</v>
      </c>
      <c r="DV25" s="1">
        <v>1.5876850098553823</v>
      </c>
      <c r="DW25" s="1">
        <v>1.5646543122694383</v>
      </c>
      <c r="DX25" s="1">
        <v>1.4486428700935585</v>
      </c>
      <c r="DY25" s="1">
        <v>1.2893219001136327</v>
      </c>
      <c r="DZ25" s="1">
        <v>1.4079229048596695</v>
      </c>
      <c r="EA25" s="1">
        <v>1.455919090730613</v>
      </c>
      <c r="EB25" s="1">
        <v>1.4067113470906047</v>
      </c>
      <c r="EC25" s="1">
        <v>1.4945690812585597</v>
      </c>
      <c r="ED25" s="1">
        <v>1.4627416354658656</v>
      </c>
      <c r="EE25" s="1">
        <v>1.1985426333697338</v>
      </c>
      <c r="EF25" s="1">
        <v>1.2435381567941</v>
      </c>
      <c r="EG25" s="1">
        <v>1.3681445002805712</v>
      </c>
      <c r="EH25" s="30"/>
    </row>
    <row r="26" spans="1:138" s="1" customFormat="1" ht="16" customHeight="1">
      <c r="C26" s="6">
        <v>100</v>
      </c>
      <c r="D26" s="1">
        <v>0.50963263247614221</v>
      </c>
      <c r="E26" s="1">
        <v>0.63966449065870301</v>
      </c>
      <c r="F26" s="1">
        <v>0.83045469113472881</v>
      </c>
      <c r="G26" s="1">
        <v>1.0572266779775958</v>
      </c>
      <c r="H26" s="1">
        <v>0.97103189051194683</v>
      </c>
      <c r="I26" s="1">
        <v>1.0039927869077725</v>
      </c>
      <c r="J26" s="1">
        <v>1.0078066279346594</v>
      </c>
      <c r="K26" s="1">
        <v>0.79040155292084591</v>
      </c>
      <c r="L26" s="1">
        <v>0.8147154745708709</v>
      </c>
      <c r="M26" s="1">
        <v>0.75892551546357034</v>
      </c>
      <c r="N26" s="1">
        <v>0.75551636827824709</v>
      </c>
      <c r="O26" s="1">
        <v>0.82369261905130609</v>
      </c>
      <c r="P26" s="1">
        <v>0.62424580645067085</v>
      </c>
      <c r="Q26" s="1">
        <v>0.61851483991027068</v>
      </c>
      <c r="R26" s="1">
        <v>0.79805222535416265</v>
      </c>
      <c r="S26" s="1">
        <v>0.7537563819871258</v>
      </c>
      <c r="T26" s="1">
        <v>0.68610729203048648</v>
      </c>
      <c r="U26" s="1">
        <v>0.48513055712518005</v>
      </c>
      <c r="V26" s="1">
        <v>0.37428356576031119</v>
      </c>
      <c r="W26" s="1">
        <v>0.47328396121497929</v>
      </c>
      <c r="X26" s="1">
        <v>0.51991789794760157</v>
      </c>
      <c r="Y26" s="1">
        <v>0.76252663513429653</v>
      </c>
      <c r="Z26" s="1">
        <v>0.69869892278834511</v>
      </c>
      <c r="AA26" s="1">
        <v>0.82741177994690651</v>
      </c>
      <c r="AB26" s="1">
        <v>0.73743950051832785</v>
      </c>
      <c r="AC26" s="1">
        <v>0.59624989588258148</v>
      </c>
      <c r="AD26" s="1">
        <v>0.58376237696073985</v>
      </c>
      <c r="AE26" s="1">
        <v>0.75424062594642671</v>
      </c>
      <c r="AF26" s="1">
        <v>0.87545635546039779</v>
      </c>
      <c r="AG26" s="1">
        <v>1.1836043382795407</v>
      </c>
      <c r="AH26" s="1">
        <v>1.2501519971962485</v>
      </c>
      <c r="AI26" s="1">
        <v>1.455115091482643</v>
      </c>
      <c r="AJ26" s="1">
        <v>1.6001135533785598</v>
      </c>
      <c r="AK26" s="1">
        <v>1.4039511670960012</v>
      </c>
      <c r="AL26" s="1">
        <v>1.2667365296832451</v>
      </c>
      <c r="AM26" s="1">
        <v>1.1973098430598834</v>
      </c>
      <c r="AN26" s="1">
        <v>1.2339958935858752</v>
      </c>
      <c r="AO26" s="1">
        <v>1.4786840801488959</v>
      </c>
      <c r="AP26" s="1">
        <v>1.5563734435117516</v>
      </c>
      <c r="AQ26" s="1">
        <v>1.9641579494354731</v>
      </c>
      <c r="AR26" s="1">
        <v>2.0228188633975486</v>
      </c>
      <c r="AS26" s="1">
        <v>1.9855868079757997</v>
      </c>
      <c r="AT26" s="1">
        <v>2.0857032581346906</v>
      </c>
      <c r="AU26" s="1">
        <v>2.2766562368363892</v>
      </c>
      <c r="AV26" s="1">
        <v>2.6761595527965003</v>
      </c>
      <c r="AW26" s="1">
        <v>2.9052930128049228</v>
      </c>
      <c r="AX26" s="1">
        <v>2.6461394207107265</v>
      </c>
      <c r="AY26" s="1">
        <v>2.1954720595119634</v>
      </c>
      <c r="AZ26" s="1">
        <v>1.9939563469955015</v>
      </c>
      <c r="BA26" s="1">
        <v>2.005525569321239</v>
      </c>
      <c r="BB26" s="1">
        <v>2.1826265515148542</v>
      </c>
      <c r="BC26" s="1">
        <v>1.9771063172601626</v>
      </c>
      <c r="BD26" s="1">
        <v>1.8013063289597975</v>
      </c>
      <c r="BE26" s="1">
        <v>1.8151273017452456</v>
      </c>
      <c r="BF26" s="1">
        <v>1.6705555119209872</v>
      </c>
      <c r="BG26" s="1">
        <v>1.4945297229732821</v>
      </c>
      <c r="BH26" s="1">
        <v>2.0120993115966708</v>
      </c>
      <c r="BI26" s="1">
        <v>2.3224665134804501</v>
      </c>
      <c r="BJ26" s="1">
        <v>2.0412077538782412</v>
      </c>
      <c r="BK26" s="1">
        <v>2.3300313330420228</v>
      </c>
      <c r="BL26" s="1">
        <v>2.0613676331092123</v>
      </c>
      <c r="BM26" s="1">
        <v>2.2785211320754599</v>
      </c>
      <c r="BN26" s="1">
        <v>2.121734470409177</v>
      </c>
      <c r="BO26" s="1">
        <v>2.0854134275778105</v>
      </c>
      <c r="BP26" s="1">
        <v>2.2239027882067623</v>
      </c>
      <c r="BQ26" s="1">
        <v>1.9843356803678178</v>
      </c>
      <c r="BR26" s="1">
        <v>1.9427487253669402</v>
      </c>
      <c r="BS26" s="1">
        <v>1.6950077973401112</v>
      </c>
      <c r="BT26" s="1">
        <v>1.6263443996904501</v>
      </c>
      <c r="BU26" s="1">
        <v>1.7213219329398477</v>
      </c>
      <c r="BV26" s="1">
        <v>1.4067481873105994</v>
      </c>
      <c r="BW26" s="1">
        <v>1.6800940504037443</v>
      </c>
      <c r="BX26" s="1">
        <v>1.6975949868803766</v>
      </c>
      <c r="BY26" s="1">
        <v>1.6061609472502258</v>
      </c>
      <c r="BZ26" s="1">
        <v>1.5755788938810693</v>
      </c>
      <c r="CA26" s="1">
        <v>1.031351871568996</v>
      </c>
      <c r="CB26" s="1">
        <v>1.0532221506456252</v>
      </c>
      <c r="CC26" s="1">
        <v>1.4018344543623074</v>
      </c>
      <c r="CD26" s="1">
        <v>1.2172581176249531</v>
      </c>
      <c r="CE26" s="1">
        <v>1.2414859216172092</v>
      </c>
      <c r="CF26" s="1">
        <v>1.3018051025245829</v>
      </c>
      <c r="CG26" s="1">
        <v>1.4355639049833413</v>
      </c>
      <c r="CH26" s="1">
        <v>1.3511167036871479</v>
      </c>
      <c r="CI26" s="1">
        <v>1.3147153699748286</v>
      </c>
      <c r="CJ26" s="1">
        <v>1.1726220979573472</v>
      </c>
      <c r="CK26" s="1">
        <v>1.1628103358540147</v>
      </c>
      <c r="CL26" s="1">
        <v>1.0444228186149651</v>
      </c>
      <c r="CM26" s="1">
        <v>1.0356776743356346</v>
      </c>
      <c r="CN26" s="1">
        <v>1.0644660976306017</v>
      </c>
      <c r="CO26" s="1">
        <v>1.3347121251756509</v>
      </c>
      <c r="CP26" s="1">
        <v>0.7330032508073423</v>
      </c>
      <c r="CQ26" s="1">
        <v>0.71699395571442293</v>
      </c>
      <c r="CR26" s="1">
        <v>0.96281609987095229</v>
      </c>
      <c r="CS26" s="1">
        <v>0.99099354413957053</v>
      </c>
      <c r="CT26" s="1">
        <v>0.96374424587963037</v>
      </c>
      <c r="CU26" s="1">
        <v>0.98788161623179449</v>
      </c>
      <c r="CV26" s="1">
        <v>0.97334450404328288</v>
      </c>
      <c r="CW26" s="1">
        <v>1.1144215119046561</v>
      </c>
      <c r="CX26" s="1">
        <v>0.92934685108191228</v>
      </c>
      <c r="CY26" s="1">
        <v>0.87472147435435588</v>
      </c>
      <c r="CZ26" s="1">
        <v>0.6937945367101559</v>
      </c>
      <c r="DA26" s="1">
        <v>0.86744574567736143</v>
      </c>
      <c r="DB26" s="1">
        <v>0.96811809440728869</v>
      </c>
      <c r="DC26" s="1">
        <v>0.86360459902481623</v>
      </c>
      <c r="DD26" s="1">
        <v>0.82429057148903073</v>
      </c>
      <c r="DE26" s="1">
        <v>0.84444063498986233</v>
      </c>
      <c r="DF26" s="1">
        <v>0.8549396592220313</v>
      </c>
      <c r="DG26" s="1">
        <v>0.86374476231861874</v>
      </c>
      <c r="DH26" s="1">
        <v>0.89985531930081519</v>
      </c>
      <c r="DI26" s="1">
        <v>0.90101512253496119</v>
      </c>
      <c r="DJ26" s="1">
        <v>0.76619482394013549</v>
      </c>
      <c r="DK26" s="1">
        <v>0.80653913378792264</v>
      </c>
      <c r="DL26" s="1">
        <v>0.68087229429339047</v>
      </c>
      <c r="DM26" s="1">
        <v>0.83918944847396149</v>
      </c>
      <c r="DN26" s="1">
        <v>0.89504256212265254</v>
      </c>
      <c r="DO26" s="1">
        <v>0.91121753702824049</v>
      </c>
      <c r="DP26" s="1">
        <v>1.0065244347328774</v>
      </c>
      <c r="DQ26" s="1">
        <v>1.3057141508038685</v>
      </c>
      <c r="DR26" s="1">
        <v>1.2514821845990052</v>
      </c>
      <c r="DS26" s="1">
        <v>1.2811470965643301</v>
      </c>
      <c r="DT26" s="1">
        <v>1.3168643291284075</v>
      </c>
      <c r="DU26" s="1">
        <v>1.1674135120666667</v>
      </c>
      <c r="DV26" s="1">
        <v>1.1438674060230292</v>
      </c>
      <c r="DW26" s="1">
        <v>1.2099458331013948</v>
      </c>
      <c r="DX26" s="1">
        <v>1.0498918459832618</v>
      </c>
      <c r="DY26" s="1">
        <v>0.99215215796027967</v>
      </c>
      <c r="DZ26" s="1">
        <v>0.98322404071244751</v>
      </c>
      <c r="EA26" s="1">
        <v>1.0146232665676833</v>
      </c>
      <c r="EB26" s="1">
        <v>1.042310453184248</v>
      </c>
      <c r="EC26" s="1">
        <v>1.1696596197849689</v>
      </c>
      <c r="ED26" s="1">
        <v>1.3025613197883597</v>
      </c>
      <c r="EE26" s="1">
        <v>1.2748099780429003</v>
      </c>
      <c r="EF26" s="1">
        <v>1.394725631660342</v>
      </c>
      <c r="EG26" s="1">
        <v>1.5219400327891917</v>
      </c>
      <c r="EH26" s="30"/>
    </row>
    <row r="27" spans="1:138" ht="16" customHeight="1">
      <c r="A27" s="1"/>
      <c r="B27" s="1"/>
      <c r="C27" s="6">
        <v>192</v>
      </c>
      <c r="D27" s="1">
        <v>0.48688322582293853</v>
      </c>
      <c r="E27" s="1">
        <v>0.706260172988046</v>
      </c>
      <c r="F27" s="1">
        <v>0.97595027823024361</v>
      </c>
      <c r="G27" s="1">
        <v>0.83957163215672725</v>
      </c>
      <c r="H27" s="1">
        <v>0.69709493101398889</v>
      </c>
      <c r="I27" s="1">
        <v>0.68492531090415598</v>
      </c>
      <c r="J27" s="1">
        <v>0.62818996623124557</v>
      </c>
      <c r="K27" s="1">
        <v>0.51189268752565442</v>
      </c>
      <c r="L27" s="1">
        <v>0.70865422221359342</v>
      </c>
      <c r="M27" s="1">
        <v>0.60446929672971628</v>
      </c>
      <c r="N27" s="1">
        <v>0.62128741110588481</v>
      </c>
      <c r="O27" s="1">
        <v>0.78548909714016268</v>
      </c>
      <c r="P27" s="1">
        <v>0.55320840792641657</v>
      </c>
      <c r="Q27" s="1">
        <v>0.59951263128904575</v>
      </c>
      <c r="R27" s="1">
        <v>0.8771332521548858</v>
      </c>
      <c r="S27" s="1">
        <v>0.76214745098951941</v>
      </c>
      <c r="T27" s="1">
        <v>0.75328917668820505</v>
      </c>
      <c r="U27" s="1">
        <v>0.62575343387607862</v>
      </c>
      <c r="V27" s="1">
        <v>0.35509438767378976</v>
      </c>
      <c r="W27" s="1">
        <v>0.42914876229652177</v>
      </c>
      <c r="X27" s="1">
        <v>0.50212794576746922</v>
      </c>
      <c r="Y27" s="1">
        <v>0.6628764740303783</v>
      </c>
      <c r="Z27" s="1">
        <v>0.52613809953521584</v>
      </c>
      <c r="AA27" s="1">
        <v>0.59162589384077235</v>
      </c>
      <c r="AB27" s="1">
        <v>0.50299911204884751</v>
      </c>
      <c r="AC27" s="1">
        <v>0.41676861716426128</v>
      </c>
      <c r="AD27" s="1">
        <v>0.51040838853199078</v>
      </c>
      <c r="AE27" s="1">
        <v>0.79306711336782576</v>
      </c>
      <c r="AF27" s="1">
        <v>1.0694049775003909</v>
      </c>
      <c r="AG27" s="1">
        <v>1.278113074888017</v>
      </c>
      <c r="AH27" s="1">
        <v>1.4058001035229362</v>
      </c>
      <c r="AI27" s="1">
        <v>1.8387269483914142</v>
      </c>
      <c r="AJ27" s="1">
        <v>1.971232411191433</v>
      </c>
      <c r="AK27" s="1">
        <v>1.5270229911030526</v>
      </c>
      <c r="AL27" s="1">
        <v>1.600036431189312</v>
      </c>
      <c r="AM27" s="1">
        <v>1.6551191753887102</v>
      </c>
      <c r="AN27" s="1">
        <v>1.7817582731413388</v>
      </c>
      <c r="AO27" s="1">
        <v>2.3152551032819257</v>
      </c>
      <c r="AP27" s="1">
        <v>2.6884625397959923</v>
      </c>
      <c r="AQ27" s="1">
        <v>3.1836567569244547</v>
      </c>
      <c r="AR27" s="1">
        <v>2.8067751705477457</v>
      </c>
      <c r="AS27" s="1">
        <v>2.6032379470676501</v>
      </c>
      <c r="AT27" s="1">
        <v>2.2531955577966878</v>
      </c>
      <c r="AU27" s="1">
        <v>2.5589856066714471</v>
      </c>
      <c r="AV27" s="1">
        <v>3.4061013723752156</v>
      </c>
      <c r="AW27" s="1">
        <v>3.7729142377221851</v>
      </c>
      <c r="AX27" s="1">
        <v>3.4051326004568923</v>
      </c>
      <c r="AY27" s="1">
        <v>3.0234221659468181</v>
      </c>
      <c r="AZ27" s="1">
        <v>2.1165724776138815</v>
      </c>
      <c r="BA27" s="1">
        <v>1.9874810712703455</v>
      </c>
      <c r="BB27" s="1">
        <v>2.1287795141154859</v>
      </c>
      <c r="BC27" s="1">
        <v>1.967419384159887</v>
      </c>
      <c r="BD27" s="1">
        <v>1.4770549428145836</v>
      </c>
      <c r="BE27" s="1">
        <v>1.4816224979688841</v>
      </c>
      <c r="BF27" s="1">
        <v>1.315635349090182</v>
      </c>
      <c r="BG27" s="1">
        <v>1.2870713679407548</v>
      </c>
      <c r="BH27" s="1">
        <v>1.9302766511883904</v>
      </c>
      <c r="BI27" s="1">
        <v>2.0312126014616583</v>
      </c>
      <c r="BJ27" s="1">
        <v>1.9564548505149593</v>
      </c>
      <c r="BK27" s="1">
        <v>2.4032204502653944</v>
      </c>
      <c r="BL27" s="1">
        <v>2.1176098577095019</v>
      </c>
      <c r="BM27" s="1">
        <v>2.3486757179824691</v>
      </c>
      <c r="BN27" s="1">
        <v>2.4374453034531851</v>
      </c>
      <c r="BO27" s="1">
        <v>2.5604408774707954</v>
      </c>
      <c r="BP27" s="1">
        <v>3.1180773050756265</v>
      </c>
      <c r="BQ27" s="1">
        <v>2.4033010479176249</v>
      </c>
      <c r="BR27" s="1">
        <v>2.0944859100183928</v>
      </c>
      <c r="BS27" s="1">
        <v>1.4059169374992857</v>
      </c>
      <c r="BT27" s="1">
        <v>1.3135928731086413</v>
      </c>
      <c r="BU27" s="1">
        <v>1.6690633734191023</v>
      </c>
      <c r="BV27" s="1">
        <v>1.6353312955833696</v>
      </c>
      <c r="BW27" s="1">
        <v>1.8631985883511475</v>
      </c>
      <c r="BX27" s="1">
        <v>1.8046701256751136</v>
      </c>
      <c r="BY27" s="1">
        <v>1.7146312005500439</v>
      </c>
      <c r="BZ27" s="1">
        <v>1.7492787279220194</v>
      </c>
      <c r="CA27" s="1">
        <v>1.4245099766179816</v>
      </c>
      <c r="CB27" s="1">
        <v>1.7000546861725248</v>
      </c>
      <c r="CC27" s="1">
        <v>2.357867476479957</v>
      </c>
      <c r="CD27" s="1">
        <v>1.6524095830161754</v>
      </c>
      <c r="CE27" s="1">
        <v>1.5415923288490125</v>
      </c>
      <c r="CF27" s="1">
        <v>1.3544770012592013</v>
      </c>
      <c r="CG27" s="1">
        <v>1.626836391185587</v>
      </c>
      <c r="CH27" s="1">
        <v>1.8234665254790019</v>
      </c>
      <c r="CI27" s="1">
        <v>1.2877752792968682</v>
      </c>
      <c r="CJ27" s="1">
        <v>0.87350920381834052</v>
      </c>
      <c r="CK27" s="1">
        <v>0.83170774498337741</v>
      </c>
      <c r="CL27" s="1">
        <v>0.71248930631782259</v>
      </c>
      <c r="CM27" s="1">
        <v>0.5517550512448417</v>
      </c>
      <c r="CN27" s="1">
        <v>0.60537958180827878</v>
      </c>
      <c r="CO27" s="1">
        <v>0.60236611087098924</v>
      </c>
      <c r="CP27" s="1">
        <v>0.35960229699643209</v>
      </c>
      <c r="CQ27" s="1">
        <v>0.28866393698492865</v>
      </c>
      <c r="CR27" s="1">
        <v>0.82029862697263778</v>
      </c>
      <c r="CS27" s="1">
        <v>0.77233770900533361</v>
      </c>
      <c r="CT27" s="1">
        <v>0.54059483262845953</v>
      </c>
      <c r="CU27" s="1">
        <v>0.45611071211124599</v>
      </c>
      <c r="CV27" s="1">
        <v>0.4793607729838163</v>
      </c>
      <c r="CW27" s="1">
        <v>0.53186006033707489</v>
      </c>
      <c r="CX27" s="1">
        <v>0.45356115256529494</v>
      </c>
      <c r="CY27" s="1">
        <v>0.61434855910681474</v>
      </c>
      <c r="CZ27" s="1">
        <v>0.4698653697282249</v>
      </c>
      <c r="DA27" s="1">
        <v>0.68275486690565801</v>
      </c>
      <c r="DB27" s="1">
        <v>0.75073620226255078</v>
      </c>
      <c r="DC27" s="1">
        <v>0.63918358895375693</v>
      </c>
      <c r="DD27" s="1">
        <v>0.62101976540997184</v>
      </c>
      <c r="DE27" s="1">
        <v>0.70490151935856127</v>
      </c>
      <c r="DF27" s="1">
        <v>0.58411864234323452</v>
      </c>
      <c r="DG27" s="1">
        <v>0.60864214633507685</v>
      </c>
      <c r="DH27" s="1">
        <v>0.69079438131957516</v>
      </c>
      <c r="DI27" s="1">
        <v>0.7011429684256536</v>
      </c>
      <c r="DJ27" s="1">
        <v>0.5295821581410074</v>
      </c>
      <c r="DK27" s="1">
        <v>0.50210431802146704</v>
      </c>
      <c r="DL27" s="1">
        <v>0.56145333034229772</v>
      </c>
      <c r="DM27" s="1">
        <v>0.60259384717310449</v>
      </c>
      <c r="DN27" s="1">
        <v>0.51856894626833738</v>
      </c>
      <c r="DO27" s="1">
        <v>0.64272861695135197</v>
      </c>
      <c r="DP27" s="1">
        <v>0.68763778025892175</v>
      </c>
      <c r="DQ27" s="1">
        <v>0.87405955676640268</v>
      </c>
      <c r="DR27" s="1">
        <v>0.69688534347049358</v>
      </c>
      <c r="DS27" s="1">
        <v>0.70784235688288355</v>
      </c>
      <c r="DT27" s="1">
        <v>0.6017046118650422</v>
      </c>
      <c r="DU27" s="1">
        <v>0.40607820577333653</v>
      </c>
      <c r="DV27" s="1">
        <v>0.39989744623012746</v>
      </c>
      <c r="DW27" s="1">
        <v>0.41690429840490562</v>
      </c>
      <c r="DX27" s="1">
        <v>0.49949740019689592</v>
      </c>
      <c r="DY27" s="1">
        <v>0.52091805054026552</v>
      </c>
      <c r="DZ27" s="1">
        <v>0.59602067647613199</v>
      </c>
      <c r="EA27" s="1">
        <v>0.61118445240049657</v>
      </c>
      <c r="EB27" s="1">
        <v>0.7434809872012671</v>
      </c>
      <c r="EC27" s="1">
        <v>1.0582639984395499</v>
      </c>
      <c r="ED27" s="1">
        <v>1.2610910345652262</v>
      </c>
      <c r="EE27" s="1">
        <v>1.1023625903535081</v>
      </c>
      <c r="EF27" s="1">
        <v>1.2890924359652649</v>
      </c>
      <c r="EG27" s="1">
        <v>1.4518556120777482</v>
      </c>
    </row>
    <row r="28" spans="1:138" ht="16" customHeight="1">
      <c r="A28" s="31"/>
      <c r="B28" s="31"/>
      <c r="C28" s="15">
        <v>964</v>
      </c>
      <c r="D28" s="31">
        <v>0.90919897806039884</v>
      </c>
      <c r="E28" s="31">
        <v>1.6504358709121614</v>
      </c>
      <c r="F28" s="31">
        <v>1.9936007898441499</v>
      </c>
      <c r="G28" s="31">
        <v>1.5850968365634048</v>
      </c>
      <c r="H28" s="31">
        <v>2.805520377306725</v>
      </c>
      <c r="I28" s="31">
        <v>3.6011062391519006</v>
      </c>
      <c r="J28" s="31">
        <v>2.1014859465732516</v>
      </c>
      <c r="K28" s="31">
        <v>1.5102683453721091</v>
      </c>
      <c r="L28" s="31">
        <v>1.621553038786494</v>
      </c>
      <c r="M28" s="31">
        <v>2.2823125847359127</v>
      </c>
      <c r="N28" s="31">
        <v>2.747277054910267</v>
      </c>
      <c r="O28" s="31">
        <v>3.3972497569837108</v>
      </c>
      <c r="P28" s="31">
        <v>1.5911809912973673</v>
      </c>
      <c r="Q28" s="31">
        <v>1.7708596862696462</v>
      </c>
      <c r="R28" s="31">
        <v>3.4590620700773975</v>
      </c>
      <c r="S28" s="31">
        <v>2.157991839356181</v>
      </c>
      <c r="T28" s="31">
        <v>1.2297812377077806</v>
      </c>
      <c r="U28" s="31">
        <v>1.3162993325345616</v>
      </c>
      <c r="V28" s="31">
        <v>0.3359720494894809</v>
      </c>
      <c r="W28" s="31">
        <v>0.55470698607255042</v>
      </c>
      <c r="X28" s="31">
        <v>0.69028698972208336</v>
      </c>
      <c r="Y28" s="31">
        <v>0.91277683352076644</v>
      </c>
      <c r="Z28" s="31">
        <v>0.67497572450449872</v>
      </c>
      <c r="AA28" s="31">
        <v>0.77070753741225584</v>
      </c>
      <c r="AB28" s="31">
        <v>0.82301362305437409</v>
      </c>
      <c r="AC28" s="31">
        <v>0.65467573000907242</v>
      </c>
      <c r="AD28" s="31">
        <v>1.3220064460909717</v>
      </c>
      <c r="AE28" s="31">
        <v>2.4809215801138378</v>
      </c>
      <c r="AF28" s="31">
        <v>3.1389708094154027</v>
      </c>
      <c r="AG28" s="31">
        <v>3.1404385569695386</v>
      </c>
      <c r="AH28" s="31">
        <v>4.4290141364574049</v>
      </c>
      <c r="AI28" s="31">
        <v>9.3310775548697507</v>
      </c>
      <c r="AJ28" s="31">
        <v>10.331123287581281</v>
      </c>
      <c r="AK28" s="31">
        <v>11.238701842092453</v>
      </c>
      <c r="AL28" s="31">
        <v>14.43034729191776</v>
      </c>
      <c r="AM28" s="31">
        <v>15.14098282884531</v>
      </c>
      <c r="AN28" s="31">
        <v>15.523555016810558</v>
      </c>
      <c r="AO28" s="31">
        <v>17.715775676859451</v>
      </c>
      <c r="AP28" s="31">
        <v>19.62833205338292</v>
      </c>
      <c r="AQ28" s="31">
        <v>21.392785664533637</v>
      </c>
      <c r="AR28" s="31">
        <v>19.16177782008311</v>
      </c>
      <c r="AS28" s="31">
        <v>10.65100188933309</v>
      </c>
      <c r="AT28" s="31">
        <v>6.7328029522491137</v>
      </c>
      <c r="AU28" s="31">
        <v>9.287948705016813</v>
      </c>
      <c r="AV28" s="31">
        <v>10.348340802114517</v>
      </c>
      <c r="AW28" s="31">
        <v>14.696192309991833</v>
      </c>
      <c r="AX28" s="31">
        <v>12.707563657292074</v>
      </c>
      <c r="AY28" s="31">
        <v>13.71522722674697</v>
      </c>
      <c r="AZ28" s="31">
        <v>3.2554295230803181</v>
      </c>
      <c r="BA28" s="31">
        <v>2.4409622150600776</v>
      </c>
      <c r="BB28" s="31">
        <v>2.1521252997024578</v>
      </c>
      <c r="BC28" s="31">
        <v>6.671445361967776E-2</v>
      </c>
      <c r="BD28" s="31">
        <v>-0.14278936574393286</v>
      </c>
      <c r="BE28" s="31">
        <v>-0.1107886984863572</v>
      </c>
      <c r="BF28" s="31">
        <v>-0.19118857585371984</v>
      </c>
      <c r="BG28" s="31">
        <v>-0.18210542777715788</v>
      </c>
      <c r="BH28" s="31">
        <v>-0.29649113943750349</v>
      </c>
      <c r="BI28" s="31">
        <v>-0.3194173612893042</v>
      </c>
      <c r="BJ28" s="31">
        <v>-0.35880004334352611</v>
      </c>
      <c r="BK28" s="31">
        <v>-0.1103649284693824</v>
      </c>
      <c r="BL28" s="31">
        <v>-0.10145102796832917</v>
      </c>
      <c r="BM28" s="31">
        <v>-6.0884938071406713E-2</v>
      </c>
      <c r="BN28" s="31">
        <v>1.8088805005086694E-2</v>
      </c>
      <c r="BO28" s="31">
        <v>0.20656592974620169</v>
      </c>
      <c r="BP28" s="31">
        <v>0.17438893141081224</v>
      </c>
      <c r="BQ28" s="31">
        <v>-0.80786292325126074</v>
      </c>
      <c r="BR28" s="31">
        <v>-0.83417438440331737</v>
      </c>
      <c r="BS28" s="31">
        <v>-0.89747249857464617</v>
      </c>
      <c r="BT28" s="31">
        <v>-0.90994199957078847</v>
      </c>
      <c r="BU28" s="31">
        <v>-0.91496716901934705</v>
      </c>
      <c r="BV28" s="31">
        <v>-0.91927728664167496</v>
      </c>
      <c r="BW28" s="31">
        <v>-0.92528531273856673</v>
      </c>
      <c r="BX28" s="31">
        <v>-0.92100357395552723</v>
      </c>
      <c r="BY28" s="31">
        <v>-0.91574204514132362</v>
      </c>
      <c r="BZ28" s="31">
        <v>-0.90247996251265905</v>
      </c>
      <c r="CA28" s="31">
        <v>-0.94260959567740499</v>
      </c>
      <c r="CB28" s="31">
        <v>-0.93953768286041928</v>
      </c>
      <c r="CC28" s="31">
        <v>-0.91916617593320216</v>
      </c>
      <c r="CD28" s="31">
        <v>-0.93700567415199498</v>
      </c>
      <c r="CE28" s="31">
        <v>-0.9023214401466052</v>
      </c>
      <c r="CF28" s="31">
        <v>-0.88477128435198227</v>
      </c>
      <c r="CG28" s="31">
        <v>-0.88707968094101797</v>
      </c>
      <c r="CH28" s="31">
        <v>-0.87629731138375955</v>
      </c>
      <c r="CI28" s="31">
        <v>-0.93516931927616687</v>
      </c>
      <c r="CJ28" s="31">
        <v>-0.93049562511049677</v>
      </c>
      <c r="CK28" s="31">
        <v>-0.90931607472593012</v>
      </c>
      <c r="CL28" s="31">
        <v>-0.91433233415647286</v>
      </c>
      <c r="CM28" s="31">
        <v>-0.91752339311955877</v>
      </c>
      <c r="CN28" s="31">
        <v>-0.90083852565875455</v>
      </c>
      <c r="CO28" s="31">
        <v>-0.89440063657886359</v>
      </c>
      <c r="CP28" s="31">
        <v>-0.92130540009924844</v>
      </c>
      <c r="CQ28" s="31">
        <v>-0.91641419757017806</v>
      </c>
      <c r="CR28" s="31">
        <v>-0.86277095003361159</v>
      </c>
      <c r="CS28" s="31">
        <v>-0.91134937643687763</v>
      </c>
      <c r="CT28" s="31">
        <v>-0.91652346842357757</v>
      </c>
      <c r="CU28" s="31">
        <v>-0.92709191423944115</v>
      </c>
      <c r="CV28" s="31">
        <v>-0.92240949376661185</v>
      </c>
      <c r="CW28" s="31">
        <v>-0.91408061771987892</v>
      </c>
      <c r="CX28" s="31">
        <v>-0.9336147040646755</v>
      </c>
      <c r="CY28" s="31">
        <v>-0.92166895081654776</v>
      </c>
      <c r="CZ28" s="31">
        <v>-0.92131032083523468</v>
      </c>
      <c r="DA28" s="31">
        <v>-0.88867969413592096</v>
      </c>
      <c r="DB28" s="31">
        <v>-0.92067624985921248</v>
      </c>
      <c r="DC28" s="31">
        <v>-0.93285516970476245</v>
      </c>
      <c r="DD28" s="31">
        <v>-0.9416851559700079</v>
      </c>
      <c r="DE28" s="31">
        <v>-0.93207030737014374</v>
      </c>
      <c r="DF28" s="31">
        <v>-0.94847703964151198</v>
      </c>
      <c r="DG28" s="31">
        <v>-0.94911508457085048</v>
      </c>
      <c r="DH28" s="31">
        <v>-0.95505148887825808</v>
      </c>
      <c r="DI28" s="31">
        <v>-0.95047514883825157</v>
      </c>
      <c r="DJ28" s="31">
        <v>-0.95628343226480683</v>
      </c>
      <c r="DK28" s="31">
        <v>-0.95365796160090555</v>
      </c>
      <c r="DL28" s="31">
        <v>-0.95235057541591139</v>
      </c>
      <c r="DM28" s="31">
        <v>-0.96095186694522339</v>
      </c>
      <c r="DN28" s="31">
        <v>-0.96476091696305577</v>
      </c>
      <c r="DO28" s="31">
        <v>-0.9629658300981172</v>
      </c>
      <c r="DP28" s="31">
        <v>-0.96670068745515081</v>
      </c>
      <c r="DQ28" s="31">
        <v>-0.96342083289965652</v>
      </c>
      <c r="DR28" s="31">
        <v>-0.96556712567756342</v>
      </c>
      <c r="DS28" s="31">
        <v>-0.96481312809222675</v>
      </c>
      <c r="DT28" s="31">
        <v>-0.97429178013409667</v>
      </c>
      <c r="DU28" s="31">
        <v>-0.98514279834131657</v>
      </c>
      <c r="DV28" s="31">
        <v>-0.98625897536136919</v>
      </c>
      <c r="DW28" s="31">
        <v>-0.98912178492353253</v>
      </c>
      <c r="DX28" s="31">
        <v>-0.98928035979513362</v>
      </c>
      <c r="DY28" s="31">
        <v>-0.98469705936053742</v>
      </c>
      <c r="DZ28" s="31">
        <v>-0.98626550368162991</v>
      </c>
      <c r="EA28" s="31">
        <v>-0.98569587921517876</v>
      </c>
      <c r="EB28" s="31">
        <v>-0.97713260276005831</v>
      </c>
      <c r="EC28" s="31">
        <v>-0.97230357416165525</v>
      </c>
      <c r="ED28" s="31">
        <v>-0.95791527597459292</v>
      </c>
      <c r="EE28" s="31">
        <v>-0.96223102013986139</v>
      </c>
      <c r="EF28" s="31">
        <v>-0.95814695108787407</v>
      </c>
      <c r="EG28" s="31">
        <v>-0.95411919748414975</v>
      </c>
    </row>
    <row r="29" spans="1:138" s="1" customFormat="1" ht="16" customHeight="1">
      <c r="C29" s="6" t="s">
        <v>147</v>
      </c>
      <c r="D29" s="37">
        <v>-1.744677053939037E-2</v>
      </c>
      <c r="E29" s="37">
        <v>2.893123339404724E-3</v>
      </c>
      <c r="F29" s="37">
        <v>2.6944635852046869E-2</v>
      </c>
      <c r="G29" s="37">
        <v>2.0210365301730041E-2</v>
      </c>
      <c r="H29" s="37">
        <v>5.269909680859941E-2</v>
      </c>
      <c r="I29" s="37">
        <v>8.8857766197530053E-2</v>
      </c>
      <c r="J29" s="37">
        <v>7.9869318529145472E-2</v>
      </c>
      <c r="K29" s="37">
        <v>9.3738646464063713E-2</v>
      </c>
      <c r="L29" s="37">
        <v>3.7937714394164157E-2</v>
      </c>
      <c r="M29" s="37">
        <v>3.8844812525307137E-2</v>
      </c>
      <c r="N29" s="37">
        <v>6.3142951706360639E-2</v>
      </c>
      <c r="O29" s="37">
        <v>7.6952085951054405E-2</v>
      </c>
      <c r="P29" s="37">
        <v>8.3257197491512391E-2</v>
      </c>
      <c r="Q29" s="37">
        <v>0.11295275081672609</v>
      </c>
      <c r="R29" s="37">
        <v>0.1088204283509331</v>
      </c>
      <c r="S29" s="37">
        <v>0.13551706985268061</v>
      </c>
      <c r="T29" s="37">
        <v>0.12167508804368481</v>
      </c>
      <c r="U29" s="37">
        <v>7.7088976461827885E-2</v>
      </c>
      <c r="V29" s="37">
        <v>-1.7059521199481731E-3</v>
      </c>
      <c r="W29" s="37">
        <v>-5.9866792867339091E-2</v>
      </c>
      <c r="X29" s="37">
        <v>-5.9140260213613523E-2</v>
      </c>
      <c r="Y29" s="37">
        <v>-1.7185893241652209E-2</v>
      </c>
      <c r="Z29" s="37">
        <v>-4.4409529547694393E-2</v>
      </c>
      <c r="AA29" s="37">
        <v>-4.2407561826578573E-2</v>
      </c>
      <c r="AB29" s="37">
        <v>-6.481575250614946E-2</v>
      </c>
      <c r="AC29" s="37">
        <v>-3.4768870774049443E-2</v>
      </c>
      <c r="AD29" s="37">
        <v>2.7817794451217011E-3</v>
      </c>
      <c r="AE29" s="37">
        <v>-4.0202844765013457E-2</v>
      </c>
      <c r="AF29" s="37">
        <v>-2.23053204826642E-2</v>
      </c>
      <c r="AG29" s="37">
        <v>-7.4152570234460313E-3</v>
      </c>
      <c r="AH29" s="37">
        <v>2.8334274381314421E-2</v>
      </c>
      <c r="AI29" s="37">
        <v>3.7953941892352683E-2</v>
      </c>
      <c r="AJ29" s="37">
        <v>4.9110131735873752E-2</v>
      </c>
      <c r="AK29" s="37">
        <v>6.3123886850196875E-2</v>
      </c>
      <c r="AL29" s="37">
        <v>5.7454515782098918E-2</v>
      </c>
      <c r="AM29" s="37">
        <v>5.8917118987427568E-2</v>
      </c>
      <c r="AN29" s="37">
        <v>8.0938283596681648E-2</v>
      </c>
      <c r="AO29" s="37">
        <v>0.11500697453770201</v>
      </c>
      <c r="AP29" s="37">
        <v>0.1219665320054517</v>
      </c>
      <c r="AQ29" s="37">
        <v>0.12886130991117531</v>
      </c>
      <c r="AR29" s="37">
        <v>0.14799139743631429</v>
      </c>
      <c r="AS29" s="37">
        <v>0.18780698843660251</v>
      </c>
      <c r="AT29" s="37">
        <v>0.19148751365039929</v>
      </c>
      <c r="AU29" s="37">
        <v>0.20945675046088999</v>
      </c>
      <c r="AV29" s="37">
        <v>0.18617324550329581</v>
      </c>
      <c r="AW29" s="37">
        <v>0.23209180697664691</v>
      </c>
      <c r="AX29" s="37">
        <v>0.205162036556817</v>
      </c>
      <c r="AY29" s="37">
        <v>0.21453132863303209</v>
      </c>
      <c r="AZ29" s="37">
        <v>0.2660241129922889</v>
      </c>
      <c r="BA29" s="37">
        <v>0.23271631642995261</v>
      </c>
      <c r="BB29" s="37">
        <v>0.2445155679795841</v>
      </c>
      <c r="BC29" s="37">
        <v>0.21433638745422809</v>
      </c>
      <c r="BD29" s="37">
        <v>0.2388215063710388</v>
      </c>
      <c r="BE29" s="37">
        <v>0.23447943849994909</v>
      </c>
      <c r="BF29" s="37">
        <v>0.25935658802508499</v>
      </c>
      <c r="BG29" s="37">
        <v>0.26008869763716319</v>
      </c>
      <c r="BH29" s="37">
        <v>0.2535114114609236</v>
      </c>
      <c r="BI29" s="37">
        <v>0.10826483627727621</v>
      </c>
      <c r="BJ29" s="37">
        <v>0.11793469710078749</v>
      </c>
      <c r="BK29" s="37">
        <v>9.9625988810205346E-2</v>
      </c>
      <c r="BL29" s="37">
        <v>0.12254260303831389</v>
      </c>
      <c r="BM29" s="37">
        <v>0.17302993558174001</v>
      </c>
      <c r="BN29" s="37">
        <v>0.20112905370185399</v>
      </c>
      <c r="BO29" s="37">
        <v>0.237450116940952</v>
      </c>
      <c r="BP29" s="37">
        <v>0.18334151222801379</v>
      </c>
      <c r="BQ29" s="37">
        <v>0.209244230248715</v>
      </c>
      <c r="BR29" s="37">
        <v>0.21967690051673561</v>
      </c>
      <c r="BS29" s="37">
        <v>0.1962676978767699</v>
      </c>
      <c r="BT29" s="37">
        <v>0.21987619627534569</v>
      </c>
      <c r="BU29" s="37">
        <v>0.27805738326883361</v>
      </c>
      <c r="BV29" s="37">
        <v>0.29269729646247922</v>
      </c>
      <c r="BW29" s="37">
        <v>0.34857881761669129</v>
      </c>
      <c r="BX29" s="37">
        <v>0.2909305384219143</v>
      </c>
      <c r="BY29" s="37">
        <v>0.26793739709811137</v>
      </c>
      <c r="BZ29" s="37">
        <v>7.628473289061688E-2</v>
      </c>
      <c r="CA29" s="37">
        <v>0.2099851314449144</v>
      </c>
      <c r="CB29" s="37">
        <v>0.20447092205281339</v>
      </c>
      <c r="CC29" s="37">
        <v>0.27699361006036599</v>
      </c>
      <c r="CD29" s="37">
        <v>0.38680488733361829</v>
      </c>
      <c r="CE29" s="37">
        <v>0.37874965946081551</v>
      </c>
      <c r="CF29" s="37">
        <v>0.37042015435709108</v>
      </c>
      <c r="CG29" s="37">
        <v>0.37378086910184649</v>
      </c>
      <c r="CH29" s="37">
        <v>0.49692143719092191</v>
      </c>
      <c r="CI29" s="37">
        <v>0.603191980394987</v>
      </c>
      <c r="CJ29" s="37">
        <v>0.64675173719730239</v>
      </c>
      <c r="CK29" s="37">
        <v>0.73315421285472704</v>
      </c>
      <c r="CL29" s="37">
        <v>0.7842487445659152</v>
      </c>
      <c r="CM29" s="37">
        <v>0.90348131155309508</v>
      </c>
      <c r="CN29" s="37">
        <v>0.8487139113221478</v>
      </c>
      <c r="CO29" s="37">
        <v>0.92166881344527685</v>
      </c>
      <c r="CP29" s="37">
        <v>0.86588067898046694</v>
      </c>
      <c r="CQ29" s="37">
        <v>0.89197293519067467</v>
      </c>
      <c r="CR29" s="37">
        <v>0.83090579105751727</v>
      </c>
      <c r="CS29" s="37">
        <v>0.83658814745105547</v>
      </c>
      <c r="CT29" s="37">
        <v>0.88358984642415717</v>
      </c>
      <c r="CU29" s="37">
        <v>0.9672059526983301</v>
      </c>
      <c r="CV29" s="37">
        <v>0.90752297284093331</v>
      </c>
      <c r="CW29" s="37">
        <v>0.90512335385454468</v>
      </c>
      <c r="CX29" s="37">
        <v>0.90957440110152876</v>
      </c>
      <c r="CY29" s="37">
        <v>0.78685723504233995</v>
      </c>
      <c r="CZ29" s="37">
        <v>0.80992516787144164</v>
      </c>
      <c r="DA29" s="37">
        <v>0.58282101623526672</v>
      </c>
      <c r="DB29" s="37">
        <v>0.60132527488651344</v>
      </c>
      <c r="DC29" s="37">
        <v>0.61147422419279152</v>
      </c>
      <c r="DD29" s="37">
        <v>0.42243966588262949</v>
      </c>
      <c r="DE29" s="37">
        <v>0.37121637307647259</v>
      </c>
      <c r="DF29" s="37">
        <v>0.5616938276257708</v>
      </c>
      <c r="DG29" s="37">
        <v>0.48182332962932128</v>
      </c>
      <c r="DH29" s="37">
        <v>0.59552577817978314</v>
      </c>
      <c r="DI29" s="37">
        <v>0.62027043996328524</v>
      </c>
      <c r="DJ29" s="37">
        <v>0.65789923395288952</v>
      </c>
      <c r="DK29" s="37">
        <v>0.62743885630809859</v>
      </c>
      <c r="DL29" s="37">
        <v>0.72866394865424411</v>
      </c>
      <c r="DM29" s="37">
        <v>0.76340716304992284</v>
      </c>
      <c r="DN29" s="37">
        <v>0.78721129009524526</v>
      </c>
      <c r="DO29" s="37">
        <v>0.73314419395664854</v>
      </c>
      <c r="DP29" s="37">
        <v>0.7036411650845571</v>
      </c>
      <c r="DQ29" s="37">
        <v>0.666521339911188</v>
      </c>
      <c r="DR29" s="37">
        <v>0.80941825308633253</v>
      </c>
      <c r="DS29" s="37">
        <v>0.86027510799998974</v>
      </c>
      <c r="DT29" s="37">
        <v>0.85599059714061299</v>
      </c>
      <c r="DU29" s="37">
        <v>0.9645125910761998</v>
      </c>
      <c r="DV29" s="37">
        <v>1.097429448381251</v>
      </c>
      <c r="DW29" s="37">
        <v>1.1079601605760621</v>
      </c>
      <c r="DX29" s="37">
        <v>1.1868319851241951</v>
      </c>
      <c r="DY29" s="37">
        <v>1.370768618416941</v>
      </c>
      <c r="DZ29" s="37">
        <v>1.2834475238077689</v>
      </c>
      <c r="EA29" s="37">
        <v>1.290507264949454</v>
      </c>
      <c r="EB29" s="37">
        <v>1.2860233033025421</v>
      </c>
      <c r="EC29" s="37">
        <v>1.346509430724685</v>
      </c>
      <c r="ED29" s="37">
        <v>1.2884273650883471</v>
      </c>
      <c r="EE29" s="37">
        <v>1.366498188226261</v>
      </c>
      <c r="EF29" s="37">
        <v>1.416341311511776</v>
      </c>
      <c r="EG29" s="37">
        <v>1.367344209826507</v>
      </c>
    </row>
    <row r="37" spans="70:70"/>
  </sheetData>
  <phoneticPr fontId="2" type="noConversion"/>
  <pageMargins left="0.7" right="0.7" top="0.75" bottom="0.75" header="0.3" footer="0.3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3:EI32"/>
  <sheetViews>
    <sheetView topLeftCell="DU1" zoomScaleNormal="84" workbookViewId="0">
      <selection activeCell="EJ23" sqref="EJ23"/>
    </sheetView>
  </sheetViews>
  <sheetFormatPr baseColWidth="10" defaultColWidth="8.83203125" defaultRowHeight="15"/>
  <cols>
    <col min="1" max="1" width="8.33203125" style="18" customWidth="1"/>
    <col min="2" max="3" width="9.33203125" style="18" customWidth="1"/>
    <col min="11" max="11" width="8.1640625" style="18" customWidth="1"/>
    <col min="64" max="64" width="8.33203125" style="18" customWidth="1"/>
    <col min="137" max="137" width="9" style="18" customWidth="1"/>
    <col min="138" max="138" width="8.5" style="18" customWidth="1"/>
    <col min="139" max="139" width="9.33203125" style="18" customWidth="1"/>
  </cols>
  <sheetData>
    <row r="13" spans="1:139" ht="16" customHeight="1">
      <c r="A13" s="19"/>
      <c r="B13" s="19"/>
      <c r="C13" s="19"/>
      <c r="D13" s="4"/>
      <c r="E13" s="4"/>
      <c r="F13" s="4"/>
      <c r="G13" s="4"/>
      <c r="H13" s="4"/>
      <c r="I13" s="4"/>
      <c r="J13" s="4"/>
      <c r="K13" s="19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</row>
    <row r="14" spans="1:139" ht="16" customHeight="1">
      <c r="A14" s="50" t="s">
        <v>142</v>
      </c>
      <c r="B14" s="51"/>
      <c r="C14" s="8" t="s">
        <v>143</v>
      </c>
      <c r="D14" s="8">
        <v>964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</row>
    <row r="15" spans="1:139" ht="18" customHeight="1">
      <c r="A15" s="6" t="s">
        <v>144</v>
      </c>
      <c r="B15" s="6" t="s">
        <v>145</v>
      </c>
      <c r="C15" s="10" t="s">
        <v>3</v>
      </c>
      <c r="D15" s="10" t="s">
        <v>4</v>
      </c>
      <c r="E15" s="10" t="s">
        <v>5</v>
      </c>
      <c r="F15" s="10" t="s">
        <v>6</v>
      </c>
      <c r="G15" s="10" t="s">
        <v>7</v>
      </c>
      <c r="H15" s="10" t="s">
        <v>8</v>
      </c>
      <c r="I15" s="10" t="s">
        <v>9</v>
      </c>
      <c r="J15" s="10" t="s">
        <v>10</v>
      </c>
      <c r="K15" s="10" t="s">
        <v>11</v>
      </c>
      <c r="L15" s="10" t="s">
        <v>12</v>
      </c>
      <c r="M15" s="10" t="s">
        <v>13</v>
      </c>
      <c r="N15" s="10" t="s">
        <v>14</v>
      </c>
      <c r="O15" s="10" t="s">
        <v>15</v>
      </c>
      <c r="P15" s="10" t="s">
        <v>16</v>
      </c>
      <c r="Q15" s="10" t="s">
        <v>17</v>
      </c>
      <c r="R15" s="10" t="s">
        <v>18</v>
      </c>
      <c r="S15" s="10" t="s">
        <v>19</v>
      </c>
      <c r="T15" s="10" t="s">
        <v>20</v>
      </c>
      <c r="U15" s="10" t="s">
        <v>21</v>
      </c>
      <c r="V15" s="10" t="s">
        <v>22</v>
      </c>
      <c r="W15" s="10" t="s">
        <v>23</v>
      </c>
      <c r="X15" s="10" t="s">
        <v>24</v>
      </c>
      <c r="Y15" s="10" t="s">
        <v>25</v>
      </c>
      <c r="Z15" s="10" t="s">
        <v>26</v>
      </c>
      <c r="AA15" s="10" t="s">
        <v>27</v>
      </c>
      <c r="AB15" s="10" t="s">
        <v>28</v>
      </c>
      <c r="AC15" s="10" t="s">
        <v>29</v>
      </c>
      <c r="AD15" s="10" t="s">
        <v>30</v>
      </c>
      <c r="AE15" s="10" t="s">
        <v>31</v>
      </c>
      <c r="AF15" s="10" t="s">
        <v>32</v>
      </c>
      <c r="AG15" s="10" t="s">
        <v>33</v>
      </c>
      <c r="AH15" s="10" t="s">
        <v>34</v>
      </c>
      <c r="AI15" s="10" t="s">
        <v>35</v>
      </c>
      <c r="AJ15" s="10" t="s">
        <v>36</v>
      </c>
      <c r="AK15" s="10" t="s">
        <v>37</v>
      </c>
      <c r="AL15" s="10" t="s">
        <v>38</v>
      </c>
      <c r="AM15" s="10" t="s">
        <v>39</v>
      </c>
      <c r="AN15" s="10" t="s">
        <v>40</v>
      </c>
      <c r="AO15" s="10" t="s">
        <v>41</v>
      </c>
      <c r="AP15" s="10" t="s">
        <v>42</v>
      </c>
      <c r="AQ15" s="10" t="s">
        <v>43</v>
      </c>
      <c r="AR15" s="10" t="s">
        <v>44</v>
      </c>
      <c r="AS15" s="10" t="s">
        <v>45</v>
      </c>
      <c r="AT15" s="10" t="s">
        <v>46</v>
      </c>
      <c r="AU15" s="10" t="s">
        <v>47</v>
      </c>
      <c r="AV15" s="10" t="s">
        <v>48</v>
      </c>
      <c r="AW15" s="10" t="s">
        <v>49</v>
      </c>
      <c r="AX15" s="10" t="s">
        <v>50</v>
      </c>
      <c r="AY15" s="10" t="s">
        <v>51</v>
      </c>
      <c r="AZ15" s="10" t="s">
        <v>52</v>
      </c>
      <c r="BA15" s="10" t="s">
        <v>53</v>
      </c>
      <c r="BB15" s="10" t="s">
        <v>54</v>
      </c>
      <c r="BC15" s="10" t="s">
        <v>55</v>
      </c>
      <c r="BD15" s="10" t="s">
        <v>56</v>
      </c>
      <c r="BE15" s="10" t="s">
        <v>57</v>
      </c>
      <c r="BF15" s="10" t="s">
        <v>58</v>
      </c>
      <c r="BG15" s="10" t="s">
        <v>59</v>
      </c>
      <c r="BH15" s="10" t="s">
        <v>60</v>
      </c>
      <c r="BI15" s="10" t="s">
        <v>61</v>
      </c>
      <c r="BJ15" s="10" t="s">
        <v>62</v>
      </c>
      <c r="BK15" s="10" t="s">
        <v>63</v>
      </c>
      <c r="BL15" s="10" t="s">
        <v>64</v>
      </c>
      <c r="BM15" s="10" t="s">
        <v>65</v>
      </c>
      <c r="BN15" s="10" t="s">
        <v>66</v>
      </c>
      <c r="BO15" s="10" t="s">
        <v>67</v>
      </c>
      <c r="BP15" s="10" t="s">
        <v>68</v>
      </c>
      <c r="BQ15" s="10" t="s">
        <v>69</v>
      </c>
      <c r="BR15" s="10" t="s">
        <v>70</v>
      </c>
      <c r="BS15" s="10" t="s">
        <v>71</v>
      </c>
      <c r="BT15" s="10" t="s">
        <v>72</v>
      </c>
      <c r="BU15" s="10" t="s">
        <v>73</v>
      </c>
      <c r="BV15" s="10" t="s">
        <v>74</v>
      </c>
      <c r="BW15" s="10" t="s">
        <v>75</v>
      </c>
      <c r="BX15" s="10" t="s">
        <v>76</v>
      </c>
      <c r="BY15" s="10" t="s">
        <v>77</v>
      </c>
      <c r="BZ15" s="10" t="s">
        <v>78</v>
      </c>
      <c r="CA15" s="10" t="s">
        <v>79</v>
      </c>
      <c r="CB15" s="10" t="s">
        <v>80</v>
      </c>
      <c r="CC15" s="10" t="s">
        <v>81</v>
      </c>
      <c r="CD15" s="10" t="s">
        <v>82</v>
      </c>
      <c r="CE15" s="10" t="s">
        <v>83</v>
      </c>
      <c r="CF15" s="10" t="s">
        <v>84</v>
      </c>
      <c r="CG15" s="10" t="s">
        <v>85</v>
      </c>
      <c r="CH15" s="10" t="s">
        <v>86</v>
      </c>
      <c r="CI15" s="10" t="s">
        <v>87</v>
      </c>
      <c r="CJ15" s="10" t="s">
        <v>88</v>
      </c>
      <c r="CK15" s="10" t="s">
        <v>89</v>
      </c>
      <c r="CL15" s="10" t="s">
        <v>90</v>
      </c>
      <c r="CM15" s="10" t="s">
        <v>91</v>
      </c>
      <c r="CN15" s="10" t="s">
        <v>92</v>
      </c>
      <c r="CO15" s="10" t="s">
        <v>93</v>
      </c>
      <c r="CP15" s="10" t="s">
        <v>94</v>
      </c>
      <c r="CQ15" s="10" t="s">
        <v>95</v>
      </c>
      <c r="CR15" s="10" t="s">
        <v>96</v>
      </c>
      <c r="CS15" s="10" t="s">
        <v>97</v>
      </c>
      <c r="CT15" s="10" t="s">
        <v>98</v>
      </c>
      <c r="CU15" s="10" t="s">
        <v>99</v>
      </c>
      <c r="CV15" s="10" t="s">
        <v>100</v>
      </c>
      <c r="CW15" s="10" t="s">
        <v>101</v>
      </c>
      <c r="CX15" s="10" t="s">
        <v>102</v>
      </c>
      <c r="CY15" s="10" t="s">
        <v>103</v>
      </c>
      <c r="CZ15" s="10" t="s">
        <v>104</v>
      </c>
      <c r="DA15" s="10" t="s">
        <v>105</v>
      </c>
      <c r="DB15" s="10" t="s">
        <v>106</v>
      </c>
      <c r="DC15" s="10" t="s">
        <v>107</v>
      </c>
      <c r="DD15" s="10" t="s">
        <v>108</v>
      </c>
      <c r="DE15" s="10" t="s">
        <v>109</v>
      </c>
      <c r="DF15" s="10" t="s">
        <v>110</v>
      </c>
      <c r="DG15" s="10" t="s">
        <v>111</v>
      </c>
      <c r="DH15" s="10" t="s">
        <v>112</v>
      </c>
      <c r="DI15" s="10" t="s">
        <v>113</v>
      </c>
      <c r="DJ15" s="10" t="s">
        <v>114</v>
      </c>
      <c r="DK15" s="10" t="s">
        <v>115</v>
      </c>
      <c r="DL15" s="10" t="s">
        <v>116</v>
      </c>
      <c r="DM15" s="10" t="s">
        <v>117</v>
      </c>
      <c r="DN15" s="10" t="s">
        <v>118</v>
      </c>
      <c r="DO15" s="10" t="s">
        <v>119</v>
      </c>
      <c r="DP15" s="10" t="s">
        <v>120</v>
      </c>
      <c r="DQ15" s="10" t="s">
        <v>121</v>
      </c>
      <c r="DR15" s="10" t="s">
        <v>122</v>
      </c>
      <c r="DS15" s="10" t="s">
        <v>123</v>
      </c>
      <c r="DT15" s="10" t="s">
        <v>124</v>
      </c>
      <c r="DU15" s="10" t="s">
        <v>125</v>
      </c>
      <c r="DV15" s="10" t="s">
        <v>126</v>
      </c>
      <c r="DW15" s="10" t="s">
        <v>127</v>
      </c>
      <c r="DX15" s="10" t="s">
        <v>128</v>
      </c>
      <c r="DY15" s="10" t="s">
        <v>129</v>
      </c>
      <c r="DZ15" s="10" t="s">
        <v>130</v>
      </c>
      <c r="EA15" s="10" t="s">
        <v>131</v>
      </c>
      <c r="EB15" s="10" t="s">
        <v>132</v>
      </c>
      <c r="EC15" s="10" t="s">
        <v>133</v>
      </c>
      <c r="ED15" s="10" t="s">
        <v>134</v>
      </c>
      <c r="EE15" s="10" t="s">
        <v>135</v>
      </c>
      <c r="EF15" s="10" t="s">
        <v>146</v>
      </c>
      <c r="EG15" s="22" t="s">
        <v>165</v>
      </c>
      <c r="EH15" s="22" t="s">
        <v>166</v>
      </c>
      <c r="EI15" s="22" t="s">
        <v>167</v>
      </c>
    </row>
    <row r="16" spans="1:139" ht="16" customHeight="1">
      <c r="A16" s="6">
        <v>10</v>
      </c>
      <c r="B16" s="6">
        <v>96</v>
      </c>
      <c r="C16" s="7">
        <v>0.13959367873036829</v>
      </c>
      <c r="D16" s="7">
        <v>2.609881692874326E-2</v>
      </c>
      <c r="E16" s="7">
        <v>-4.682604049333813E-3</v>
      </c>
      <c r="F16" s="7">
        <v>-1.6570813271886298E-2</v>
      </c>
      <c r="G16" s="7">
        <v>-1.776126592325046E-2</v>
      </c>
      <c r="H16" s="7">
        <v>-7.825865210465046E-3</v>
      </c>
      <c r="I16" s="7">
        <v>3.460907753546801E-3</v>
      </c>
      <c r="J16" s="7">
        <v>-1.7798510735374171E-2</v>
      </c>
      <c r="K16" s="7">
        <v>-5.3688850834415526E-3</v>
      </c>
      <c r="L16" s="2">
        <v>5.7413587759904891E-3</v>
      </c>
      <c r="M16" s="2">
        <v>-1.687893019100797E-2</v>
      </c>
      <c r="N16" s="2">
        <v>1.0384013416227919E-2</v>
      </c>
      <c r="O16" s="1">
        <v>-2.742411602666071E-2</v>
      </c>
      <c r="P16" s="1">
        <v>1.4133300455926869E-3</v>
      </c>
      <c r="Q16" s="1">
        <v>-1.6572393634342888E-2</v>
      </c>
      <c r="R16" s="1">
        <v>-1.8447579495359259E-2</v>
      </c>
      <c r="S16" s="1">
        <v>2.9430442527338669E-3</v>
      </c>
      <c r="T16" s="1">
        <v>-9.3109739742537542E-3</v>
      </c>
      <c r="U16" s="1">
        <v>-6.1156808795980464E-3</v>
      </c>
      <c r="V16" s="1">
        <v>3.3269366095521377E-2</v>
      </c>
      <c r="W16" s="1">
        <v>-1.234171890509865E-2</v>
      </c>
      <c r="X16" s="1">
        <v>8.78260656023271E-2</v>
      </c>
      <c r="Y16" s="1">
        <v>-5.6736625458490758E-2</v>
      </c>
      <c r="Z16" s="1">
        <v>1.0480664632261711E-2</v>
      </c>
      <c r="AA16" s="1">
        <v>-3.1362814454215788E-3</v>
      </c>
      <c r="AB16" s="1">
        <v>8.08408185227108E-3</v>
      </c>
      <c r="AC16" s="1">
        <v>2.7969384133172931E-2</v>
      </c>
      <c r="AD16" s="1">
        <v>2.9859741350276581E-3</v>
      </c>
      <c r="AE16" s="1">
        <v>-4.1283577883219538E-3</v>
      </c>
      <c r="AF16" s="1">
        <v>-3.153398008777088E-3</v>
      </c>
      <c r="AG16" s="1">
        <v>1.522928675579791E-2</v>
      </c>
      <c r="AH16" s="1">
        <v>2.12793192860114E-2</v>
      </c>
      <c r="AI16" s="1">
        <v>2.731879124968905E-3</v>
      </c>
      <c r="AJ16" s="1">
        <v>-2.463812418669405E-2</v>
      </c>
      <c r="AK16" s="1">
        <v>-1.811887696470835E-2</v>
      </c>
      <c r="AL16" s="1">
        <v>7.1975507628570246E-4</v>
      </c>
      <c r="AM16" s="1">
        <v>-2.09082014606972E-2</v>
      </c>
      <c r="AN16" s="1">
        <v>7.3231474948637701E-3</v>
      </c>
      <c r="AO16" s="1">
        <v>1.779688725956002E-2</v>
      </c>
      <c r="AP16" s="1">
        <v>3.4346721630067772E-2</v>
      </c>
      <c r="AQ16" s="1">
        <v>2.01594070192972E-2</v>
      </c>
      <c r="AR16" s="1">
        <v>5.1068640699949239E-3</v>
      </c>
      <c r="AS16" s="1">
        <v>1.7430918937854568E-2</v>
      </c>
      <c r="AT16" s="1">
        <v>-9.5214669046271624E-3</v>
      </c>
      <c r="AU16" s="1">
        <v>9.6074037066366906E-3</v>
      </c>
      <c r="AV16" s="1">
        <v>7.1497717485999417E-3</v>
      </c>
      <c r="AW16" s="1">
        <v>6.1192953680198076E-3</v>
      </c>
      <c r="AX16" s="1">
        <v>-2.266498170802575E-2</v>
      </c>
      <c r="AY16" s="1">
        <v>-5.5687312584629493E-3</v>
      </c>
      <c r="AZ16" s="1">
        <v>4.597330099370002E-3</v>
      </c>
      <c r="BA16" s="1">
        <v>2.0644357166134789E-2</v>
      </c>
      <c r="BB16" s="1">
        <v>-1.573958510611961E-2</v>
      </c>
      <c r="BC16" s="1">
        <v>4.7345580565263598E-3</v>
      </c>
      <c r="BD16" s="1">
        <v>7.6378022438665814E-3</v>
      </c>
      <c r="BE16" s="1">
        <v>-2.3567955974959511E-2</v>
      </c>
      <c r="BF16" s="1">
        <v>1.535357452797363E-2</v>
      </c>
      <c r="BG16" s="1">
        <v>3.1234840260269129E-2</v>
      </c>
      <c r="BH16" s="1">
        <v>-8.4160203875473516E-3</v>
      </c>
      <c r="BI16" s="1">
        <v>-2.501197745157308E-3</v>
      </c>
      <c r="BJ16" s="1">
        <v>-3.933175939982091E-3</v>
      </c>
      <c r="BK16" s="1">
        <v>3.290430840022555E-3</v>
      </c>
      <c r="BL16" s="1">
        <v>3.9014009789442049E-2</v>
      </c>
      <c r="BM16" s="1">
        <v>-9.1628050193185585E-3</v>
      </c>
      <c r="BN16" s="1">
        <v>-8.6667689515065992E-3</v>
      </c>
      <c r="BO16" s="1">
        <v>1.2992697983901571E-2</v>
      </c>
      <c r="BP16" s="1">
        <v>-1.5333989091424371E-2</v>
      </c>
      <c r="BQ16" s="1">
        <v>-2.1410230612722739E-2</v>
      </c>
      <c r="BR16" s="1">
        <v>7.4126193529336134E-3</v>
      </c>
      <c r="BS16" s="1">
        <v>-7.3076176465476268E-3</v>
      </c>
      <c r="BT16" s="1">
        <v>3.7841746963641301E-2</v>
      </c>
      <c r="BU16" s="1">
        <v>1.7198246939911201E-2</v>
      </c>
      <c r="BV16" s="1">
        <v>3.7095413241527851E-3</v>
      </c>
      <c r="BW16" s="1">
        <v>2.8263100911611761E-2</v>
      </c>
      <c r="BX16" s="1">
        <v>-1.832353128407755E-3</v>
      </c>
      <c r="BY16" s="1">
        <v>3.3486520993382368E-2</v>
      </c>
      <c r="BZ16" s="1">
        <v>-6.702852519859874E-2</v>
      </c>
      <c r="CA16" s="1">
        <v>-4.2270658237080413E-3</v>
      </c>
      <c r="CB16" s="1">
        <v>2.1023167797172559E-3</v>
      </c>
      <c r="CC16" s="1">
        <v>-1.3439846056666141E-2</v>
      </c>
      <c r="CD16" s="1">
        <v>-4.2422145314322618E-2</v>
      </c>
      <c r="CE16" s="1">
        <v>2.6709101208949811E-2</v>
      </c>
      <c r="CF16" s="1">
        <v>2.982959754007276E-2</v>
      </c>
      <c r="CG16" s="1">
        <v>-9.2097650034829309E-3</v>
      </c>
      <c r="CH16" s="1">
        <v>5.4791114450233158E-2</v>
      </c>
      <c r="CI16" s="1">
        <v>2.0868137185086622E-3</v>
      </c>
      <c r="CJ16" s="1">
        <v>-2.6798593299065001E-2</v>
      </c>
      <c r="CK16" s="1">
        <v>-3.9709268133418497E-2</v>
      </c>
      <c r="CL16" s="1">
        <v>8.5244193795033882E-2</v>
      </c>
      <c r="CM16" s="1">
        <v>-1.6897212431414049E-2</v>
      </c>
      <c r="CN16" s="1">
        <v>3.3291272978686712E-2</v>
      </c>
      <c r="CO16" s="1">
        <v>-5.8377195917738267E-2</v>
      </c>
      <c r="CP16" s="1">
        <v>-2.1648359677181369E-2</v>
      </c>
      <c r="CQ16" s="1">
        <v>-9.3651540515494042E-3</v>
      </c>
      <c r="CR16" s="1">
        <v>-9.7928264552226679E-3</v>
      </c>
      <c r="CS16" s="1">
        <v>-7.8060548452444853E-4</v>
      </c>
      <c r="CT16" s="1">
        <v>2.3051296984676822E-2</v>
      </c>
      <c r="CU16" s="1">
        <v>-3.625516243630672E-2</v>
      </c>
      <c r="CV16" s="1">
        <v>2.500964601531545E-2</v>
      </c>
      <c r="CW16" s="1">
        <v>-1.855017340229904E-3</v>
      </c>
      <c r="CX16" s="1">
        <v>-2.818048300948545E-2</v>
      </c>
      <c r="CY16" s="1">
        <v>1.637968725430556E-3</v>
      </c>
      <c r="CZ16" s="1">
        <v>2.957929587410812E-3</v>
      </c>
      <c r="DA16" s="1">
        <v>6.2230098335767217E-2</v>
      </c>
      <c r="DB16" s="1">
        <v>1.4355772632904929E-2</v>
      </c>
      <c r="DC16" s="1">
        <v>-7.6009512183316766E-2</v>
      </c>
      <c r="DD16" s="1">
        <v>1.236586787462312E-2</v>
      </c>
      <c r="DE16" s="1">
        <v>5.8162019825226972E-2</v>
      </c>
      <c r="DF16" s="1">
        <v>-5.0099305031271451E-3</v>
      </c>
      <c r="DG16" s="1">
        <v>4.1851057573685728E-2</v>
      </c>
      <c r="DH16" s="1">
        <v>7.8455910496478334E-3</v>
      </c>
      <c r="DI16" s="1">
        <v>2.523119603533483E-2</v>
      </c>
      <c r="DJ16" s="1">
        <v>3.3167074970956521E-2</v>
      </c>
      <c r="DK16" s="1">
        <v>1.8501175579849229E-2</v>
      </c>
      <c r="DL16" s="1">
        <v>1.8524944442831329E-2</v>
      </c>
      <c r="DM16" s="1">
        <v>4.1918024652137183E-2</v>
      </c>
      <c r="DN16" s="1">
        <v>-3.0670509464496572E-2</v>
      </c>
      <c r="DO16" s="1">
        <v>-3.0875719728267969E-3</v>
      </c>
      <c r="DP16" s="1">
        <v>1.231241052389582E-2</v>
      </c>
      <c r="DQ16" s="1">
        <v>-4.8160804481514894E-3</v>
      </c>
      <c r="DR16" s="1">
        <v>1.3994229344074811E-2</v>
      </c>
      <c r="DS16" s="1">
        <v>7.0283946072247873E-3</v>
      </c>
      <c r="DT16" s="1">
        <v>2.710603152763014E-2</v>
      </c>
      <c r="DU16" s="1">
        <v>1.7568042397851991E-4</v>
      </c>
      <c r="DV16" s="1">
        <v>-2.5975194255691E-2</v>
      </c>
      <c r="DW16" s="1">
        <v>-3.7634465928272257E-2</v>
      </c>
      <c r="DX16" s="1">
        <v>-7.2867651662108651E-3</v>
      </c>
      <c r="DY16" s="1">
        <v>1.269158692963294E-2</v>
      </c>
      <c r="DZ16" s="1">
        <v>2.3887645517721219E-2</v>
      </c>
      <c r="EA16" s="1">
        <v>-5.7983778411220037E-2</v>
      </c>
      <c r="EB16" s="1">
        <v>7.6601151291155051E-3</v>
      </c>
      <c r="EC16" s="1">
        <v>-1.7706879510066501E-2</v>
      </c>
      <c r="ED16" s="1">
        <v>-4.7781685199275309E-3</v>
      </c>
      <c r="EE16" s="1">
        <v>-1.571895213960061E-2</v>
      </c>
      <c r="EF16" s="1">
        <v>4.2279364945320523E-2</v>
      </c>
      <c r="EG16" s="48">
        <f t="shared" ref="EG16:EG29" si="0">AVERAGE(C16:EF16)</f>
        <v>3.1675458110945053E-3</v>
      </c>
      <c r="EH16" s="49">
        <f t="shared" ref="EH16:EH29" si="1">STDEV(C16:EF16)</f>
        <v>2.8598215699567185E-2</v>
      </c>
      <c r="EI16" s="48">
        <f t="shared" ref="EI16:EI29" si="2">EG16/EH16</f>
        <v>0.11076026016344942</v>
      </c>
    </row>
    <row r="17" spans="1:139" ht="16" customHeight="1">
      <c r="A17" s="6">
        <v>20</v>
      </c>
      <c r="B17" s="6">
        <v>48</v>
      </c>
      <c r="C17" s="7">
        <v>0.19687692674233029</v>
      </c>
      <c r="D17" s="7">
        <v>7.2917495407105154E-2</v>
      </c>
      <c r="E17" s="7">
        <v>-1.325651655854972E-2</v>
      </c>
      <c r="F17" s="7">
        <v>2.4097566067648919E-2</v>
      </c>
      <c r="G17" s="7">
        <v>7.1533852646205251E-3</v>
      </c>
      <c r="H17" s="7">
        <v>-9.278754651589196E-3</v>
      </c>
      <c r="I17" s="7">
        <v>1.8591155176091209E-2</v>
      </c>
      <c r="J17" s="7">
        <v>-1.073076078056827E-2</v>
      </c>
      <c r="K17" s="7">
        <v>-3.9153014458249057E-2</v>
      </c>
      <c r="L17" s="2">
        <v>2.117067186325354E-2</v>
      </c>
      <c r="M17" s="2">
        <v>1.837565007201291E-3</v>
      </c>
      <c r="N17" s="2">
        <v>-1.233863970474609E-2</v>
      </c>
      <c r="O17" s="1">
        <v>-3.9621483271222141E-2</v>
      </c>
      <c r="P17" s="1">
        <v>-5.4472914753654414E-3</v>
      </c>
      <c r="Q17" s="1">
        <v>6.0860176094241283E-3</v>
      </c>
      <c r="R17" s="1">
        <v>-2.6419539665367291E-2</v>
      </c>
      <c r="S17" s="1">
        <v>-6.9610132665505198E-3</v>
      </c>
      <c r="T17" s="1">
        <v>-7.9036622272579821E-3</v>
      </c>
      <c r="U17" s="1">
        <v>-5.2495007270509167E-2</v>
      </c>
      <c r="V17" s="1">
        <v>4.0941341507939003E-2</v>
      </c>
      <c r="W17" s="1">
        <v>1.120428033232314E-2</v>
      </c>
      <c r="X17" s="1">
        <v>9.6634323594264618E-2</v>
      </c>
      <c r="Y17" s="1">
        <v>-4.3586752867887123E-2</v>
      </c>
      <c r="Z17" s="1">
        <v>2.3007701022927041E-2</v>
      </c>
      <c r="AA17" s="1">
        <v>-2.2660492674667989E-2</v>
      </c>
      <c r="AB17" s="1">
        <v>1.02053910931422E-2</v>
      </c>
      <c r="AC17" s="1">
        <v>2.0173680836342561E-2</v>
      </c>
      <c r="AD17" s="1">
        <v>2.4754825664315649E-2</v>
      </c>
      <c r="AE17" s="1">
        <v>-1.852798096520545E-2</v>
      </c>
      <c r="AF17" s="1">
        <v>1.785101075129595E-2</v>
      </c>
      <c r="AG17" s="1">
        <v>1.0510789532326349E-2</v>
      </c>
      <c r="AH17" s="1">
        <v>3.1655609248393848E-2</v>
      </c>
      <c r="AI17" s="1">
        <v>-4.911231049595734E-3</v>
      </c>
      <c r="AJ17" s="1">
        <v>-3.8529814411027839E-2</v>
      </c>
      <c r="AK17" s="1">
        <v>-3.8225302750553941E-2</v>
      </c>
      <c r="AL17" s="1">
        <v>-5.675604306384828E-3</v>
      </c>
      <c r="AM17" s="1">
        <v>-1.304521086235489E-2</v>
      </c>
      <c r="AN17" s="1">
        <v>1.7294809765670639E-2</v>
      </c>
      <c r="AO17" s="1">
        <v>3.835209575200986E-2</v>
      </c>
      <c r="AP17" s="1">
        <v>5.4980678489818448E-2</v>
      </c>
      <c r="AQ17" s="1">
        <v>1.42000066650409E-2</v>
      </c>
      <c r="AR17" s="1">
        <v>5.9358124605646016E-3</v>
      </c>
      <c r="AS17" s="1">
        <v>3.2345052886187872E-2</v>
      </c>
      <c r="AT17" s="1">
        <v>-8.8300514283185753E-3</v>
      </c>
      <c r="AU17" s="1">
        <v>3.6281159012726438E-2</v>
      </c>
      <c r="AV17" s="1">
        <v>1.700899563208948E-2</v>
      </c>
      <c r="AW17" s="1">
        <v>-4.4457968101410242E-2</v>
      </c>
      <c r="AX17" s="1">
        <v>-2.4696640275429199E-2</v>
      </c>
      <c r="AY17" s="1">
        <v>-4.4384568642633678E-3</v>
      </c>
      <c r="AZ17" s="1">
        <v>1.2814034457095429E-2</v>
      </c>
      <c r="BA17" s="1">
        <v>4.415446845501439E-2</v>
      </c>
      <c r="BB17" s="1">
        <v>-3.3427567804263772E-2</v>
      </c>
      <c r="BC17" s="1">
        <v>-3.6834097155597351E-3</v>
      </c>
      <c r="BD17" s="1">
        <v>2.019946637408496E-2</v>
      </c>
      <c r="BE17" s="1">
        <v>-3.5566666896985587E-2</v>
      </c>
      <c r="BF17" s="1">
        <v>-9.183867740715862E-3</v>
      </c>
      <c r="BG17" s="1">
        <v>3.4769412686525378E-2</v>
      </c>
      <c r="BH17" s="1">
        <v>-9.8314145172852252E-3</v>
      </c>
      <c r="BI17" s="1">
        <v>3.6112132695811289E-2</v>
      </c>
      <c r="BJ17" s="1">
        <v>-1.765047649605934E-3</v>
      </c>
      <c r="BK17" s="1">
        <v>-1.825609820093829E-3</v>
      </c>
      <c r="BL17" s="1">
        <v>3.1121253083360379E-2</v>
      </c>
      <c r="BM17" s="1">
        <v>-1.3740018400253819E-2</v>
      </c>
      <c r="BN17" s="1">
        <v>-3.5930283073156051E-5</v>
      </c>
      <c r="BO17" s="1">
        <v>2.532394138269372E-2</v>
      </c>
      <c r="BP17" s="1">
        <v>-3.5219688913320828E-2</v>
      </c>
      <c r="BQ17" s="1">
        <v>-2.7625878008601289E-2</v>
      </c>
      <c r="BR17" s="1">
        <v>-1.485544733695247E-2</v>
      </c>
      <c r="BS17" s="1">
        <v>-2.676217117869803E-2</v>
      </c>
      <c r="BT17" s="1">
        <v>5.0933593128484632E-2</v>
      </c>
      <c r="BU17" s="1">
        <v>-1.828514341382478E-2</v>
      </c>
      <c r="BV17" s="1">
        <v>2.5376373696827891E-2</v>
      </c>
      <c r="BW17" s="1">
        <v>4.1905110990730791E-2</v>
      </c>
      <c r="BX17" s="1">
        <v>-8.4628127437372837E-3</v>
      </c>
      <c r="BY17" s="1">
        <v>-1.9711204049769979E-2</v>
      </c>
      <c r="BZ17" s="1">
        <v>-0.10460996217555189</v>
      </c>
      <c r="CA17" s="1">
        <v>-3.1932391354419373E-2</v>
      </c>
      <c r="CB17" s="1">
        <v>1.508694062756598E-2</v>
      </c>
      <c r="CC17" s="1">
        <v>-3.1759321708709772E-2</v>
      </c>
      <c r="CD17" s="1">
        <v>-2.2044056383286909E-2</v>
      </c>
      <c r="CE17" s="1">
        <v>5.2478165626585707E-2</v>
      </c>
      <c r="CF17" s="1">
        <v>3.1820439992073901E-2</v>
      </c>
      <c r="CG17" s="1">
        <v>-1.537960663700517E-2</v>
      </c>
      <c r="CH17" s="1">
        <v>5.4934197234969367E-2</v>
      </c>
      <c r="CI17" s="1">
        <v>-2.445824296798833E-2</v>
      </c>
      <c r="CJ17" s="1">
        <v>-6.191466515704333E-3</v>
      </c>
      <c r="CK17" s="1">
        <v>-4.3815576929206512E-2</v>
      </c>
      <c r="CL17" s="1">
        <v>6.5087734869633859E-2</v>
      </c>
      <c r="CM17" s="1">
        <v>-2.5640227096718749E-2</v>
      </c>
      <c r="CN17" s="1">
        <v>1.7339311029331981E-2</v>
      </c>
      <c r="CO17" s="1">
        <v>-9.5041996360487352E-2</v>
      </c>
      <c r="CP17" s="1">
        <v>1.304557054670316E-2</v>
      </c>
      <c r="CQ17" s="1">
        <v>8.0020646547130023E-3</v>
      </c>
      <c r="CR17" s="1">
        <v>-9.8590499465280815E-3</v>
      </c>
      <c r="CS17" s="1">
        <v>-9.8019763779030634E-3</v>
      </c>
      <c r="CT17" s="1">
        <v>2.9999139900688289E-2</v>
      </c>
      <c r="CU17" s="1">
        <v>-3.9338968023775477E-2</v>
      </c>
      <c r="CV17" s="1">
        <v>4.4401331567124572E-2</v>
      </c>
      <c r="CW17" s="1">
        <v>-1.168346494263914E-2</v>
      </c>
      <c r="CX17" s="1">
        <v>-1.437314513339767E-2</v>
      </c>
      <c r="CY17" s="1">
        <v>-1.1132626322226089E-2</v>
      </c>
      <c r="CZ17" s="1">
        <v>6.0390682562481979E-4</v>
      </c>
      <c r="DA17" s="1">
        <v>6.9658480154828978E-2</v>
      </c>
      <c r="DB17" s="1">
        <v>7.6960615160762552E-3</v>
      </c>
      <c r="DC17" s="1">
        <v>-8.2259930559512501E-2</v>
      </c>
      <c r="DD17" s="1">
        <v>4.4784808941030971E-2</v>
      </c>
      <c r="DE17" s="1">
        <v>7.3137257039930306E-2</v>
      </c>
      <c r="DF17" s="1">
        <v>9.8069513895370428E-3</v>
      </c>
      <c r="DG17" s="1">
        <v>4.2540215536629837E-2</v>
      </c>
      <c r="DH17" s="1">
        <v>2.483176791412851E-2</v>
      </c>
      <c r="DI17" s="1">
        <v>1.6559424967104878E-2</v>
      </c>
      <c r="DJ17" s="1">
        <v>2.010635436656431E-2</v>
      </c>
      <c r="DK17" s="1">
        <v>1.5534011452149769E-2</v>
      </c>
      <c r="DL17" s="1">
        <v>3.3410437250879048E-2</v>
      </c>
      <c r="DM17" s="1">
        <v>4.5191626988445879E-2</v>
      </c>
      <c r="DN17" s="1">
        <v>-2.821650426037102E-2</v>
      </c>
      <c r="DO17" s="1">
        <v>2.635462520217281E-3</v>
      </c>
      <c r="DP17" s="1">
        <v>1.8938737445972759E-2</v>
      </c>
      <c r="DQ17" s="1">
        <v>2.104150965296786E-4</v>
      </c>
      <c r="DR17" s="1">
        <v>4.8104269004699218E-2</v>
      </c>
      <c r="DS17" s="1">
        <v>2.0006541542130749E-2</v>
      </c>
      <c r="DT17" s="1">
        <v>1.7377188460668259E-2</v>
      </c>
      <c r="DU17" s="1">
        <v>-1.169759033775708E-2</v>
      </c>
      <c r="DV17" s="1">
        <v>-3.1639435732291422E-2</v>
      </c>
      <c r="DW17" s="1">
        <v>-4.3314801592172027E-2</v>
      </c>
      <c r="DX17" s="1">
        <v>-1.749483616056836E-2</v>
      </c>
      <c r="DY17" s="1">
        <v>3.1754180604919087E-2</v>
      </c>
      <c r="DZ17" s="1">
        <v>2.8472537148491722E-2</v>
      </c>
      <c r="EA17" s="1">
        <v>-4.6502759517636237E-2</v>
      </c>
      <c r="EB17" s="1">
        <v>3.515758718073813E-2</v>
      </c>
      <c r="EC17" s="1">
        <v>-3.3585504234342131E-2</v>
      </c>
      <c r="ED17" s="1">
        <v>-4.6444204027050323E-2</v>
      </c>
      <c r="EE17" s="1">
        <v>-1.1995967756882889E-2</v>
      </c>
      <c r="EF17" s="1">
        <v>4.6200236034864492E-2</v>
      </c>
      <c r="EG17" s="48">
        <f t="shared" si="0"/>
        <v>4.1664537936812445E-3</v>
      </c>
      <c r="EH17" s="49">
        <f t="shared" si="1"/>
        <v>3.7378916554561777E-2</v>
      </c>
      <c r="EI17" s="48">
        <f t="shared" si="2"/>
        <v>0.11146534404226237</v>
      </c>
    </row>
    <row r="18" spans="1:139" ht="16" customHeight="1">
      <c r="A18" s="6">
        <v>50</v>
      </c>
      <c r="B18" s="6">
        <v>19</v>
      </c>
      <c r="C18" s="7">
        <v>0.36308230375568429</v>
      </c>
      <c r="D18" s="7">
        <v>6.2201179072287532E-2</v>
      </c>
      <c r="E18" s="7">
        <v>-1.3724384932295001E-2</v>
      </c>
      <c r="F18" s="7">
        <v>3.1509169549215163E-2</v>
      </c>
      <c r="G18" s="7">
        <v>2.044155559326229E-2</v>
      </c>
      <c r="H18" s="7">
        <v>1.3522263453522939E-2</v>
      </c>
      <c r="I18" s="7">
        <v>-1.9791155579584011E-2</v>
      </c>
      <c r="J18" s="7">
        <v>-8.5723289589470453E-2</v>
      </c>
      <c r="K18" s="7">
        <v>-4.1764661122319219E-2</v>
      </c>
      <c r="L18" s="2">
        <v>1.5876741614999679E-2</v>
      </c>
      <c r="M18" s="2">
        <v>-8.5675801428393497E-3</v>
      </c>
      <c r="N18" s="2">
        <v>-3.9315753088648292E-2</v>
      </c>
      <c r="O18" s="1">
        <v>-4.3447210578066553E-2</v>
      </c>
      <c r="P18" s="1">
        <v>-1.3296586975629109E-3</v>
      </c>
      <c r="Q18" s="1">
        <v>2.3650108342193509E-2</v>
      </c>
      <c r="R18" s="1">
        <v>-5.2772248931263317E-2</v>
      </c>
      <c r="S18" s="1">
        <v>-2.5081241212722191E-2</v>
      </c>
      <c r="T18" s="1">
        <v>-4.7365597975422918E-2</v>
      </c>
      <c r="U18" s="1">
        <v>-6.4384322442421441E-2</v>
      </c>
      <c r="V18" s="1">
        <v>8.3822571379206054E-2</v>
      </c>
      <c r="W18" s="1">
        <v>2.831651869974806E-2</v>
      </c>
      <c r="X18" s="1">
        <v>0.1277986523364206</v>
      </c>
      <c r="Y18" s="1">
        <v>-6.8094060338572918E-2</v>
      </c>
      <c r="Z18" s="1">
        <v>5.7637897665484869E-2</v>
      </c>
      <c r="AA18" s="1">
        <v>-6.0309840576622163E-2</v>
      </c>
      <c r="AB18" s="1">
        <v>-2.2355648781720871E-2</v>
      </c>
      <c r="AC18" s="1">
        <v>5.4444415481463393E-2</v>
      </c>
      <c r="AD18" s="1">
        <v>5.7438046880184009E-2</v>
      </c>
      <c r="AE18" s="1">
        <v>-7.2580449827190736E-3</v>
      </c>
      <c r="AF18" s="1">
        <v>8.1801274312337413E-2</v>
      </c>
      <c r="AG18" s="1">
        <v>1.4926615924635161E-2</v>
      </c>
      <c r="AH18" s="1">
        <v>5.3626233484945211E-2</v>
      </c>
      <c r="AI18" s="1">
        <v>3.5066940928293898E-2</v>
      </c>
      <c r="AJ18" s="1">
        <v>-5.1816742462122561E-2</v>
      </c>
      <c r="AK18" s="1">
        <v>-4.1525247776717789E-3</v>
      </c>
      <c r="AL18" s="1">
        <v>-4.6535754812804628E-2</v>
      </c>
      <c r="AM18" s="1">
        <v>-9.4781192520911189E-3</v>
      </c>
      <c r="AN18" s="1">
        <v>5.5765618301277041E-2</v>
      </c>
      <c r="AO18" s="1">
        <v>9.4186589184313801E-2</v>
      </c>
      <c r="AP18" s="1">
        <v>9.9920695505144097E-2</v>
      </c>
      <c r="AQ18" s="1">
        <v>-5.0805168318504401E-2</v>
      </c>
      <c r="AR18" s="1">
        <v>1.229785222315019E-3</v>
      </c>
      <c r="AS18" s="1">
        <v>2.703621042110629E-2</v>
      </c>
      <c r="AT18" s="1">
        <v>4.8790114954067057E-2</v>
      </c>
      <c r="AU18" s="1">
        <v>6.7695631626617278E-2</v>
      </c>
      <c r="AV18" s="1">
        <v>1.3733897959462411E-2</v>
      </c>
      <c r="AW18" s="1">
        <v>-1.1039673153081721E-2</v>
      </c>
      <c r="AX18" s="1">
        <v>-5.0981307307583913E-2</v>
      </c>
      <c r="AY18" s="1">
        <v>2.6631767607181158E-3</v>
      </c>
      <c r="AZ18" s="1">
        <v>2.7737744917522431E-2</v>
      </c>
      <c r="BA18" s="1">
        <v>4.5884347515848613E-2</v>
      </c>
      <c r="BB18" s="1">
        <v>-7.5778122313249166E-2</v>
      </c>
      <c r="BC18" s="1">
        <v>-1.0768669191959099E-2</v>
      </c>
      <c r="BD18" s="1">
        <v>1.277375455662046E-2</v>
      </c>
      <c r="BE18" s="1">
        <v>-2.4146215947675239E-2</v>
      </c>
      <c r="BF18" s="1">
        <v>-1.8930014748027291E-2</v>
      </c>
      <c r="BG18" s="1">
        <v>0.1137209120495135</v>
      </c>
      <c r="BH18" s="1">
        <v>7.9477942411801811E-2</v>
      </c>
      <c r="BI18" s="1">
        <v>-3.2589580643495243E-2</v>
      </c>
      <c r="BJ18" s="1">
        <v>2.7633015698675281E-2</v>
      </c>
      <c r="BK18" s="1">
        <v>-6.9484527620235735E-4</v>
      </c>
      <c r="BL18" s="1">
        <v>5.6804528866638018E-2</v>
      </c>
      <c r="BM18" s="1">
        <v>-2.7617856149896518E-2</v>
      </c>
      <c r="BN18" s="1">
        <v>-3.0461513176331602E-3</v>
      </c>
      <c r="BO18" s="1">
        <v>2.763985361389484E-2</v>
      </c>
      <c r="BP18" s="1">
        <v>-3.0210810117034709E-2</v>
      </c>
      <c r="BQ18" s="1">
        <v>-5.0559145726183224E-4</v>
      </c>
      <c r="BR18" s="1">
        <v>-5.8199490310676012E-2</v>
      </c>
      <c r="BS18" s="1">
        <v>-5.5107336456218358E-3</v>
      </c>
      <c r="BT18" s="1">
        <v>1.7843106391868389E-2</v>
      </c>
      <c r="BU18" s="1">
        <v>-6.7283366885981771E-2</v>
      </c>
      <c r="BV18" s="1">
        <v>4.9970336364474302E-2</v>
      </c>
      <c r="BW18" s="1">
        <v>7.0527627233221382E-2</v>
      </c>
      <c r="BX18" s="1">
        <v>5.7285338999715357E-3</v>
      </c>
      <c r="BY18" s="1">
        <v>-1.5902052712845751E-2</v>
      </c>
      <c r="BZ18" s="1">
        <v>-0.15633859816250201</v>
      </c>
      <c r="CA18" s="1">
        <v>-2.098904428922976E-2</v>
      </c>
      <c r="CB18" s="1">
        <v>0.10418671512514011</v>
      </c>
      <c r="CC18" s="1">
        <v>-1.8939468902021601E-2</v>
      </c>
      <c r="CD18" s="1">
        <v>-1.6308734895199871E-2</v>
      </c>
      <c r="CE18" s="1">
        <v>-1.059372754539796E-2</v>
      </c>
      <c r="CF18" s="1">
        <v>5.0093062441636173E-2</v>
      </c>
      <c r="CG18" s="1">
        <v>1.9273752608439641E-2</v>
      </c>
      <c r="CH18" s="1">
        <v>7.2727222949223444E-2</v>
      </c>
      <c r="CI18" s="1">
        <v>-4.1301238700170023E-3</v>
      </c>
      <c r="CJ18" s="1">
        <v>-5.7972358587692521E-2</v>
      </c>
      <c r="CK18" s="1">
        <v>-2.8418168391926971E-2</v>
      </c>
      <c r="CL18" s="1">
        <v>1.075403688069604E-2</v>
      </c>
      <c r="CM18" s="1">
        <v>-9.1045092583896536E-3</v>
      </c>
      <c r="CN18" s="1">
        <v>5.1951452352930992E-2</v>
      </c>
      <c r="CO18" s="1">
        <v>-0.25772069399181818</v>
      </c>
      <c r="CP18" s="1">
        <v>6.3466725591944634E-2</v>
      </c>
      <c r="CQ18" s="1">
        <v>7.5875372410948855E-2</v>
      </c>
      <c r="CR18" s="1">
        <v>3.6317551755856922E-2</v>
      </c>
      <c r="CS18" s="1">
        <v>1.1683432419078561E-2</v>
      </c>
      <c r="CT18" s="1">
        <v>2.0884057510195789E-2</v>
      </c>
      <c r="CU18" s="1">
        <v>-5.2882078764690123E-2</v>
      </c>
      <c r="CV18" s="1">
        <v>7.8280245384373601E-2</v>
      </c>
      <c r="CW18" s="1">
        <v>-4.2458824352500042E-2</v>
      </c>
      <c r="CX18" s="1">
        <v>-1.6928206648302999E-2</v>
      </c>
      <c r="CY18" s="1">
        <v>-3.3918997426767099E-3</v>
      </c>
      <c r="CZ18" s="1">
        <v>1.117362624071264E-2</v>
      </c>
      <c r="DA18" s="1">
        <v>8.9709910526813624E-2</v>
      </c>
      <c r="DB18" s="1">
        <v>-3.2418327087427978E-2</v>
      </c>
      <c r="DC18" s="1">
        <v>-7.3101271088768696E-2</v>
      </c>
      <c r="DD18" s="1">
        <v>3.1441519472561498E-2</v>
      </c>
      <c r="DE18" s="1">
        <v>4.1191263972065913E-2</v>
      </c>
      <c r="DF18" s="1">
        <v>-5.9121178871739087E-3</v>
      </c>
      <c r="DG18" s="1">
        <v>4.3652211854054067E-2</v>
      </c>
      <c r="DH18" s="1">
        <v>-9.7363273482593271E-3</v>
      </c>
      <c r="DI18" s="1">
        <v>-2.682237683504975E-2</v>
      </c>
      <c r="DJ18" s="1">
        <v>2.405697769970408E-2</v>
      </c>
      <c r="DK18" s="1">
        <v>-2.38718464800469E-2</v>
      </c>
      <c r="DL18" s="1">
        <v>7.5602360586701584E-2</v>
      </c>
      <c r="DM18" s="1">
        <v>6.5888565910216926E-2</v>
      </c>
      <c r="DN18" s="1">
        <v>2.2779566462627208E-2</v>
      </c>
      <c r="DO18" s="1">
        <v>2.515654018407797E-2</v>
      </c>
      <c r="DP18" s="1">
        <v>0.1027040857027449</v>
      </c>
      <c r="DQ18" s="1">
        <v>-5.3317921772458032E-3</v>
      </c>
      <c r="DR18" s="1">
        <v>1.3077887059973E-2</v>
      </c>
      <c r="DS18" s="1">
        <v>4.7859331313109682E-2</v>
      </c>
      <c r="DT18" s="1">
        <v>5.2444823779446842E-3</v>
      </c>
      <c r="DU18" s="1">
        <v>-6.0000535385044034E-3</v>
      </c>
      <c r="DV18" s="1">
        <v>-8.9001163195018343E-3</v>
      </c>
      <c r="DW18" s="1">
        <v>-4.5234728758911068E-2</v>
      </c>
      <c r="DX18" s="1">
        <v>-6.5065008836441091E-2</v>
      </c>
      <c r="DY18" s="1">
        <v>5.1806172273173981E-2</v>
      </c>
      <c r="DZ18" s="1">
        <v>1.9932609044117471E-2</v>
      </c>
      <c r="EA18" s="1">
        <v>-2.0036386306752991E-2</v>
      </c>
      <c r="EB18" s="1">
        <v>3.6505305995321508E-2</v>
      </c>
      <c r="EC18" s="1">
        <v>-1.275869489115797E-2</v>
      </c>
      <c r="ED18" s="1">
        <v>-0.10727840805198979</v>
      </c>
      <c r="EE18" s="1">
        <v>2.0466068176899919E-2</v>
      </c>
      <c r="EF18" s="1">
        <v>5.5540104414594532E-2</v>
      </c>
      <c r="EG18" s="49">
        <f t="shared" si="0"/>
        <v>8.323035416743044E-3</v>
      </c>
      <c r="EH18" s="48">
        <f t="shared" si="1"/>
        <v>6.1971715559438367E-2</v>
      </c>
      <c r="EI18" s="48">
        <f t="shared" si="2"/>
        <v>0.13430377619222508</v>
      </c>
    </row>
    <row r="19" spans="1:139" ht="16" customHeight="1">
      <c r="A19" s="6">
        <v>100</v>
      </c>
      <c r="B19" s="6">
        <v>10</v>
      </c>
      <c r="C19" s="7">
        <v>0.50963263247614221</v>
      </c>
      <c r="D19" s="7">
        <v>8.6134769072445591E-2</v>
      </c>
      <c r="E19" s="7">
        <v>0.1163592927473716</v>
      </c>
      <c r="F19" s="7">
        <v>0.1238883365653194</v>
      </c>
      <c r="G19" s="7">
        <v>-4.1898536699117993E-2</v>
      </c>
      <c r="H19" s="7">
        <v>1.6722660122594251E-2</v>
      </c>
      <c r="I19" s="7">
        <v>1.903121134867909E-3</v>
      </c>
      <c r="J19" s="7">
        <v>-0.1082798871111649</v>
      </c>
      <c r="K19" s="7">
        <v>1.3580150000629501E-2</v>
      </c>
      <c r="L19" s="2">
        <v>-3.0743088869340969E-2</v>
      </c>
      <c r="M19" s="2">
        <v>-1.9381987215215529E-3</v>
      </c>
      <c r="N19" s="2">
        <v>3.8835440104682248E-2</v>
      </c>
      <c r="O19" s="1">
        <v>-0.10936427033651561</v>
      </c>
      <c r="P19" s="1">
        <v>-3.5283862317142529E-3</v>
      </c>
      <c r="Q19" s="1">
        <v>0.1109272408363246</v>
      </c>
      <c r="R19" s="1">
        <v>-2.463545982837732E-2</v>
      </c>
      <c r="S19" s="1">
        <v>-3.8573823965212438E-2</v>
      </c>
      <c r="T19" s="1">
        <v>-0.1191956976019487</v>
      </c>
      <c r="U19" s="1">
        <v>-7.4637876672229653E-2</v>
      </c>
      <c r="V19" s="1">
        <v>7.2037822412506877E-2</v>
      </c>
      <c r="W19" s="1">
        <v>3.1653053966707367E-2</v>
      </c>
      <c r="X19" s="1">
        <v>0.1596196330830093</v>
      </c>
      <c r="Y19" s="1">
        <v>-3.6213757610016509E-2</v>
      </c>
      <c r="Z19" s="1">
        <v>7.5771436263281158E-2</v>
      </c>
      <c r="AA19" s="1">
        <v>-4.9234814186867482E-2</v>
      </c>
      <c r="AB19" s="1">
        <v>-8.1263033673187213E-2</v>
      </c>
      <c r="AC19" s="1">
        <v>-7.8230350736763626E-3</v>
      </c>
      <c r="AD19" s="1">
        <v>0.1076413049493174</v>
      </c>
      <c r="AE19" s="1">
        <v>6.9098690180301958E-2</v>
      </c>
      <c r="AF19" s="1">
        <v>0.1643056005659472</v>
      </c>
      <c r="AG19" s="1">
        <v>3.0476060955777769E-2</v>
      </c>
      <c r="AH19" s="1">
        <v>9.1088555147289654E-2</v>
      </c>
      <c r="AI19" s="1">
        <v>5.9059741190524942E-2</v>
      </c>
      <c r="AJ19" s="1">
        <v>-7.5443776687240283E-2</v>
      </c>
      <c r="AK19" s="1">
        <v>-5.7078795647298022E-2</v>
      </c>
      <c r="AL19" s="1">
        <v>-3.0628476540704681E-2</v>
      </c>
      <c r="AM19" s="1">
        <v>1.66958932268307E-2</v>
      </c>
      <c r="AN19" s="1">
        <v>0.109529380633848</v>
      </c>
      <c r="AO19" s="1">
        <v>3.1342987186244807E-2</v>
      </c>
      <c r="AP19" s="1">
        <v>0.1595167978914451</v>
      </c>
      <c r="AQ19" s="1">
        <v>1.979007696713584E-2</v>
      </c>
      <c r="AR19" s="1">
        <v>-1.231699850513091E-2</v>
      </c>
      <c r="AS19" s="1">
        <v>3.35332571444368E-2</v>
      </c>
      <c r="AT19" s="1">
        <v>6.1883130919442378E-2</v>
      </c>
      <c r="AU19" s="1">
        <v>0.1219240857398674</v>
      </c>
      <c r="AV19" s="1">
        <v>6.2329574306457441E-2</v>
      </c>
      <c r="AW19" s="1">
        <v>-6.6359576924053365E-2</v>
      </c>
      <c r="AX19" s="1">
        <v>-0.1236012420805665</v>
      </c>
      <c r="AY19" s="1">
        <v>-6.306289298215273E-2</v>
      </c>
      <c r="AZ19" s="1">
        <v>3.8641920538847571E-3</v>
      </c>
      <c r="BA19" s="1">
        <v>5.8925129102665147E-2</v>
      </c>
      <c r="BB19" s="1">
        <v>-6.4575667590301714E-2</v>
      </c>
      <c r="BC19" s="1">
        <v>-5.9050624857144483E-2</v>
      </c>
      <c r="BD19" s="1">
        <v>4.9337598828686552E-3</v>
      </c>
      <c r="BE19" s="1">
        <v>-5.135532937875701E-2</v>
      </c>
      <c r="BF19" s="1">
        <v>-6.5913548009749467E-2</v>
      </c>
      <c r="BG19" s="1">
        <v>0.207481828681715</v>
      </c>
      <c r="BH19" s="1">
        <v>0.10304016228444279</v>
      </c>
      <c r="BI19" s="1">
        <v>-8.4653602515191731E-2</v>
      </c>
      <c r="BJ19" s="1">
        <v>9.4970025903513111E-2</v>
      </c>
      <c r="BK19" s="1">
        <v>-8.0679030634640686E-2</v>
      </c>
      <c r="BL19" s="1">
        <v>7.0933492801614401E-2</v>
      </c>
      <c r="BM19" s="1">
        <v>-4.7822373365954053E-2</v>
      </c>
      <c r="BN19" s="1">
        <v>-1.163489181275747E-2</v>
      </c>
      <c r="BO19" s="1">
        <v>4.4885187635185869E-2</v>
      </c>
      <c r="BP19" s="1">
        <v>-7.4309656207778907E-2</v>
      </c>
      <c r="BQ19" s="1">
        <v>-1.3935079513492271E-2</v>
      </c>
      <c r="BR19" s="1">
        <v>-8.4186912015716708E-2</v>
      </c>
      <c r="BS19" s="1">
        <v>-2.547799591430867E-2</v>
      </c>
      <c r="BT19" s="1">
        <v>3.6163396263106988E-2</v>
      </c>
      <c r="BU19" s="1">
        <v>-0.11559593219072541</v>
      </c>
      <c r="BV19" s="1">
        <v>0.11357476637329179</v>
      </c>
      <c r="BW19" s="1">
        <v>6.5299710187394638E-3</v>
      </c>
      <c r="BX19" s="1">
        <v>-3.3894650633188368E-2</v>
      </c>
      <c r="BY19" s="1">
        <v>-1.173452215275653E-2</v>
      </c>
      <c r="BZ19" s="1">
        <v>-0.21130279627815729</v>
      </c>
      <c r="CA19" s="1">
        <v>1.076636666582859E-2</v>
      </c>
      <c r="CB19" s="1">
        <v>0.169787912918757</v>
      </c>
      <c r="CC19" s="1">
        <v>-7.6848067693474603E-2</v>
      </c>
      <c r="CD19" s="1">
        <v>1.0926920866664131E-2</v>
      </c>
      <c r="CE19" s="1">
        <v>2.6910354566873278E-2</v>
      </c>
      <c r="CF19" s="1">
        <v>5.8110394451751722E-2</v>
      </c>
      <c r="CG19" s="1">
        <v>-3.4672545903397578E-2</v>
      </c>
      <c r="CH19" s="1">
        <v>-1.5482572028531229E-2</v>
      </c>
      <c r="CI19" s="1">
        <v>-6.1386930704584473E-2</v>
      </c>
      <c r="CJ19" s="1">
        <v>-4.5160923809792683E-3</v>
      </c>
      <c r="CK19" s="1">
        <v>-5.4737817401960383E-2</v>
      </c>
      <c r="CL19" s="1">
        <v>-4.2775614709949783E-3</v>
      </c>
      <c r="CM19" s="1">
        <v>1.414193595474909E-2</v>
      </c>
      <c r="CN19" s="1">
        <v>0.13090359190456641</v>
      </c>
      <c r="CO19" s="1">
        <v>-0.25772294060580991</v>
      </c>
      <c r="CP19" s="1">
        <v>-9.2378909765236904E-3</v>
      </c>
      <c r="CQ19" s="1">
        <v>0.14317006960822151</v>
      </c>
      <c r="CR19" s="1">
        <v>1.435562112541801E-2</v>
      </c>
      <c r="CS19" s="1">
        <v>-1.3686281575421301E-2</v>
      </c>
      <c r="CT19" s="1">
        <v>1.2291504050392371E-2</v>
      </c>
      <c r="CU19" s="1">
        <v>-7.312866153502684E-3</v>
      </c>
      <c r="CV19" s="1">
        <v>7.1491322256358902E-2</v>
      </c>
      <c r="CW19" s="1">
        <v>-8.7529690641498403E-2</v>
      </c>
      <c r="CX19" s="1">
        <v>-2.8312885625995279E-2</v>
      </c>
      <c r="CY19" s="1">
        <v>-9.6508702822914127E-2</v>
      </c>
      <c r="CZ19" s="1">
        <v>0.1025220032321552</v>
      </c>
      <c r="DA19" s="1">
        <v>5.3909115680044237E-2</v>
      </c>
      <c r="DB19" s="1">
        <v>-5.3103264321111433E-2</v>
      </c>
      <c r="DC19" s="1">
        <v>-2.1095691412415251E-2</v>
      </c>
      <c r="DD19" s="1">
        <v>1.104542435056532E-2</v>
      </c>
      <c r="DE19" s="1">
        <v>5.6922538101784881E-3</v>
      </c>
      <c r="DF19" s="1">
        <v>4.7468407140964456E-3</v>
      </c>
      <c r="DG19" s="1">
        <v>1.9375269464082918E-2</v>
      </c>
      <c r="DH19" s="1">
        <v>6.1046924066453928E-4</v>
      </c>
      <c r="DI19" s="1">
        <v>-7.0920161021678668E-2</v>
      </c>
      <c r="DJ19" s="1">
        <v>2.2842502594240741E-2</v>
      </c>
      <c r="DK19" s="1">
        <v>-6.9562201639682228E-2</v>
      </c>
      <c r="DL19" s="1">
        <v>9.418749700263504E-2</v>
      </c>
      <c r="DM19" s="1">
        <v>3.036833083999824E-2</v>
      </c>
      <c r="DN19" s="1">
        <v>8.5354151030096817E-3</v>
      </c>
      <c r="DO19" s="1">
        <v>4.9867111335128347E-2</v>
      </c>
      <c r="DP19" s="1">
        <v>0.14910843391290229</v>
      </c>
      <c r="DQ19" s="1">
        <v>-2.352068064723287E-2</v>
      </c>
      <c r="DR19" s="1">
        <v>1.317572582552246E-2</v>
      </c>
      <c r="DS19" s="1">
        <v>1.565757535665788E-2</v>
      </c>
      <c r="DT19" s="1">
        <v>-6.4505640309963114E-2</v>
      </c>
      <c r="DU19" s="1">
        <v>-1.08636888681136E-2</v>
      </c>
      <c r="DV19" s="1">
        <v>3.0822068049881919E-2</v>
      </c>
      <c r="DW19" s="1">
        <v>-7.2424393720780106E-2</v>
      </c>
      <c r="DX19" s="1">
        <v>-2.8167187520708709E-2</v>
      </c>
      <c r="DY19" s="1">
        <v>-4.4816442419606181E-3</v>
      </c>
      <c r="DZ19" s="1">
        <v>1.5832414901523751E-2</v>
      </c>
      <c r="EA19" s="1">
        <v>1.374310873701712E-2</v>
      </c>
      <c r="EB19" s="1">
        <v>6.2355439841266798E-2</v>
      </c>
      <c r="EC19" s="1">
        <v>6.1254631275555742E-2</v>
      </c>
      <c r="ED19" s="1">
        <v>-1.2052379021119891E-2</v>
      </c>
      <c r="EE19" s="1">
        <v>5.2714580459423323E-2</v>
      </c>
      <c r="EF19" s="1">
        <v>5.3122745857381463E-2</v>
      </c>
      <c r="EG19" s="49">
        <f t="shared" si="0"/>
        <v>1.0448160985196098E-2</v>
      </c>
      <c r="EH19" s="48">
        <f t="shared" si="1"/>
        <v>8.6657137695104955E-2</v>
      </c>
      <c r="EI19" s="48">
        <f t="shared" si="2"/>
        <v>0.12056896019295002</v>
      </c>
    </row>
    <row r="20" spans="1:139" ht="16" customHeight="1">
      <c r="A20" s="6">
        <v>107</v>
      </c>
      <c r="B20" s="6">
        <v>9</v>
      </c>
      <c r="C20" s="7">
        <v>0.51201375227854862</v>
      </c>
      <c r="D20" s="7">
        <v>9.8100164148114621E-2</v>
      </c>
      <c r="E20" s="7">
        <v>0.1049087225937506</v>
      </c>
      <c r="F20" s="7">
        <v>8.3179581569059149E-2</v>
      </c>
      <c r="G20" s="7">
        <v>-8.0315666872937619E-2</v>
      </c>
      <c r="H20" s="7">
        <v>4.0809523473091372E-2</v>
      </c>
      <c r="I20" s="7">
        <v>-1.4943266888156351E-2</v>
      </c>
      <c r="J20" s="7">
        <v>-0.13392275485827379</v>
      </c>
      <c r="K20" s="7">
        <v>5.1003247568137962E-2</v>
      </c>
      <c r="L20" s="2">
        <v>-4.6414239867103878E-2</v>
      </c>
      <c r="M20" s="2">
        <v>3.1926632893036391E-2</v>
      </c>
      <c r="N20" s="2">
        <v>6.0385450279062933E-2</v>
      </c>
      <c r="O20" s="1">
        <v>-0.1118630227968721</v>
      </c>
      <c r="P20" s="1">
        <v>-2.1373521068225108E-3</v>
      </c>
      <c r="Q20" s="1">
        <v>0.1198425153752295</v>
      </c>
      <c r="R20" s="1">
        <v>-2.2870169120329738E-2</v>
      </c>
      <c r="S20" s="1">
        <v>-4.1951785536675383E-2</v>
      </c>
      <c r="T20" s="1">
        <v>-9.8217945283724212E-2</v>
      </c>
      <c r="U20" s="1">
        <v>-8.225098197096041E-2</v>
      </c>
      <c r="V20" s="1">
        <v>6.0606656217663119E-2</v>
      </c>
      <c r="W20" s="1">
        <v>2.0143563610466941E-2</v>
      </c>
      <c r="X20" s="1">
        <v>0.157784169189638</v>
      </c>
      <c r="Y20" s="1">
        <v>-3.9654898970414229E-2</v>
      </c>
      <c r="Z20" s="1">
        <v>7.5980169070904116E-2</v>
      </c>
      <c r="AA20" s="1">
        <v>-4.4378814231681517E-2</v>
      </c>
      <c r="AB20" s="1">
        <v>-6.3508542750286556E-2</v>
      </c>
      <c r="AC20" s="1">
        <v>3.7460612054713428E-3</v>
      </c>
      <c r="AD20" s="1">
        <v>0.15515337146840119</v>
      </c>
      <c r="AE20" s="1">
        <v>7.8294658008787738E-2</v>
      </c>
      <c r="AF20" s="1">
        <v>0.1747910150483469</v>
      </c>
      <c r="AG20" s="1">
        <v>4.6222111440842387E-2</v>
      </c>
      <c r="AH20" s="1">
        <v>7.9200829815942175E-2</v>
      </c>
      <c r="AI20" s="1">
        <v>1.2752397556693841E-2</v>
      </c>
      <c r="AJ20" s="1">
        <v>-8.0168785094773487E-2</v>
      </c>
      <c r="AK20" s="1">
        <v>-5.7142952542228641E-2</v>
      </c>
      <c r="AL20" s="1">
        <v>-3.7035213028892573E-2</v>
      </c>
      <c r="AM20" s="1">
        <v>1.308635743317264E-2</v>
      </c>
      <c r="AN20" s="1">
        <v>0.13054665963810511</v>
      </c>
      <c r="AO20" s="1">
        <v>2.9132007089662949E-2</v>
      </c>
      <c r="AP20" s="1">
        <v>0.18046781284792099</v>
      </c>
      <c r="AQ20" s="1">
        <v>3.4863251436399977E-2</v>
      </c>
      <c r="AR20" s="1">
        <v>-7.4643598043199928E-3</v>
      </c>
      <c r="AS20" s="1">
        <v>4.0032869159295978E-3</v>
      </c>
      <c r="AT20" s="1">
        <v>4.9783605765876759E-2</v>
      </c>
      <c r="AU20" s="1">
        <v>0.1137599670481214</v>
      </c>
      <c r="AV20" s="1">
        <v>5.0567442174840382E-2</v>
      </c>
      <c r="AW20" s="1">
        <v>-3.4622584805437062E-2</v>
      </c>
      <c r="AX20" s="1">
        <v>-0.15275227944580011</v>
      </c>
      <c r="AY20" s="1">
        <v>-7.5347580197417857E-2</v>
      </c>
      <c r="AZ20" s="1">
        <v>1.2737381434282149E-2</v>
      </c>
      <c r="BA20" s="1">
        <v>7.5696171477108082E-2</v>
      </c>
      <c r="BB20" s="1">
        <v>-5.921035723057913E-2</v>
      </c>
      <c r="BC20" s="1">
        <v>-7.1737981521588431E-2</v>
      </c>
      <c r="BD20" s="1">
        <v>1.5101634182006831E-2</v>
      </c>
      <c r="BE20" s="1">
        <v>-5.0446333368869917E-2</v>
      </c>
      <c r="BF20" s="1">
        <v>-6.1747525506609217E-2</v>
      </c>
      <c r="BG20" s="1">
        <v>0.2131394489121777</v>
      </c>
      <c r="BH20" s="1">
        <v>0.11762020750405559</v>
      </c>
      <c r="BI20" s="1">
        <v>-0.12838512888739079</v>
      </c>
      <c r="BJ20" s="1">
        <v>0.1074799742058065</v>
      </c>
      <c r="BK20" s="1">
        <v>-7.3976121335238579E-2</v>
      </c>
      <c r="BL20" s="1">
        <v>6.8955643680664591E-2</v>
      </c>
      <c r="BM20" s="1">
        <v>-3.195779120255008E-2</v>
      </c>
      <c r="BN20" s="1">
        <v>-6.8211148718685969E-3</v>
      </c>
      <c r="BO20" s="1">
        <v>4.1217397266832982E-2</v>
      </c>
      <c r="BP20" s="1">
        <v>-9.3985404220168087E-2</v>
      </c>
      <c r="BQ20" s="1">
        <v>-6.1185914843690903E-2</v>
      </c>
      <c r="BR20" s="1">
        <v>-0.1098652637180382</v>
      </c>
      <c r="BS20" s="1">
        <v>-2.0749424647186231E-2</v>
      </c>
      <c r="BT20" s="1">
        <v>5.5003394562053817E-2</v>
      </c>
      <c r="BU20" s="1">
        <v>-0.12401299407061769</v>
      </c>
      <c r="BV20" s="1">
        <v>0.1118956199177355</v>
      </c>
      <c r="BW20" s="1">
        <v>6.0190310673690323E-2</v>
      </c>
      <c r="BX20" s="1">
        <v>-4.9871167665849869E-2</v>
      </c>
      <c r="BY20" s="1">
        <v>-6.1980391944288747E-2</v>
      </c>
      <c r="BZ20" s="1">
        <v>-0.25329021539194629</v>
      </c>
      <c r="CA20" s="1">
        <v>3.4296846008246418E-4</v>
      </c>
      <c r="CB20" s="1">
        <v>0.194523207968893</v>
      </c>
      <c r="CC20" s="1">
        <v>-7.6255124657839277E-2</v>
      </c>
      <c r="CD20" s="1">
        <v>6.6582598333677412E-2</v>
      </c>
      <c r="CE20" s="1">
        <v>3.1430835409417393E-2</v>
      </c>
      <c r="CF20" s="1">
        <v>4.9680013871015373E-2</v>
      </c>
      <c r="CG20" s="1">
        <v>5.2967690145819521E-2</v>
      </c>
      <c r="CH20" s="1">
        <v>-3.7796611289095977E-2</v>
      </c>
      <c r="CI20" s="1">
        <v>-7.4929091529711514E-2</v>
      </c>
      <c r="CJ20" s="1">
        <v>1.8279830426988431E-2</v>
      </c>
      <c r="CK20" s="1">
        <v>-6.6249791206648298E-2</v>
      </c>
      <c r="CL20" s="1">
        <v>-6.4150788581502222E-2</v>
      </c>
      <c r="CM20" s="1">
        <v>2.3304938756074908E-2</v>
      </c>
      <c r="CN20" s="1">
        <v>4.4786615503316952E-2</v>
      </c>
      <c r="CO20" s="1">
        <v>-0.2337278370065218</v>
      </c>
      <c r="CP20" s="1">
        <v>-1.036015600923524E-2</v>
      </c>
      <c r="CQ20" s="1">
        <v>0.1585305538746393</v>
      </c>
      <c r="CR20" s="1">
        <v>-7.9564432531855495E-3</v>
      </c>
      <c r="CS20" s="1">
        <v>-3.1643100070074863E-2</v>
      </c>
      <c r="CT20" s="1">
        <v>-5.556105028458852E-3</v>
      </c>
      <c r="CU20" s="1">
        <v>9.771064400380669E-4</v>
      </c>
      <c r="CV20" s="1">
        <v>3.6441512769039008E-2</v>
      </c>
      <c r="CW20" s="1">
        <v>-6.8855905390522637E-2</v>
      </c>
      <c r="CX20" s="1">
        <v>6.3875863876605016E-3</v>
      </c>
      <c r="CY20" s="1">
        <v>-0.1103849405104457</v>
      </c>
      <c r="CZ20" s="1">
        <v>0.1184193263903154</v>
      </c>
      <c r="DA20" s="1">
        <v>3.7097760097459728E-2</v>
      </c>
      <c r="DB20" s="1">
        <v>-4.8833266628053831E-2</v>
      </c>
      <c r="DC20" s="1">
        <v>-1.377493653870902E-2</v>
      </c>
      <c r="DD20" s="1">
        <v>3.50786190901984E-3</v>
      </c>
      <c r="DE20" s="1">
        <v>-5.9766027589367027E-3</v>
      </c>
      <c r="DF20" s="1">
        <v>9.3120480805031595E-3</v>
      </c>
      <c r="DG20" s="1">
        <v>2.8115335041844769E-3</v>
      </c>
      <c r="DH20" s="1">
        <v>3.1782925091869002E-3</v>
      </c>
      <c r="DI20" s="1">
        <v>-7.8149422327083426E-2</v>
      </c>
      <c r="DJ20" s="1">
        <v>-2.0142525365052542E-2</v>
      </c>
      <c r="DK20" s="1">
        <v>-9.5577695493278325E-2</v>
      </c>
      <c r="DL20" s="1">
        <v>0.10972129102573409</v>
      </c>
      <c r="DM20" s="1">
        <v>-2.3729882268812019E-2</v>
      </c>
      <c r="DN20" s="1">
        <v>3.2410308860478028E-2</v>
      </c>
      <c r="DO20" s="1">
        <v>6.2355840405013907E-2</v>
      </c>
      <c r="DP20" s="1">
        <v>0.1114644008370007</v>
      </c>
      <c r="DQ20" s="1">
        <v>-3.1162599784494389E-2</v>
      </c>
      <c r="DR20" s="1">
        <v>1.45788894751994E-2</v>
      </c>
      <c r="DS20" s="1">
        <v>1.6731203764303109E-3</v>
      </c>
      <c r="DT20" s="1">
        <v>-6.5526979669452007E-2</v>
      </c>
      <c r="DU20" s="1">
        <v>9.96252040416791E-3</v>
      </c>
      <c r="DV20" s="1">
        <v>1.6931497756610899E-2</v>
      </c>
      <c r="DW20" s="1">
        <v>-8.2644502783823848E-2</v>
      </c>
      <c r="DX20" s="1">
        <v>-1.9118756406488299E-2</v>
      </c>
      <c r="DY20" s="1">
        <v>-3.5916483664406702E-2</v>
      </c>
      <c r="DZ20" s="1">
        <v>-1.358469490957071E-3</v>
      </c>
      <c r="EA20" s="1">
        <v>4.2287554042412107E-2</v>
      </c>
      <c r="EB20" s="1">
        <v>9.2113310921237507E-2</v>
      </c>
      <c r="EC20" s="1">
        <v>9.5294098186915074E-2</v>
      </c>
      <c r="ED20" s="1">
        <v>-2.1275906234533432E-3</v>
      </c>
      <c r="EE20" s="1">
        <v>6.364516558615825E-2</v>
      </c>
      <c r="EF20" s="1">
        <v>6.6379839641500654E-2</v>
      </c>
      <c r="EG20" s="49">
        <f t="shared" si="0"/>
        <v>9.1894055999850142E-3</v>
      </c>
      <c r="EH20" s="48">
        <f t="shared" si="1"/>
        <v>9.1436869593804662E-2</v>
      </c>
      <c r="EI20" s="48">
        <f t="shared" si="2"/>
        <v>0.10050000225081684</v>
      </c>
    </row>
    <row r="21" spans="1:139" ht="16" customHeight="1">
      <c r="A21" s="6">
        <v>120</v>
      </c>
      <c r="B21" s="6">
        <v>8</v>
      </c>
      <c r="C21" s="7">
        <v>0.52985771388284164</v>
      </c>
      <c r="D21" s="7">
        <v>7.606114459542522E-2</v>
      </c>
      <c r="E21" s="7">
        <v>0.1044040819233399</v>
      </c>
      <c r="F21" s="7">
        <v>-6.7178579577600345E-2</v>
      </c>
      <c r="G21" s="7">
        <v>-8.2735777488667867E-2</v>
      </c>
      <c r="H21" s="7">
        <v>4.8538574369903907E-2</v>
      </c>
      <c r="I21" s="7">
        <v>1.7228103923745668E-2</v>
      </c>
      <c r="J21" s="7">
        <v>-8.3716559483896932E-2</v>
      </c>
      <c r="K21" s="7">
        <v>4.3504555325471699E-2</v>
      </c>
      <c r="L21" s="2">
        <v>-3.6605614451994242E-2</v>
      </c>
      <c r="M21" s="2">
        <v>2.3588566035926212E-2</v>
      </c>
      <c r="N21" s="2">
        <v>4.7668104236650112E-2</v>
      </c>
      <c r="O21" s="1">
        <v>-0.1223112838733728</v>
      </c>
      <c r="P21" s="1">
        <v>-6.8552530519521253E-3</v>
      </c>
      <c r="Q21" s="1">
        <v>0.13676182705223269</v>
      </c>
      <c r="R21" s="1">
        <v>-4.9627206271754341E-2</v>
      </c>
      <c r="S21" s="1">
        <v>-5.3140615771096397E-4</v>
      </c>
      <c r="T21" s="1">
        <v>-7.2801924084221648E-2</v>
      </c>
      <c r="U21" s="1">
        <v>-0.12705135612186089</v>
      </c>
      <c r="V21" s="1">
        <v>4.7642475637007707E-2</v>
      </c>
      <c r="W21" s="1">
        <v>1.5115430167798481E-2</v>
      </c>
      <c r="X21" s="1">
        <v>0.20221850515772691</v>
      </c>
      <c r="Y21" s="1">
        <v>-3.059537503249524E-2</v>
      </c>
      <c r="Z21" s="1">
        <v>7.0802848871364898E-2</v>
      </c>
      <c r="AA21" s="1">
        <v>-4.9593905559245637E-2</v>
      </c>
      <c r="AB21" s="1">
        <v>-5.9192406677882489E-2</v>
      </c>
      <c r="AC21" s="1">
        <v>1.9701800175298679E-3</v>
      </c>
      <c r="AD21" s="1">
        <v>0.13969010742237609</v>
      </c>
      <c r="AE21" s="1">
        <v>0.12090141308640449</v>
      </c>
      <c r="AF21" s="1">
        <v>0.14528083883742729</v>
      </c>
      <c r="AG21" s="1">
        <v>5.9824625339323742E-2</v>
      </c>
      <c r="AH21" s="1">
        <v>7.9034205157837586E-2</v>
      </c>
      <c r="AI21" s="1">
        <v>-6.9087254328882358E-3</v>
      </c>
      <c r="AJ21" s="1">
        <v>-8.864082741225654E-2</v>
      </c>
      <c r="AK21" s="1">
        <v>-4.8049495122023861E-2</v>
      </c>
      <c r="AL21" s="1">
        <v>-4.048526633941419E-2</v>
      </c>
      <c r="AM21" s="1">
        <v>9.4500960206069483E-3</v>
      </c>
      <c r="AN21" s="1">
        <v>0.13954237203814029</v>
      </c>
      <c r="AO21" s="1">
        <v>2.7062280042456109E-2</v>
      </c>
      <c r="AP21" s="1">
        <v>0.21064131117414109</v>
      </c>
      <c r="AQ21" s="1">
        <v>4.1535869588320279E-4</v>
      </c>
      <c r="AR21" s="1">
        <v>6.2558705656035728E-3</v>
      </c>
      <c r="AS21" s="1">
        <v>1.2558767024983149E-2</v>
      </c>
      <c r="AT21" s="1">
        <v>6.3393400536012168E-2</v>
      </c>
      <c r="AU21" s="1">
        <v>0.14079770068027611</v>
      </c>
      <c r="AV21" s="1">
        <v>4.1395756927523591E-2</v>
      </c>
      <c r="AW21" s="1">
        <v>-1.2224798363977151E-2</v>
      </c>
      <c r="AX21" s="1">
        <v>-0.18435485347764191</v>
      </c>
      <c r="AY21" s="1">
        <v>-0.12809128079360091</v>
      </c>
      <c r="AZ21" s="1">
        <v>5.9507400561648917E-3</v>
      </c>
      <c r="BA21" s="1">
        <v>3.9079089491862458E-2</v>
      </c>
      <c r="BB21" s="1">
        <v>-5.6778910148877947E-2</v>
      </c>
      <c r="BC21" s="1">
        <v>-6.2312335923788841E-2</v>
      </c>
      <c r="BD21" s="1">
        <v>9.9495227641921147E-3</v>
      </c>
      <c r="BE21" s="1">
        <v>-5.1416418151372982E-2</v>
      </c>
      <c r="BF21" s="1">
        <v>-1.5788925078600659E-2</v>
      </c>
      <c r="BG21" s="1">
        <v>0.20140512776274039</v>
      </c>
      <c r="BH21" s="1">
        <v>0.13969196921431151</v>
      </c>
      <c r="BI21" s="1">
        <v>-0.1019831192821241</v>
      </c>
      <c r="BJ21" s="1">
        <v>0.1197019982339094</v>
      </c>
      <c r="BK21" s="1">
        <v>-9.6687990345080771E-2</v>
      </c>
      <c r="BL21" s="1">
        <v>8.1805321366100595E-2</v>
      </c>
      <c r="BM21" s="1">
        <v>-3.3466951428687677E-2</v>
      </c>
      <c r="BN21" s="1">
        <v>4.0575034845889459E-3</v>
      </c>
      <c r="BO21" s="1">
        <v>4.8053365314032301E-2</v>
      </c>
      <c r="BP21" s="1">
        <v>-0.1358951325975345</v>
      </c>
      <c r="BQ21" s="1">
        <v>-6.6896046592159919E-2</v>
      </c>
      <c r="BR21" s="1">
        <v>-0.1122995832229548</v>
      </c>
      <c r="BS21" s="1">
        <v>-2.0453666654292411E-2</v>
      </c>
      <c r="BT21" s="1">
        <v>6.372679340534014E-2</v>
      </c>
      <c r="BU21" s="1">
        <v>-0.12846364583262621</v>
      </c>
      <c r="BV21" s="1">
        <v>0.1324630390931302</v>
      </c>
      <c r="BW21" s="1">
        <v>3.1768333085046653E-2</v>
      </c>
      <c r="BX21" s="1">
        <v>-3.8230486466470807E-2</v>
      </c>
      <c r="BY21" s="1">
        <v>-7.9758185075038346E-2</v>
      </c>
      <c r="BZ21" s="1">
        <v>-0.26753930961093247</v>
      </c>
      <c r="CA21" s="1">
        <v>2.0565278569038069E-3</v>
      </c>
      <c r="CB21" s="1">
        <v>0.22563407062198529</v>
      </c>
      <c r="CC21" s="1">
        <v>-0.1064402388602793</v>
      </c>
      <c r="CD21" s="1">
        <v>-5.0873354382964808E-2</v>
      </c>
      <c r="CE21" s="1">
        <v>-3.9737204916551368E-2</v>
      </c>
      <c r="CF21" s="1">
        <v>5.2853072612742018E-2</v>
      </c>
      <c r="CG21" s="1">
        <v>8.1574797148804529E-2</v>
      </c>
      <c r="CH21" s="1">
        <v>-4.2530618783028662E-2</v>
      </c>
      <c r="CI21" s="1">
        <v>-0.1172574532925659</v>
      </c>
      <c r="CJ21" s="1">
        <v>1.7113110177263219E-2</v>
      </c>
      <c r="CK21" s="1">
        <v>-6.9748368400156677E-2</v>
      </c>
      <c r="CL21" s="1">
        <v>-9.3128030340507567E-3</v>
      </c>
      <c r="CM21" s="1">
        <v>5.1487871031026061E-2</v>
      </c>
      <c r="CN21" s="1">
        <v>2.2772360898600279E-2</v>
      </c>
      <c r="CO21" s="1">
        <v>-0.16747504621716061</v>
      </c>
      <c r="CP21" s="1">
        <v>-3.0928958587737979E-2</v>
      </c>
      <c r="CQ21" s="1">
        <v>0.20310225576849711</v>
      </c>
      <c r="CR21" s="1">
        <v>2.3181979012384151E-2</v>
      </c>
      <c r="CS21" s="1">
        <v>-8.677051161408246E-3</v>
      </c>
      <c r="CT21" s="1">
        <v>-3.7899251577478518E-2</v>
      </c>
      <c r="CU21" s="1">
        <v>-1.117104610197894E-2</v>
      </c>
      <c r="CV21" s="1">
        <v>4.0180728808857313E-2</v>
      </c>
      <c r="CW21" s="1">
        <v>-7.3503677384137364E-2</v>
      </c>
      <c r="CX21" s="1">
        <v>1.52933721307392E-2</v>
      </c>
      <c r="CY21" s="1">
        <v>-9.956896893530981E-2</v>
      </c>
      <c r="CZ21" s="1">
        <v>0.14849635563290681</v>
      </c>
      <c r="DA21" s="1">
        <v>5.7245568060076427E-2</v>
      </c>
      <c r="DB21" s="1">
        <v>-6.4871693575877326E-2</v>
      </c>
      <c r="DC21" s="1">
        <v>-1.7668363597428571E-2</v>
      </c>
      <c r="DD21" s="1">
        <v>-5.7846515845768331E-3</v>
      </c>
      <c r="DE21" s="1">
        <v>-2.2127287703609749E-2</v>
      </c>
      <c r="DF21" s="1">
        <v>2.1587741028577131E-2</v>
      </c>
      <c r="DG21" s="1">
        <v>2.50605213895452E-2</v>
      </c>
      <c r="DH21" s="1">
        <v>8.2975077290860649E-3</v>
      </c>
      <c r="DI21" s="1">
        <v>-8.3131858926023122E-2</v>
      </c>
      <c r="DJ21" s="1">
        <v>-1.021914161730497E-2</v>
      </c>
      <c r="DK21" s="1">
        <v>-9.5570532961836083E-2</v>
      </c>
      <c r="DL21" s="1">
        <v>7.2422409651386341E-2</v>
      </c>
      <c r="DM21" s="1">
        <v>-2.9633363960826501E-2</v>
      </c>
      <c r="DN21" s="1">
        <v>4.0703783299673058E-2</v>
      </c>
      <c r="DO21" s="1">
        <v>6.6922478713572903E-2</v>
      </c>
      <c r="DP21" s="1">
        <v>0.1081164031287932</v>
      </c>
      <c r="DQ21" s="1">
        <v>-5.3077385897817242E-2</v>
      </c>
      <c r="DR21" s="1">
        <v>-6.1282000565750731E-3</v>
      </c>
      <c r="DS21" s="1">
        <v>-1.8473526735799679E-2</v>
      </c>
      <c r="DT21" s="1">
        <v>-8.4857002698624007E-2</v>
      </c>
      <c r="DU21" s="1">
        <v>3.7965007145035763E-2</v>
      </c>
      <c r="DV21" s="1">
        <v>2.216627487265381E-2</v>
      </c>
      <c r="DW21" s="1">
        <v>-8.3543442481245234E-2</v>
      </c>
      <c r="DX21" s="1">
        <v>1.1892608351825649E-2</v>
      </c>
      <c r="DY21" s="1">
        <v>4.4396718777992741E-2</v>
      </c>
      <c r="DZ21" s="1">
        <v>-4.8075572134409217E-3</v>
      </c>
      <c r="EA21" s="1">
        <v>4.6144540153720381E-2</v>
      </c>
      <c r="EB21" s="1">
        <v>8.8177280274375311E-2</v>
      </c>
      <c r="EC21" s="1">
        <v>9.8773806039907458E-2</v>
      </c>
      <c r="ED21" s="1">
        <v>-2.3581202558429419E-3</v>
      </c>
      <c r="EE21" s="1">
        <v>7.4006134219565672E-2</v>
      </c>
      <c r="EF21" s="1">
        <v>7.9478952762728511E-2</v>
      </c>
      <c r="EG21" s="49">
        <f t="shared" si="0"/>
        <v>9.0557050987310952E-3</v>
      </c>
      <c r="EH21" s="48">
        <f t="shared" si="1"/>
        <v>9.6117632079446513E-2</v>
      </c>
      <c r="EI21" s="48">
        <f t="shared" si="2"/>
        <v>9.4214816811613256E-2</v>
      </c>
    </row>
    <row r="22" spans="1:139" ht="16" customHeight="1">
      <c r="A22" s="6">
        <v>137</v>
      </c>
      <c r="B22" s="6">
        <v>7</v>
      </c>
      <c r="C22" s="7">
        <v>0.59702667278137145</v>
      </c>
      <c r="D22" s="7">
        <v>0.11234221936693491</v>
      </c>
      <c r="E22" s="7">
        <v>0.1197725365506753</v>
      </c>
      <c r="F22" s="7">
        <v>-5.2670133397916298E-2</v>
      </c>
      <c r="G22" s="7">
        <v>-8.5104962662982564E-2</v>
      </c>
      <c r="H22" s="7">
        <v>4.2588982474377139E-2</v>
      </c>
      <c r="I22" s="7">
        <v>2.5934439245554001E-2</v>
      </c>
      <c r="J22" s="7">
        <v>-0.1029108869557044</v>
      </c>
      <c r="K22" s="7">
        <v>6.0254316673198652E-2</v>
      </c>
      <c r="L22" s="2">
        <v>-3.5141143896704398E-2</v>
      </c>
      <c r="M22" s="2">
        <v>6.5944909541795493E-2</v>
      </c>
      <c r="N22" s="2">
        <v>4.8725311120705869E-2</v>
      </c>
      <c r="O22" s="1">
        <v>-0.12114281037219241</v>
      </c>
      <c r="P22" s="1">
        <v>1.8580166149108561E-2</v>
      </c>
      <c r="Q22" s="1">
        <v>0.17007991347821641</v>
      </c>
      <c r="R22" s="1">
        <v>-5.0666745042941358E-2</v>
      </c>
      <c r="S22" s="1">
        <v>-7.8891291449357769E-3</v>
      </c>
      <c r="T22" s="1">
        <v>-7.7583719572652865E-2</v>
      </c>
      <c r="U22" s="1">
        <v>-0.1209528052220873</v>
      </c>
      <c r="V22" s="1">
        <v>6.0617934574949087E-2</v>
      </c>
      <c r="W22" s="1">
        <v>3.4031799072117293E-2</v>
      </c>
      <c r="X22" s="1">
        <v>0.1190217784711801</v>
      </c>
      <c r="Y22" s="1">
        <v>-5.9172970092658893E-2</v>
      </c>
      <c r="Z22" s="1">
        <v>4.6364348181295492E-2</v>
      </c>
      <c r="AA22" s="1">
        <v>-5.6977897443421202E-2</v>
      </c>
      <c r="AB22" s="1">
        <v>-5.7732291256740439E-2</v>
      </c>
      <c r="AC22" s="1">
        <v>3.8247064643999497E-2</v>
      </c>
      <c r="AD22" s="1">
        <v>0.1217428524407692</v>
      </c>
      <c r="AE22" s="1">
        <v>9.5786686787273867E-2</v>
      </c>
      <c r="AF22" s="1">
        <v>0.1479382388745345</v>
      </c>
      <c r="AG22" s="1">
        <v>4.0076151119528967E-2</v>
      </c>
      <c r="AH22" s="1">
        <v>0.106020302698056</v>
      </c>
      <c r="AI22" s="1">
        <v>8.8415766908152144E-3</v>
      </c>
      <c r="AJ22" s="1">
        <v>-9.1660718633092109E-2</v>
      </c>
      <c r="AK22" s="1">
        <v>-6.2903544872766892E-2</v>
      </c>
      <c r="AL22" s="1">
        <v>-2.309007460483441E-2</v>
      </c>
      <c r="AM22" s="1">
        <v>5.9551740840478699E-3</v>
      </c>
      <c r="AN22" s="1">
        <v>0.152458962691954</v>
      </c>
      <c r="AO22" s="1">
        <v>4.2447332126794302E-2</v>
      </c>
      <c r="AP22" s="1">
        <v>0.2357291195786122</v>
      </c>
      <c r="AQ22" s="1">
        <v>-1.663019803151139E-2</v>
      </c>
      <c r="AR22" s="1">
        <v>-3.7023840807480071E-2</v>
      </c>
      <c r="AS22" s="1">
        <v>-3.1522233124704473E-2</v>
      </c>
      <c r="AT22" s="1">
        <v>7.3773101585260931E-2</v>
      </c>
      <c r="AU22" s="1">
        <v>0.17022873784680079</v>
      </c>
      <c r="AV22" s="1">
        <v>3.643790011794025E-2</v>
      </c>
      <c r="AW22" s="1">
        <v>-1.0287419822355461E-2</v>
      </c>
      <c r="AX22" s="1">
        <v>-0.2164680401289017</v>
      </c>
      <c r="AY22" s="1">
        <v>-0.15878962532956489</v>
      </c>
      <c r="AZ22" s="1">
        <v>-7.324379403333825E-2</v>
      </c>
      <c r="BA22" s="1">
        <v>3.9030252359922808E-2</v>
      </c>
      <c r="BB22" s="1">
        <v>-2.9833766921272521E-2</v>
      </c>
      <c r="BC22" s="1">
        <v>-6.7232690806448892E-2</v>
      </c>
      <c r="BD22" s="1">
        <v>1.036935787865673E-2</v>
      </c>
      <c r="BE22" s="1">
        <v>-5.8332098441467098E-2</v>
      </c>
      <c r="BF22" s="1">
        <v>-4.8237820598293082E-2</v>
      </c>
      <c r="BG22" s="1">
        <v>0.20384241149921259</v>
      </c>
      <c r="BH22" s="1">
        <v>0.1273112567320058</v>
      </c>
      <c r="BI22" s="1">
        <v>-3.098202296822003E-2</v>
      </c>
      <c r="BJ22" s="1">
        <v>0.16854184093634139</v>
      </c>
      <c r="BK22" s="1">
        <v>-4.3284730993697493E-2</v>
      </c>
      <c r="BL22" s="1">
        <v>8.0872492458574308E-2</v>
      </c>
      <c r="BM22" s="1">
        <v>-2.8591581017167109E-2</v>
      </c>
      <c r="BN22" s="1">
        <v>3.7674701284938487E-2</v>
      </c>
      <c r="BO22" s="1">
        <v>3.4438569960882723E-2</v>
      </c>
      <c r="BP22" s="1">
        <v>-0.16345065394954891</v>
      </c>
      <c r="BQ22" s="1">
        <v>-8.8234249991517383E-2</v>
      </c>
      <c r="BR22" s="1">
        <v>-0.1293701536439707</v>
      </c>
      <c r="BS22" s="1">
        <v>-8.0267960268135922E-3</v>
      </c>
      <c r="BT22" s="1">
        <v>0.12060036429644951</v>
      </c>
      <c r="BU22" s="1">
        <v>-5.9011248442753038E-2</v>
      </c>
      <c r="BV22" s="1">
        <v>8.1313722210328093E-2</v>
      </c>
      <c r="BW22" s="1">
        <v>2.3036325727925841E-2</v>
      </c>
      <c r="BX22" s="1">
        <v>-6.4435825459256024E-2</v>
      </c>
      <c r="BY22" s="1">
        <v>-7.9395837496174626E-2</v>
      </c>
      <c r="BZ22" s="1">
        <v>-0.22233142698347291</v>
      </c>
      <c r="CA22" s="1">
        <v>-3.3634168523635771E-4</v>
      </c>
      <c r="CB22" s="1">
        <v>0.20437026802972921</v>
      </c>
      <c r="CC22" s="1">
        <v>-0.15077475535434021</v>
      </c>
      <c r="CD22" s="1">
        <v>-6.9076708806004083E-2</v>
      </c>
      <c r="CE22" s="1">
        <v>-5.355746735818509E-2</v>
      </c>
      <c r="CF22" s="1">
        <v>5.9428907467108563E-2</v>
      </c>
      <c r="CG22" s="1">
        <v>9.6535295486986181E-2</v>
      </c>
      <c r="CH22" s="1">
        <v>-7.0558228734936557E-2</v>
      </c>
      <c r="CI22" s="1">
        <v>-0.1231602352291763</v>
      </c>
      <c r="CJ22" s="1">
        <v>-2.5520870006066811E-2</v>
      </c>
      <c r="CK22" s="1">
        <v>-5.9404697811491269E-2</v>
      </c>
      <c r="CL22" s="1">
        <v>-1.5808280838525941E-2</v>
      </c>
      <c r="CM22" s="1">
        <v>2.7441990317854641E-2</v>
      </c>
      <c r="CN22" s="1">
        <v>1.0380079190252189E-2</v>
      </c>
      <c r="CO22" s="1">
        <v>-0.15292230080527561</v>
      </c>
      <c r="CP22" s="1">
        <v>-3.6841766872279837E-2</v>
      </c>
      <c r="CQ22" s="1">
        <v>0.24824017915228971</v>
      </c>
      <c r="CR22" s="1">
        <v>1.680162258796726E-3</v>
      </c>
      <c r="CS22" s="1">
        <v>1.2760754616223389E-2</v>
      </c>
      <c r="CT22" s="1">
        <v>-3.9989379297291218E-2</v>
      </c>
      <c r="CU22" s="1">
        <v>-1.696481475059727E-2</v>
      </c>
      <c r="CV22" s="1">
        <v>1.716021957517519E-2</v>
      </c>
      <c r="CW22" s="1">
        <v>-7.6679092980754246E-2</v>
      </c>
      <c r="CX22" s="1">
        <v>2.7565591105232309E-2</v>
      </c>
      <c r="CY22" s="1">
        <v>-9.7612475923228928E-2</v>
      </c>
      <c r="CZ22" s="1">
        <v>0.14601579504619591</v>
      </c>
      <c r="DA22" s="1">
        <v>6.1880194891662757E-2</v>
      </c>
      <c r="DB22" s="1">
        <v>-5.8935191510231681E-2</v>
      </c>
      <c r="DC22" s="1">
        <v>-1.025350901048128E-2</v>
      </c>
      <c r="DD22" s="1">
        <v>2.4323833134546689E-2</v>
      </c>
      <c r="DE22" s="1">
        <v>-3.1841768526823078E-2</v>
      </c>
      <c r="DF22" s="1">
        <v>3.2191641048882523E-2</v>
      </c>
      <c r="DG22" s="1">
        <v>2.5642305509314001E-2</v>
      </c>
      <c r="DH22" s="1">
        <v>2.2638178068234149E-3</v>
      </c>
      <c r="DI22" s="1">
        <v>-7.242630788583615E-2</v>
      </c>
      <c r="DJ22" s="1">
        <v>-2.590562526044627E-2</v>
      </c>
      <c r="DK22" s="1">
        <v>-5.4742386737940699E-2</v>
      </c>
      <c r="DL22" s="1">
        <v>8.4636771302964042E-2</v>
      </c>
      <c r="DM22" s="1">
        <v>-2.1697178918153062E-2</v>
      </c>
      <c r="DN22" s="1">
        <v>5.1943745878360349E-2</v>
      </c>
      <c r="DO22" s="1">
        <v>5.6454224375718648E-2</v>
      </c>
      <c r="DP22" s="1">
        <v>0.1198453474670783</v>
      </c>
      <c r="DQ22" s="1">
        <v>-0.1078235697289589</v>
      </c>
      <c r="DR22" s="1">
        <v>-2.0824984855461141E-2</v>
      </c>
      <c r="DS22" s="1">
        <v>-1.109328694780422E-2</v>
      </c>
      <c r="DT22" s="1">
        <v>-0.11481388041814421</v>
      </c>
      <c r="DU22" s="1">
        <v>6.442826538568322E-2</v>
      </c>
      <c r="DV22" s="1">
        <v>3.7284648111438362E-2</v>
      </c>
      <c r="DW22" s="1">
        <v>-5.125154360586083E-2</v>
      </c>
      <c r="DX22" s="1">
        <v>1.4207202321125E-2</v>
      </c>
      <c r="DY22" s="1">
        <v>8.1730371780071698E-2</v>
      </c>
      <c r="DZ22" s="1">
        <v>3.5042142391611623E-2</v>
      </c>
      <c r="EA22" s="1">
        <v>8.1965449773626173E-2</v>
      </c>
      <c r="EB22" s="1">
        <v>9.9856613074363609E-2</v>
      </c>
      <c r="EC22" s="1">
        <v>0.1228366294337465</v>
      </c>
      <c r="ED22" s="1">
        <v>-3.040228867206889E-2</v>
      </c>
      <c r="EE22" s="1">
        <v>7.403257421735307E-2</v>
      </c>
      <c r="EF22" s="1">
        <v>9.0060189910511484E-2</v>
      </c>
      <c r="EG22" s="49">
        <f t="shared" si="0"/>
        <v>1.0930374683975156E-2</v>
      </c>
      <c r="EH22" s="48">
        <f t="shared" si="1"/>
        <v>0.10224714124867139</v>
      </c>
      <c r="EI22" s="48">
        <f t="shared" si="2"/>
        <v>0.10690151871720116</v>
      </c>
    </row>
    <row r="23" spans="1:139" ht="16" customHeight="1">
      <c r="A23" s="6">
        <v>160</v>
      </c>
      <c r="B23" s="6">
        <v>6</v>
      </c>
      <c r="C23" s="7">
        <v>0.58903403281196909</v>
      </c>
      <c r="D23" s="7">
        <v>0.12101827357069039</v>
      </c>
      <c r="E23" s="7">
        <v>0.14904739401283079</v>
      </c>
      <c r="F23" s="7">
        <v>-5.1161742317699321E-2</v>
      </c>
      <c r="G23" s="7">
        <v>-7.6143150171010282E-2</v>
      </c>
      <c r="H23" s="7">
        <v>5.2045692476819762E-2</v>
      </c>
      <c r="I23" s="7">
        <v>-1.432377580913397E-2</v>
      </c>
      <c r="J23" s="7">
        <v>-8.7658147607000594E-2</v>
      </c>
      <c r="K23" s="7">
        <v>0.1099956178304537</v>
      </c>
      <c r="L23" s="2">
        <v>-1.035004657503855E-2</v>
      </c>
      <c r="M23" s="2">
        <v>9.5319388467231814E-2</v>
      </c>
      <c r="N23" s="2">
        <v>5.1909196996975181E-2</v>
      </c>
      <c r="O23" s="1">
        <v>-0.14279045921132891</v>
      </c>
      <c r="P23" s="1">
        <v>1.191346010455689E-2</v>
      </c>
      <c r="Q23" s="1">
        <v>0.1729966344587163</v>
      </c>
      <c r="R23" s="1">
        <v>-6.0054947219745289E-2</v>
      </c>
      <c r="S23" s="1">
        <v>2.9282474972151841E-3</v>
      </c>
      <c r="T23" s="1">
        <v>-8.4714245424777956E-2</v>
      </c>
      <c r="U23" s="1">
        <v>-0.14008402649132559</v>
      </c>
      <c r="V23" s="1">
        <v>5.2065874780098317E-2</v>
      </c>
      <c r="W23" s="1">
        <v>3.2223956188135172E-2</v>
      </c>
      <c r="X23" s="1">
        <v>7.2460969620781815E-2</v>
      </c>
      <c r="Y23" s="1">
        <v>-4.6392706644715273E-2</v>
      </c>
      <c r="Z23" s="1">
        <v>4.6385963543429803E-2</v>
      </c>
      <c r="AA23" s="1">
        <v>-4.7376075486697353E-2</v>
      </c>
      <c r="AB23" s="1">
        <v>-5.6662465739489229E-2</v>
      </c>
      <c r="AC23" s="1">
        <v>4.1917627253081381E-2</v>
      </c>
      <c r="AD23" s="1">
        <v>0.14347554027338991</v>
      </c>
      <c r="AE23" s="1">
        <v>0.13393968668568329</v>
      </c>
      <c r="AF23" s="1">
        <v>0.13976035152501559</v>
      </c>
      <c r="AG23" s="1">
        <v>5.8270038152253463E-2</v>
      </c>
      <c r="AH23" s="1">
        <v>0.11058398042845589</v>
      </c>
      <c r="AI23" s="1">
        <v>2.5698748549666469E-2</v>
      </c>
      <c r="AJ23" s="1">
        <v>-0.1253408299387378</v>
      </c>
      <c r="AK23" s="1">
        <v>2.1712837673108311E-2</v>
      </c>
      <c r="AL23" s="1">
        <v>2.243921565155526E-2</v>
      </c>
      <c r="AM23" s="1">
        <v>2.8344363863544629E-2</v>
      </c>
      <c r="AN23" s="1">
        <v>0.17393219307805241</v>
      </c>
      <c r="AO23" s="1">
        <v>7.5256079452157149E-2</v>
      </c>
      <c r="AP23" s="1">
        <v>0.1155275161697433</v>
      </c>
      <c r="AQ23" s="1">
        <v>-4.0305129381898001E-2</v>
      </c>
      <c r="AR23" s="1">
        <v>-2.4064234683638022E-2</v>
      </c>
      <c r="AS23" s="1">
        <v>-8.2810152372720214E-2</v>
      </c>
      <c r="AT23" s="1">
        <v>8.5553942160940422E-2</v>
      </c>
      <c r="AU23" s="1">
        <v>0.1982489823443383</v>
      </c>
      <c r="AV23" s="1">
        <v>5.0253807103562413E-2</v>
      </c>
      <c r="AW23" s="1">
        <v>-5.9856918334762081E-2</v>
      </c>
      <c r="AX23" s="1">
        <v>-0.23920274972162181</v>
      </c>
      <c r="AY23" s="1">
        <v>-0.19532085096308241</v>
      </c>
      <c r="AZ23" s="1">
        <v>-7.3820170135597607E-2</v>
      </c>
      <c r="BA23" s="1">
        <v>2.049420727928469E-2</v>
      </c>
      <c r="BB23" s="1">
        <v>-7.7932698138736836E-2</v>
      </c>
      <c r="BC23" s="1">
        <v>-7.5595123894411836E-2</v>
      </c>
      <c r="BD23" s="1">
        <v>6.2471472143848048E-3</v>
      </c>
      <c r="BE23" s="1">
        <v>-5.3023861905270607E-2</v>
      </c>
      <c r="BF23" s="1">
        <v>-3.2345344705284482E-2</v>
      </c>
      <c r="BG23" s="1">
        <v>0.2616088061803753</v>
      </c>
      <c r="BH23" s="1">
        <v>8.1861771387665927E-2</v>
      </c>
      <c r="BI23" s="1">
        <v>5.7666495271492257E-3</v>
      </c>
      <c r="BJ23" s="1">
        <v>0.18255109159587901</v>
      </c>
      <c r="BK23" s="1">
        <v>-5.1200608248704343E-2</v>
      </c>
      <c r="BL23" s="1">
        <v>8.2581646666011158E-2</v>
      </c>
      <c r="BM23" s="1">
        <v>1.444774623437696E-2</v>
      </c>
      <c r="BN23" s="1">
        <v>2.165565355507474E-2</v>
      </c>
      <c r="BO23" s="1">
        <v>4.6419083913034093E-2</v>
      </c>
      <c r="BP23" s="1">
        <v>-0.15934268145173219</v>
      </c>
      <c r="BQ23" s="1">
        <v>-8.0440695493297326E-2</v>
      </c>
      <c r="BR23" s="1">
        <v>-0.16823038916444699</v>
      </c>
      <c r="BS23" s="1">
        <v>-3.0264806454827931E-2</v>
      </c>
      <c r="BT23" s="1">
        <v>0.1360334534211089</v>
      </c>
      <c r="BU23" s="1">
        <v>-5.1609421768894922E-2</v>
      </c>
      <c r="BV23" s="1">
        <v>7.2476835192650996E-2</v>
      </c>
      <c r="BW23" s="1">
        <v>7.8441973622419281E-3</v>
      </c>
      <c r="BX23" s="1">
        <v>-5.572108398444181E-2</v>
      </c>
      <c r="BY23" s="1">
        <v>-9.836306096639158E-2</v>
      </c>
      <c r="BZ23" s="1">
        <v>-0.19991688637233779</v>
      </c>
      <c r="CA23" s="1">
        <v>3.7753679099692891E-2</v>
      </c>
      <c r="CB23" s="1">
        <v>0.20379029017723199</v>
      </c>
      <c r="CC23" s="1">
        <v>-0.1881871410523587</v>
      </c>
      <c r="CD23" s="1">
        <v>-7.4047646097463463E-2</v>
      </c>
      <c r="CE23" s="1">
        <v>-5.729090439367289E-2</v>
      </c>
      <c r="CF23" s="1">
        <v>0.1061386862889501</v>
      </c>
      <c r="CG23" s="1">
        <v>4.5719747780819803E-2</v>
      </c>
      <c r="CH23" s="1">
        <v>-0.13243064348335001</v>
      </c>
      <c r="CI23" s="1">
        <v>-0.1728337503291914</v>
      </c>
      <c r="CJ23" s="1">
        <v>-3.1519170084702432E-2</v>
      </c>
      <c r="CK23" s="1">
        <v>-7.846832161370218E-2</v>
      </c>
      <c r="CL23" s="1">
        <v>-4.5994719068803112E-2</v>
      </c>
      <c r="CM23" s="1">
        <v>3.0084792981625499E-2</v>
      </c>
      <c r="CN23" s="1">
        <v>-2.675995535338313E-2</v>
      </c>
      <c r="CO23" s="1">
        <v>-0.15204785401687071</v>
      </c>
      <c r="CP23" s="1">
        <v>-3.6223362581746903E-2</v>
      </c>
      <c r="CQ23" s="1">
        <v>0.32077597833093879</v>
      </c>
      <c r="CR23" s="1">
        <v>-1.4852951961960211E-2</v>
      </c>
      <c r="CS23" s="1">
        <v>-3.800571072133233E-3</v>
      </c>
      <c r="CT23" s="1">
        <v>-5.0488758539439058E-2</v>
      </c>
      <c r="CU23" s="1">
        <v>2.772852896333633E-2</v>
      </c>
      <c r="CV23" s="1">
        <v>1.631175317851043E-2</v>
      </c>
      <c r="CW23" s="1">
        <v>-5.5317417529942257E-2</v>
      </c>
      <c r="CX23" s="1">
        <v>6.626357166004361E-2</v>
      </c>
      <c r="CY23" s="1">
        <v>-0.1034562029475023</v>
      </c>
      <c r="CZ23" s="1">
        <v>0.1151965851684672</v>
      </c>
      <c r="DA23" s="1">
        <v>6.7471710136868784E-2</v>
      </c>
      <c r="DB23" s="1">
        <v>-4.2268358095446608E-2</v>
      </c>
      <c r="DC23" s="1">
        <v>-1.7345489932320459E-2</v>
      </c>
      <c r="DD23" s="1">
        <v>3.8316496184252723E-2</v>
      </c>
      <c r="DE23" s="1">
        <v>-3.3452283391425558E-2</v>
      </c>
      <c r="DF23" s="1">
        <v>2.1548498987132288E-2</v>
      </c>
      <c r="DG23" s="1">
        <v>4.0422527447722269E-2</v>
      </c>
      <c r="DH23" s="1">
        <v>6.698980327418988E-3</v>
      </c>
      <c r="DI23" s="1">
        <v>-6.9408931196461271E-2</v>
      </c>
      <c r="DJ23" s="1">
        <v>-3.8777371664047711E-2</v>
      </c>
      <c r="DK23" s="1">
        <v>-3.1601871810755168E-2</v>
      </c>
      <c r="DL23" s="1">
        <v>3.7777794200072393E-2</v>
      </c>
      <c r="DM23" s="1">
        <v>-6.5635413012892746E-2</v>
      </c>
      <c r="DN23" s="1">
        <v>3.7554488735781967E-2</v>
      </c>
      <c r="DO23" s="1">
        <v>5.6910690758857477E-2</v>
      </c>
      <c r="DP23" s="1">
        <v>0.1210362219239956</v>
      </c>
      <c r="DQ23" s="1">
        <v>-9.8994752598079258E-2</v>
      </c>
      <c r="DR23" s="1">
        <v>-1.105439389948963E-2</v>
      </c>
      <c r="DS23" s="1">
        <v>-3.4647926539093099E-2</v>
      </c>
      <c r="DT23" s="1">
        <v>-0.1176244305829813</v>
      </c>
      <c r="DU23" s="1">
        <v>-4.9037940345314383E-2</v>
      </c>
      <c r="DV23" s="1">
        <v>8.0006969321902537E-3</v>
      </c>
      <c r="DW23" s="1">
        <v>0.1049080925113872</v>
      </c>
      <c r="DX23" s="1">
        <v>7.6399910328450768E-2</v>
      </c>
      <c r="DY23" s="1">
        <v>1.20945648352834E-2</v>
      </c>
      <c r="DZ23" s="1">
        <v>1.1537309442656161E-2</v>
      </c>
      <c r="EA23" s="1">
        <v>6.0595957978916572E-2</v>
      </c>
      <c r="EB23" s="1">
        <v>0.12693198878329359</v>
      </c>
      <c r="EC23" s="1">
        <v>0.1146354347162972</v>
      </c>
      <c r="ED23" s="1">
        <v>-4.4745872872576378E-2</v>
      </c>
      <c r="EE23" s="1">
        <v>8.5076635375619367E-2</v>
      </c>
      <c r="EF23" s="1">
        <v>9.2928816222345167E-2</v>
      </c>
      <c r="EG23" s="49">
        <f t="shared" si="0"/>
        <v>1.0030779394521972E-2</v>
      </c>
      <c r="EH23" s="48">
        <f t="shared" si="1"/>
        <v>0.10816482802674497</v>
      </c>
      <c r="EI23" s="48">
        <f t="shared" si="2"/>
        <v>9.2736054570731155E-2</v>
      </c>
    </row>
    <row r="24" spans="1:139" ht="16" customHeight="1">
      <c r="A24" s="6">
        <v>192</v>
      </c>
      <c r="B24" s="6">
        <v>5</v>
      </c>
      <c r="C24" s="7">
        <v>0.48688322582293853</v>
      </c>
      <c r="D24" s="7">
        <v>0.14754147693319361</v>
      </c>
      <c r="E24" s="7">
        <v>0.1580591925614189</v>
      </c>
      <c r="F24" s="7">
        <v>-6.9019270158793528E-2</v>
      </c>
      <c r="G24" s="7">
        <v>-7.7451021016070876E-2</v>
      </c>
      <c r="H24" s="7">
        <v>-7.1708540797783974E-3</v>
      </c>
      <c r="I24" s="7">
        <v>-3.367232025404468E-2</v>
      </c>
      <c r="J24" s="7">
        <v>-7.142734024751618E-2</v>
      </c>
      <c r="K24" s="7">
        <v>0.1301425268548369</v>
      </c>
      <c r="L24" s="2">
        <v>-6.0974844488373793E-2</v>
      </c>
      <c r="M24" s="2">
        <v>1.0482041887898849E-2</v>
      </c>
      <c r="N24" s="2">
        <v>0.10127857954702529</v>
      </c>
      <c r="O24" s="1">
        <v>-0.13009359149030519</v>
      </c>
      <c r="P24" s="1">
        <v>2.981198345716337E-2</v>
      </c>
      <c r="Q24" s="1">
        <v>0.1735657571157197</v>
      </c>
      <c r="R24" s="1">
        <v>-6.1256067481286473E-2</v>
      </c>
      <c r="S24" s="1">
        <v>-5.0269767699292313E-3</v>
      </c>
      <c r="T24" s="1">
        <v>-7.2740848747512007E-2</v>
      </c>
      <c r="U24" s="1">
        <v>-0.16648222329568799</v>
      </c>
      <c r="V24" s="1">
        <v>5.4648868223752978E-2</v>
      </c>
      <c r="W24" s="1">
        <v>5.1064791431282459E-2</v>
      </c>
      <c r="X24" s="1">
        <v>0.107013872364101</v>
      </c>
      <c r="Y24" s="1">
        <v>-8.223002527887377E-2</v>
      </c>
      <c r="Z24" s="1">
        <v>4.2910791838235977E-2</v>
      </c>
      <c r="AA24" s="1">
        <v>-5.5683174127092401E-2</v>
      </c>
      <c r="AB24" s="1">
        <v>-5.7372285980288519E-2</v>
      </c>
      <c r="AC24" s="1">
        <v>6.6093905690228036E-2</v>
      </c>
      <c r="AD24" s="1">
        <v>0.18714059520720691</v>
      </c>
      <c r="AE24" s="1">
        <v>0.15411462408316329</v>
      </c>
      <c r="AF24" s="1">
        <v>0.10085415839664311</v>
      </c>
      <c r="AG24" s="1">
        <v>5.6049469204330828E-2</v>
      </c>
      <c r="AH24" s="1">
        <v>0.1799512953027648</v>
      </c>
      <c r="AI24" s="1">
        <v>4.6677776767189288E-2</v>
      </c>
      <c r="AJ24" s="1">
        <v>-0.14950342437542849</v>
      </c>
      <c r="AK24" s="1">
        <v>2.8893065216786529E-2</v>
      </c>
      <c r="AL24" s="1">
        <v>2.1185373996549121E-2</v>
      </c>
      <c r="AM24" s="1">
        <v>4.7696200956436882E-2</v>
      </c>
      <c r="AN24" s="1">
        <v>0.1917840364821233</v>
      </c>
      <c r="AO24" s="1">
        <v>0.11257276586185209</v>
      </c>
      <c r="AP24" s="1">
        <v>0.13425491293070099</v>
      </c>
      <c r="AQ24" s="1">
        <v>-9.0084251236176208E-2</v>
      </c>
      <c r="AR24" s="1">
        <v>-5.3467098623218363E-2</v>
      </c>
      <c r="AS24" s="1">
        <v>-9.7146620460031002E-2</v>
      </c>
      <c r="AT24" s="1">
        <v>9.3996823566875859E-2</v>
      </c>
      <c r="AU24" s="1">
        <v>0.2380216891340666</v>
      </c>
      <c r="AV24" s="1">
        <v>8.3251118017112241E-2</v>
      </c>
      <c r="AW24" s="1">
        <v>-7.7055991150767597E-2</v>
      </c>
      <c r="AX24" s="1">
        <v>-8.6651292737586233E-2</v>
      </c>
      <c r="AY24" s="1">
        <v>-0.2253926262096661</v>
      </c>
      <c r="AZ24" s="1">
        <v>-4.1420954356361173E-2</v>
      </c>
      <c r="BA24" s="1">
        <v>4.7296849578048319E-2</v>
      </c>
      <c r="BB24" s="1">
        <v>-5.1572867064496847E-2</v>
      </c>
      <c r="BC24" s="1">
        <v>-0.16524945680508579</v>
      </c>
      <c r="BD24" s="1">
        <v>1.843945838807443E-3</v>
      </c>
      <c r="BE24" s="1">
        <v>-6.6886542580330721E-2</v>
      </c>
      <c r="BF24" s="1">
        <v>-1.233526736437574E-2</v>
      </c>
      <c r="BG24" s="1">
        <v>0.2812353354004723</v>
      </c>
      <c r="BH24" s="1">
        <v>3.4445877399436942E-2</v>
      </c>
      <c r="BI24" s="1">
        <v>-2.466265510728308E-2</v>
      </c>
      <c r="BJ24" s="1">
        <v>0.15111531287975419</v>
      </c>
      <c r="BK24" s="1">
        <v>-8.3923623735165209E-2</v>
      </c>
      <c r="BL24" s="1">
        <v>7.4116349004211435E-2</v>
      </c>
      <c r="BM24" s="1">
        <v>2.6508862889894329E-2</v>
      </c>
      <c r="BN24" s="1">
        <v>3.5781099962245627E-2</v>
      </c>
      <c r="BO24" s="1">
        <v>0.15662004981836819</v>
      </c>
      <c r="BP24" s="1">
        <v>-0.17357038350810541</v>
      </c>
      <c r="BQ24" s="1">
        <v>-9.0739882705406505E-2</v>
      </c>
      <c r="BR24" s="1">
        <v>-0.22251481911417539</v>
      </c>
      <c r="BS24" s="1">
        <v>-3.8373753869743378E-2</v>
      </c>
      <c r="BT24" s="1">
        <v>0.15364436173804261</v>
      </c>
      <c r="BU24" s="1">
        <v>-1.2638170442735351E-2</v>
      </c>
      <c r="BV24" s="1">
        <v>8.6466279647522001E-2</v>
      </c>
      <c r="BW24" s="1">
        <v>-2.0441635768526589E-2</v>
      </c>
      <c r="BX24" s="1">
        <v>-3.2103213957611593E-2</v>
      </c>
      <c r="BY24" s="1">
        <v>1.2763253942176389E-2</v>
      </c>
      <c r="BZ24" s="1">
        <v>-0.1181287106344095</v>
      </c>
      <c r="CA24" s="1">
        <v>0.1136496497073229</v>
      </c>
      <c r="CB24" s="1">
        <v>0.243629432276395</v>
      </c>
      <c r="CC24" s="1">
        <v>-0.21009104689364069</v>
      </c>
      <c r="CD24" s="1">
        <v>-4.1779842327800423E-2</v>
      </c>
      <c r="CE24" s="1">
        <v>-7.3621298532384249E-2</v>
      </c>
      <c r="CF24" s="1">
        <v>0.1156772352334404</v>
      </c>
      <c r="CG24" s="1">
        <v>7.4854351398972563E-2</v>
      </c>
      <c r="CH24" s="1">
        <v>-0.18972820869241699</v>
      </c>
      <c r="CI24" s="1">
        <v>-0.18107813264152831</v>
      </c>
      <c r="CJ24" s="1">
        <v>-2.2311851337462829E-2</v>
      </c>
      <c r="CK24" s="1">
        <v>-6.5085949978683194E-2</v>
      </c>
      <c r="CL24" s="1">
        <v>-9.386000512820139E-2</v>
      </c>
      <c r="CM24" s="1">
        <v>3.4557342359168561E-2</v>
      </c>
      <c r="CN24" s="1">
        <v>-1.877108050605258E-3</v>
      </c>
      <c r="CO24" s="1">
        <v>-0.15150333761277521</v>
      </c>
      <c r="CP24" s="1">
        <v>-5.2175816537098359E-2</v>
      </c>
      <c r="CQ24" s="1">
        <v>0.41254719304985638</v>
      </c>
      <c r="CR24" s="1">
        <v>-2.63478295575428E-2</v>
      </c>
      <c r="CS24" s="1">
        <v>-0.13075548480370161</v>
      </c>
      <c r="CT24" s="1">
        <v>-5.4838636822552703E-2</v>
      </c>
      <c r="CU24" s="1">
        <v>1.596723427634128E-2</v>
      </c>
      <c r="CV24" s="1">
        <v>3.5487819003994218E-2</v>
      </c>
      <c r="CW24" s="1">
        <v>-5.1113616575753508E-2</v>
      </c>
      <c r="CX24" s="1">
        <v>0.11061619681962249</v>
      </c>
      <c r="CY24" s="1">
        <v>-8.9499376428674851E-2</v>
      </c>
      <c r="CZ24" s="1">
        <v>0.14483605203706251</v>
      </c>
      <c r="DA24" s="1">
        <v>4.0398834490908801E-2</v>
      </c>
      <c r="DB24" s="1">
        <v>-6.3717545318723409E-2</v>
      </c>
      <c r="DC24" s="1">
        <v>-1.108101842050443E-2</v>
      </c>
      <c r="DD24" s="1">
        <v>5.1746286959909397E-2</v>
      </c>
      <c r="DE24" s="1">
        <v>-7.0844489047537026E-2</v>
      </c>
      <c r="DF24" s="1">
        <v>1.548085057288839E-2</v>
      </c>
      <c r="DG24" s="1">
        <v>5.1069304115687643E-2</v>
      </c>
      <c r="DH24" s="1">
        <v>6.1205473713496772E-3</v>
      </c>
      <c r="DI24" s="1">
        <v>-0.1008503185616548</v>
      </c>
      <c r="DJ24" s="1">
        <v>-1.796427865825509E-2</v>
      </c>
      <c r="DK24" s="1">
        <v>3.951057966400346E-2</v>
      </c>
      <c r="DL24" s="1">
        <v>2.634758018786762E-2</v>
      </c>
      <c r="DM24" s="1">
        <v>-5.2430565019941131E-2</v>
      </c>
      <c r="DN24" s="1">
        <v>8.1760970411069556E-2</v>
      </c>
      <c r="DO24" s="1">
        <v>2.733815119804393E-2</v>
      </c>
      <c r="DP24" s="1">
        <v>0.1104631448099482</v>
      </c>
      <c r="DQ24" s="1">
        <v>-9.4540332326265297E-2</v>
      </c>
      <c r="DR24" s="1">
        <v>6.4571324483128668E-3</v>
      </c>
      <c r="DS24" s="1">
        <v>-6.2147272896757047E-2</v>
      </c>
      <c r="DT24" s="1">
        <v>-0.1221363818537777</v>
      </c>
      <c r="DU24" s="1">
        <v>-4.3957437913701436E-3</v>
      </c>
      <c r="DV24" s="1">
        <v>1.214864147411425E-2</v>
      </c>
      <c r="DW24" s="1">
        <v>5.8291235254893763E-2</v>
      </c>
      <c r="DX24" s="1">
        <v>1.428522006143987E-2</v>
      </c>
      <c r="DY24" s="1">
        <v>4.9379797885354897E-2</v>
      </c>
      <c r="DZ24" s="1">
        <v>9.5009896474805566E-3</v>
      </c>
      <c r="EA24" s="1">
        <v>8.2111352678250288E-2</v>
      </c>
      <c r="EB24" s="1">
        <v>0.1805485769842492</v>
      </c>
      <c r="EC24" s="1">
        <v>9.8542770159439075E-2</v>
      </c>
      <c r="ED24" s="1">
        <v>-7.0199935245968084E-2</v>
      </c>
      <c r="EE24" s="1">
        <v>8.8819048849398646E-2</v>
      </c>
      <c r="EF24" s="1">
        <v>7.1103802343328748E-2</v>
      </c>
      <c r="EG24" s="49">
        <f t="shared" si="0"/>
        <v>1.2914823226842361E-2</v>
      </c>
      <c r="EH24" s="48">
        <f t="shared" si="1"/>
        <v>0.11457238105107591</v>
      </c>
      <c r="EI24" s="48">
        <f t="shared" si="2"/>
        <v>0.11272195889064211</v>
      </c>
    </row>
    <row r="25" spans="1:139" ht="16" customHeight="1">
      <c r="A25" s="6">
        <v>241</v>
      </c>
      <c r="B25" s="6">
        <v>4</v>
      </c>
      <c r="C25" s="7">
        <v>0.49455411274555888</v>
      </c>
      <c r="D25" s="7">
        <v>0.25549016437270278</v>
      </c>
      <c r="E25" s="7">
        <v>0.15834077194362101</v>
      </c>
      <c r="F25" s="7">
        <v>-4.8048284969420499E-2</v>
      </c>
      <c r="G25" s="7">
        <v>-5.546565259671199E-2</v>
      </c>
      <c r="H25" s="7">
        <v>-3.7401184582448802E-2</v>
      </c>
      <c r="I25" s="7">
        <v>-9.0799176725719133E-2</v>
      </c>
      <c r="J25" s="7">
        <v>-4.1272484788307383E-2</v>
      </c>
      <c r="K25" s="7">
        <v>0.1334437372417587</v>
      </c>
      <c r="L25" s="2">
        <v>-5.7040399413203442E-2</v>
      </c>
      <c r="M25" s="2">
        <v>8.4348636561889109E-2</v>
      </c>
      <c r="N25" s="2">
        <v>0.1219150469294894</v>
      </c>
      <c r="O25" s="1">
        <v>-0.16028548375909549</v>
      </c>
      <c r="P25" s="1">
        <v>3.047723205496649E-2</v>
      </c>
      <c r="Q25" s="1">
        <v>0.20165287327626499</v>
      </c>
      <c r="R25" s="1">
        <v>1.7838854586553581E-2</v>
      </c>
      <c r="S25" s="1">
        <v>-9.0925954030938047E-2</v>
      </c>
      <c r="T25" s="1">
        <v>-5.7105512053671127E-2</v>
      </c>
      <c r="U25" s="1">
        <v>-0.2188403378535938</v>
      </c>
      <c r="V25" s="1">
        <v>4.8176244033356637E-2</v>
      </c>
      <c r="W25" s="1">
        <v>-2.537830674888383E-2</v>
      </c>
      <c r="X25" s="1">
        <v>0.1337673404551262</v>
      </c>
      <c r="Y25" s="1">
        <v>-8.4925714870380906E-2</v>
      </c>
      <c r="Z25" s="1">
        <v>3.0428853261492542E-2</v>
      </c>
      <c r="AA25" s="1">
        <v>-9.8444598841917197E-2</v>
      </c>
      <c r="AB25" s="1">
        <v>-0.1047239418846956</v>
      </c>
      <c r="AC25" s="1">
        <v>6.5264697701046806E-3</v>
      </c>
      <c r="AD25" s="1">
        <v>0.22178514907835351</v>
      </c>
      <c r="AE25" s="1">
        <v>0.22483230663553841</v>
      </c>
      <c r="AF25" s="1">
        <v>0.1176473159336113</v>
      </c>
      <c r="AG25" s="1">
        <v>7.9354631448053103E-2</v>
      </c>
      <c r="AH25" s="1">
        <v>0.20961706153392801</v>
      </c>
      <c r="AI25" s="1">
        <v>1.504995265131606E-2</v>
      </c>
      <c r="AJ25" s="1">
        <v>-0.15440734122194921</v>
      </c>
      <c r="AK25" s="1">
        <v>1.7776042199912731E-2</v>
      </c>
      <c r="AL25" s="1">
        <v>3.5338826030651332E-2</v>
      </c>
      <c r="AM25" s="1">
        <v>6.762476349240204E-2</v>
      </c>
      <c r="AN25" s="1">
        <v>0.30187139187690182</v>
      </c>
      <c r="AO25" s="1">
        <v>0.1442762567467071</v>
      </c>
      <c r="AP25" s="1">
        <v>0.11872683118554141</v>
      </c>
      <c r="AQ25" s="1">
        <v>-0.12985515529885219</v>
      </c>
      <c r="AR25" s="1">
        <v>-5.1272934048936077E-2</v>
      </c>
      <c r="AS25" s="1">
        <v>-2.5222117139012869E-2</v>
      </c>
      <c r="AT25" s="1">
        <v>8.8378856393405522E-2</v>
      </c>
      <c r="AU25" s="1">
        <v>0.119504482926775</v>
      </c>
      <c r="AV25" s="1">
        <v>0.11850127850662261</v>
      </c>
      <c r="AW25" s="1">
        <v>-9.5095302568752732E-2</v>
      </c>
      <c r="AX25" s="1">
        <v>-5.4032246653861707E-2</v>
      </c>
      <c r="AY25" s="1">
        <v>-0.31667605326168269</v>
      </c>
      <c r="AZ25" s="1">
        <v>-0.1115537492106666</v>
      </c>
      <c r="BA25" s="1">
        <v>6.2276260204671578E-2</v>
      </c>
      <c r="BB25" s="1">
        <v>-6.0739284801462193E-2</v>
      </c>
      <c r="BC25" s="1">
        <v>-0.18197002643509971</v>
      </c>
      <c r="BD25" s="1">
        <v>1.6487272502177391E-2</v>
      </c>
      <c r="BE25" s="1">
        <v>-8.5046601275006226E-2</v>
      </c>
      <c r="BF25" s="1">
        <v>-1.250869045159817E-2</v>
      </c>
      <c r="BG25" s="1">
        <v>3.5545250672823617E-2</v>
      </c>
      <c r="BH25" s="1">
        <v>-1.426228822113523E-2</v>
      </c>
      <c r="BI25" s="1">
        <v>2.705506928059553E-2</v>
      </c>
      <c r="BJ25" s="1">
        <v>0.2053819293205425</v>
      </c>
      <c r="BK25" s="1">
        <v>-8.909615974970822E-2</v>
      </c>
      <c r="BL25" s="1">
        <v>0.108285285089395</v>
      </c>
      <c r="BM25" s="1">
        <v>9.8666559364165185E-2</v>
      </c>
      <c r="BN25" s="1">
        <v>2.573819434730425E-2</v>
      </c>
      <c r="BO25" s="1">
        <v>0.1931097549234074</v>
      </c>
      <c r="BP25" s="1">
        <v>-0.21630846284976479</v>
      </c>
      <c r="BQ25" s="1">
        <v>-1.343801830958205E-2</v>
      </c>
      <c r="BR25" s="1">
        <v>-0.19820838215091999</v>
      </c>
      <c r="BS25" s="1">
        <v>-9.3364095288899149E-2</v>
      </c>
      <c r="BT25" s="1">
        <v>0.15332668391242041</v>
      </c>
      <c r="BU25" s="1">
        <v>-4.6041939589734147E-2</v>
      </c>
      <c r="BV25" s="1">
        <v>8.2497857319876772E-2</v>
      </c>
      <c r="BW25" s="1">
        <v>3.0004933958021441E-2</v>
      </c>
      <c r="BX25" s="1">
        <v>-5.6023329389614573E-2</v>
      </c>
      <c r="BY25" s="1">
        <v>-4.5250524577279162E-2</v>
      </c>
      <c r="BZ25" s="1">
        <v>-9.7177663783348994E-2</v>
      </c>
      <c r="CA25" s="1">
        <v>0.16491170294429999</v>
      </c>
      <c r="CB25" s="1">
        <v>0.23163171690613241</v>
      </c>
      <c r="CC25" s="1">
        <v>-0.26165595303916189</v>
      </c>
      <c r="CD25" s="1">
        <v>4.5386284051441947E-2</v>
      </c>
      <c r="CE25" s="1">
        <v>-4.4601753630798102E-2</v>
      </c>
      <c r="CF25" s="1">
        <v>0.14649217546725421</v>
      </c>
      <c r="CG25" s="1">
        <v>0.10613072866947081</v>
      </c>
      <c r="CH25" s="1">
        <v>-0.35777318656169399</v>
      </c>
      <c r="CI25" s="1">
        <v>-0.21143660882920359</v>
      </c>
      <c r="CJ25" s="1">
        <v>-5.1861204135235373E-4</v>
      </c>
      <c r="CK25" s="1">
        <v>-0.1145994124654181</v>
      </c>
      <c r="CL25" s="1">
        <v>-2.637292339660571E-2</v>
      </c>
      <c r="CM25" s="1">
        <v>9.4255198520289851E-2</v>
      </c>
      <c r="CN25" s="1">
        <v>-1.6665579574944241E-2</v>
      </c>
      <c r="CO25" s="1">
        <v>-0.21855023226299289</v>
      </c>
      <c r="CP25" s="1">
        <v>-4.6121270583943871E-3</v>
      </c>
      <c r="CQ25" s="1">
        <v>0.23044091892284241</v>
      </c>
      <c r="CR25" s="1">
        <v>-5.2596478692150297E-2</v>
      </c>
      <c r="CS25" s="1">
        <v>-0.13055596140251299</v>
      </c>
      <c r="CT25" s="1">
        <v>-5.3826873757523402E-2</v>
      </c>
      <c r="CU25" s="1">
        <v>-2.3500924795251649E-2</v>
      </c>
      <c r="CV25" s="1">
        <v>6.3140271580050214E-2</v>
      </c>
      <c r="CW25" s="1">
        <v>-3.4635845076202737E-2</v>
      </c>
      <c r="CX25" s="1">
        <v>0.13351105261361559</v>
      </c>
      <c r="CY25" s="1">
        <v>-3.8264235518458312E-2</v>
      </c>
      <c r="CZ25" s="1">
        <v>0.226677078643576</v>
      </c>
      <c r="DA25" s="1">
        <v>-1.4277420876855089E-2</v>
      </c>
      <c r="DB25" s="1">
        <v>-7.5096340427971475E-2</v>
      </c>
      <c r="DC25" s="1">
        <v>-0.12726115499613011</v>
      </c>
      <c r="DD25" s="1">
        <v>4.2416125076133113E-2</v>
      </c>
      <c r="DE25" s="1">
        <v>-8.4058720441278975E-2</v>
      </c>
      <c r="DF25" s="1">
        <v>2.2440721240524208E-5</v>
      </c>
      <c r="DG25" s="1">
        <v>-7.1756513010956119E-3</v>
      </c>
      <c r="DH25" s="1">
        <v>-2.581954025074713E-2</v>
      </c>
      <c r="DI25" s="1">
        <v>-0.1213565543351946</v>
      </c>
      <c r="DJ25" s="1">
        <v>-4.798458942401175E-2</v>
      </c>
      <c r="DK25" s="1">
        <v>-3.6226718751409537E-2</v>
      </c>
      <c r="DL25" s="1">
        <v>-9.9343053102206175E-3</v>
      </c>
      <c r="DM25" s="1">
        <v>-7.8205930312392091E-2</v>
      </c>
      <c r="DN25" s="1">
        <v>6.1683486137003071E-2</v>
      </c>
      <c r="DO25" s="1">
        <v>1.4290032484906319E-2</v>
      </c>
      <c r="DP25" s="1">
        <v>0.1554864606627043</v>
      </c>
      <c r="DQ25" s="1">
        <v>-3.7687783086182702E-2</v>
      </c>
      <c r="DR25" s="1">
        <v>1.1516950439040269E-2</v>
      </c>
      <c r="DS25" s="1">
        <v>-1.380360708202848E-2</v>
      </c>
      <c r="DT25" s="1">
        <v>-0.15441164625939091</v>
      </c>
      <c r="DU25" s="1">
        <v>2.8426183306070701E-2</v>
      </c>
      <c r="DV25" s="1">
        <v>-4.3643310164740608E-2</v>
      </c>
      <c r="DW25" s="1">
        <v>4.3162557892998353E-2</v>
      </c>
      <c r="DX25" s="1">
        <v>3.0487677037492111E-2</v>
      </c>
      <c r="DY25" s="1">
        <v>-9.0037410837492476E-2</v>
      </c>
      <c r="DZ25" s="1">
        <v>5.334633921383003E-3</v>
      </c>
      <c r="EA25" s="1">
        <v>5.3941845994853209E-2</v>
      </c>
      <c r="EB25" s="1">
        <v>0.27542733664840152</v>
      </c>
      <c r="EC25" s="1">
        <v>0.1524410979413707</v>
      </c>
      <c r="ED25" s="1">
        <v>-5.9708549744422558E-2</v>
      </c>
      <c r="EE25" s="1">
        <v>0.12689120454891481</v>
      </c>
      <c r="EF25" s="1">
        <v>7.8128208512559222E-2</v>
      </c>
      <c r="EG25" s="49">
        <f t="shared" si="0"/>
        <v>9.1253027112833309E-3</v>
      </c>
      <c r="EH25" s="48">
        <f t="shared" si="1"/>
        <v>0.12853863350600239</v>
      </c>
      <c r="EI25" s="48">
        <f t="shared" si="2"/>
        <v>7.0992684941350373E-2</v>
      </c>
    </row>
    <row r="26" spans="1:139" ht="16" customHeight="1">
      <c r="A26" s="6">
        <v>321</v>
      </c>
      <c r="B26" s="6">
        <v>3</v>
      </c>
      <c r="C26" s="7">
        <v>0.63578987634030326</v>
      </c>
      <c r="D26" s="7">
        <v>0.14371046463086509</v>
      </c>
      <c r="E26" s="7">
        <v>0.25678370108897258</v>
      </c>
      <c r="F26" s="7">
        <v>-3.091207340805668E-2</v>
      </c>
      <c r="G26" s="7">
        <v>6.6425395343863394E-2</v>
      </c>
      <c r="H26" s="7">
        <v>-2.2668733043027339E-2</v>
      </c>
      <c r="I26" s="7">
        <v>-0.18400393100245979</v>
      </c>
      <c r="J26" s="7">
        <v>2.1578763532024152E-3</v>
      </c>
      <c r="K26" s="7">
        <v>5.1847408244608692E-2</v>
      </c>
      <c r="L26" s="2">
        <v>-4.7982675762510529E-2</v>
      </c>
      <c r="M26" s="2">
        <v>6.6596073974841227E-2</v>
      </c>
      <c r="N26" s="2">
        <v>0.16484966483458291</v>
      </c>
      <c r="O26" s="1">
        <v>-0.2092321181090103</v>
      </c>
      <c r="P26" s="1">
        <v>1.960691121998041E-2</v>
      </c>
      <c r="Q26" s="1">
        <v>0.23377538941463849</v>
      </c>
      <c r="R26" s="1">
        <v>-0.1094456368920696</v>
      </c>
      <c r="S26" s="1">
        <v>-0.18376368417278161</v>
      </c>
      <c r="T26" s="1">
        <v>-4.1002740318112268E-2</v>
      </c>
      <c r="U26" s="1">
        <v>-0.21689707057601401</v>
      </c>
      <c r="V26" s="1">
        <v>7.6605298980166187E-2</v>
      </c>
      <c r="W26" s="1">
        <v>-4.7616795567339311E-2</v>
      </c>
      <c r="X26" s="1">
        <v>0.13134145303225561</v>
      </c>
      <c r="Y26" s="1">
        <v>-0.1082884504443431</v>
      </c>
      <c r="Z26" s="1">
        <v>1.8824963725856399E-2</v>
      </c>
      <c r="AA26" s="1">
        <v>-5.8828849764427087E-2</v>
      </c>
      <c r="AB26" s="1">
        <v>-7.0771132367036679E-2</v>
      </c>
      <c r="AC26" s="1">
        <v>9.8352653841909277E-2</v>
      </c>
      <c r="AD26" s="1">
        <v>0.15048828199102329</v>
      </c>
      <c r="AE26" s="1">
        <v>0.29118074879957201</v>
      </c>
      <c r="AF26" s="1">
        <v>0.18423825932356719</v>
      </c>
      <c r="AG26" s="1">
        <v>0.1625318947095051</v>
      </c>
      <c r="AH26" s="1">
        <v>0.28196453711494018</v>
      </c>
      <c r="AI26" s="1">
        <v>5.2095578737365207E-2</v>
      </c>
      <c r="AJ26" s="1">
        <v>2.8392331053948689E-2</v>
      </c>
      <c r="AK26" s="1">
        <v>5.4611139405859987E-2</v>
      </c>
      <c r="AL26" s="1">
        <v>1.33505297201311E-2</v>
      </c>
      <c r="AM26" s="1">
        <v>7.3700391560718267E-2</v>
      </c>
      <c r="AN26" s="1">
        <v>0.38458143049380561</v>
      </c>
      <c r="AO26" s="1">
        <v>0.1675605822055718</v>
      </c>
      <c r="AP26" s="1">
        <v>7.7961907087717802E-2</v>
      </c>
      <c r="AQ26" s="1">
        <v>4.7467038805331131E-3</v>
      </c>
      <c r="AR26" s="1">
        <v>-0.11584375003166381</v>
      </c>
      <c r="AS26" s="1">
        <v>-3.4990462933614672E-2</v>
      </c>
      <c r="AT26" s="1">
        <v>9.6233718822648251E-2</v>
      </c>
      <c r="AU26" s="1">
        <v>0.10418083374855951</v>
      </c>
      <c r="AV26" s="1">
        <v>0.16684895038680719</v>
      </c>
      <c r="AW26" s="1">
        <v>-0.11911500702049919</v>
      </c>
      <c r="AX26" s="1">
        <v>-3.9664867331456168E-2</v>
      </c>
      <c r="AY26" s="1">
        <v>-0.25357516044757239</v>
      </c>
      <c r="AZ26" s="1">
        <v>-8.8068891397931545E-2</v>
      </c>
      <c r="BA26" s="1">
        <v>2.802367283770545E-2</v>
      </c>
      <c r="BB26" s="1">
        <v>-0.1322664856807915</v>
      </c>
      <c r="BC26" s="1">
        <v>-5.9704552587574941E-2</v>
      </c>
      <c r="BD26" s="1">
        <v>5.7338230600120291E-2</v>
      </c>
      <c r="BE26" s="1">
        <v>-8.3243522438208678E-2</v>
      </c>
      <c r="BF26" s="1">
        <v>-4.5390059739520691E-2</v>
      </c>
      <c r="BG26" s="1">
        <v>-1.6352671457068479E-2</v>
      </c>
      <c r="BH26" s="1">
        <v>-3.3326011616193529E-2</v>
      </c>
      <c r="BI26" s="1">
        <v>7.8567866294927291E-2</v>
      </c>
      <c r="BJ26" s="1">
        <v>0.27686460361156301</v>
      </c>
      <c r="BK26" s="1">
        <v>-9.2238538549811872E-2</v>
      </c>
      <c r="BL26" s="1">
        <v>7.5908850803523456E-2</v>
      </c>
      <c r="BM26" s="1">
        <v>0.1160136897835294</v>
      </c>
      <c r="BN26" s="1">
        <v>0.17452606003798879</v>
      </c>
      <c r="BO26" s="1">
        <v>0.15927908810010591</v>
      </c>
      <c r="BP26" s="1">
        <v>-0.23874023760560231</v>
      </c>
      <c r="BQ26" s="1">
        <v>-0.18380547330118799</v>
      </c>
      <c r="BR26" s="1">
        <v>-0.1496473155709524</v>
      </c>
      <c r="BS26" s="1">
        <v>-1.7276843594583109E-2</v>
      </c>
      <c r="BT26" s="1">
        <v>0.16689297608862011</v>
      </c>
      <c r="BU26" s="1">
        <v>-0.1008986614638035</v>
      </c>
      <c r="BV26" s="1">
        <v>0.1067897150280358</v>
      </c>
      <c r="BW26" s="1">
        <v>3.4558380829928792E-2</v>
      </c>
      <c r="BX26" s="1">
        <v>-1.342759405530362E-2</v>
      </c>
      <c r="BY26" s="1">
        <v>2.4780026255834389E-2</v>
      </c>
      <c r="BZ26" s="1">
        <v>-0.12405056830434399</v>
      </c>
      <c r="CA26" s="1">
        <v>0.1950966929512625</v>
      </c>
      <c r="CB26" s="1">
        <v>0.25718022266820328</v>
      </c>
      <c r="CC26" s="1">
        <v>-0.20779280691246821</v>
      </c>
      <c r="CD26" s="1">
        <v>0.127704432130162</v>
      </c>
      <c r="CE26" s="1">
        <v>-2.9309541156912491E-2</v>
      </c>
      <c r="CF26" s="1">
        <v>0.20617324084980551</v>
      </c>
      <c r="CG26" s="1">
        <v>0.19038218540405361</v>
      </c>
      <c r="CH26" s="1">
        <v>-0.1602148645475448</v>
      </c>
      <c r="CI26" s="1">
        <v>-0.26603980806991351</v>
      </c>
      <c r="CJ26" s="1">
        <v>1.272413732523525E-2</v>
      </c>
      <c r="CK26" s="1">
        <v>-0.13025631987226391</v>
      </c>
      <c r="CL26" s="1">
        <v>-0.1423749467704612</v>
      </c>
      <c r="CM26" s="1">
        <v>8.2145297451975394E-2</v>
      </c>
      <c r="CN26" s="1">
        <v>-0.1106970702849933</v>
      </c>
      <c r="CO26" s="1">
        <v>-0.2144803344857836</v>
      </c>
      <c r="CP26" s="1">
        <v>-3.0343543021157771E-2</v>
      </c>
      <c r="CQ26" s="1">
        <v>0.22095957785296089</v>
      </c>
      <c r="CR26" s="1">
        <v>-5.5866838813871958E-2</v>
      </c>
      <c r="CS26" s="1">
        <v>-0.20536497884718391</v>
      </c>
      <c r="CT26" s="1">
        <v>-0.12512942072181649</v>
      </c>
      <c r="CU26" s="1">
        <v>3.4810787240541458E-2</v>
      </c>
      <c r="CV26" s="1">
        <v>5.5587282591835999E-2</v>
      </c>
      <c r="CW26" s="1">
        <v>-0.13643920251384939</v>
      </c>
      <c r="CX26" s="1">
        <v>0.19894507224284849</v>
      </c>
      <c r="CY26" s="1">
        <v>-5.2274474956436681E-2</v>
      </c>
      <c r="CZ26" s="1">
        <v>0.25591543799497091</v>
      </c>
      <c r="DA26" s="1">
        <v>-1.8551744920915561E-4</v>
      </c>
      <c r="DB26" s="1">
        <v>-6.6834040685536222E-2</v>
      </c>
      <c r="DC26" s="1">
        <v>-0.10172515339893209</v>
      </c>
      <c r="DD26" s="1">
        <v>0.1199191003942684</v>
      </c>
      <c r="DE26" s="1">
        <v>-6.7892566580220706E-2</v>
      </c>
      <c r="DF26" s="1">
        <v>1.343753031118817E-2</v>
      </c>
      <c r="DG26" s="1">
        <v>-4.0187434352161253E-2</v>
      </c>
      <c r="DH26" s="1">
        <v>-5.7238887022004671E-2</v>
      </c>
      <c r="DI26" s="1">
        <v>-0.13025366359990001</v>
      </c>
      <c r="DJ26" s="1">
        <v>-2.3864622131395351E-2</v>
      </c>
      <c r="DK26" s="1">
        <v>5.0528029845839713E-2</v>
      </c>
      <c r="DL26" s="1">
        <v>1.340285561989016E-2</v>
      </c>
      <c r="DM26" s="1">
        <v>-4.774955156402369E-2</v>
      </c>
      <c r="DN26" s="1">
        <v>8.3437946356488629E-2</v>
      </c>
      <c r="DO26" s="1">
        <v>3.2817615302067019E-2</v>
      </c>
      <c r="DP26" s="1">
        <v>4.8987677276530847E-2</v>
      </c>
      <c r="DQ26" s="1">
        <v>-9.4489695807501203E-2</v>
      </c>
      <c r="DR26" s="1">
        <v>2.4757378429291609E-2</v>
      </c>
      <c r="DS26" s="1">
        <v>-0.1241942433906784</v>
      </c>
      <c r="DT26" s="1">
        <v>-0.18313964943644581</v>
      </c>
      <c r="DU26" s="1">
        <v>-7.3840121983160976E-3</v>
      </c>
      <c r="DV26" s="1">
        <v>-0.12607024837264011</v>
      </c>
      <c r="DW26" s="1">
        <v>-2.5817603174205232E-2</v>
      </c>
      <c r="DX26" s="1">
        <v>4.144974831024667E-2</v>
      </c>
      <c r="DY26" s="1">
        <v>-0.14035837943416959</v>
      </c>
      <c r="DZ26" s="1">
        <v>-6.3554288775004741E-2</v>
      </c>
      <c r="EA26" s="1">
        <v>0.2157226876313921</v>
      </c>
      <c r="EB26" s="1">
        <v>0.24680453518279441</v>
      </c>
      <c r="EC26" s="1">
        <v>0.1772523382766025</v>
      </c>
      <c r="ED26" s="1">
        <v>-6.8676606653522029E-2</v>
      </c>
      <c r="EE26" s="1">
        <v>0.12488533381679939</v>
      </c>
      <c r="EF26" s="1">
        <v>0.11931066577229241</v>
      </c>
      <c r="EG26" s="49">
        <f t="shared" si="0"/>
        <v>1.6432649537420543E-2</v>
      </c>
      <c r="EH26" s="48">
        <f t="shared" si="1"/>
        <v>0.14466405213801053</v>
      </c>
      <c r="EI26" s="48">
        <f t="shared" si="2"/>
        <v>0.1135917962656243</v>
      </c>
    </row>
    <row r="27" spans="1:139" ht="16" customHeight="1">
      <c r="A27" s="6">
        <v>482</v>
      </c>
      <c r="B27" s="6">
        <v>2</v>
      </c>
      <c r="C27" s="7">
        <v>0.63761017581609125</v>
      </c>
      <c r="D27" s="7">
        <v>0.23795575305243799</v>
      </c>
      <c r="E27" s="7">
        <v>0.1231289100100532</v>
      </c>
      <c r="F27" s="7">
        <v>-7.5190132826951278E-2</v>
      </c>
      <c r="G27" s="7">
        <v>0.26530323939738559</v>
      </c>
      <c r="H27" s="7">
        <v>-0.115774041861354</v>
      </c>
      <c r="I27" s="7">
        <v>-0.1113168839686655</v>
      </c>
      <c r="J27" s="7">
        <v>3.6649810434936328E-2</v>
      </c>
      <c r="K27" s="7">
        <v>3.4438286855212573E-2</v>
      </c>
      <c r="L27" s="2">
        <v>-7.5470114772076477E-3</v>
      </c>
      <c r="M27" s="2">
        <v>-5.613776211317438E-2</v>
      </c>
      <c r="N27" s="2">
        <v>0.1906614340199857</v>
      </c>
      <c r="O27" s="1">
        <v>-0.24659808609745679</v>
      </c>
      <c r="P27" s="1">
        <v>2.1837911556605728E-2</v>
      </c>
      <c r="Q27" s="1">
        <v>0.31415974193520219</v>
      </c>
      <c r="R27" s="1">
        <v>-0.187530749693439</v>
      </c>
      <c r="S27" s="1">
        <v>-0.21928765005719</v>
      </c>
      <c r="T27" s="1">
        <v>-3.6889939087128523E-2</v>
      </c>
      <c r="U27" s="1">
        <v>-0.20997191658184949</v>
      </c>
      <c r="V27" s="1">
        <v>-3.8262635215882287E-2</v>
      </c>
      <c r="W27" s="1">
        <v>1.094414976703499E-2</v>
      </c>
      <c r="X27" s="1">
        <v>0.103564202696449</v>
      </c>
      <c r="Y27" s="1">
        <v>-0.1492565378803232</v>
      </c>
      <c r="Z27" s="1">
        <v>-2.1502548424958929E-2</v>
      </c>
      <c r="AA27" s="1">
        <v>-0.1281020465899354</v>
      </c>
      <c r="AB27" s="1">
        <v>-9.9403582198505924E-2</v>
      </c>
      <c r="AC27" s="1">
        <v>0.178399967373888</v>
      </c>
      <c r="AD27" s="1">
        <v>0.15341672734284559</v>
      </c>
      <c r="AE27" s="1">
        <v>0.38007623360283221</v>
      </c>
      <c r="AF27" s="1">
        <v>0.13433220120388351</v>
      </c>
      <c r="AG27" s="1">
        <v>0.20974022377238</v>
      </c>
      <c r="AH27" s="1">
        <v>0.39274117982276252</v>
      </c>
      <c r="AI27" s="1">
        <v>7.2208869020209357E-2</v>
      </c>
      <c r="AJ27" s="1">
        <v>3.6800054993400472E-2</v>
      </c>
      <c r="AK27" s="1">
        <v>6.4113781381682833E-2</v>
      </c>
      <c r="AL27" s="1">
        <v>7.6627557057570919E-2</v>
      </c>
      <c r="AM27" s="1">
        <v>2.9941228066446561E-3</v>
      </c>
      <c r="AN27" s="1">
        <v>0.37729158440151361</v>
      </c>
      <c r="AO27" s="1">
        <v>0.16261603456561791</v>
      </c>
      <c r="AP27" s="1">
        <v>0.23285455304384861</v>
      </c>
      <c r="AQ27" s="1">
        <v>3.4840126941562508E-2</v>
      </c>
      <c r="AR27" s="1">
        <v>-0.20324626678036189</v>
      </c>
      <c r="AS27" s="1">
        <v>-6.0066014515762683E-2</v>
      </c>
      <c r="AT27" s="1">
        <v>0.12536021144086501</v>
      </c>
      <c r="AU27" s="1">
        <v>7.9172046069442295E-2</v>
      </c>
      <c r="AV27" s="1">
        <v>0.24185871881817109</v>
      </c>
      <c r="AW27" s="1">
        <v>-0.19133981498995989</v>
      </c>
      <c r="AX27" s="1">
        <v>-2.2886686893145991E-3</v>
      </c>
      <c r="AY27" s="1">
        <v>-0.31417847733372051</v>
      </c>
      <c r="AZ27" s="1">
        <v>-0.1182689007421045</v>
      </c>
      <c r="BA27" s="1">
        <v>1.9837024829938949E-2</v>
      </c>
      <c r="BB27" s="1">
        <v>-0.28483808771256752</v>
      </c>
      <c r="BC27" s="1">
        <v>-8.8808885585570985E-2</v>
      </c>
      <c r="BD27" s="1">
        <v>4.4158357317706551E-2</v>
      </c>
      <c r="BE27" s="1">
        <v>2.109434879991719E-2</v>
      </c>
      <c r="BF27" s="1">
        <v>-4.9158473120816969E-2</v>
      </c>
      <c r="BG27" s="1">
        <v>-3.9297025476939487E-2</v>
      </c>
      <c r="BH27" s="1">
        <v>-6.6703560249822658E-2</v>
      </c>
      <c r="BI27" s="1">
        <v>-0.2451241891443367</v>
      </c>
      <c r="BJ27" s="1">
        <v>0.3162796721550854</v>
      </c>
      <c r="BK27" s="1">
        <v>-2.0279976801506599E-2</v>
      </c>
      <c r="BL27" s="1">
        <v>3.2574742533974368E-2</v>
      </c>
      <c r="BM27" s="1">
        <v>0.1674256798598536</v>
      </c>
      <c r="BN27" s="1">
        <v>0.19132554590727949</v>
      </c>
      <c r="BO27" s="1">
        <v>0.1243960031915565</v>
      </c>
      <c r="BP27" s="1">
        <v>-0.36320678579356519</v>
      </c>
      <c r="BQ27" s="1">
        <v>-0.20320176351039149</v>
      </c>
      <c r="BR27" s="1">
        <v>-0.24421961336665571</v>
      </c>
      <c r="BS27" s="1">
        <v>-5.5589737668519053E-2</v>
      </c>
      <c r="BT27" s="1">
        <v>0.2498934718655223</v>
      </c>
      <c r="BU27" s="1">
        <v>7.317372583827933E-2</v>
      </c>
      <c r="BV27" s="1">
        <v>0.24729164762365899</v>
      </c>
      <c r="BW27" s="1">
        <v>0.10416765234660549</v>
      </c>
      <c r="BX27" s="1">
        <v>-2.311111475069379E-2</v>
      </c>
      <c r="BY27" s="1">
        <v>0.1406178916077494</v>
      </c>
      <c r="BZ27" s="1">
        <v>-0.16944195608220439</v>
      </c>
      <c r="CA27" s="1">
        <v>0.17663953862712839</v>
      </c>
      <c r="CB27" s="1">
        <v>0.17587602648765541</v>
      </c>
      <c r="CC27" s="1">
        <v>-0.16161905668179091</v>
      </c>
      <c r="CD27" s="1">
        <v>0.2528772228670283</v>
      </c>
      <c r="CE27" s="1">
        <v>-0.1168784701831946</v>
      </c>
      <c r="CF27" s="1">
        <v>-1.516570996382216E-2</v>
      </c>
      <c r="CG27" s="1">
        <v>8.5242684661509985E-2</v>
      </c>
      <c r="CH27" s="1">
        <v>1.386267800246041E-2</v>
      </c>
      <c r="CI27" s="1">
        <v>-0.41183998367885771</v>
      </c>
      <c r="CJ27" s="1">
        <v>8.6061869715106931E-2</v>
      </c>
      <c r="CK27" s="1">
        <v>-0.17142840377094479</v>
      </c>
      <c r="CL27" s="1">
        <v>-6.1435079783759103E-2</v>
      </c>
      <c r="CM27" s="1">
        <v>5.3674129419881762E-2</v>
      </c>
      <c r="CN27" s="1">
        <v>-7.6448358513841519E-2</v>
      </c>
      <c r="CO27" s="1">
        <v>-0.27279202734249791</v>
      </c>
      <c r="CP27" s="1">
        <v>-0.15239380698745719</v>
      </c>
      <c r="CQ27" s="1">
        <v>0.30257491192373992</v>
      </c>
      <c r="CR27" s="1">
        <v>-0.18127479120250201</v>
      </c>
      <c r="CS27" s="1">
        <v>-0.1076030124072125</v>
      </c>
      <c r="CT27" s="1">
        <v>-8.5021072796564387E-2</v>
      </c>
      <c r="CU27" s="1">
        <v>9.2479556603494203E-2</v>
      </c>
      <c r="CV27" s="1">
        <v>5.6899201599058161E-2</v>
      </c>
      <c r="CW27" s="1">
        <v>-0.13986948545120431</v>
      </c>
      <c r="CX27" s="1">
        <v>0.2056092441906098</v>
      </c>
      <c r="CY27" s="1">
        <v>-6.9752467129273132E-2</v>
      </c>
      <c r="CZ27" s="1">
        <v>0.34609706741108381</v>
      </c>
      <c r="DA27" s="1">
        <v>5.3805968570914797E-2</v>
      </c>
      <c r="DB27" s="1">
        <v>-0.1020075622189601</v>
      </c>
      <c r="DC27" s="1">
        <v>-0.1723578666581056</v>
      </c>
      <c r="DD27" s="1">
        <v>9.7288583847165128E-2</v>
      </c>
      <c r="DE27" s="1">
        <v>-0.2388119228082054</v>
      </c>
      <c r="DF27" s="1">
        <v>3.8070251841280177E-2</v>
      </c>
      <c r="DG27" s="1">
        <v>-9.2525535031189307E-2</v>
      </c>
      <c r="DH27" s="1">
        <v>-5.4769436884424531E-2</v>
      </c>
      <c r="DI27" s="1">
        <v>-0.19520490277293559</v>
      </c>
      <c r="DJ27" s="1">
        <v>-1.201949419326185E-2</v>
      </c>
      <c r="DK27" s="1">
        <v>8.71520241814705E-2</v>
      </c>
      <c r="DL27" s="1">
        <v>3.0551630144163899E-2</v>
      </c>
      <c r="DM27" s="1">
        <v>0.16855435121418061</v>
      </c>
      <c r="DN27" s="1">
        <v>-0.1217377987719785</v>
      </c>
      <c r="DO27" s="1">
        <v>2.4981967808604399E-4</v>
      </c>
      <c r="DP27" s="1">
        <v>-5.3165158647507052E-2</v>
      </c>
      <c r="DQ27" s="1">
        <v>-6.9051618575489082E-2</v>
      </c>
      <c r="DR27" s="1">
        <v>6.2495103523815682E-2</v>
      </c>
      <c r="DS27" s="1">
        <v>-0.2354105848777242</v>
      </c>
      <c r="DT27" s="1">
        <v>-0.2300877605936249</v>
      </c>
      <c r="DU27" s="1">
        <v>-6.4384180265167429E-2</v>
      </c>
      <c r="DV27" s="1">
        <v>-0.14230301545553151</v>
      </c>
      <c r="DW27" s="1">
        <v>-3.929130887330063E-2</v>
      </c>
      <c r="DX27" s="1">
        <v>0.1099687733856525</v>
      </c>
      <c r="DY27" s="1">
        <v>-8.2071739965677987E-2</v>
      </c>
      <c r="DZ27" s="1">
        <v>-3.9346196222146558E-2</v>
      </c>
      <c r="EA27" s="1">
        <v>0.25845567022132471</v>
      </c>
      <c r="EB27" s="1">
        <v>0.34685488319178043</v>
      </c>
      <c r="EC27" s="1">
        <v>0.185114120513963</v>
      </c>
      <c r="ED27" s="1">
        <v>-9.7611133665207711E-2</v>
      </c>
      <c r="EE27" s="1">
        <v>9.9797777521361472E-2</v>
      </c>
      <c r="EF27" s="1">
        <v>5.9802184444327638E-2</v>
      </c>
      <c r="EG27" s="49">
        <f t="shared" si="0"/>
        <v>1.193409752316186E-2</v>
      </c>
      <c r="EH27" s="48">
        <f t="shared" si="1"/>
        <v>0.17570936741316648</v>
      </c>
      <c r="EI27" s="48">
        <f t="shared" si="2"/>
        <v>6.791952927074052E-2</v>
      </c>
    </row>
    <row r="28" spans="1:139" ht="16" customHeight="1">
      <c r="A28" s="6">
        <v>964</v>
      </c>
      <c r="B28" s="6">
        <v>1</v>
      </c>
      <c r="C28" s="7">
        <v>0.90919897806039884</v>
      </c>
      <c r="D28" s="7">
        <v>0.38824496627627719</v>
      </c>
      <c r="E28" s="7">
        <v>0.12947489984501559</v>
      </c>
      <c r="F28" s="7">
        <v>-0.13645906116360029</v>
      </c>
      <c r="G28" s="7">
        <v>0.47209973857913029</v>
      </c>
      <c r="H28" s="7">
        <v>0.20906099113000509</v>
      </c>
      <c r="I28" s="7">
        <v>-0.32592603053109831</v>
      </c>
      <c r="J28" s="7">
        <v>-0.19062398198333369</v>
      </c>
      <c r="K28" s="7">
        <v>4.4331791706471287E-2</v>
      </c>
      <c r="L28" s="2">
        <v>0.25204889474800851</v>
      </c>
      <c r="M28" s="2">
        <v>0.14165758384397259</v>
      </c>
      <c r="N28" s="2">
        <v>0.17345200062582741</v>
      </c>
      <c r="O28" s="1">
        <v>-0.41072690101760662</v>
      </c>
      <c r="P28" s="1">
        <v>6.9342394674760388E-2</v>
      </c>
      <c r="Q28" s="1">
        <v>0.60927025362317977</v>
      </c>
      <c r="R28" s="1">
        <v>-0.29178114371900488</v>
      </c>
      <c r="S28" s="1">
        <v>-0.29392431927171631</v>
      </c>
      <c r="T28" s="1">
        <v>3.8801158321576913E-2</v>
      </c>
      <c r="U28" s="1">
        <v>-0.42322996396686702</v>
      </c>
      <c r="V28" s="1">
        <v>0.1637271802704669</v>
      </c>
      <c r="W28" s="1">
        <v>8.7206145507862431E-2</v>
      </c>
      <c r="X28" s="1">
        <v>0.13162844247843661</v>
      </c>
      <c r="Y28" s="1">
        <v>-0.1243224535392126</v>
      </c>
      <c r="Z28" s="1">
        <v>5.7154149464510598E-2</v>
      </c>
      <c r="AA28" s="1">
        <v>2.953965267384533E-2</v>
      </c>
      <c r="AB28" s="1">
        <v>-9.2340447112654739E-2</v>
      </c>
      <c r="AC28" s="1">
        <v>0.40329999647619208</v>
      </c>
      <c r="AD28" s="1">
        <v>0.49910073935146271</v>
      </c>
      <c r="AE28" s="1">
        <v>0.18904454299141221</v>
      </c>
      <c r="AF28" s="1">
        <v>3.5461655124420939E-4</v>
      </c>
      <c r="AG28" s="1">
        <v>0.31121717222897222</v>
      </c>
      <c r="AH28" s="1">
        <v>0.90293804642974995</v>
      </c>
      <c r="AI28" s="1">
        <v>9.6799750790772104E-2</v>
      </c>
      <c r="AJ28" s="1">
        <v>8.0096079751057203E-2</v>
      </c>
      <c r="AK28" s="1">
        <v>0.26078300550212857</v>
      </c>
      <c r="AL28" s="1">
        <v>4.6054409760418663E-2</v>
      </c>
      <c r="AM28" s="1">
        <v>2.3701914066940041E-2</v>
      </c>
      <c r="AN28" s="1">
        <v>0.13267245806478051</v>
      </c>
      <c r="AO28" s="1">
        <v>0.1021895330198999</v>
      </c>
      <c r="AP28" s="1">
        <v>8.5535447392672506E-2</v>
      </c>
      <c r="AQ28" s="1">
        <v>-9.9630652383908808E-2</v>
      </c>
      <c r="AR28" s="1">
        <v>-0.42212427925242041</v>
      </c>
      <c r="AS28" s="1">
        <v>-0.33629716777157398</v>
      </c>
      <c r="AT28" s="1">
        <v>0.33042944046886991</v>
      </c>
      <c r="AU28" s="1">
        <v>0.103071285394397</v>
      </c>
      <c r="AV28" s="1">
        <v>0.3831266247368238</v>
      </c>
      <c r="AW28" s="1">
        <v>-0.12669497247646769</v>
      </c>
      <c r="AX28" s="1">
        <v>7.3511500267142232E-2</v>
      </c>
      <c r="AY28" s="1">
        <v>-0.7108145557313934</v>
      </c>
      <c r="AZ28" s="1">
        <v>-0.19139485299962941</v>
      </c>
      <c r="BA28" s="1">
        <v>-8.3940740207336703E-2</v>
      </c>
      <c r="BB28" s="1">
        <v>-0.66158881637085643</v>
      </c>
      <c r="BC28" s="1">
        <v>-0.1964010318344353</v>
      </c>
      <c r="BD28" s="1">
        <v>3.7331159902545319E-2</v>
      </c>
      <c r="BE28" s="1">
        <v>-9.0417066484089287E-2</v>
      </c>
      <c r="BF28" s="1">
        <v>1.1230242063098351E-2</v>
      </c>
      <c r="BG28" s="1">
        <v>-0.13985385836400971</v>
      </c>
      <c r="BH28" s="1">
        <v>-3.2588391045238377E-2</v>
      </c>
      <c r="BI28" s="1">
        <v>-5.786612795299767E-2</v>
      </c>
      <c r="BJ28" s="1">
        <v>0.38745341807196049</v>
      </c>
      <c r="BK28" s="1">
        <v>1.00197269490701E-2</v>
      </c>
      <c r="BL28" s="1">
        <v>4.5146220361479202E-2</v>
      </c>
      <c r="BM28" s="1">
        <v>8.409378816085733E-2</v>
      </c>
      <c r="BN28" s="1">
        <v>0.18512837368855381</v>
      </c>
      <c r="BO28" s="1">
        <v>-2.6668247082161409E-2</v>
      </c>
      <c r="BP28" s="1">
        <v>-0.83639399894724664</v>
      </c>
      <c r="BQ28" s="1">
        <v>-0.13694109225188511</v>
      </c>
      <c r="BR28" s="1">
        <v>-0.38171493555785158</v>
      </c>
      <c r="BS28" s="1">
        <v>-0.1216210365296066</v>
      </c>
      <c r="BT28" s="1">
        <v>-5.5799256308256592E-2</v>
      </c>
      <c r="BU28" s="1">
        <v>-5.0687688186090402E-2</v>
      </c>
      <c r="BV28" s="1">
        <v>-7.442795028732932E-2</v>
      </c>
      <c r="BW28" s="1">
        <v>5.7307859270791593E-2</v>
      </c>
      <c r="BX28" s="1">
        <v>6.6604643749852199E-2</v>
      </c>
      <c r="BY28" s="1">
        <v>0.15739858213872671</v>
      </c>
      <c r="BZ28" s="1">
        <v>-0.41150141241439819</v>
      </c>
      <c r="CA28" s="1">
        <v>5.3526593047127979E-2</v>
      </c>
      <c r="CB28" s="1">
        <v>0.33692898140486782</v>
      </c>
      <c r="CC28" s="1">
        <v>-0.22069348351070209</v>
      </c>
      <c r="CD28" s="1">
        <v>0.55059298656639766</v>
      </c>
      <c r="CE28" s="1">
        <v>0.17967254862237761</v>
      </c>
      <c r="CF28" s="1">
        <v>-2.0033171211306669E-2</v>
      </c>
      <c r="CG28" s="1">
        <v>9.5486531096555027E-2</v>
      </c>
      <c r="CH28" s="1">
        <v>-0.47591534631106008</v>
      </c>
      <c r="CI28" s="1">
        <v>7.209077729075844E-2</v>
      </c>
      <c r="CJ28" s="1">
        <v>0.30472255046157221</v>
      </c>
      <c r="CK28" s="1">
        <v>-5.5315861277314783E-2</v>
      </c>
      <c r="CL28" s="1">
        <v>-3.7249281063807982E-2</v>
      </c>
      <c r="CM28" s="1">
        <v>0.20229817995532751</v>
      </c>
      <c r="CN28" s="1">
        <v>6.4923289237675125E-2</v>
      </c>
      <c r="CO28" s="1">
        <v>-0.25478149345547751</v>
      </c>
      <c r="CP28" s="1">
        <v>6.2154233393892713E-2</v>
      </c>
      <c r="CQ28" s="1">
        <v>0.64177463130302681</v>
      </c>
      <c r="CR28" s="1">
        <v>-0.35399521030834519</v>
      </c>
      <c r="CS28" s="1">
        <v>-5.8364981302311929E-2</v>
      </c>
      <c r="CT28" s="1">
        <v>-0.12660379649564399</v>
      </c>
      <c r="CU28" s="1">
        <v>6.422361009733682E-2</v>
      </c>
      <c r="CV28" s="1">
        <v>0.1073440096096302</v>
      </c>
      <c r="CW28" s="1">
        <v>-0.2273536637066367</v>
      </c>
      <c r="CX28" s="1">
        <v>0.17994577081897531</v>
      </c>
      <c r="CY28" s="1">
        <v>4.5783885834750487E-3</v>
      </c>
      <c r="CZ28" s="1">
        <v>0.41467479656372219</v>
      </c>
      <c r="DA28" s="1">
        <v>-0.28742784593458598</v>
      </c>
      <c r="DB28" s="1">
        <v>-0.1535343427905804</v>
      </c>
      <c r="DC28" s="1">
        <v>-0.13150656910472081</v>
      </c>
      <c r="DD28" s="1">
        <v>0.16487823571849361</v>
      </c>
      <c r="DE28" s="1">
        <v>-0.2415251951862539</v>
      </c>
      <c r="DF28" s="1">
        <v>-1.238370087625275E-2</v>
      </c>
      <c r="DG28" s="1">
        <v>-0.116663342315528</v>
      </c>
      <c r="DH28" s="1">
        <v>0.1018129394233231</v>
      </c>
      <c r="DI28" s="1">
        <v>-0.11728017935047221</v>
      </c>
      <c r="DJ28" s="1">
        <v>6.0056651286184537E-2</v>
      </c>
      <c r="DK28" s="1">
        <v>2.8211667638246282E-2</v>
      </c>
      <c r="DL28" s="1">
        <v>-0.1805119705933268</v>
      </c>
      <c r="DM28" s="1">
        <v>-9.7547557843266269E-2</v>
      </c>
      <c r="DN28" s="1">
        <v>5.0940226312263998E-2</v>
      </c>
      <c r="DO28" s="1">
        <v>-0.10084895562472999</v>
      </c>
      <c r="DP28" s="1">
        <v>9.8496164179871115E-2</v>
      </c>
      <c r="DQ28" s="1">
        <v>-5.8675277433714007E-2</v>
      </c>
      <c r="DR28" s="1">
        <v>2.189760803225654E-2</v>
      </c>
      <c r="DS28" s="1">
        <v>-0.26938035488673279</v>
      </c>
      <c r="DT28" s="1">
        <v>-0.42208360842640391</v>
      </c>
      <c r="DU28" s="1">
        <v>-7.512700208927163E-2</v>
      </c>
      <c r="DV28" s="1">
        <v>-0.20834032668240829</v>
      </c>
      <c r="DW28" s="1">
        <v>-1.457728777068896E-2</v>
      </c>
      <c r="DX28" s="1">
        <v>0.42756103255364469</v>
      </c>
      <c r="DY28" s="1">
        <v>-0.10249300170764709</v>
      </c>
      <c r="DZ28" s="1">
        <v>4.1473997534895717E-2</v>
      </c>
      <c r="EA28" s="1">
        <v>0.59865800799217128</v>
      </c>
      <c r="EB28" s="1">
        <v>0.21117526178136181</v>
      </c>
      <c r="EC28" s="1">
        <v>0.51950017923042358</v>
      </c>
      <c r="ED28" s="1">
        <v>-0.1025489477527048</v>
      </c>
      <c r="EE28" s="1">
        <v>0.1081328928425101</v>
      </c>
      <c r="EF28" s="1">
        <v>9.6235607880825802E-2</v>
      </c>
      <c r="EG28" s="49">
        <f t="shared" si="0"/>
        <v>2.0734208672646522E-2</v>
      </c>
      <c r="EH28" s="48">
        <f t="shared" si="1"/>
        <v>0.27656417837772429</v>
      </c>
      <c r="EI28" s="48">
        <f t="shared" si="2"/>
        <v>7.4970695027351916E-2</v>
      </c>
    </row>
    <row r="29" spans="1:139" ht="16" customHeight="1">
      <c r="A29" s="6" t="s">
        <v>147</v>
      </c>
      <c r="B29" s="6" t="s">
        <v>148</v>
      </c>
      <c r="C29" s="17">
        <v>-1.7446770539390338E-2</v>
      </c>
      <c r="D29" s="17">
        <v>2.070106053181563E-2</v>
      </c>
      <c r="E29" s="17">
        <v>2.3982129254766709E-2</v>
      </c>
      <c r="F29" s="17">
        <v>-6.557578972823077E-3</v>
      </c>
      <c r="G29" s="17">
        <v>3.1845129800519692E-2</v>
      </c>
      <c r="H29" s="17">
        <v>3.4348532736990518E-2</v>
      </c>
      <c r="I29" s="17">
        <v>-8.2549327813252367E-3</v>
      </c>
      <c r="J29" s="17">
        <v>1.2843524394052759E-2</v>
      </c>
      <c r="K29" s="17">
        <v>-5.1018524626790823E-2</v>
      </c>
      <c r="L29" s="17">
        <v>8.7394274103658827E-4</v>
      </c>
      <c r="M29" s="17">
        <v>2.3389575505495919E-2</v>
      </c>
      <c r="N29" s="17">
        <v>1.2988972200332851E-2</v>
      </c>
      <c r="O29" s="17">
        <v>5.8545887256348812E-3</v>
      </c>
      <c r="P29" s="17">
        <v>2.7413206571790558E-2</v>
      </c>
      <c r="Q29" s="17">
        <v>-3.7129361176928542E-3</v>
      </c>
      <c r="R29" s="17">
        <v>2.4076614047823328E-2</v>
      </c>
      <c r="S29" s="17">
        <v>-1.219002529903996E-2</v>
      </c>
      <c r="T29" s="17">
        <v>-3.9749578159589592E-2</v>
      </c>
      <c r="U29" s="17">
        <v>-7.3155449831649552E-2</v>
      </c>
      <c r="V29" s="17">
        <v>-5.8260229910114661E-2</v>
      </c>
      <c r="W29" s="17">
        <v>7.7279756550837221E-4</v>
      </c>
      <c r="X29" s="17">
        <v>4.459152113521897E-2</v>
      </c>
      <c r="Y29" s="17">
        <v>-2.7699680050213091E-2</v>
      </c>
      <c r="Z29" s="17">
        <v>2.0950059497436462E-3</v>
      </c>
      <c r="AA29" s="17">
        <v>-2.340055099256411E-2</v>
      </c>
      <c r="AB29" s="17">
        <v>3.2129371097322189E-2</v>
      </c>
      <c r="AC29" s="17">
        <v>3.890327309406643E-2</v>
      </c>
      <c r="AD29" s="17">
        <v>-4.286538217110427E-2</v>
      </c>
      <c r="AE29" s="17">
        <v>1.8647194550152159E-2</v>
      </c>
      <c r="AF29" s="17">
        <v>1.5229768322528949E-2</v>
      </c>
      <c r="AG29" s="17">
        <v>3.6016603778892417E-2</v>
      </c>
      <c r="AH29" s="17">
        <v>9.3546113853161701E-3</v>
      </c>
      <c r="AI29" s="17">
        <v>1.0748251336838139E-2</v>
      </c>
      <c r="AJ29" s="17">
        <v>1.335775405308097E-2</v>
      </c>
      <c r="AK29" s="17">
        <v>-5.3327473290953921E-3</v>
      </c>
      <c r="AL29" s="17">
        <v>1.383135807261675E-3</v>
      </c>
      <c r="AM29" s="17">
        <v>2.079592842007446E-2</v>
      </c>
      <c r="AN29" s="17">
        <v>3.1517702220390638E-2</v>
      </c>
      <c r="AO29" s="17">
        <v>6.2417165333294418E-3</v>
      </c>
      <c r="AP29" s="17">
        <v>6.1452616535713897E-3</v>
      </c>
      <c r="AQ29" s="17">
        <v>1.694635767669651E-2</v>
      </c>
      <c r="AR29" s="17">
        <v>3.4682830454308228E-2</v>
      </c>
      <c r="AS29" s="17">
        <v>3.0985886171969678E-3</v>
      </c>
      <c r="AT29" s="17">
        <v>1.508134714348611E-2</v>
      </c>
      <c r="AU29" s="17">
        <v>-1.9251209229863991E-2</v>
      </c>
      <c r="AV29" s="17">
        <v>3.8711513387631437E-2</v>
      </c>
      <c r="AW29" s="17">
        <v>-2.1856951135736599E-2</v>
      </c>
      <c r="AX29" s="17">
        <v>7.7743007097896798E-3</v>
      </c>
      <c r="AY29" s="17">
        <v>4.2397246695325942E-2</v>
      </c>
      <c r="AZ29" s="17">
        <v>-2.630897486115975E-2</v>
      </c>
      <c r="BA29" s="17">
        <v>9.5717493087162323E-3</v>
      </c>
      <c r="BB29" s="17">
        <v>-2.424974126627483E-2</v>
      </c>
      <c r="BC29" s="17">
        <v>2.0163374143915822E-2</v>
      </c>
      <c r="BD29" s="17">
        <v>-3.5049987821160239E-3</v>
      </c>
      <c r="BE29" s="17">
        <v>2.0151935098542271E-2</v>
      </c>
      <c r="BF29" s="17">
        <v>5.8133623077027128E-4</v>
      </c>
      <c r="BG29" s="17">
        <v>-5.2197009532526043E-3</v>
      </c>
      <c r="BH29" s="17">
        <v>-0.11587176140213</v>
      </c>
      <c r="BI29" s="17">
        <v>8.7252256924373536E-3</v>
      </c>
      <c r="BJ29" s="17">
        <v>-1.6377260977822151E-2</v>
      </c>
      <c r="BK29" s="17">
        <v>2.0840371600260421E-2</v>
      </c>
      <c r="BL29" s="17">
        <v>4.4975872102114713E-2</v>
      </c>
      <c r="BM29" s="17">
        <v>2.3954306081863871E-2</v>
      </c>
      <c r="BN29" s="17">
        <v>3.0239101391442601E-2</v>
      </c>
      <c r="BO29" s="17">
        <v>-4.372588759108751E-2</v>
      </c>
      <c r="BP29" s="17">
        <v>2.1889469568198618E-2</v>
      </c>
      <c r="BQ29" s="17">
        <v>8.6274302635084028E-3</v>
      </c>
      <c r="BR29" s="17">
        <v>-1.9192953994658781E-2</v>
      </c>
      <c r="BS29" s="17">
        <v>1.973512988813305E-2</v>
      </c>
      <c r="BT29" s="17">
        <v>4.7694337483699438E-2</v>
      </c>
      <c r="BU29" s="17">
        <v>1.145481680658339E-2</v>
      </c>
      <c r="BV29" s="17">
        <v>4.3228620735213191E-2</v>
      </c>
      <c r="BW29" s="17">
        <v>-4.2747430436922793E-2</v>
      </c>
      <c r="BX29" s="17">
        <v>-1.781129242779457E-2</v>
      </c>
      <c r="BY29" s="17">
        <v>-0.1511530968690756</v>
      </c>
      <c r="BZ29" s="17">
        <v>0.12422400361957529</v>
      </c>
      <c r="CA29" s="17">
        <v>-4.5572538445296431E-3</v>
      </c>
      <c r="CB29" s="17">
        <v>6.0211240204911178E-2</v>
      </c>
      <c r="CC29" s="17">
        <v>8.5992033482502284E-2</v>
      </c>
      <c r="CD29" s="17">
        <v>-5.8084795823660634E-3</v>
      </c>
      <c r="CE29" s="17">
        <v>-6.0413469889680736E-3</v>
      </c>
      <c r="CF29" s="17">
        <v>2.4523243722520739E-3</v>
      </c>
      <c r="CG29" s="17">
        <v>8.963625193702289E-2</v>
      </c>
      <c r="CH29" s="17">
        <v>7.099273252675789E-2</v>
      </c>
      <c r="CI29" s="17">
        <v>2.7170642901783448E-2</v>
      </c>
      <c r="CJ29" s="17">
        <v>5.2468428425330033E-2</v>
      </c>
      <c r="CK29" s="17">
        <v>2.9480660943049509E-2</v>
      </c>
      <c r="CL29" s="17">
        <v>6.6825081060201283E-2</v>
      </c>
      <c r="CM29" s="17">
        <v>-2.8772229019816971E-2</v>
      </c>
      <c r="CN29" s="17">
        <v>3.9462515901637851E-2</v>
      </c>
      <c r="CO29" s="17">
        <v>-2.9031086977359909E-2</v>
      </c>
      <c r="CP29" s="17">
        <v>1.3983882519467901E-2</v>
      </c>
      <c r="CQ29" s="17">
        <v>-3.2276964959333833E-2</v>
      </c>
      <c r="CR29" s="17">
        <v>3.1035766128940231E-3</v>
      </c>
      <c r="CS29" s="17">
        <v>2.5591855767083171E-2</v>
      </c>
      <c r="CT29" s="17">
        <v>4.4391886287193302E-2</v>
      </c>
      <c r="CU29" s="17">
        <v>-3.0338958549577438E-2</v>
      </c>
      <c r="CV29" s="17">
        <v>-1.2579764545717069E-3</v>
      </c>
      <c r="CW29" s="17">
        <v>2.336356455857952E-3</v>
      </c>
      <c r="CX29" s="17">
        <v>-6.4264144925906069E-2</v>
      </c>
      <c r="CY29" s="17">
        <v>1.2909779458992439E-2</v>
      </c>
      <c r="CZ29" s="17">
        <v>-0.12547709467085871</v>
      </c>
      <c r="DA29" s="17">
        <v>1.1690682939792569E-2</v>
      </c>
      <c r="DB29" s="17">
        <v>6.3378437007417512E-3</v>
      </c>
      <c r="DC29" s="17">
        <v>-0.1173053564693855</v>
      </c>
      <c r="DD29" s="17">
        <v>-3.6010872049446613E-2</v>
      </c>
      <c r="DE29" s="17">
        <v>0.1389113040722679</v>
      </c>
      <c r="DF29" s="17">
        <v>-5.1143506226105737E-2</v>
      </c>
      <c r="DG29" s="17">
        <v>7.6731447181969059E-2</v>
      </c>
      <c r="DH29" s="17">
        <v>1.550878219700816E-2</v>
      </c>
      <c r="DI29" s="17">
        <v>2.3223773674755831E-2</v>
      </c>
      <c r="DJ29" s="17">
        <v>-1.8372876361227891E-2</v>
      </c>
      <c r="DK29" s="17">
        <v>6.2199014085099431E-2</v>
      </c>
      <c r="DL29" s="17">
        <v>2.0098304486957191E-2</v>
      </c>
      <c r="DM29" s="17">
        <v>1.349893974806809E-2</v>
      </c>
      <c r="DN29" s="17">
        <v>-3.025221272842088E-2</v>
      </c>
      <c r="DO29" s="17">
        <v>-1.7022835708053841E-2</v>
      </c>
      <c r="DP29" s="17">
        <v>-2.1788523272461981E-2</v>
      </c>
      <c r="DQ29" s="17">
        <v>8.5745624585137223E-2</v>
      </c>
      <c r="DR29" s="17">
        <v>2.8106743604973752E-2</v>
      </c>
      <c r="DS29" s="17">
        <v>-2.3031598073594501E-3</v>
      </c>
      <c r="DT29" s="17">
        <v>5.8471198131487503E-2</v>
      </c>
      <c r="DU29" s="17">
        <v>6.7658949048647651E-2</v>
      </c>
      <c r="DV29" s="17">
        <v>5.0207706404322644E-3</v>
      </c>
      <c r="DW29" s="17">
        <v>3.7416183675207063E-2</v>
      </c>
      <c r="DX29" s="17">
        <v>8.4111003746042121E-2</v>
      </c>
      <c r="DY29" s="17">
        <v>-3.6832398544012837E-2</v>
      </c>
      <c r="DZ29" s="17">
        <v>3.0917028169369942E-3</v>
      </c>
      <c r="EA29" s="17">
        <v>-1.957628214294549E-3</v>
      </c>
      <c r="EB29" s="17">
        <v>2.6459103603519739E-2</v>
      </c>
      <c r="EC29" s="17">
        <v>-2.4752538760690269E-2</v>
      </c>
      <c r="ED29" s="17">
        <v>3.4115490982559941E-2</v>
      </c>
      <c r="EE29" s="17">
        <v>2.1061973989032982E-2</v>
      </c>
      <c r="EF29" s="17">
        <v>-2.0277392706005919E-2</v>
      </c>
      <c r="EG29" s="24">
        <f t="shared" si="0"/>
        <v>7.3485376145559517E-3</v>
      </c>
      <c r="EH29" s="24">
        <f t="shared" si="1"/>
        <v>4.2276369775976368E-2</v>
      </c>
      <c r="EI29" s="24">
        <f t="shared" si="2"/>
        <v>0.17382139605401439</v>
      </c>
    </row>
    <row r="30" spans="1:139" ht="16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3"/>
    </row>
    <row r="32" spans="1:139" ht="16" customHeight="1">
      <c r="A32" s="19"/>
      <c r="B32" s="19"/>
      <c r="C32" s="19"/>
      <c r="D32" s="4"/>
      <c r="E32" s="4"/>
      <c r="F32" s="4"/>
      <c r="G32" s="4"/>
      <c r="H32" s="4"/>
      <c r="I32" s="4"/>
      <c r="J32" s="4"/>
      <c r="K32" s="19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</row>
  </sheetData>
  <mergeCells count="1">
    <mergeCell ref="A14:B14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G33"/>
  <sheetViews>
    <sheetView zoomScaleNormal="63" workbookViewId="0">
      <selection activeCell="D36" sqref="D36"/>
    </sheetView>
  </sheetViews>
  <sheetFormatPr baseColWidth="10" defaultColWidth="8.83203125" defaultRowHeight="15"/>
  <cols>
    <col min="1" max="1" width="16.6640625" style="18" customWidth="1"/>
    <col min="3" max="3" width="10.1640625" style="18" customWidth="1"/>
    <col min="4" max="4" width="11.6640625" style="18" customWidth="1"/>
    <col min="5" max="5" width="9.1640625" style="18" customWidth="1"/>
    <col min="6" max="6" width="8.6640625" style="18" customWidth="1"/>
    <col min="7" max="7" width="9.33203125" style="18" customWidth="1"/>
    <col min="8" max="8" width="9.6640625" style="18" customWidth="1"/>
    <col min="9" max="9" width="9" style="18" customWidth="1"/>
    <col min="10" max="136" width="10.6640625" style="18" customWidth="1"/>
  </cols>
  <sheetData>
    <row r="1" spans="1:137" ht="16" customHeight="1">
      <c r="A1" s="1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5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  <c r="DK1" s="4"/>
      <c r="DL1" s="4"/>
      <c r="DM1" s="4"/>
      <c r="DN1" s="4"/>
      <c r="DO1" s="4"/>
      <c r="DP1" s="4"/>
      <c r="DQ1" s="4"/>
      <c r="DR1" s="4"/>
      <c r="DS1" s="4"/>
      <c r="DT1" s="4"/>
      <c r="DU1" s="4"/>
      <c r="DV1" s="4"/>
      <c r="DW1" s="4"/>
      <c r="DX1" s="4"/>
      <c r="DY1" s="4"/>
      <c r="DZ1" s="4"/>
      <c r="EA1" s="4"/>
      <c r="EB1" s="4"/>
      <c r="EC1" s="4"/>
      <c r="ED1" s="4"/>
      <c r="EE1" s="4"/>
      <c r="EF1" s="4"/>
    </row>
    <row r="2" spans="1:137" ht="16" customHeight="1">
      <c r="A2" s="25"/>
      <c r="B2" s="6" t="s">
        <v>1</v>
      </c>
      <c r="C2" s="12" t="s">
        <v>2</v>
      </c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  <c r="L2" s="12" t="s">
        <v>11</v>
      </c>
      <c r="M2" s="12" t="s">
        <v>12</v>
      </c>
      <c r="N2" s="12" t="s">
        <v>13</v>
      </c>
      <c r="O2" s="12" t="s">
        <v>14</v>
      </c>
      <c r="P2" s="12" t="s">
        <v>15</v>
      </c>
      <c r="Q2" s="12" t="s">
        <v>16</v>
      </c>
      <c r="R2" s="12" t="s">
        <v>17</v>
      </c>
      <c r="S2" s="12" t="s">
        <v>18</v>
      </c>
      <c r="T2" s="12" t="s">
        <v>19</v>
      </c>
      <c r="U2" s="12" t="s">
        <v>20</v>
      </c>
      <c r="V2" s="12" t="s">
        <v>21</v>
      </c>
      <c r="W2" s="12" t="s">
        <v>22</v>
      </c>
      <c r="X2" s="12" t="s">
        <v>23</v>
      </c>
      <c r="Y2" s="12" t="s">
        <v>24</v>
      </c>
      <c r="Z2" s="12" t="s">
        <v>25</v>
      </c>
      <c r="AA2" s="12" t="s">
        <v>26</v>
      </c>
      <c r="AB2" s="12" t="s">
        <v>27</v>
      </c>
      <c r="AC2" s="12" t="s">
        <v>28</v>
      </c>
      <c r="AD2" s="12" t="s">
        <v>29</v>
      </c>
      <c r="AE2" s="12" t="s">
        <v>30</v>
      </c>
      <c r="AF2" s="12" t="s">
        <v>31</v>
      </c>
      <c r="AG2" s="12" t="s">
        <v>32</v>
      </c>
      <c r="AH2" s="12" t="s">
        <v>33</v>
      </c>
      <c r="AI2" s="12" t="s">
        <v>34</v>
      </c>
      <c r="AJ2" s="12" t="s">
        <v>35</v>
      </c>
      <c r="AK2" s="12" t="s">
        <v>36</v>
      </c>
      <c r="AL2" s="12" t="s">
        <v>37</v>
      </c>
      <c r="AM2" s="12" t="s">
        <v>38</v>
      </c>
      <c r="AN2" s="12" t="s">
        <v>39</v>
      </c>
      <c r="AO2" s="12" t="s">
        <v>40</v>
      </c>
      <c r="AP2" s="12" t="s">
        <v>41</v>
      </c>
      <c r="AQ2" s="12" t="s">
        <v>42</v>
      </c>
      <c r="AR2" s="12" t="s">
        <v>43</v>
      </c>
      <c r="AS2" s="12" t="s">
        <v>44</v>
      </c>
      <c r="AT2" s="12" t="s">
        <v>45</v>
      </c>
      <c r="AU2" s="12" t="s">
        <v>46</v>
      </c>
      <c r="AV2" s="12" t="s">
        <v>47</v>
      </c>
      <c r="AW2" s="12" t="s">
        <v>48</v>
      </c>
      <c r="AX2" s="12" t="s">
        <v>49</v>
      </c>
      <c r="AY2" s="12" t="s">
        <v>50</v>
      </c>
      <c r="AZ2" s="12" t="s">
        <v>51</v>
      </c>
      <c r="BA2" s="12" t="s">
        <v>52</v>
      </c>
      <c r="BB2" s="12" t="s">
        <v>53</v>
      </c>
      <c r="BC2" s="12" t="s">
        <v>54</v>
      </c>
      <c r="BD2" s="12" t="s">
        <v>55</v>
      </c>
      <c r="BE2" s="12" t="s">
        <v>56</v>
      </c>
      <c r="BF2" s="12" t="s">
        <v>57</v>
      </c>
      <c r="BG2" s="12" t="s">
        <v>58</v>
      </c>
      <c r="BH2" s="12" t="s">
        <v>59</v>
      </c>
      <c r="BI2" s="12" t="s">
        <v>60</v>
      </c>
      <c r="BJ2" s="12" t="s">
        <v>61</v>
      </c>
      <c r="BK2" s="12" t="s">
        <v>62</v>
      </c>
      <c r="BL2" s="12" t="s">
        <v>63</v>
      </c>
      <c r="BM2" s="12" t="s">
        <v>64</v>
      </c>
      <c r="BN2" s="12" t="s">
        <v>65</v>
      </c>
      <c r="BO2" s="12" t="s">
        <v>66</v>
      </c>
      <c r="BP2" s="12" t="s">
        <v>67</v>
      </c>
      <c r="BQ2" s="12" t="s">
        <v>68</v>
      </c>
      <c r="BR2" s="12" t="s">
        <v>69</v>
      </c>
      <c r="BS2" s="12" t="s">
        <v>70</v>
      </c>
      <c r="BT2" s="12" t="s">
        <v>71</v>
      </c>
      <c r="BU2" s="12" t="s">
        <v>72</v>
      </c>
      <c r="BV2" s="12" t="s">
        <v>73</v>
      </c>
      <c r="BW2" s="12" t="s">
        <v>74</v>
      </c>
      <c r="BX2" s="12" t="s">
        <v>75</v>
      </c>
      <c r="BY2" s="12" t="s">
        <v>76</v>
      </c>
      <c r="BZ2" s="12" t="s">
        <v>77</v>
      </c>
      <c r="CA2" s="12" t="s">
        <v>78</v>
      </c>
      <c r="CB2" s="12" t="s">
        <v>79</v>
      </c>
      <c r="CC2" s="12" t="s">
        <v>80</v>
      </c>
      <c r="CD2" s="12" t="s">
        <v>81</v>
      </c>
      <c r="CE2" s="12" t="s">
        <v>82</v>
      </c>
      <c r="CF2" s="12" t="s">
        <v>83</v>
      </c>
      <c r="CG2" s="12" t="s">
        <v>84</v>
      </c>
      <c r="CH2" s="12" t="s">
        <v>85</v>
      </c>
      <c r="CI2" s="12" t="s">
        <v>86</v>
      </c>
      <c r="CJ2" s="12" t="s">
        <v>87</v>
      </c>
      <c r="CK2" s="12" t="s">
        <v>88</v>
      </c>
      <c r="CL2" s="12" t="s">
        <v>89</v>
      </c>
      <c r="CM2" s="12" t="s">
        <v>90</v>
      </c>
      <c r="CN2" s="12" t="s">
        <v>91</v>
      </c>
      <c r="CO2" s="12" t="s">
        <v>92</v>
      </c>
      <c r="CP2" s="12" t="s">
        <v>93</v>
      </c>
      <c r="CQ2" s="12" t="s">
        <v>94</v>
      </c>
      <c r="CR2" s="12" t="s">
        <v>95</v>
      </c>
      <c r="CS2" s="12" t="s">
        <v>96</v>
      </c>
      <c r="CT2" s="12" t="s">
        <v>97</v>
      </c>
      <c r="CU2" s="12" t="s">
        <v>98</v>
      </c>
      <c r="CV2" s="12" t="s">
        <v>99</v>
      </c>
      <c r="CW2" s="12" t="s">
        <v>100</v>
      </c>
      <c r="CX2" s="12" t="s">
        <v>101</v>
      </c>
      <c r="CY2" s="12" t="s">
        <v>102</v>
      </c>
      <c r="CZ2" s="12" t="s">
        <v>103</v>
      </c>
      <c r="DA2" s="12" t="s">
        <v>104</v>
      </c>
      <c r="DB2" s="12" t="s">
        <v>105</v>
      </c>
      <c r="DC2" s="12" t="s">
        <v>106</v>
      </c>
      <c r="DD2" s="12" t="s">
        <v>107</v>
      </c>
      <c r="DE2" s="12" t="s">
        <v>108</v>
      </c>
      <c r="DF2" s="12" t="s">
        <v>109</v>
      </c>
      <c r="DG2" s="12" t="s">
        <v>110</v>
      </c>
      <c r="DH2" s="12" t="s">
        <v>111</v>
      </c>
      <c r="DI2" s="12" t="s">
        <v>112</v>
      </c>
      <c r="DJ2" s="12" t="s">
        <v>113</v>
      </c>
      <c r="DK2" s="12" t="s">
        <v>114</v>
      </c>
      <c r="DL2" s="12" t="s">
        <v>115</v>
      </c>
      <c r="DM2" s="12" t="s">
        <v>116</v>
      </c>
      <c r="DN2" s="12" t="s">
        <v>117</v>
      </c>
      <c r="DO2" s="12" t="s">
        <v>118</v>
      </c>
      <c r="DP2" s="12" t="s">
        <v>119</v>
      </c>
      <c r="DQ2" s="12" t="s">
        <v>120</v>
      </c>
      <c r="DR2" s="12" t="s">
        <v>121</v>
      </c>
      <c r="DS2" s="12" t="s">
        <v>122</v>
      </c>
      <c r="DT2" s="12" t="s">
        <v>123</v>
      </c>
      <c r="DU2" s="12" t="s">
        <v>124</v>
      </c>
      <c r="DV2" s="12" t="s">
        <v>125</v>
      </c>
      <c r="DW2" s="12" t="s">
        <v>126</v>
      </c>
      <c r="DX2" s="12" t="s">
        <v>127</v>
      </c>
      <c r="DY2" s="12" t="s">
        <v>128</v>
      </c>
      <c r="DZ2" s="12" t="s">
        <v>129</v>
      </c>
      <c r="EA2" s="12" t="s">
        <v>130</v>
      </c>
      <c r="EB2" s="12" t="s">
        <v>131</v>
      </c>
      <c r="EC2" s="12" t="s">
        <v>132</v>
      </c>
      <c r="ED2" s="13" t="s">
        <v>133</v>
      </c>
      <c r="EE2" s="10" t="s">
        <v>134</v>
      </c>
      <c r="EF2" s="12" t="s">
        <v>135</v>
      </c>
    </row>
    <row r="3" spans="1:137" ht="16" customHeight="1">
      <c r="A3" s="25"/>
      <c r="B3" s="23" t="s">
        <v>136</v>
      </c>
      <c r="C3" s="26">
        <v>-5.0384003526719274E-3</v>
      </c>
      <c r="D3" s="26">
        <v>-1.298281531829238E-2</v>
      </c>
      <c r="E3" s="26">
        <v>-1.090537158216439E-2</v>
      </c>
      <c r="F3" s="26">
        <v>-9.0158784955721837E-3</v>
      </c>
      <c r="G3" s="26">
        <v>-6.0204378647821296E-3</v>
      </c>
      <c r="H3" s="26">
        <v>-1.8698065745674109E-2</v>
      </c>
      <c r="I3" s="26">
        <v>-4.9066145355758442E-3</v>
      </c>
      <c r="J3" s="26">
        <v>1.291814187142189E-3</v>
      </c>
      <c r="K3" s="26">
        <v>5.9455601276377169E-4</v>
      </c>
      <c r="L3" s="26">
        <v>-1.197191156905876E-2</v>
      </c>
      <c r="M3" s="26">
        <v>3.2288061043171868E-4</v>
      </c>
      <c r="N3" s="26">
        <v>-5.5110823298431784E-3</v>
      </c>
      <c r="O3" s="26">
        <v>-1.1571469246726871E-2</v>
      </c>
      <c r="P3" s="26">
        <v>-4.2707395080284491E-3</v>
      </c>
      <c r="Q3" s="26">
        <v>-2.585417962172288E-3</v>
      </c>
      <c r="R3" s="26">
        <v>-5.3758063417493861E-3</v>
      </c>
      <c r="S3" s="26">
        <v>-2.857333595320791E-3</v>
      </c>
      <c r="T3" s="26">
        <v>-6.9081391984344284E-3</v>
      </c>
      <c r="U3" s="26">
        <v>-1.7014472280456459E-2</v>
      </c>
      <c r="V3" s="26">
        <v>-6.8304002500024601E-3</v>
      </c>
      <c r="W3" s="26">
        <v>-7.5049393724914322E-3</v>
      </c>
      <c r="X3" s="26">
        <v>-5.5569893905461458E-3</v>
      </c>
      <c r="Y3" s="26">
        <v>-3.8673890214087651E-3</v>
      </c>
      <c r="Z3" s="26">
        <v>-1.742812778053918E-2</v>
      </c>
      <c r="AA3" s="26">
        <v>-2.1725257301090671E-2</v>
      </c>
      <c r="AB3" s="26">
        <v>-1.434051706740852E-2</v>
      </c>
      <c r="AC3" s="26">
        <v>-1.036582162775729E-2</v>
      </c>
      <c r="AD3" s="26">
        <v>-3.4166213999510938E-3</v>
      </c>
      <c r="AE3" s="26">
        <v>-2.6355408733274039E-3</v>
      </c>
      <c r="AF3" s="26">
        <v>-7.1940155873249523E-3</v>
      </c>
      <c r="AG3" s="26">
        <v>-7.8610431430318276E-3</v>
      </c>
      <c r="AH3" s="26">
        <v>-8.4817387915273029E-3</v>
      </c>
      <c r="AI3" s="26">
        <v>-4.1172002760600556E-3</v>
      </c>
      <c r="AJ3" s="26">
        <v>-6.7360574375490796E-3</v>
      </c>
      <c r="AK3" s="26">
        <v>-1.6369970764058359E-3</v>
      </c>
      <c r="AL3" s="26">
        <v>6.3693085010227705E-4</v>
      </c>
      <c r="AM3" s="26">
        <v>-4.4438164577261588E-3</v>
      </c>
      <c r="AN3" s="26">
        <v>-6.7233411821828589E-3</v>
      </c>
      <c r="AO3" s="26">
        <v>4.9092075312660863E-3</v>
      </c>
      <c r="AP3" s="26">
        <v>-9.9909323439328294E-3</v>
      </c>
      <c r="AQ3" s="26">
        <v>-1.4523536417601081E-2</v>
      </c>
      <c r="AR3" s="26">
        <v>-7.4150467293707788E-3</v>
      </c>
      <c r="AS3" s="26">
        <v>-5.9951026056438324E-3</v>
      </c>
      <c r="AT3" s="26">
        <v>-9.8077394596895063E-3</v>
      </c>
      <c r="AU3" s="26">
        <v>-1.70888452507575E-2</v>
      </c>
      <c r="AV3" s="26">
        <v>-3.0132820270963282E-3</v>
      </c>
      <c r="AW3" s="26">
        <v>8.7869254252137096E-4</v>
      </c>
      <c r="AX3" s="26">
        <v>-4.6179606842014637E-3</v>
      </c>
      <c r="AY3" s="26">
        <v>-3.3321956287664912E-3</v>
      </c>
      <c r="AZ3" s="26">
        <v>-1.500955019973121E-3</v>
      </c>
      <c r="BA3" s="26">
        <v>-3.4575462722895721E-3</v>
      </c>
      <c r="BB3" s="26">
        <v>-1.049889462351463E-2</v>
      </c>
      <c r="BC3" s="26">
        <v>-5.1382105502803333E-3</v>
      </c>
      <c r="BD3" s="26">
        <v>-2.1838723899889331E-2</v>
      </c>
      <c r="BE3" s="26">
        <v>-9.7871537706982134E-3</v>
      </c>
      <c r="BF3" s="26">
        <v>-5.8077246293848086E-4</v>
      </c>
      <c r="BG3" s="26">
        <v>-1.2396786065944829E-2</v>
      </c>
      <c r="BH3" s="26">
        <v>-7.4127544393004993E-3</v>
      </c>
      <c r="BI3" s="26">
        <v>-4.5557317538642839E-3</v>
      </c>
      <c r="BJ3" s="26">
        <v>-1.195817255615586E-2</v>
      </c>
      <c r="BK3" s="26">
        <v>-1.836586595008245E-3</v>
      </c>
      <c r="BL3" s="26">
        <v>-1.87129952942784E-2</v>
      </c>
      <c r="BM3" s="26">
        <v>-1.9598092095074069E-3</v>
      </c>
      <c r="BN3" s="26">
        <v>-2.5534203466766E-3</v>
      </c>
      <c r="BO3" s="26">
        <v>-4.9689198675300491E-3</v>
      </c>
      <c r="BP3" s="26">
        <v>-1.8462949817695352E-2</v>
      </c>
      <c r="BQ3" s="26">
        <v>-8.4846057372979112E-3</v>
      </c>
      <c r="BR3" s="26">
        <v>-3.6388493725434401E-3</v>
      </c>
      <c r="BS3" s="26">
        <v>-5.4235400978941556E-3</v>
      </c>
      <c r="BT3" s="26">
        <v>-4.5689212124528297E-3</v>
      </c>
      <c r="BU3" s="26">
        <v>-7.720076264362101E-3</v>
      </c>
      <c r="BV3" s="26">
        <v>-7.7092919602501199E-3</v>
      </c>
      <c r="BW3" s="26">
        <v>-9.3445852954740331E-3</v>
      </c>
      <c r="BX3" s="26">
        <v>-1.4007349042285109E-3</v>
      </c>
      <c r="BY3" s="26">
        <v>-1.191820817168316E-2</v>
      </c>
      <c r="BZ3" s="26">
        <v>-8.3605040764876352E-3</v>
      </c>
      <c r="CA3" s="26">
        <v>-9.2630255583887079E-3</v>
      </c>
      <c r="CB3" s="26">
        <v>8.1894824786473645E-3</v>
      </c>
      <c r="CC3" s="26">
        <v>-5.5994645746936132E-3</v>
      </c>
      <c r="CD3" s="26">
        <v>-8.1125504396278632E-3</v>
      </c>
      <c r="CE3" s="26">
        <v>-3.225226729347508E-3</v>
      </c>
      <c r="CF3" s="26">
        <v>-9.1363272153596221E-3</v>
      </c>
      <c r="CG3" s="26">
        <v>-8.8645597722549676E-3</v>
      </c>
      <c r="CH3" s="26">
        <v>-6.7889029547431286E-3</v>
      </c>
      <c r="CI3" s="26">
        <v>2.7426207371612478E-4</v>
      </c>
      <c r="CJ3" s="26">
        <v>1.499354006905981E-3</v>
      </c>
      <c r="CK3" s="26">
        <v>-7.8035198531218632E-3</v>
      </c>
      <c r="CL3" s="26">
        <v>1.0773722235700551E-2</v>
      </c>
      <c r="CM3" s="26">
        <v>2.1381453759887919E-3</v>
      </c>
      <c r="CN3" s="26">
        <v>7.0234474502226E-3</v>
      </c>
      <c r="CO3" s="26">
        <v>-1.6374706460066109E-2</v>
      </c>
      <c r="CP3" s="26">
        <v>2.661296592462753E-3</v>
      </c>
      <c r="CQ3" s="26">
        <v>-6.9274972753965566E-3</v>
      </c>
      <c r="CR3" s="26">
        <v>-4.5786681766687622E-3</v>
      </c>
      <c r="CS3" s="26">
        <v>-2.2040927713079198E-3</v>
      </c>
      <c r="CT3" s="26">
        <v>-3.7487093971901638E-3</v>
      </c>
      <c r="CU3" s="26">
        <v>-6.8773436459124114E-3</v>
      </c>
      <c r="CV3" s="26">
        <v>9.305447976897986E-4</v>
      </c>
      <c r="CW3" s="26">
        <v>-1.7538230381664618E-2</v>
      </c>
      <c r="CX3" s="26">
        <v>8.4356200660432837E-4</v>
      </c>
      <c r="CY3" s="26">
        <v>4.2074168253711667E-3</v>
      </c>
      <c r="CZ3" s="26">
        <v>-1.130524312149579E-2</v>
      </c>
      <c r="DA3" s="26">
        <v>-3.25837701495812E-3</v>
      </c>
      <c r="DB3" s="26">
        <v>1.4579091666449421E-3</v>
      </c>
      <c r="DC3" s="26">
        <v>-1.026569665467067E-3</v>
      </c>
      <c r="DD3" s="26">
        <v>7.1923353757306777E-4</v>
      </c>
      <c r="DE3" s="26">
        <v>-3.1574927923905143E-2</v>
      </c>
      <c r="DF3" s="26">
        <v>-2.9002889676333899E-2</v>
      </c>
      <c r="DG3" s="26">
        <v>1.9130540986732621E-4</v>
      </c>
      <c r="DH3" s="26">
        <v>-1.9153641395248239E-2</v>
      </c>
      <c r="DI3" s="26">
        <v>-1.057601613877961E-2</v>
      </c>
      <c r="DJ3" s="26">
        <v>-7.2497294156904767E-3</v>
      </c>
      <c r="DK3" s="26">
        <v>-1.283026423224543E-2</v>
      </c>
      <c r="DL3" s="26">
        <v>-8.7598248208097355E-3</v>
      </c>
      <c r="DM3" s="26">
        <v>-3.105754662385783E-3</v>
      </c>
      <c r="DN3" s="26">
        <v>-7.7136145703459E-4</v>
      </c>
      <c r="DO3" s="26">
        <v>-2.1247696083291149E-4</v>
      </c>
      <c r="DP3" s="26">
        <v>-8.5086976243557658E-3</v>
      </c>
      <c r="DQ3" s="26">
        <v>-6.1453362595454341E-3</v>
      </c>
      <c r="DR3" s="26">
        <v>-9.7976817317456822E-3</v>
      </c>
      <c r="DS3" s="26">
        <v>-1.0223566264486691E-3</v>
      </c>
      <c r="DT3" s="26">
        <v>-4.8198578945465111E-4</v>
      </c>
      <c r="DU3" s="26">
        <v>-3.8046228920778362E-3</v>
      </c>
      <c r="DV3" s="26">
        <v>-2.4388539731902731E-3</v>
      </c>
      <c r="DW3" s="26">
        <v>-1.594146287303922E-3</v>
      </c>
      <c r="DX3" s="26">
        <v>3.4250872581684678E-4</v>
      </c>
      <c r="DY3" s="26">
        <v>-8.2488261807627302E-3</v>
      </c>
      <c r="DZ3" s="26">
        <v>-3.0599626057786428E-3</v>
      </c>
      <c r="EA3" s="26">
        <v>-1.7228669134581629E-2</v>
      </c>
      <c r="EB3" s="26">
        <v>-6.6960271003807439E-3</v>
      </c>
      <c r="EC3" s="26">
        <v>-5.2121474967016532E-3</v>
      </c>
      <c r="ED3" s="26">
        <v>-1.3153677573674451E-2</v>
      </c>
      <c r="EE3" s="26">
        <v>-1.5124476892019789E-2</v>
      </c>
      <c r="EF3" s="26">
        <v>-2.2053516381004831E-2</v>
      </c>
    </row>
    <row r="4" spans="1:137" ht="16" customHeight="1">
      <c r="A4" s="25"/>
      <c r="B4" s="23" t="s">
        <v>137</v>
      </c>
      <c r="C4" s="26">
        <v>6.1805660807030191E-3</v>
      </c>
      <c r="D4" s="26">
        <v>1.480552602881257E-2</v>
      </c>
      <c r="E4" s="26">
        <v>-6.324480702015316E-3</v>
      </c>
      <c r="F4" s="26">
        <v>-7.9034821789918438E-3</v>
      </c>
      <c r="G4" s="26">
        <v>-3.3440483605987749E-3</v>
      </c>
      <c r="H4" s="26">
        <v>-1.101096960155328E-2</v>
      </c>
      <c r="I4" s="26">
        <v>1.5573878032606681E-2</v>
      </c>
      <c r="J4" s="26">
        <v>7.4756309930159113E-3</v>
      </c>
      <c r="K4" s="26">
        <v>-4.4361146966696409E-3</v>
      </c>
      <c r="L4" s="26">
        <v>-8.5491170739413289E-3</v>
      </c>
      <c r="M4" s="26">
        <v>-9.8816579007773766E-4</v>
      </c>
      <c r="N4" s="26">
        <v>-9.807436515891243E-4</v>
      </c>
      <c r="O4" s="26">
        <v>8.7049367169996002E-3</v>
      </c>
      <c r="P4" s="26">
        <v>5.1573093288068356E-3</v>
      </c>
      <c r="Q4" s="26">
        <v>2.200268857565026E-2</v>
      </c>
      <c r="R4" s="26">
        <v>2.210457738462002E-2</v>
      </c>
      <c r="S4" s="26">
        <v>1.831217801541803E-2</v>
      </c>
      <c r="T4" s="26">
        <v>1.8629069625806689E-2</v>
      </c>
      <c r="U4" s="26">
        <v>-3.6948299329080093E-4</v>
      </c>
      <c r="V4" s="26">
        <v>6.8269073351991524E-3</v>
      </c>
      <c r="W4" s="26">
        <v>1.7937620229563939E-3</v>
      </c>
      <c r="X4" s="26">
        <v>-2.7396903717039018E-4</v>
      </c>
      <c r="Y4" s="26">
        <v>3.1389568767450769E-2</v>
      </c>
      <c r="Z4" s="26">
        <v>1.3355060863772159E-3</v>
      </c>
      <c r="AA4" s="26">
        <v>-1.3008815737596619E-2</v>
      </c>
      <c r="AB4" s="26">
        <v>1.100488855174017E-2</v>
      </c>
      <c r="AC4" s="26">
        <v>9.2102956906465108E-3</v>
      </c>
      <c r="AD4" s="26">
        <v>6.9286006463799019E-3</v>
      </c>
      <c r="AE4" s="26">
        <v>1.556411179907111E-2</v>
      </c>
      <c r="AF4" s="26">
        <v>7.4439375079923131E-5</v>
      </c>
      <c r="AG4" s="26">
        <v>9.6905661036580798E-3</v>
      </c>
      <c r="AH4" s="26">
        <v>-5.4139332823603141E-3</v>
      </c>
      <c r="AI4" s="26">
        <v>3.32984770119533E-3</v>
      </c>
      <c r="AJ4" s="26">
        <v>-3.6131810199618529E-3</v>
      </c>
      <c r="AK4" s="26">
        <v>1.325107883613676E-2</v>
      </c>
      <c r="AL4" s="26">
        <v>1.619399924994434E-3</v>
      </c>
      <c r="AM4" s="26">
        <v>5.8764556109399332E-3</v>
      </c>
      <c r="AN4" s="26">
        <v>7.1891320777480016E-3</v>
      </c>
      <c r="AO4" s="26">
        <v>9.1288764941328607E-3</v>
      </c>
      <c r="AP4" s="26">
        <v>4.7242239477869889E-4</v>
      </c>
      <c r="AQ4" s="26">
        <v>1.566020992996527E-3</v>
      </c>
      <c r="AR4" s="26">
        <v>4.5222048913195392E-3</v>
      </c>
      <c r="AS4" s="26">
        <v>5.2112039085802642E-3</v>
      </c>
      <c r="AT4" s="26">
        <v>1.8593994457655899E-4</v>
      </c>
      <c r="AU4" s="26">
        <v>1.1950426946581061E-3</v>
      </c>
      <c r="AV4" s="26">
        <v>4.671266072649817E-3</v>
      </c>
      <c r="AW4" s="26">
        <v>9.6185679437698537E-3</v>
      </c>
      <c r="AX4" s="26">
        <v>4.3414187178128843E-3</v>
      </c>
      <c r="AY4" s="26">
        <v>1.849436855321854E-3</v>
      </c>
      <c r="AZ4" s="26">
        <v>-5.0989745004675928E-3</v>
      </c>
      <c r="BA4" s="26">
        <v>4.8981787177878179E-4</v>
      </c>
      <c r="BB4" s="26">
        <v>1.975375734806461E-3</v>
      </c>
      <c r="BC4" s="26">
        <v>-4.5793677027935352E-3</v>
      </c>
      <c r="BD4" s="26">
        <v>-2.6436806543430499E-2</v>
      </c>
      <c r="BE4" s="26">
        <v>-1.6424343987201911E-2</v>
      </c>
      <c r="BF4" s="26">
        <v>-1.389668026399761E-2</v>
      </c>
      <c r="BG4" s="26">
        <v>-7.84281789336818E-3</v>
      </c>
      <c r="BH4" s="26">
        <v>-4.0440654706742681E-3</v>
      </c>
      <c r="BI4" s="26">
        <v>1.6071736351547931E-3</v>
      </c>
      <c r="BJ4" s="26">
        <v>-2.406368089544058E-2</v>
      </c>
      <c r="BK4" s="26">
        <v>-2.8710062412708342E-3</v>
      </c>
      <c r="BL4" s="26">
        <v>-1.6793677212397339E-2</v>
      </c>
      <c r="BM4" s="26">
        <v>-2.1961695704631819E-3</v>
      </c>
      <c r="BN4" s="26">
        <v>8.4385605718637351E-4</v>
      </c>
      <c r="BO4" s="26">
        <v>-3.9948738629346182E-3</v>
      </c>
      <c r="BP4" s="26">
        <v>-1.5462627345076529E-2</v>
      </c>
      <c r="BQ4" s="26">
        <v>-2.4957643547593258E-3</v>
      </c>
      <c r="BR4" s="26">
        <v>2.8460560587115192E-3</v>
      </c>
      <c r="BS4" s="26">
        <v>5.8091239406368178E-3</v>
      </c>
      <c r="BT4" s="26">
        <v>7.0464569776925688E-3</v>
      </c>
      <c r="BU4" s="26">
        <v>1.1460644142157391E-2</v>
      </c>
      <c r="BV4" s="26">
        <v>1.452966496016469E-2</v>
      </c>
      <c r="BW4" s="26">
        <v>8.2729224671806E-3</v>
      </c>
      <c r="BX4" s="26">
        <v>2.2582732465097059E-2</v>
      </c>
      <c r="BY4" s="26">
        <v>-6.8540031684795801E-3</v>
      </c>
      <c r="BZ4" s="26">
        <v>1.1197619443558829E-2</v>
      </c>
      <c r="CA4" s="26">
        <v>-1.07330913348426E-2</v>
      </c>
      <c r="CB4" s="26">
        <v>3.7061121218981717E-2</v>
      </c>
      <c r="CC4" s="26">
        <v>2.3332728800180318E-2</v>
      </c>
      <c r="CD4" s="26">
        <v>1.2526106730907229E-2</v>
      </c>
      <c r="CE4" s="26">
        <v>-3.9841656622176596E-3</v>
      </c>
      <c r="CF4" s="26">
        <v>6.3542545604086294E-3</v>
      </c>
      <c r="CG4" s="26">
        <v>-1.218646304376135E-2</v>
      </c>
      <c r="CH4" s="26">
        <v>2.9760767049230841E-3</v>
      </c>
      <c r="CI4" s="26">
        <v>1.34885457078903E-2</v>
      </c>
      <c r="CJ4" s="26">
        <v>3.8189340912665168E-4</v>
      </c>
      <c r="CK4" s="26">
        <v>-1.6958527107625569E-2</v>
      </c>
      <c r="CL4" s="26">
        <v>2.5384702723575198E-2</v>
      </c>
      <c r="CM4" s="26">
        <v>4.0789221292918216E-3</v>
      </c>
      <c r="CN4" s="26">
        <v>-1.6004466244884899E-2</v>
      </c>
      <c r="CO4" s="26">
        <v>-1.9050699138236871E-2</v>
      </c>
      <c r="CP4" s="26">
        <v>6.3498376101164856E-3</v>
      </c>
      <c r="CQ4" s="26">
        <v>2.5406170441463229E-4</v>
      </c>
      <c r="CR4" s="26">
        <v>4.6990155649894599E-4</v>
      </c>
      <c r="CS4" s="26">
        <v>6.6470683878067779E-3</v>
      </c>
      <c r="CT4" s="26">
        <v>1.312137623279816E-2</v>
      </c>
      <c r="CU4" s="26">
        <v>1.159967074470526E-2</v>
      </c>
      <c r="CV4" s="26">
        <v>4.2228286702998361E-3</v>
      </c>
      <c r="CW4" s="26">
        <v>-1.159947618637642E-2</v>
      </c>
      <c r="CX4" s="26">
        <v>1.164035676142223E-2</v>
      </c>
      <c r="CY4" s="26">
        <v>9.4536566971077114E-3</v>
      </c>
      <c r="CZ4" s="26">
        <v>-4.9653411682859536E-3</v>
      </c>
      <c r="DA4" s="26">
        <v>4.6027035563584243E-3</v>
      </c>
      <c r="DB4" s="26">
        <v>-2.2975166794556549E-4</v>
      </c>
      <c r="DC4" s="26">
        <v>1.3161641655307289E-2</v>
      </c>
      <c r="DD4" s="26">
        <v>1.134877925340794E-2</v>
      </c>
      <c r="DE4" s="26">
        <v>-5.4686294903651303E-2</v>
      </c>
      <c r="DF4" s="26">
        <v>-1.8909392666380559E-2</v>
      </c>
      <c r="DG4" s="26">
        <v>3.0039816013570329E-2</v>
      </c>
      <c r="DH4" s="26">
        <v>-5.826625603307066E-3</v>
      </c>
      <c r="DI4" s="26">
        <v>-5.5543650256335061E-4</v>
      </c>
      <c r="DJ4" s="26">
        <v>-9.7956151886955159E-4</v>
      </c>
      <c r="DK4" s="26">
        <v>-5.7354677671396133E-3</v>
      </c>
      <c r="DL4" s="26">
        <v>-2.0240608219253249E-3</v>
      </c>
      <c r="DM4" s="26">
        <v>2.4265753019895591E-3</v>
      </c>
      <c r="DN4" s="26">
        <v>2.1730263438690918E-3</v>
      </c>
      <c r="DO4" s="26">
        <v>-4.6409581156755366E-3</v>
      </c>
      <c r="DP4" s="26">
        <v>-1.087290169548141E-3</v>
      </c>
      <c r="DQ4" s="26">
        <v>-1.6084314144532491E-3</v>
      </c>
      <c r="DR4" s="26">
        <v>4.2340537885716184E-3</v>
      </c>
      <c r="DS4" s="26">
        <v>1.4086971824713791E-2</v>
      </c>
      <c r="DT4" s="26">
        <v>8.1655630093963403E-3</v>
      </c>
      <c r="DU4" s="26">
        <v>6.8406153974516128E-3</v>
      </c>
      <c r="DV4" s="26">
        <v>4.2052643760930866E-3</v>
      </c>
      <c r="DW4" s="26">
        <v>-1.283242044729569E-3</v>
      </c>
      <c r="DX4" s="26">
        <v>4.6892574326093013E-3</v>
      </c>
      <c r="DY4" s="26">
        <v>-9.6090259560707002E-3</v>
      </c>
      <c r="DZ4" s="26">
        <v>1.040352995959215E-2</v>
      </c>
      <c r="EA4" s="26">
        <v>-1.56160777472507E-2</v>
      </c>
      <c r="EB4" s="26">
        <v>1.1388865776858559E-3</v>
      </c>
      <c r="EC4" s="26">
        <v>2.510537976100363E-3</v>
      </c>
      <c r="ED4" s="26">
        <v>-6.299914814863603E-3</v>
      </c>
      <c r="EE4" s="26">
        <v>-2.4910423279647111E-3</v>
      </c>
      <c r="EF4" s="26">
        <v>-1.293319572086285E-2</v>
      </c>
    </row>
    <row r="5" spans="1:137" ht="16" customHeight="1">
      <c r="A5" s="25"/>
      <c r="B5" s="23" t="s">
        <v>138</v>
      </c>
      <c r="C5" s="26">
        <v>-9.2720815219376057E-3</v>
      </c>
      <c r="D5" s="26">
        <v>-1.2857775967816639E-2</v>
      </c>
      <c r="E5" s="26">
        <v>5.0942505331649209E-3</v>
      </c>
      <c r="F5" s="26">
        <v>8.5959127074699236E-3</v>
      </c>
      <c r="G5" s="26">
        <v>5.301499727098963E-3</v>
      </c>
      <c r="H5" s="26">
        <v>1.321264651788304E-2</v>
      </c>
      <c r="I5" s="26">
        <v>-1.181116552379472E-2</v>
      </c>
      <c r="J5" s="26">
        <v>-7.1707353596390912E-3</v>
      </c>
      <c r="K5" s="26">
        <v>5.5505781413979181E-3</v>
      </c>
      <c r="L5" s="26">
        <v>9.9144932423601111E-3</v>
      </c>
      <c r="M5" s="26">
        <v>2.8331022513414272E-4</v>
      </c>
      <c r="N5" s="26">
        <v>2.5800548164126619E-3</v>
      </c>
      <c r="O5" s="26">
        <v>-5.199554967279401E-3</v>
      </c>
      <c r="P5" s="26">
        <v>-3.7408543055105548E-3</v>
      </c>
      <c r="Q5" s="26">
        <v>-2.189541731925131E-2</v>
      </c>
      <c r="R5" s="26">
        <v>-1.3699450849298991E-2</v>
      </c>
      <c r="S5" s="26">
        <v>-1.771726791431678E-2</v>
      </c>
      <c r="T5" s="26">
        <v>-1.739619939969771E-2</v>
      </c>
      <c r="U5" s="26">
        <v>4.6456539593228256E-3</v>
      </c>
      <c r="V5" s="26">
        <v>-4.1230211233283156E-3</v>
      </c>
      <c r="W5" s="26">
        <v>3.881690321894493E-3</v>
      </c>
      <c r="X5" s="26">
        <v>3.912936729499261E-3</v>
      </c>
      <c r="Y5" s="26">
        <v>-2.2536794614582339E-2</v>
      </c>
      <c r="Z5" s="26">
        <v>2.9407775894390981E-3</v>
      </c>
      <c r="AA5" s="26">
        <v>1.7070736101927449E-2</v>
      </c>
      <c r="AB5" s="26">
        <v>-1.241527947081004E-3</v>
      </c>
      <c r="AC5" s="26">
        <v>-1.444538083439762E-3</v>
      </c>
      <c r="AD5" s="26">
        <v>-3.022822751964538E-3</v>
      </c>
      <c r="AE5" s="26">
        <v>-1.329839582482131E-2</v>
      </c>
      <c r="AF5" s="26">
        <v>1.569513146463721E-3</v>
      </c>
      <c r="AG5" s="26">
        <v>-9.7780723731996731E-3</v>
      </c>
      <c r="AH5" s="26">
        <v>1.0465507389667121E-3</v>
      </c>
      <c r="AI5" s="26">
        <v>-2.3524971602993491E-3</v>
      </c>
      <c r="AJ5" s="26">
        <v>4.5019929520824101E-3</v>
      </c>
      <c r="AK5" s="26">
        <v>-1.268769466565735E-2</v>
      </c>
      <c r="AL5" s="26">
        <v>-2.7227414370811381E-3</v>
      </c>
      <c r="AM5" s="26">
        <v>-1.649094873093167E-3</v>
      </c>
      <c r="AN5" s="26">
        <v>-5.5388845630521266E-3</v>
      </c>
      <c r="AO5" s="26">
        <v>-9.669313770399016E-3</v>
      </c>
      <c r="AP5" s="26">
        <v>-4.2955989560526549E-3</v>
      </c>
      <c r="AQ5" s="26">
        <v>1.7039358687914019E-4</v>
      </c>
      <c r="AR5" s="26">
        <v>7.6438682308076916E-4</v>
      </c>
      <c r="AS5" s="26">
        <v>-6.0805486318689476E-3</v>
      </c>
      <c r="AT5" s="26">
        <v>-3.6865001427769432E-3</v>
      </c>
      <c r="AU5" s="26">
        <v>1.6999169785200029E-4</v>
      </c>
      <c r="AV5" s="26">
        <v>-4.3742122289728421E-3</v>
      </c>
      <c r="AW5" s="26">
        <v>-9.2857527420726702E-3</v>
      </c>
      <c r="AX5" s="26">
        <v>-5.4065033381094207E-3</v>
      </c>
      <c r="AY5" s="26">
        <v>-2.0943943696152129E-3</v>
      </c>
      <c r="AZ5" s="26">
        <v>2.338332321688777E-3</v>
      </c>
      <c r="BA5" s="26">
        <v>-1.516779931021161E-3</v>
      </c>
      <c r="BB5" s="26">
        <v>-2.300447863585439E-4</v>
      </c>
      <c r="BC5" s="26">
        <v>4.6813221693257426E-3</v>
      </c>
      <c r="BD5" s="26">
        <v>2.233595696628006E-2</v>
      </c>
      <c r="BE5" s="26">
        <v>1.098479634737559E-2</v>
      </c>
      <c r="BF5" s="26">
        <v>5.5338611801315236E-3</v>
      </c>
      <c r="BG5" s="26">
        <v>1.1516194161384119E-3</v>
      </c>
      <c r="BH5" s="26">
        <v>2.9980399550745178E-3</v>
      </c>
      <c r="BI5" s="26">
        <v>-4.4338713150036896E-3</v>
      </c>
      <c r="BJ5" s="26">
        <v>1.8809264922465041E-2</v>
      </c>
      <c r="BK5" s="26">
        <v>2.982042511204562E-3</v>
      </c>
      <c r="BL5" s="26">
        <v>1.8580868484981451E-2</v>
      </c>
      <c r="BM5" s="26">
        <v>1.6188369303617781E-3</v>
      </c>
      <c r="BN5" s="26">
        <v>5.8849841297927937E-4</v>
      </c>
      <c r="BO5" s="26">
        <v>3.928774851713006E-3</v>
      </c>
      <c r="BP5" s="26">
        <v>1.6934874200742928E-2</v>
      </c>
      <c r="BQ5" s="26">
        <v>7.5863615226512372E-3</v>
      </c>
      <c r="BR5" s="26">
        <v>-4.4105117829700644E-3</v>
      </c>
      <c r="BS5" s="26">
        <v>-4.6283234302615531E-3</v>
      </c>
      <c r="BT5" s="26">
        <v>-7.215947320777719E-3</v>
      </c>
      <c r="BU5" s="26">
        <v>-7.3684819425273787E-3</v>
      </c>
      <c r="BV5" s="26">
        <v>-1.129204822318732E-2</v>
      </c>
      <c r="BW5" s="26">
        <v>-6.6560423015185801E-3</v>
      </c>
      <c r="BX5" s="26">
        <v>-1.9270049845740621E-2</v>
      </c>
      <c r="BY5" s="26">
        <v>4.5417774162840197E-3</v>
      </c>
      <c r="BZ5" s="26">
        <v>-1.050515084933755E-2</v>
      </c>
      <c r="CA5" s="26">
        <v>1.2608863054173041E-2</v>
      </c>
      <c r="CB5" s="26">
        <v>-2.9254288420947721E-2</v>
      </c>
      <c r="CC5" s="26">
        <v>-1.7948689094695689E-2</v>
      </c>
      <c r="CD5" s="26">
        <v>-7.5695617872292226E-3</v>
      </c>
      <c r="CE5" s="26">
        <v>7.931412156053667E-3</v>
      </c>
      <c r="CF5" s="26">
        <v>-8.7185021420562716E-4</v>
      </c>
      <c r="CG5" s="26">
        <v>1.519126281580963E-2</v>
      </c>
      <c r="CH5" s="26">
        <v>-1.6816869808203769E-3</v>
      </c>
      <c r="CI5" s="26">
        <v>-1.1606404385700301E-2</v>
      </c>
      <c r="CJ5" s="26">
        <v>-4.3731839459216812E-5</v>
      </c>
      <c r="CK5" s="26">
        <v>1.467461380251853E-2</v>
      </c>
      <c r="CL5" s="26">
        <v>-2.4330073943653861E-2</v>
      </c>
      <c r="CM5" s="26">
        <v>-3.7776646907354962E-3</v>
      </c>
      <c r="CN5" s="26">
        <v>1.6484476268251131E-2</v>
      </c>
      <c r="CO5" s="26">
        <v>1.368498900559516E-2</v>
      </c>
      <c r="CP5" s="26">
        <v>-6.9592721677425697E-3</v>
      </c>
      <c r="CQ5" s="26">
        <v>-1.555909733587481E-3</v>
      </c>
      <c r="CR5" s="26">
        <v>-2.85478558731634E-3</v>
      </c>
      <c r="CS5" s="26">
        <v>-7.3687035507683483E-3</v>
      </c>
      <c r="CT5" s="26">
        <v>-1.777871564854994E-2</v>
      </c>
      <c r="CU5" s="26">
        <v>-9.3386460597127234E-3</v>
      </c>
      <c r="CV5" s="26">
        <v>-4.5396785068273007E-3</v>
      </c>
      <c r="CW5" s="26">
        <v>6.6800235719745469E-3</v>
      </c>
      <c r="CX5" s="26">
        <v>-1.251971923185172E-2</v>
      </c>
      <c r="CY5" s="26">
        <v>-9.2358196035783532E-3</v>
      </c>
      <c r="CZ5" s="26">
        <v>5.9842178859522202E-4</v>
      </c>
      <c r="DA5" s="26">
        <v>-1.0197636564513659E-2</v>
      </c>
      <c r="DB5" s="26">
        <v>-3.8441287234909321E-3</v>
      </c>
      <c r="DC5" s="26">
        <v>-1.28679429703643E-2</v>
      </c>
      <c r="DD5" s="26">
        <v>-1.244378275694436E-2</v>
      </c>
      <c r="DE5" s="26">
        <v>5.3282467003548051E-2</v>
      </c>
      <c r="DF5" s="26">
        <v>1.8817932798642242E-2</v>
      </c>
      <c r="DG5" s="26">
        <v>-2.8429014859437021E-2</v>
      </c>
      <c r="DH5" s="26">
        <v>4.6323767739803014E-3</v>
      </c>
      <c r="DI5" s="26">
        <v>-2.430053315400949E-3</v>
      </c>
      <c r="DJ5" s="26">
        <v>-5.3528205527448979E-3</v>
      </c>
      <c r="DK5" s="26">
        <v>2.0432778839460952E-3</v>
      </c>
      <c r="DL5" s="26">
        <v>-1.2394009654600831E-3</v>
      </c>
      <c r="DM5" s="26">
        <v>-1.6056957348525129E-3</v>
      </c>
      <c r="DN5" s="26">
        <v>-5.5056217824902666E-3</v>
      </c>
      <c r="DO5" s="26">
        <v>1.50508416709133E-3</v>
      </c>
      <c r="DP5" s="26">
        <v>3.1050876548430451E-3</v>
      </c>
      <c r="DQ5" s="26">
        <v>2.2032510265803189E-3</v>
      </c>
      <c r="DR5" s="26">
        <v>9.1037635286848396E-4</v>
      </c>
      <c r="DS5" s="26">
        <v>-1.466474034433253E-2</v>
      </c>
      <c r="DT5" s="26">
        <v>-1.096919228465367E-2</v>
      </c>
      <c r="DU5" s="26">
        <v>-7.1460902660085814E-3</v>
      </c>
      <c r="DV5" s="26">
        <v>-2.8658716061337312E-3</v>
      </c>
      <c r="DW5" s="26">
        <v>-3.8030949890645841E-3</v>
      </c>
      <c r="DX5" s="26">
        <v>-8.4604130999384481E-3</v>
      </c>
      <c r="DY5" s="26">
        <v>5.6870234517722553E-3</v>
      </c>
      <c r="DZ5" s="26">
        <v>-6.4920240836798624E-3</v>
      </c>
      <c r="EA5" s="26">
        <v>1.6170038235265659E-2</v>
      </c>
      <c r="EB5" s="26">
        <v>1.424106160308739E-3</v>
      </c>
      <c r="EC5" s="26">
        <v>-2.7632604089319261E-3</v>
      </c>
      <c r="ED5" s="26">
        <v>1.0033817527203181E-2</v>
      </c>
      <c r="EE5" s="26">
        <v>9.0011883218171461E-3</v>
      </c>
      <c r="EF5" s="26">
        <v>1.4961207089391641E-2</v>
      </c>
    </row>
    <row r="6" spans="1:137" ht="16" customHeight="1">
      <c r="A6" s="25"/>
      <c r="B6" s="23" t="s">
        <v>139</v>
      </c>
      <c r="C6" s="26">
        <v>1.0365618296355079E-3</v>
      </c>
      <c r="D6" s="26">
        <v>6.6521113725324446E-3</v>
      </c>
      <c r="E6" s="26">
        <v>2.2295662467291242E-3</v>
      </c>
      <c r="F6" s="26">
        <v>-1.766160962779844E-5</v>
      </c>
      <c r="G6" s="26">
        <v>2.8454843708909308E-4</v>
      </c>
      <c r="H6" s="26">
        <v>1.942352744355175E-3</v>
      </c>
      <c r="I6" s="26">
        <v>3.2592108390776561E-3</v>
      </c>
      <c r="J6" s="26">
        <v>7.8453233186687817E-4</v>
      </c>
      <c r="K6" s="26">
        <v>4.560060740396569E-3</v>
      </c>
      <c r="L6" s="26">
        <v>-3.9836188352380224E-3</v>
      </c>
      <c r="M6" s="26">
        <v>4.3402723198647758E-4</v>
      </c>
      <c r="N6" s="26">
        <v>-5.8648575222080635E-4</v>
      </c>
      <c r="O6" s="26">
        <v>6.1698304073465882E-3</v>
      </c>
      <c r="P6" s="26">
        <v>8.3190557546558436E-3</v>
      </c>
      <c r="Q6" s="26">
        <v>6.4959130127622442E-3</v>
      </c>
      <c r="R6" s="26">
        <v>1.891647673517716E-3</v>
      </c>
      <c r="S6" s="26">
        <v>8.3987206189389159E-3</v>
      </c>
      <c r="T6" s="26">
        <v>5.8604195631080727E-3</v>
      </c>
      <c r="U6" s="26">
        <v>1.543669523706684E-3</v>
      </c>
      <c r="V6" s="26">
        <v>-1.522632388064344E-3</v>
      </c>
      <c r="W6" s="26">
        <v>2.7496859272413361E-4</v>
      </c>
      <c r="X6" s="26">
        <v>4.0303855887819616E-3</v>
      </c>
      <c r="Y6" s="26">
        <v>1.1164864516812581E-2</v>
      </c>
      <c r="Z6" s="26">
        <v>6.4675963345922792E-3</v>
      </c>
      <c r="AA6" s="26">
        <v>-4.3190572391683217E-3</v>
      </c>
      <c r="AB6" s="26">
        <v>7.9480027784935346E-4</v>
      </c>
      <c r="AC6" s="26">
        <v>-8.1456850855251618E-4</v>
      </c>
      <c r="AD6" s="26">
        <v>4.8579145079102239E-3</v>
      </c>
      <c r="AE6" s="26">
        <v>5.8616712601524019E-3</v>
      </c>
      <c r="AF6" s="26">
        <v>1.071529630848996E-3</v>
      </c>
      <c r="AG6" s="26">
        <v>7.1345781062905041E-3</v>
      </c>
      <c r="AH6" s="26">
        <v>9.7866271757120378E-3</v>
      </c>
      <c r="AI6" s="26">
        <v>5.0995599718024242E-3</v>
      </c>
      <c r="AJ6" s="26">
        <v>8.1399378255681918E-3</v>
      </c>
      <c r="AK6" s="26">
        <v>7.9203954426613973E-3</v>
      </c>
      <c r="AL6" s="26">
        <v>6.7310369780222779E-3</v>
      </c>
      <c r="AM6" s="26">
        <v>9.0529832352182534E-3</v>
      </c>
      <c r="AN6" s="26">
        <v>9.8439336296050044E-3</v>
      </c>
      <c r="AO6" s="26">
        <v>9.3542390452134184E-3</v>
      </c>
      <c r="AP6" s="26">
        <v>8.5892518908704599E-3</v>
      </c>
      <c r="AQ6" s="26">
        <v>9.7235851361394347E-3</v>
      </c>
      <c r="AR6" s="26">
        <v>9.5244476287330605E-3</v>
      </c>
      <c r="AS6" s="26">
        <v>8.4421751787949091E-3</v>
      </c>
      <c r="AT6" s="26">
        <v>6.7238907034604511E-3</v>
      </c>
      <c r="AU6" s="26">
        <v>7.8326832411776473E-3</v>
      </c>
      <c r="AV6" s="26">
        <v>5.6654966282512686E-3</v>
      </c>
      <c r="AW6" s="26">
        <v>4.7531800872138309E-3</v>
      </c>
      <c r="AX6" s="26">
        <v>3.8423734873077632E-3</v>
      </c>
      <c r="AY6" s="26">
        <v>4.5003795064744194E-3</v>
      </c>
      <c r="AZ6" s="26">
        <v>1.7770792211897E-3</v>
      </c>
      <c r="BA6" s="26">
        <v>4.4863921717465151E-3</v>
      </c>
      <c r="BB6" s="26">
        <v>1.149648775732418E-3</v>
      </c>
      <c r="BC6" s="26">
        <v>3.904894348774059E-3</v>
      </c>
      <c r="BD6" s="26">
        <v>6.8554624104602783E-3</v>
      </c>
      <c r="BE6" s="26">
        <v>8.816430496752025E-3</v>
      </c>
      <c r="BF6" s="26">
        <v>6.8215814085938187E-3</v>
      </c>
      <c r="BG6" s="26">
        <v>1.2520618390252531E-2</v>
      </c>
      <c r="BH6" s="26">
        <v>8.0111027286365877E-3</v>
      </c>
      <c r="BI6" s="26">
        <v>3.8977058173574209E-3</v>
      </c>
      <c r="BJ6" s="26">
        <v>-4.2745456436045449E-3</v>
      </c>
      <c r="BK6" s="26">
        <v>8.278712248124322E-3</v>
      </c>
      <c r="BL6" s="26">
        <v>6.5072108536401206E-3</v>
      </c>
      <c r="BM6" s="26">
        <v>-3.1160342218056902E-4</v>
      </c>
      <c r="BN6" s="26">
        <v>5.5799498909308194E-3</v>
      </c>
      <c r="BO6" s="26">
        <v>4.5815764382204447E-3</v>
      </c>
      <c r="BP6" s="26">
        <v>1.757178950853124E-3</v>
      </c>
      <c r="BQ6" s="26">
        <v>8.1986849914811365E-5</v>
      </c>
      <c r="BR6" s="26">
        <v>5.870801660944747E-3</v>
      </c>
      <c r="BS6" s="26">
        <v>4.8898673526682219E-3</v>
      </c>
      <c r="BT6" s="26">
        <v>5.292062902206243E-3</v>
      </c>
      <c r="BU6" s="26">
        <v>3.167673456979706E-3</v>
      </c>
      <c r="BV6" s="26">
        <v>1.4151762289803819E-3</v>
      </c>
      <c r="BW6" s="26">
        <v>8.5040122170991009E-3</v>
      </c>
      <c r="BX6" s="26">
        <v>8.9930533163166942E-3</v>
      </c>
      <c r="BY6" s="26">
        <v>7.4186136824861033E-3</v>
      </c>
      <c r="BZ6" s="26">
        <v>7.2171162656187336E-3</v>
      </c>
      <c r="CA6" s="26">
        <v>4.3109653835617847E-3</v>
      </c>
      <c r="CB6" s="26">
        <v>1.3180116067916499E-2</v>
      </c>
      <c r="CC6" s="26">
        <v>1.3635522025152451E-3</v>
      </c>
      <c r="CD6" s="26">
        <v>-4.8130175549831008E-4</v>
      </c>
      <c r="CE6" s="26">
        <v>2.5209061117887591E-3</v>
      </c>
      <c r="CF6" s="26">
        <v>9.2521909177737196E-4</v>
      </c>
      <c r="CG6" s="26">
        <v>-2.993035943997485E-3</v>
      </c>
      <c r="CH6" s="26">
        <v>1.4875187062359241E-3</v>
      </c>
      <c r="CI6" s="26">
        <v>7.8156711011872632E-3</v>
      </c>
      <c r="CJ6" s="26">
        <v>3.0248279379669241E-3</v>
      </c>
      <c r="CK6" s="26">
        <v>2.6380928811461819E-3</v>
      </c>
      <c r="CL6" s="26">
        <v>8.8059021243627102E-3</v>
      </c>
      <c r="CM6" s="26">
        <v>2.6546804035018729E-3</v>
      </c>
      <c r="CN6" s="26">
        <v>3.7484542401716868E-3</v>
      </c>
      <c r="CO6" s="26">
        <v>3.6902186049756289E-3</v>
      </c>
      <c r="CP6" s="26">
        <v>7.8041532093848587E-3</v>
      </c>
      <c r="CQ6" s="26">
        <v>4.2136154257409334E-3</v>
      </c>
      <c r="CR6" s="26">
        <v>1.1490455925420031E-2</v>
      </c>
      <c r="CS6" s="26">
        <v>1.0644577623377401E-2</v>
      </c>
      <c r="CT6" s="26">
        <v>3.1507448541474108E-3</v>
      </c>
      <c r="CU6" s="26">
        <v>9.3705774989905968E-3</v>
      </c>
      <c r="CV6" s="26">
        <v>8.7096008782935781E-3</v>
      </c>
      <c r="CW6" s="26">
        <v>4.0818424390744483E-3</v>
      </c>
      <c r="CX6" s="26">
        <v>1.0508158420644551E-2</v>
      </c>
      <c r="CY6" s="26">
        <v>5.7775740258774206E-3</v>
      </c>
      <c r="CZ6" s="26">
        <v>3.9967115776091654E-3</v>
      </c>
      <c r="DA6" s="26">
        <v>3.302166192038864E-3</v>
      </c>
      <c r="DB6" s="26">
        <v>1.0614536439357331E-2</v>
      </c>
      <c r="DC6" s="26">
        <v>3.6073662841928891E-3</v>
      </c>
      <c r="DD6" s="26">
        <v>7.9975775183824399E-3</v>
      </c>
      <c r="DE6" s="26">
        <v>1.171888001607988E-2</v>
      </c>
      <c r="DF6" s="26">
        <v>2.486368631869019E-3</v>
      </c>
      <c r="DG6" s="26">
        <v>5.2027153853232491E-3</v>
      </c>
      <c r="DH6" s="26">
        <v>-6.6622598942704257E-4</v>
      </c>
      <c r="DI6" s="26">
        <v>4.2183203693651004E-3</v>
      </c>
      <c r="DJ6" s="26">
        <v>1.581490665701563E-3</v>
      </c>
      <c r="DK6" s="26">
        <v>5.0211690097664973E-3</v>
      </c>
      <c r="DL6" s="26">
        <v>5.5874445833466986E-3</v>
      </c>
      <c r="DM6" s="26">
        <v>8.3006790702081345E-3</v>
      </c>
      <c r="DN6" s="26">
        <v>9.1769460359505881E-3</v>
      </c>
      <c r="DO6" s="26">
        <v>5.1272033244874763E-3</v>
      </c>
      <c r="DP6" s="26">
        <v>5.3531412581106098E-3</v>
      </c>
      <c r="DQ6" s="26">
        <v>5.3520425709941474E-3</v>
      </c>
      <c r="DR6" s="26">
        <v>1.3938841104551699E-3</v>
      </c>
      <c r="DS6" s="26">
        <v>8.557190529830767E-3</v>
      </c>
      <c r="DT6" s="26">
        <v>6.2805059049112297E-3</v>
      </c>
      <c r="DU6" s="26">
        <v>4.3852673674393454E-3</v>
      </c>
      <c r="DV6" s="26">
        <v>1.1453350499750689E-3</v>
      </c>
      <c r="DW6" s="26">
        <v>2.4908845424816391E-3</v>
      </c>
      <c r="DX6" s="26">
        <v>5.7377093002912169E-3</v>
      </c>
      <c r="DY6" s="26">
        <v>3.6245689967217788E-3</v>
      </c>
      <c r="DZ6" s="26">
        <v>8.4137107366938097E-3</v>
      </c>
      <c r="EA6" s="26">
        <v>3.0418121777092649E-3</v>
      </c>
      <c r="EB6" s="26">
        <v>5.8129607997604608E-3</v>
      </c>
      <c r="EC6" s="26">
        <v>4.953567735051582E-3</v>
      </c>
      <c r="ED6" s="26">
        <v>5.1790384476442406E-3</v>
      </c>
      <c r="EE6" s="26">
        <v>4.8989888006878363E-3</v>
      </c>
      <c r="EF6" s="26">
        <v>4.0007038624431893E-3</v>
      </c>
      <c r="EG6" s="4"/>
    </row>
    <row r="7" spans="1:137" ht="16" customHeight="1">
      <c r="A7" s="4"/>
      <c r="B7" s="23" t="s">
        <v>140</v>
      </c>
      <c r="C7" s="26">
        <v>1.4917847512038629E-3</v>
      </c>
      <c r="D7" s="26">
        <v>7.9996725652344853E-3</v>
      </c>
      <c r="E7" s="26">
        <v>3.1564046684562112E-3</v>
      </c>
      <c r="F7" s="26">
        <v>1.3534022861750049E-4</v>
      </c>
      <c r="G7" s="26">
        <v>1.5726955521264321E-3</v>
      </c>
      <c r="H7" s="26">
        <v>2.727310382271217E-3</v>
      </c>
      <c r="I7" s="26">
        <v>3.2216565912497842E-3</v>
      </c>
      <c r="J7" s="26">
        <v>9.6610315306717249E-4</v>
      </c>
      <c r="K7" s="26">
        <v>5.8362784250911154E-3</v>
      </c>
      <c r="L7" s="26">
        <v>-1.623671235591814E-3</v>
      </c>
      <c r="M7" s="26">
        <v>7.4995389849107053E-4</v>
      </c>
      <c r="N7" s="26">
        <v>3.123425194868564E-3</v>
      </c>
      <c r="O7" s="26">
        <v>7.8117800834669763E-3</v>
      </c>
      <c r="P7" s="26">
        <v>9.2209321075085674E-3</v>
      </c>
      <c r="Q7" s="26">
        <v>7.3350455797731732E-3</v>
      </c>
      <c r="R7" s="26">
        <v>2.151266594510674E-3</v>
      </c>
      <c r="S7" s="26">
        <v>8.3843130727061649E-3</v>
      </c>
      <c r="T7" s="26">
        <v>6.102008652298525E-3</v>
      </c>
      <c r="U7" s="26">
        <v>1.4106755698426749E-3</v>
      </c>
      <c r="V7" s="26">
        <v>2.1219319668895759E-3</v>
      </c>
      <c r="W7" s="26">
        <v>3.4750936327427222E-3</v>
      </c>
      <c r="X7" s="26">
        <v>7.5520233640392707E-3</v>
      </c>
      <c r="Y7" s="26">
        <v>1.798026848824508E-2</v>
      </c>
      <c r="Z7" s="26">
        <v>6.6177340438404678E-3</v>
      </c>
      <c r="AA7" s="26">
        <v>-1.2658169131667841E-3</v>
      </c>
      <c r="AB7" s="26">
        <v>5.7039934435248818E-3</v>
      </c>
      <c r="AC7" s="26">
        <v>2.483961241932571E-3</v>
      </c>
      <c r="AD7" s="26">
        <v>6.3527977505933031E-3</v>
      </c>
      <c r="AE7" s="26">
        <v>7.5925081483001816E-3</v>
      </c>
      <c r="AF7" s="26">
        <v>1.2535417681526211E-3</v>
      </c>
      <c r="AG7" s="26">
        <v>8.3354665926438521E-3</v>
      </c>
      <c r="AH7" s="26">
        <v>1.2147769125945789E-2</v>
      </c>
      <c r="AI7" s="26">
        <v>5.2717740016354174E-3</v>
      </c>
      <c r="AJ7" s="26">
        <v>7.8663082646199881E-3</v>
      </c>
      <c r="AK7" s="26">
        <v>8.2739698747414901E-3</v>
      </c>
      <c r="AL7" s="26">
        <v>6.8478736982785096E-3</v>
      </c>
      <c r="AM7" s="26">
        <v>9.4179225936766638E-3</v>
      </c>
      <c r="AN7" s="26">
        <v>9.6283691679760006E-3</v>
      </c>
      <c r="AO7" s="26">
        <v>9.8073358578633692E-3</v>
      </c>
      <c r="AP7" s="26">
        <v>9.1857468494350759E-3</v>
      </c>
      <c r="AQ7" s="26">
        <v>1.089557768978807E-2</v>
      </c>
      <c r="AR7" s="26">
        <v>1.0779410587010509E-2</v>
      </c>
      <c r="AS7" s="26">
        <v>8.0887484510813006E-3</v>
      </c>
      <c r="AT7" s="26">
        <v>5.1173108943653222E-3</v>
      </c>
      <c r="AU7" s="26">
        <v>7.2203256128060399E-3</v>
      </c>
      <c r="AV7" s="26">
        <v>6.8563012699253698E-3</v>
      </c>
      <c r="AW7" s="26">
        <v>4.3445865931227958E-3</v>
      </c>
      <c r="AX7" s="26">
        <v>4.1279269391537926E-3</v>
      </c>
      <c r="AY7" s="26">
        <v>3.3536434195311311E-3</v>
      </c>
      <c r="AZ7" s="26">
        <v>-1.4037915960774579E-4</v>
      </c>
      <c r="BA7" s="26">
        <v>3.756168766574133E-3</v>
      </c>
      <c r="BB7" s="26">
        <v>1.2362159929258491E-3</v>
      </c>
      <c r="BC7" s="26">
        <v>1.485021123585086E-3</v>
      </c>
      <c r="BD7" s="26">
        <v>5.8227716652617719E-3</v>
      </c>
      <c r="BE7" s="26">
        <v>9.76216185854859E-3</v>
      </c>
      <c r="BF7" s="26">
        <v>8.9479636495550102E-3</v>
      </c>
      <c r="BG7" s="26">
        <v>1.2626908921607271E-2</v>
      </c>
      <c r="BH7" s="26">
        <v>9.5790369116007575E-3</v>
      </c>
      <c r="BI7" s="26">
        <v>5.243351662087798E-3</v>
      </c>
      <c r="BJ7" s="26">
        <v>3.1748872942662051E-3</v>
      </c>
      <c r="BK7" s="26">
        <v>1.1618255799175249E-2</v>
      </c>
      <c r="BL7" s="26">
        <v>7.0376649247221503E-3</v>
      </c>
      <c r="BM7" s="26">
        <v>2.7773971163970799E-3</v>
      </c>
      <c r="BN7" s="26">
        <v>8.52886263424899E-3</v>
      </c>
      <c r="BO7" s="26">
        <v>6.8112229687470769E-3</v>
      </c>
      <c r="BP7" s="26">
        <v>1.6943462013524911E-3</v>
      </c>
      <c r="BQ7" s="26">
        <v>3.1793250398078738E-3</v>
      </c>
      <c r="BR7" s="26">
        <v>4.317639506635192E-3</v>
      </c>
      <c r="BS7" s="26">
        <v>5.2824075050344919E-3</v>
      </c>
      <c r="BT7" s="26">
        <v>7.3995528605827728E-3</v>
      </c>
      <c r="BU7" s="26">
        <v>3.7632426126706438E-3</v>
      </c>
      <c r="BV7" s="26">
        <v>1.5867019296349071E-3</v>
      </c>
      <c r="BW7" s="26">
        <v>9.0971267510218685E-3</v>
      </c>
      <c r="BX7" s="26">
        <v>8.6665270435974991E-3</v>
      </c>
      <c r="BY7" s="26">
        <v>8.5413874726147695E-3</v>
      </c>
      <c r="BZ7" s="26">
        <v>8.6097645228999133E-3</v>
      </c>
      <c r="CA7" s="26">
        <v>1.1139788464545591E-2</v>
      </c>
      <c r="CB7" s="26">
        <v>1.4182077536064911E-2</v>
      </c>
      <c r="CC7" s="26">
        <v>4.1010817190063539E-3</v>
      </c>
      <c r="CD7" s="26">
        <v>1.668485483111843E-3</v>
      </c>
      <c r="CE7" s="26">
        <v>5.1884226074624994E-3</v>
      </c>
      <c r="CF7" s="26">
        <v>4.0941867608451079E-3</v>
      </c>
      <c r="CG7" s="26">
        <v>-1.776570892603834E-3</v>
      </c>
      <c r="CH7" s="26">
        <v>1.6839594703350019E-3</v>
      </c>
      <c r="CI7" s="26">
        <v>7.511040164232298E-3</v>
      </c>
      <c r="CJ7" s="26">
        <v>3.07150623303929E-3</v>
      </c>
      <c r="CK7" s="26">
        <v>3.0286211622733601E-3</v>
      </c>
      <c r="CL7" s="26">
        <v>1.0344175588273391E-2</v>
      </c>
      <c r="CM7" s="26">
        <v>3.4492365868154591E-3</v>
      </c>
      <c r="CN7" s="26">
        <v>5.3918087028947733E-3</v>
      </c>
      <c r="CO7" s="26">
        <v>5.0706762220531464E-3</v>
      </c>
      <c r="CP7" s="26">
        <v>1.060964005267773E-2</v>
      </c>
      <c r="CQ7" s="26">
        <v>5.7362488273400916E-3</v>
      </c>
      <c r="CR7" s="26">
        <v>1.3543009385740811E-2</v>
      </c>
      <c r="CS7" s="26">
        <v>1.3073754905389669E-2</v>
      </c>
      <c r="CT7" s="26">
        <v>8.0472446365079872E-3</v>
      </c>
      <c r="CU7" s="26">
        <v>1.229521319153069E-2</v>
      </c>
      <c r="CV7" s="26">
        <v>1.009702286202482E-2</v>
      </c>
      <c r="CW7" s="26">
        <v>7.0038167679122914E-3</v>
      </c>
      <c r="CX7" s="26">
        <v>1.1636791244466959E-2</v>
      </c>
      <c r="CY7" s="26">
        <v>6.2330930514648067E-3</v>
      </c>
      <c r="CZ7" s="26">
        <v>7.5709007438435252E-3</v>
      </c>
      <c r="DA7" s="26">
        <v>4.7241204334264016E-3</v>
      </c>
      <c r="DB7" s="26">
        <v>1.263378246823414E-2</v>
      </c>
      <c r="DC7" s="26">
        <v>8.6851464975293193E-3</v>
      </c>
      <c r="DD7" s="26">
        <v>8.3434572814881543E-3</v>
      </c>
      <c r="DE7" s="26">
        <v>8.4945844089796222E-3</v>
      </c>
      <c r="DF7" s="26">
        <v>5.688680186521515E-3</v>
      </c>
      <c r="DG7" s="26">
        <v>1.043533883002017E-2</v>
      </c>
      <c r="DH7" s="26">
        <v>1.452584735985459E-3</v>
      </c>
      <c r="DI7" s="26">
        <v>6.1377883683356813E-3</v>
      </c>
      <c r="DJ7" s="26">
        <v>4.3229991973932477E-3</v>
      </c>
      <c r="DK7" s="26">
        <v>5.6573884413415433E-3</v>
      </c>
      <c r="DL7" s="26">
        <v>4.5283919972513246E-3</v>
      </c>
      <c r="DM7" s="26">
        <v>9.2757333383593626E-3</v>
      </c>
      <c r="DN7" s="26">
        <v>9.6440967076153409E-3</v>
      </c>
      <c r="DO7" s="26">
        <v>6.3500484018918987E-3</v>
      </c>
      <c r="DP7" s="26">
        <v>6.0970049961203421E-3</v>
      </c>
      <c r="DQ7" s="26">
        <v>6.3088390917653628E-3</v>
      </c>
      <c r="DR7" s="26">
        <v>3.169780574255922E-3</v>
      </c>
      <c r="DS7" s="26">
        <v>8.6103496868190996E-3</v>
      </c>
      <c r="DT7" s="26">
        <v>8.5566526859273354E-3</v>
      </c>
      <c r="DU7" s="26">
        <v>5.4762658454753799E-3</v>
      </c>
      <c r="DV7" s="26">
        <v>2.574895004201451E-3</v>
      </c>
      <c r="DW7" s="26">
        <v>3.5685977227799459E-3</v>
      </c>
      <c r="DX7" s="26">
        <v>7.2354240474265842E-3</v>
      </c>
      <c r="DY7" s="26">
        <v>5.4886722321557174E-3</v>
      </c>
      <c r="DZ7" s="26">
        <v>1.0003493600075819E-2</v>
      </c>
      <c r="EA7" s="26">
        <v>3.24169402567113E-3</v>
      </c>
      <c r="EB7" s="26">
        <v>7.6048841885425359E-3</v>
      </c>
      <c r="EC7" s="26">
        <v>6.4774155548158532E-3</v>
      </c>
      <c r="ED7" s="26">
        <v>6.0798379408842007E-3</v>
      </c>
      <c r="EE7" s="26">
        <v>7.9050011706083105E-3</v>
      </c>
      <c r="EF7" s="26">
        <v>8.0139300925882555E-3</v>
      </c>
    </row>
    <row r="8" spans="1:137" ht="16" customHeight="1">
      <c r="A8" s="4"/>
    </row>
    <row r="9" spans="1:137" ht="16" customHeight="1">
      <c r="A9" s="38" t="s">
        <v>168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7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  <c r="AB9" s="25"/>
      <c r="AC9" s="25"/>
      <c r="AD9" s="25"/>
      <c r="AE9" s="25"/>
      <c r="AF9" s="25"/>
      <c r="AG9" s="25"/>
      <c r="AH9" s="25"/>
      <c r="AI9" s="25"/>
      <c r="AJ9" s="25"/>
      <c r="AK9" s="25"/>
      <c r="AL9" s="25"/>
      <c r="AM9" s="25"/>
      <c r="AN9" s="25"/>
      <c r="AO9" s="25"/>
      <c r="AP9" s="25"/>
      <c r="AQ9" s="25"/>
      <c r="AR9" s="25"/>
      <c r="AS9" s="25"/>
      <c r="AT9" s="25"/>
      <c r="AU9" s="25"/>
      <c r="AV9" s="25"/>
      <c r="AW9" s="25"/>
      <c r="AX9" s="25"/>
      <c r="AY9" s="25"/>
      <c r="AZ9" s="25"/>
      <c r="BA9" s="25"/>
      <c r="BB9" s="25"/>
      <c r="BC9" s="25"/>
      <c r="BD9" s="25"/>
      <c r="BE9" s="25"/>
      <c r="BF9" s="25"/>
      <c r="BG9" s="25"/>
      <c r="BH9" s="25"/>
      <c r="BI9" s="25"/>
      <c r="BJ9" s="25"/>
      <c r="BK9" s="25"/>
      <c r="BL9" s="25"/>
      <c r="BM9" s="25"/>
      <c r="BN9" s="25"/>
      <c r="BO9" s="25"/>
      <c r="BP9" s="25"/>
      <c r="BQ9" s="25"/>
      <c r="BR9" s="25"/>
      <c r="BS9" s="25"/>
      <c r="BT9" s="25"/>
      <c r="BU9" s="25"/>
      <c r="BV9" s="25"/>
      <c r="BW9" s="25"/>
      <c r="BX9" s="25"/>
      <c r="BY9" s="25"/>
      <c r="BZ9" s="25"/>
      <c r="CA9" s="25"/>
      <c r="CB9" s="25"/>
      <c r="CC9" s="25"/>
      <c r="CD9" s="25"/>
      <c r="CE9" s="25"/>
      <c r="CF9" s="25"/>
      <c r="CG9" s="25"/>
      <c r="CH9" s="25"/>
      <c r="CI9" s="25"/>
      <c r="CJ9" s="25"/>
      <c r="CK9" s="25"/>
      <c r="CL9" s="25"/>
      <c r="CM9" s="25"/>
      <c r="CN9" s="25"/>
      <c r="CO9" s="25"/>
      <c r="CP9" s="25"/>
      <c r="CQ9" s="25"/>
      <c r="CR9" s="25"/>
      <c r="CS9" s="25"/>
      <c r="CT9" s="25"/>
      <c r="CU9" s="25"/>
      <c r="CV9" s="25"/>
      <c r="CW9" s="25"/>
      <c r="CX9" s="25"/>
      <c r="CY9" s="25"/>
      <c r="CZ9" s="25"/>
      <c r="DA9" s="25"/>
      <c r="DB9" s="25"/>
      <c r="DC9" s="25"/>
      <c r="DD9" s="25"/>
      <c r="DE9" s="25"/>
      <c r="DF9" s="25"/>
      <c r="DG9" s="25"/>
      <c r="DH9" s="25"/>
      <c r="DI9" s="25"/>
      <c r="DJ9" s="25"/>
      <c r="DK9" s="25"/>
      <c r="DL9" s="25"/>
      <c r="DM9" s="25"/>
      <c r="DN9" s="25"/>
      <c r="DO9" s="25"/>
      <c r="DP9" s="25"/>
      <c r="DQ9" s="25"/>
      <c r="DR9" s="25"/>
      <c r="DS9" s="25"/>
      <c r="DT9" s="25"/>
      <c r="DU9" s="25"/>
      <c r="DV9" s="25"/>
      <c r="DW9" s="25"/>
      <c r="DX9" s="25"/>
      <c r="DY9" s="25"/>
      <c r="DZ9" s="25"/>
      <c r="EA9" s="25"/>
      <c r="EB9" s="25"/>
      <c r="EC9" s="25"/>
      <c r="ED9" s="25"/>
      <c r="EE9" s="25"/>
      <c r="EF9" s="25"/>
      <c r="EG9" s="4"/>
    </row>
    <row r="10" spans="1:137" ht="17" customHeight="1">
      <c r="A10" s="25"/>
      <c r="B10" s="6" t="s">
        <v>1</v>
      </c>
      <c r="C10" s="39" t="s">
        <v>2</v>
      </c>
      <c r="D10" s="39" t="s">
        <v>3</v>
      </c>
      <c r="E10" s="39" t="s">
        <v>4</v>
      </c>
      <c r="F10" s="39" t="s">
        <v>5</v>
      </c>
      <c r="G10" s="39" t="s">
        <v>6</v>
      </c>
      <c r="H10" s="39" t="s">
        <v>7</v>
      </c>
      <c r="I10" s="39" t="s">
        <v>8</v>
      </c>
      <c r="J10" s="39" t="s">
        <v>9</v>
      </c>
      <c r="K10" s="39" t="s">
        <v>10</v>
      </c>
      <c r="L10" s="39" t="s">
        <v>11</v>
      </c>
      <c r="M10" s="39" t="s">
        <v>12</v>
      </c>
      <c r="N10" s="39" t="s">
        <v>13</v>
      </c>
      <c r="O10" s="39" t="s">
        <v>14</v>
      </c>
      <c r="P10" s="39" t="s">
        <v>15</v>
      </c>
      <c r="Q10" s="39" t="s">
        <v>16</v>
      </c>
      <c r="R10" s="39" t="s">
        <v>17</v>
      </c>
      <c r="S10" s="39" t="s">
        <v>18</v>
      </c>
      <c r="T10" s="39" t="s">
        <v>19</v>
      </c>
      <c r="U10" s="39" t="s">
        <v>20</v>
      </c>
      <c r="V10" s="39" t="s">
        <v>21</v>
      </c>
      <c r="W10" s="39" t="s">
        <v>22</v>
      </c>
      <c r="X10" s="39" t="s">
        <v>23</v>
      </c>
      <c r="Y10" s="39" t="s">
        <v>24</v>
      </c>
      <c r="Z10" s="39" t="s">
        <v>25</v>
      </c>
      <c r="AA10" s="39" t="s">
        <v>26</v>
      </c>
      <c r="AB10" s="39" t="s">
        <v>27</v>
      </c>
      <c r="AC10" s="39" t="s">
        <v>28</v>
      </c>
      <c r="AD10" s="39" t="s">
        <v>29</v>
      </c>
      <c r="AE10" s="39" t="s">
        <v>30</v>
      </c>
      <c r="AF10" s="39" t="s">
        <v>31</v>
      </c>
      <c r="AG10" s="39" t="s">
        <v>32</v>
      </c>
      <c r="AH10" s="39" t="s">
        <v>33</v>
      </c>
      <c r="AI10" s="39" t="s">
        <v>34</v>
      </c>
      <c r="AJ10" s="39" t="s">
        <v>35</v>
      </c>
      <c r="AK10" s="39" t="s">
        <v>36</v>
      </c>
      <c r="AL10" s="39" t="s">
        <v>37</v>
      </c>
      <c r="AM10" s="39" t="s">
        <v>38</v>
      </c>
      <c r="AN10" s="39" t="s">
        <v>39</v>
      </c>
      <c r="AO10" s="39" t="s">
        <v>40</v>
      </c>
      <c r="AP10" s="39" t="s">
        <v>41</v>
      </c>
      <c r="AQ10" s="39" t="s">
        <v>42</v>
      </c>
      <c r="AR10" s="39" t="s">
        <v>43</v>
      </c>
      <c r="AS10" s="39" t="s">
        <v>44</v>
      </c>
      <c r="AT10" s="39" t="s">
        <v>45</v>
      </c>
      <c r="AU10" s="39" t="s">
        <v>46</v>
      </c>
      <c r="AV10" s="39" t="s">
        <v>47</v>
      </c>
      <c r="AW10" s="39" t="s">
        <v>48</v>
      </c>
      <c r="AX10" s="39" t="s">
        <v>49</v>
      </c>
      <c r="AY10" s="39" t="s">
        <v>50</v>
      </c>
      <c r="AZ10" s="39" t="s">
        <v>51</v>
      </c>
      <c r="BA10" s="39" t="s">
        <v>52</v>
      </c>
      <c r="BB10" s="39" t="s">
        <v>53</v>
      </c>
      <c r="BC10" s="39" t="s">
        <v>54</v>
      </c>
      <c r="BD10" s="39" t="s">
        <v>55</v>
      </c>
      <c r="BE10" s="39" t="s">
        <v>56</v>
      </c>
      <c r="BF10" s="39" t="s">
        <v>57</v>
      </c>
      <c r="BG10" s="39" t="s">
        <v>58</v>
      </c>
      <c r="BH10" s="39" t="s">
        <v>59</v>
      </c>
      <c r="BI10" s="39" t="s">
        <v>60</v>
      </c>
      <c r="BJ10" s="39" t="s">
        <v>61</v>
      </c>
      <c r="BK10" s="39" t="s">
        <v>62</v>
      </c>
      <c r="BL10" s="39" t="s">
        <v>63</v>
      </c>
      <c r="BM10" s="39" t="s">
        <v>64</v>
      </c>
      <c r="BN10" s="39" t="s">
        <v>65</v>
      </c>
      <c r="BO10" s="39" t="s">
        <v>66</v>
      </c>
      <c r="BP10" s="39" t="s">
        <v>67</v>
      </c>
      <c r="BQ10" s="39" t="s">
        <v>68</v>
      </c>
      <c r="BR10" s="39" t="s">
        <v>69</v>
      </c>
      <c r="BS10" s="39" t="s">
        <v>70</v>
      </c>
      <c r="BT10" s="39" t="s">
        <v>71</v>
      </c>
      <c r="BU10" s="39" t="s">
        <v>72</v>
      </c>
      <c r="BV10" s="39" t="s">
        <v>73</v>
      </c>
      <c r="BW10" s="39" t="s">
        <v>74</v>
      </c>
      <c r="BX10" s="39" t="s">
        <v>75</v>
      </c>
      <c r="BY10" s="39" t="s">
        <v>76</v>
      </c>
      <c r="BZ10" s="39" t="s">
        <v>77</v>
      </c>
      <c r="CA10" s="39" t="s">
        <v>78</v>
      </c>
      <c r="CB10" s="39" t="s">
        <v>79</v>
      </c>
      <c r="CC10" s="39" t="s">
        <v>80</v>
      </c>
      <c r="CD10" s="39" t="s">
        <v>81</v>
      </c>
      <c r="CE10" s="39" t="s">
        <v>82</v>
      </c>
      <c r="CF10" s="39" t="s">
        <v>83</v>
      </c>
      <c r="CG10" s="39" t="s">
        <v>84</v>
      </c>
      <c r="CH10" s="39" t="s">
        <v>85</v>
      </c>
      <c r="CI10" s="39" t="s">
        <v>86</v>
      </c>
      <c r="CJ10" s="39" t="s">
        <v>87</v>
      </c>
      <c r="CK10" s="39" t="s">
        <v>88</v>
      </c>
      <c r="CL10" s="39" t="s">
        <v>89</v>
      </c>
      <c r="CM10" s="39" t="s">
        <v>90</v>
      </c>
      <c r="CN10" s="39" t="s">
        <v>91</v>
      </c>
      <c r="CO10" s="39" t="s">
        <v>92</v>
      </c>
      <c r="CP10" s="39" t="s">
        <v>93</v>
      </c>
      <c r="CQ10" s="39" t="s">
        <v>94</v>
      </c>
      <c r="CR10" s="39" t="s">
        <v>95</v>
      </c>
      <c r="CS10" s="39" t="s">
        <v>96</v>
      </c>
      <c r="CT10" s="39" t="s">
        <v>97</v>
      </c>
      <c r="CU10" s="39" t="s">
        <v>98</v>
      </c>
      <c r="CV10" s="39" t="s">
        <v>99</v>
      </c>
      <c r="CW10" s="39" t="s">
        <v>100</v>
      </c>
      <c r="CX10" s="39" t="s">
        <v>101</v>
      </c>
      <c r="CY10" s="39" t="s">
        <v>102</v>
      </c>
      <c r="CZ10" s="39" t="s">
        <v>103</v>
      </c>
      <c r="DA10" s="39" t="s">
        <v>104</v>
      </c>
      <c r="DB10" s="39" t="s">
        <v>105</v>
      </c>
      <c r="DC10" s="39" t="s">
        <v>106</v>
      </c>
      <c r="DD10" s="39" t="s">
        <v>107</v>
      </c>
      <c r="DE10" s="39" t="s">
        <v>108</v>
      </c>
      <c r="DF10" s="39" t="s">
        <v>109</v>
      </c>
      <c r="DG10" s="39" t="s">
        <v>110</v>
      </c>
      <c r="DH10" s="39" t="s">
        <v>111</v>
      </c>
      <c r="DI10" s="39" t="s">
        <v>112</v>
      </c>
      <c r="DJ10" s="39" t="s">
        <v>113</v>
      </c>
      <c r="DK10" s="39" t="s">
        <v>114</v>
      </c>
      <c r="DL10" s="39" t="s">
        <v>115</v>
      </c>
      <c r="DM10" s="39" t="s">
        <v>116</v>
      </c>
      <c r="DN10" s="39" t="s">
        <v>117</v>
      </c>
      <c r="DO10" s="39" t="s">
        <v>118</v>
      </c>
      <c r="DP10" s="39" t="s">
        <v>119</v>
      </c>
      <c r="DQ10" s="39" t="s">
        <v>120</v>
      </c>
      <c r="DR10" s="39" t="s">
        <v>121</v>
      </c>
      <c r="DS10" s="39" t="s">
        <v>122</v>
      </c>
      <c r="DT10" s="39" t="s">
        <v>123</v>
      </c>
      <c r="DU10" s="39" t="s">
        <v>124</v>
      </c>
      <c r="DV10" s="39" t="s">
        <v>125</v>
      </c>
      <c r="DW10" s="39" t="s">
        <v>126</v>
      </c>
      <c r="DX10" s="39" t="s">
        <v>127</v>
      </c>
      <c r="DY10" s="39" t="s">
        <v>128</v>
      </c>
      <c r="DZ10" s="39" t="s">
        <v>129</v>
      </c>
      <c r="EA10" s="39" t="s">
        <v>130</v>
      </c>
      <c r="EB10" s="39" t="s">
        <v>131</v>
      </c>
      <c r="EC10" s="39" t="s">
        <v>132</v>
      </c>
      <c r="ED10" s="40" t="s">
        <v>133</v>
      </c>
      <c r="EE10" s="39" t="s">
        <v>134</v>
      </c>
      <c r="EF10" s="39" t="s">
        <v>135</v>
      </c>
      <c r="EG10" s="4"/>
    </row>
    <row r="11" spans="1:137" ht="16" customHeight="1">
      <c r="A11" s="25"/>
      <c r="B11" s="23" t="s">
        <v>136</v>
      </c>
      <c r="C11" s="26">
        <v>0.12061070248141641</v>
      </c>
      <c r="D11" s="26">
        <v>4.5588621500437902E-2</v>
      </c>
      <c r="E11" s="26">
        <v>0.16704505126777161</v>
      </c>
      <c r="F11" s="26">
        <v>-7.3748988286869252E-2</v>
      </c>
      <c r="G11" s="26">
        <v>-3.2506586973684262E-2</v>
      </c>
      <c r="H11" s="26">
        <v>-3.2847118626080897E-2</v>
      </c>
      <c r="I11" s="26">
        <v>-0.12110157860918851</v>
      </c>
      <c r="J11" s="26">
        <v>2.5822337019559341E-3</v>
      </c>
      <c r="K11" s="26">
        <v>7.1968625004836057E-2</v>
      </c>
      <c r="L11" s="26">
        <v>3.4342712304991078E-2</v>
      </c>
      <c r="M11" s="26">
        <v>4.0084602667129349E-2</v>
      </c>
      <c r="N11" s="26">
        <v>4.1563466655895852E-2</v>
      </c>
      <c r="O11" s="26">
        <v>-6.9002801033464468E-3</v>
      </c>
      <c r="P11" s="26">
        <v>3.5779379096689788E-2</v>
      </c>
      <c r="Q11" s="26">
        <v>6.8350636349776644E-2</v>
      </c>
      <c r="R11" s="26">
        <v>-4.5413080669201647E-2</v>
      </c>
      <c r="S11" s="26">
        <v>1.9673980374611249E-2</v>
      </c>
      <c r="T11" s="26">
        <v>-0.10645091888905089</v>
      </c>
      <c r="U11" s="26">
        <v>-3.2053188608652222E-2</v>
      </c>
      <c r="V11" s="26">
        <v>-1.486561554125564E-2</v>
      </c>
      <c r="W11" s="26">
        <v>-9.3405071083985589E-2</v>
      </c>
      <c r="X11" s="26">
        <v>-3.7053875715306342E-2</v>
      </c>
      <c r="Y11" s="26">
        <v>-4.7379645481055749E-2</v>
      </c>
      <c r="Z11" s="26">
        <v>-3.5732975972085197E-2</v>
      </c>
      <c r="AA11" s="26">
        <v>7.4709415434143334E-2</v>
      </c>
      <c r="AB11" s="26">
        <v>-0.1014916742073749</v>
      </c>
      <c r="AC11" s="26">
        <v>-2.958901675079971E-4</v>
      </c>
      <c r="AD11" s="26">
        <v>-6.884879748071672E-2</v>
      </c>
      <c r="AE11" s="26">
        <v>-2.226603217992465E-2</v>
      </c>
      <c r="AF11" s="26">
        <v>4.1625471515908258E-2</v>
      </c>
      <c r="AG11" s="26">
        <v>-8.0508267102041703E-3</v>
      </c>
      <c r="AH11" s="26">
        <v>-3.8264652471021107E-2</v>
      </c>
      <c r="AI11" s="26">
        <v>4.5184246070277309E-2</v>
      </c>
      <c r="AJ11" s="26">
        <v>3.4215625055713628E-2</v>
      </c>
      <c r="AK11" s="26">
        <v>4.4138222564125883E-2</v>
      </c>
      <c r="AL11" s="26">
        <v>-3.5587566867339653E-2</v>
      </c>
      <c r="AM11" s="26">
        <v>-1.307752910282832E-2</v>
      </c>
      <c r="AN11" s="26">
        <v>4.1485640311627048E-3</v>
      </c>
      <c r="AO11" s="26">
        <v>-7.7685069747940566E-2</v>
      </c>
      <c r="AP11" s="26">
        <v>-6.9983938877633423E-3</v>
      </c>
      <c r="AQ11" s="26">
        <v>0.13094783928293391</v>
      </c>
      <c r="AR11" s="26">
        <v>-8.6792708504303165E-2</v>
      </c>
      <c r="AS11" s="26">
        <v>-5.2702983493883533E-2</v>
      </c>
      <c r="AT11" s="26">
        <v>6.5228470856534659E-2</v>
      </c>
      <c r="AU11" s="26">
        <v>-6.5193823066972231E-2</v>
      </c>
      <c r="AV11" s="26">
        <v>8.5695091691641318E-3</v>
      </c>
      <c r="AW11" s="26">
        <v>-4.0024302856775031E-2</v>
      </c>
      <c r="AX11" s="26">
        <v>-3.1442522098695247E-2</v>
      </c>
      <c r="AY11" s="26">
        <v>-4.0051979337830963E-3</v>
      </c>
      <c r="AZ11" s="26">
        <v>-7.87988595399116E-3</v>
      </c>
      <c r="BA11" s="26">
        <v>-6.0724257043419964E-3</v>
      </c>
      <c r="BB11" s="26">
        <v>-1.1000774597969601E-2</v>
      </c>
      <c r="BC11" s="26">
        <v>-2.6379571628000791E-2</v>
      </c>
      <c r="BD11" s="26">
        <v>3.9479545280064407E-2</v>
      </c>
      <c r="BE11" s="26">
        <v>3.1278311810121473E-2</v>
      </c>
      <c r="BF11" s="26">
        <v>-6.0707144594610513E-3</v>
      </c>
      <c r="BG11" s="26">
        <v>-6.0537314950835433E-2</v>
      </c>
      <c r="BH11" s="26">
        <v>-8.5381433803068715E-2</v>
      </c>
      <c r="BI11" s="26">
        <v>6.449315459347095E-2</v>
      </c>
      <c r="BJ11" s="26">
        <v>-6.227610105192051E-3</v>
      </c>
      <c r="BK11" s="26">
        <v>4.6391114420235899E-2</v>
      </c>
      <c r="BL11" s="26">
        <v>-1.156082161362396E-2</v>
      </c>
      <c r="BM11" s="26">
        <v>-4.455844209947097E-2</v>
      </c>
      <c r="BN11" s="26">
        <v>2.7621487445270072E-3</v>
      </c>
      <c r="BO11" s="26">
        <v>8.312142553037161E-3</v>
      </c>
      <c r="BP11" s="26">
        <v>-5.5860348790947041E-2</v>
      </c>
      <c r="BQ11" s="26">
        <v>3.5706629851489133E-2</v>
      </c>
      <c r="BR11" s="26">
        <v>-2.2012848784035179E-2</v>
      </c>
      <c r="BS11" s="26">
        <v>3.9643524500143849E-2</v>
      </c>
      <c r="BT11" s="26">
        <v>-3.5802523819053762E-3</v>
      </c>
      <c r="BU11" s="26">
        <v>8.9809503674597949E-3</v>
      </c>
      <c r="BV11" s="26">
        <v>-8.9428832558806175E-3</v>
      </c>
      <c r="BW11" s="26">
        <v>-7.606401830661523E-2</v>
      </c>
      <c r="BX11" s="26">
        <v>-4.0663010962644373E-2</v>
      </c>
      <c r="BY11" s="26">
        <v>-5.908333642589482E-2</v>
      </c>
      <c r="BZ11" s="26">
        <v>-2.6982576363534839E-2</v>
      </c>
      <c r="CA11" s="26">
        <v>-0.12652495379074219</v>
      </c>
      <c r="CB11" s="26">
        <v>1.2022261026242089E-2</v>
      </c>
      <c r="CC11" s="26">
        <v>-5.0881431189465171E-2</v>
      </c>
      <c r="CD11" s="26">
        <v>2.5276040610712269E-2</v>
      </c>
      <c r="CE11" s="26">
        <v>8.7027483919829188E-2</v>
      </c>
      <c r="CF11" s="26">
        <v>-2.4625967354591039E-2</v>
      </c>
      <c r="CG11" s="26">
        <v>1.874726219553563E-2</v>
      </c>
      <c r="CH11" s="26">
        <v>4.1512479804806227E-2</v>
      </c>
      <c r="CI11" s="26">
        <v>-2.982027623949892E-2</v>
      </c>
      <c r="CJ11" s="26">
        <v>-1.2665490672423049E-2</v>
      </c>
      <c r="CK11" s="26">
        <v>4.7987523977313533E-2</v>
      </c>
      <c r="CL11" s="26">
        <v>-6.6815212175235783E-3</v>
      </c>
      <c r="CM11" s="26">
        <v>2.3373144063608738E-2</v>
      </c>
      <c r="CN11" s="26">
        <v>1.089017138913061E-2</v>
      </c>
      <c r="CO11" s="26">
        <v>0.14646343744112991</v>
      </c>
      <c r="CP11" s="26">
        <v>1.9768544897054329E-2</v>
      </c>
      <c r="CQ11" s="26">
        <v>1.7749235500301951E-2</v>
      </c>
      <c r="CR11" s="26">
        <v>-2.8991521269468159E-2</v>
      </c>
      <c r="CS11" s="26">
        <v>-9.2105433549335754E-3</v>
      </c>
      <c r="CT11" s="26">
        <v>3.684814317680405E-2</v>
      </c>
      <c r="CU11" s="26">
        <v>3.050411561754297E-2</v>
      </c>
      <c r="CV11" s="26">
        <v>4.0383350938434252E-2</v>
      </c>
      <c r="CW11" s="26">
        <v>-9.3859596047043536E-3</v>
      </c>
      <c r="CX11" s="26">
        <v>-7.7248887176943296E-2</v>
      </c>
      <c r="CY11" s="26">
        <v>2.548220655716743E-3</v>
      </c>
      <c r="CZ11" s="26">
        <v>-2.335678888027266E-2</v>
      </c>
      <c r="DA11" s="26">
        <v>-3.5608656768651929E-2</v>
      </c>
      <c r="DB11" s="26">
        <v>4.4999952963004786E-3</v>
      </c>
      <c r="DC11" s="26">
        <v>-4.3417921151317942E-2</v>
      </c>
      <c r="DD11" s="26">
        <v>7.7585487350289431E-2</v>
      </c>
      <c r="DE11" s="26">
        <v>4.5548817954567847E-2</v>
      </c>
      <c r="DF11" s="26">
        <v>-7.3761037440207289E-2</v>
      </c>
      <c r="DG11" s="26">
        <v>-1.383602919096409E-2</v>
      </c>
      <c r="DH11" s="26">
        <v>-1.314658790875837E-2</v>
      </c>
      <c r="DI11" s="26">
        <v>-0.1184441451090506</v>
      </c>
      <c r="DJ11" s="26">
        <v>4.9715760335060859E-2</v>
      </c>
      <c r="DK11" s="26">
        <v>2.8876918213256629E-2</v>
      </c>
      <c r="DL11" s="26">
        <v>-1.318152540995088E-2</v>
      </c>
      <c r="DM11" s="26">
        <v>4.3520520821273612E-2</v>
      </c>
      <c r="DN11" s="26">
        <v>-6.0662478946377781E-2</v>
      </c>
      <c r="DO11" s="26">
        <v>8.2564150197316444E-2</v>
      </c>
      <c r="DP11" s="26">
        <v>-9.6015988315113029E-2</v>
      </c>
      <c r="DQ11" s="26">
        <v>-1.9845471562179029E-2</v>
      </c>
      <c r="DR11" s="26">
        <v>-1.8579633997215111E-2</v>
      </c>
      <c r="DS11" s="26">
        <v>-2.578465931080003E-2</v>
      </c>
      <c r="DT11" s="26">
        <v>-3.759158589343687E-2</v>
      </c>
      <c r="DU11" s="26">
        <v>-4.5291919372196177E-2</v>
      </c>
      <c r="DV11" s="26">
        <v>-2.2458423361422019E-2</v>
      </c>
      <c r="DW11" s="26">
        <v>2.7164709117450531E-4</v>
      </c>
      <c r="DX11" s="26">
        <v>-6.4503989329820932E-2</v>
      </c>
      <c r="DY11" s="26">
        <v>6.0125260418043287E-2</v>
      </c>
      <c r="DZ11" s="26">
        <v>5.824521899381126E-3</v>
      </c>
      <c r="EA11" s="26">
        <v>1.550389496878647E-2</v>
      </c>
      <c r="EB11" s="26">
        <v>3.0904912560126702E-2</v>
      </c>
      <c r="EC11" s="26">
        <v>3.9813074668317322E-2</v>
      </c>
      <c r="ED11" s="26">
        <v>6.0186469707419407E-3</v>
      </c>
      <c r="EE11" s="26">
        <v>-3.9888767217459868E-2</v>
      </c>
      <c r="EF11" s="26">
        <v>-9.608135149364426E-2</v>
      </c>
      <c r="EG11" s="4"/>
    </row>
    <row r="12" spans="1:137" ht="16" customHeight="1">
      <c r="A12" s="25"/>
      <c r="B12" s="23" t="s">
        <v>137</v>
      </c>
      <c r="C12" s="26">
        <v>-0.20935792122733601</v>
      </c>
      <c r="D12" s="26">
        <v>-0.24145620521490571</v>
      </c>
      <c r="E12" s="26">
        <v>0.26636596474473501</v>
      </c>
      <c r="F12" s="26">
        <v>0.33022979398488089</v>
      </c>
      <c r="G12" s="26">
        <v>0.2035863770520018</v>
      </c>
      <c r="H12" s="26">
        <v>0.5537341742626456</v>
      </c>
      <c r="I12" s="26">
        <v>0.66979451114429034</v>
      </c>
      <c r="J12" s="26">
        <v>0.61032590854849456</v>
      </c>
      <c r="K12" s="26">
        <v>0.86207445584452447</v>
      </c>
      <c r="L12" s="26">
        <v>0.37355796404420633</v>
      </c>
      <c r="M12" s="26">
        <v>0.62222012198115262</v>
      </c>
      <c r="N12" s="26">
        <v>0.29351051715390319</v>
      </c>
      <c r="O12" s="26">
        <v>0.35628689631689647</v>
      </c>
      <c r="P12" s="26">
        <v>0.17806893054971379</v>
      </c>
      <c r="Q12" s="26">
        <v>0.1563575197337759</v>
      </c>
      <c r="R12" s="26">
        <v>0.22483040458636899</v>
      </c>
      <c r="S12" s="26">
        <v>0.18264461949126659</v>
      </c>
      <c r="T12" s="26">
        <v>0.15307368282964859</v>
      </c>
      <c r="U12" s="26">
        <v>0.22557713697371559</v>
      </c>
      <c r="V12" s="26">
        <v>-9.1580290119962757E-2</v>
      </c>
      <c r="W12" s="26">
        <v>-4.9495832352311628E-2</v>
      </c>
      <c r="X12" s="26">
        <v>-0.2678950640091351</v>
      </c>
      <c r="Y12" s="26">
        <v>-0.36478829273583491</v>
      </c>
      <c r="Z12" s="26">
        <v>-0.3779060136015861</v>
      </c>
      <c r="AA12" s="26">
        <v>-0.43955484978357701</v>
      </c>
      <c r="AB12" s="26">
        <v>-0.41859416874526367</v>
      </c>
      <c r="AC12" s="26">
        <v>-0.31816515320418409</v>
      </c>
      <c r="AD12" s="26">
        <v>-0.20856536883441179</v>
      </c>
      <c r="AE12" s="26">
        <v>-0.1023649845008438</v>
      </c>
      <c r="AF12" s="26">
        <v>-0.14886860509428651</v>
      </c>
      <c r="AG12" s="26">
        <v>-0.1866902267256208</v>
      </c>
      <c r="AH12" s="26">
        <v>-0.25393275403871191</v>
      </c>
      <c r="AI12" s="26">
        <v>-0.14773922610345119</v>
      </c>
      <c r="AJ12" s="26">
        <v>4.4513506223647151E-2</v>
      </c>
      <c r="AK12" s="26">
        <v>-5.8155621464165322E-2</v>
      </c>
      <c r="AL12" s="26">
        <v>-9.1865237642505163E-2</v>
      </c>
      <c r="AM12" s="26">
        <v>-0.16826269698552301</v>
      </c>
      <c r="AN12" s="26">
        <v>-0.33743700555198552</v>
      </c>
      <c r="AO12" s="26">
        <v>-0.36868152859592562</v>
      </c>
      <c r="AP12" s="26">
        <v>-0.28691959224511548</v>
      </c>
      <c r="AQ12" s="26">
        <v>-0.30523872624318382</v>
      </c>
      <c r="AR12" s="26">
        <v>-0.29331379911690642</v>
      </c>
      <c r="AS12" s="26">
        <v>-0.30267029688624508</v>
      </c>
      <c r="AT12" s="26">
        <v>-0.28045675156766531</v>
      </c>
      <c r="AU12" s="26">
        <v>-0.18262992182905941</v>
      </c>
      <c r="AV12" s="26">
        <v>-0.12130978761687</v>
      </c>
      <c r="AW12" s="26">
        <v>-0.15372123350245639</v>
      </c>
      <c r="AX12" s="26">
        <v>-2.163155956071092E-2</v>
      </c>
      <c r="AY12" s="26">
        <v>0.10122185588554949</v>
      </c>
      <c r="AZ12" s="26">
        <v>0.18954150820982221</v>
      </c>
      <c r="BA12" s="26">
        <v>9.5279708371273503E-2</v>
      </c>
      <c r="BB12" s="26">
        <v>1.1130473143875179E-2</v>
      </c>
      <c r="BC12" s="26">
        <v>0.19620313414919849</v>
      </c>
      <c r="BD12" s="26">
        <v>0.1522471346455414</v>
      </c>
      <c r="BE12" s="26">
        <v>0.20934399551839861</v>
      </c>
      <c r="BF12" s="26">
        <v>0.16752252916389659</v>
      </c>
      <c r="BG12" s="26">
        <v>0.16855713353359719</v>
      </c>
      <c r="BH12" s="26">
        <v>0.23475757737273911</v>
      </c>
      <c r="BI12" s="26">
        <v>0.27598376688340442</v>
      </c>
      <c r="BJ12" s="26">
        <v>0.26154895504900538</v>
      </c>
      <c r="BK12" s="26">
        <v>0.19300560487419521</v>
      </c>
      <c r="BL12" s="26">
        <v>3.2255305302616187E-2</v>
      </c>
      <c r="BM12" s="26">
        <v>8.4649698660638095E-2</v>
      </c>
      <c r="BN12" s="26">
        <v>-1.5702242386539032E-2</v>
      </c>
      <c r="BO12" s="26">
        <v>2.9608765252482721E-2</v>
      </c>
      <c r="BP12" s="26">
        <v>-8.2625544071202886E-2</v>
      </c>
      <c r="BQ12" s="26">
        <v>-7.9330451385874676E-2</v>
      </c>
      <c r="BR12" s="26">
        <v>-0.11353413407979809</v>
      </c>
      <c r="BS12" s="26">
        <v>-0.16045061256945001</v>
      </c>
      <c r="BT12" s="26">
        <v>-2.8989653450827001E-2</v>
      </c>
      <c r="BU12" s="26">
        <v>-3.8417136037107451E-3</v>
      </c>
      <c r="BV12" s="26">
        <v>-0.17414888256791389</v>
      </c>
      <c r="BW12" s="26">
        <v>-5.0655462653666453E-2</v>
      </c>
      <c r="BX12" s="26">
        <v>-9.7462301529207679E-3</v>
      </c>
      <c r="BY12" s="26">
        <v>4.311871752812544E-2</v>
      </c>
      <c r="BZ12" s="26">
        <v>8.3594709945727624E-2</v>
      </c>
      <c r="CA12" s="26">
        <v>5.9758542127211607E-2</v>
      </c>
      <c r="CB12" s="26">
        <v>0.22654684744137221</v>
      </c>
      <c r="CC12" s="26">
        <v>0.16059562442098191</v>
      </c>
      <c r="CD12" s="26">
        <v>0.1247822180786789</v>
      </c>
      <c r="CE12" s="26">
        <v>7.0316847032607876E-2</v>
      </c>
      <c r="CF12" s="26">
        <v>3.7786686365643571E-2</v>
      </c>
      <c r="CG12" s="26">
        <v>0.14783134630066269</v>
      </c>
      <c r="CH12" s="26">
        <v>0.16146329015111541</v>
      </c>
      <c r="CI12" s="26">
        <v>0.19050379057570099</v>
      </c>
      <c r="CJ12" s="26">
        <v>5.7810008272749062E-2</v>
      </c>
      <c r="CK12" s="26">
        <v>0.1815957554070709</v>
      </c>
      <c r="CL12" s="26">
        <v>0.15995890504762161</v>
      </c>
      <c r="CM12" s="26">
        <v>-0.19344889033092799</v>
      </c>
      <c r="CN12" s="26">
        <v>9.2661650400173462E-2</v>
      </c>
      <c r="CO12" s="26">
        <v>0.18420345965444129</v>
      </c>
      <c r="CP12" s="26">
        <v>0.21509937997508449</v>
      </c>
      <c r="CQ12" s="26">
        <v>7.8222160125948112E-2</v>
      </c>
      <c r="CR12" s="26">
        <v>0.23262305351410531</v>
      </c>
      <c r="CS12" s="26">
        <v>0.1246176152094155</v>
      </c>
      <c r="CT12" s="26">
        <v>0.2146340953754568</v>
      </c>
      <c r="CU12" s="26">
        <v>0.29380322799279129</v>
      </c>
      <c r="CV12" s="26">
        <v>0.16458639143631021</v>
      </c>
      <c r="CW12" s="26">
        <v>0.22758953291297229</v>
      </c>
      <c r="CX12" s="26">
        <v>0.30967914222586451</v>
      </c>
      <c r="CY12" s="26">
        <v>0.1008269451540873</v>
      </c>
      <c r="CZ12" s="26">
        <v>0.27399190305797039</v>
      </c>
      <c r="DA12" s="26">
        <v>0.29613632136496731</v>
      </c>
      <c r="DB12" s="26">
        <v>0.44409378278633932</v>
      </c>
      <c r="DC12" s="26">
        <v>0.27739949663700231</v>
      </c>
      <c r="DD12" s="26">
        <v>0.2084619437252104</v>
      </c>
      <c r="DE12" s="26">
        <v>5.006562543628422E-2</v>
      </c>
      <c r="DF12" s="26">
        <v>7.9342540750067247E-2</v>
      </c>
      <c r="DG12" s="26">
        <v>4.1263423131758292E-2</v>
      </c>
      <c r="DH12" s="26">
        <v>-7.4014041769745603E-3</v>
      </c>
      <c r="DI12" s="26">
        <v>9.1903678777207287E-2</v>
      </c>
      <c r="DJ12" s="26">
        <v>0.18881040894549631</v>
      </c>
      <c r="DK12" s="26">
        <v>5.0346204508612824E-3</v>
      </c>
      <c r="DL12" s="26">
        <v>-6.5302735759753747E-2</v>
      </c>
      <c r="DM12" s="26">
        <v>-0.16991943054339001</v>
      </c>
      <c r="DN12" s="26">
        <v>-4.8355536158137598E-2</v>
      </c>
      <c r="DO12" s="26">
        <v>0.3023913444349744</v>
      </c>
      <c r="DP12" s="26">
        <v>0.40249617507699309</v>
      </c>
      <c r="DQ12" s="26">
        <v>0.42337951153233438</v>
      </c>
      <c r="DR12" s="26">
        <v>0.31958732161063053</v>
      </c>
      <c r="DS12" s="26">
        <v>0.27007262221994582</v>
      </c>
      <c r="DT12" s="26">
        <v>0.24555914580250721</v>
      </c>
      <c r="DU12" s="26">
        <v>0.18374521718344591</v>
      </c>
      <c r="DV12" s="26">
        <v>0.16882438454898829</v>
      </c>
      <c r="DW12" s="26">
        <v>0.21735692510693649</v>
      </c>
      <c r="DX12" s="26">
        <v>0.18716202375844659</v>
      </c>
      <c r="DY12" s="26">
        <v>0.12863278460069319</v>
      </c>
      <c r="DZ12" s="26">
        <v>0.1138956216351769</v>
      </c>
      <c r="EA12" s="26">
        <v>6.9887093780084175E-2</v>
      </c>
      <c r="EB12" s="26">
        <v>0.12681710950217981</v>
      </c>
      <c r="EC12" s="26">
        <v>0.1562815300942598</v>
      </c>
      <c r="ED12" s="26">
        <v>0.36668826933924509</v>
      </c>
      <c r="EE12" s="26">
        <v>0.47250079911659248</v>
      </c>
      <c r="EF12" s="26">
        <v>0.72972326297934098</v>
      </c>
      <c r="EG12" s="4"/>
    </row>
    <row r="13" spans="1:137" ht="16" customHeight="1">
      <c r="A13" s="25"/>
      <c r="B13" s="23" t="s">
        <v>138</v>
      </c>
      <c r="C13" s="26">
        <v>0.1415892121840287</v>
      </c>
      <c r="D13" s="26">
        <v>9.2586945061469042E-2</v>
      </c>
      <c r="E13" s="26">
        <v>0.11349879155944111</v>
      </c>
      <c r="F13" s="26">
        <v>-7.3769776575699809E-3</v>
      </c>
      <c r="G13" s="26">
        <v>-0.3186396678242116</v>
      </c>
      <c r="H13" s="26">
        <v>-0.42059898952232572</v>
      </c>
      <c r="I13" s="26">
        <v>-0.61741574929518839</v>
      </c>
      <c r="J13" s="26">
        <v>-0.43362008529973561</v>
      </c>
      <c r="K13" s="26">
        <v>-0.25626772334753112</v>
      </c>
      <c r="L13" s="26">
        <v>-0.2113105027109515</v>
      </c>
      <c r="M13" s="26">
        <v>-0.20647602014875061</v>
      </c>
      <c r="N13" s="26">
        <v>-0.32791237477111829</v>
      </c>
      <c r="O13" s="26">
        <v>1.5729811103918339E-2</v>
      </c>
      <c r="P13" s="26">
        <v>6.8442694647505714E-2</v>
      </c>
      <c r="Q13" s="26">
        <v>5.2648855857004642E-2</v>
      </c>
      <c r="R13" s="26">
        <v>-2.0694613114836578E-2</v>
      </c>
      <c r="S13" s="26">
        <v>2.495928979766664E-2</v>
      </c>
      <c r="T13" s="26">
        <v>-8.6843647181224407E-2</v>
      </c>
      <c r="U13" s="26">
        <v>-0.52458473451682519</v>
      </c>
      <c r="V13" s="26">
        <v>-0.4792143423997316</v>
      </c>
      <c r="W13" s="26">
        <v>-0.36348833368794342</v>
      </c>
      <c r="X13" s="26">
        <v>-0.39764648466092672</v>
      </c>
      <c r="Y13" s="26">
        <v>-0.47562109760818377</v>
      </c>
      <c r="Z13" s="26">
        <v>-0.29400139222215738</v>
      </c>
      <c r="AA13" s="26">
        <v>-0.21990454798605369</v>
      </c>
      <c r="AB13" s="26">
        <v>1.8176812449253021E-2</v>
      </c>
      <c r="AC13" s="26">
        <v>-7.9990063758137941E-2</v>
      </c>
      <c r="AD13" s="26">
        <v>-0.1028929785055152</v>
      </c>
      <c r="AE13" s="26">
        <v>0.14449675324010591</v>
      </c>
      <c r="AF13" s="26">
        <v>9.4619546486641323E-2</v>
      </c>
      <c r="AG13" s="26">
        <v>0.15888808539996641</v>
      </c>
      <c r="AH13" s="26">
        <v>0.1196181721172441</v>
      </c>
      <c r="AI13" s="26">
        <v>0.26749723606904691</v>
      </c>
      <c r="AJ13" s="26">
        <v>0.28042018158602128</v>
      </c>
      <c r="AK13" s="26">
        <v>-3.0700048481476939E-2</v>
      </c>
      <c r="AL13" s="26">
        <v>4.5908625392411313E-2</v>
      </c>
      <c r="AM13" s="26">
        <v>0.17498289674326181</v>
      </c>
      <c r="AN13" s="26">
        <v>0.12715124049161411</v>
      </c>
      <c r="AO13" s="26">
        <v>0.1846750202735136</v>
      </c>
      <c r="AP13" s="26">
        <v>8.4214377141994659E-2</v>
      </c>
      <c r="AQ13" s="26">
        <v>0.195944269725251</v>
      </c>
      <c r="AR13" s="26">
        <v>0.1332335332468598</v>
      </c>
      <c r="AS13" s="26">
        <v>0.16593561585303601</v>
      </c>
      <c r="AT13" s="26">
        <v>2.0797244614353168E-2</v>
      </c>
      <c r="AU13" s="26">
        <v>1.2255111472991581E-2</v>
      </c>
      <c r="AV13" s="26">
        <v>-1.3354263340341489E-2</v>
      </c>
      <c r="AW13" s="26">
        <v>-0.1629162908390954</v>
      </c>
      <c r="AX13" s="26">
        <v>2.1398073174880568E-2</v>
      </c>
      <c r="AY13" s="26">
        <v>-0.31841892204614608</v>
      </c>
      <c r="AZ13" s="26">
        <v>-0.2389402856524428</v>
      </c>
      <c r="BA13" s="26">
        <v>-0.22999540969309759</v>
      </c>
      <c r="BB13" s="26">
        <v>-7.1523535861795301E-2</v>
      </c>
      <c r="BC13" s="26">
        <v>0.19523407189221659</v>
      </c>
      <c r="BD13" s="26">
        <v>0.1343817013556074</v>
      </c>
      <c r="BE13" s="26">
        <v>0.36448653223917399</v>
      </c>
      <c r="BF13" s="26">
        <v>0.44848254478272898</v>
      </c>
      <c r="BG13" s="26">
        <v>0.43221300941381358</v>
      </c>
      <c r="BH13" s="26">
        <v>0.27475197161243958</v>
      </c>
      <c r="BI13" s="26">
        <v>0.27625006164983618</v>
      </c>
      <c r="BJ13" s="26">
        <v>1.55846946017396E-2</v>
      </c>
      <c r="BK13" s="26">
        <v>0.1058051363286677</v>
      </c>
      <c r="BL13" s="26">
        <v>0.12655100249236981</v>
      </c>
      <c r="BM13" s="26">
        <v>0.22848090332571749</v>
      </c>
      <c r="BN13" s="26">
        <v>0.28499472414789501</v>
      </c>
      <c r="BO13" s="26">
        <v>0.10343621031436109</v>
      </c>
      <c r="BP13" s="26">
        <v>0.37735475502544108</v>
      </c>
      <c r="BQ13" s="26">
        <v>0.20037255890381511</v>
      </c>
      <c r="BR13" s="26">
        <v>0.22737663442672029</v>
      </c>
      <c r="BS13" s="26">
        <v>0.28000569960508931</v>
      </c>
      <c r="BT13" s="26">
        <v>0.25048842105416552</v>
      </c>
      <c r="BU13" s="26">
        <v>0.40950603598106478</v>
      </c>
      <c r="BV13" s="26">
        <v>0.27914339825966772</v>
      </c>
      <c r="BW13" s="26">
        <v>0.42338681782856119</v>
      </c>
      <c r="BX13" s="26">
        <v>0.20681397354492859</v>
      </c>
      <c r="BY13" s="26">
        <v>0.16995656458325559</v>
      </c>
      <c r="BZ13" s="26">
        <v>0.25229150973658637</v>
      </c>
      <c r="CA13" s="26">
        <v>0.32026292962452041</v>
      </c>
      <c r="CB13" s="26">
        <v>0.51463583067154539</v>
      </c>
      <c r="CC13" s="26">
        <v>0.18153007409469241</v>
      </c>
      <c r="CD13" s="26">
        <v>0.12003370467929959</v>
      </c>
      <c r="CE13" s="26">
        <v>-2.5943292883541139E-2</v>
      </c>
      <c r="CF13" s="26">
        <v>4.5043615925369367E-2</v>
      </c>
      <c r="CG13" s="26">
        <v>-0.35445425141928649</v>
      </c>
      <c r="CH13" s="26">
        <v>-0.25260244407894528</v>
      </c>
      <c r="CI13" s="26">
        <v>0.14395187079646721</v>
      </c>
      <c r="CJ13" s="26">
        <v>0.27306771173615763</v>
      </c>
      <c r="CK13" s="26">
        <v>1.7040845792885052E-2</v>
      </c>
      <c r="CL13" s="26">
        <v>-0.2428342099250631</v>
      </c>
      <c r="CM13" s="26">
        <v>-6.2585841640853714E-3</v>
      </c>
      <c r="CN13" s="26">
        <v>-0.310075109187538</v>
      </c>
      <c r="CO13" s="26">
        <v>-0.48661942430606081</v>
      </c>
      <c r="CP13" s="26">
        <v>-0.58562675232019856</v>
      </c>
      <c r="CQ13" s="26">
        <v>-0.21352733862147991</v>
      </c>
      <c r="CR13" s="26">
        <v>-0.1651861224943722</v>
      </c>
      <c r="CS13" s="26">
        <v>-0.15856953077819341</v>
      </c>
      <c r="CT13" s="26">
        <v>-0.2953032979629534</v>
      </c>
      <c r="CU13" s="26">
        <v>-0.1254818780087637</v>
      </c>
      <c r="CV13" s="26">
        <v>-4.7694294242323958E-2</v>
      </c>
      <c r="CW13" s="26">
        <v>-6.9955238824078614E-2</v>
      </c>
      <c r="CX13" s="26">
        <v>-9.2457955566808206E-3</v>
      </c>
      <c r="CY13" s="26">
        <v>-2.2135304831282489E-2</v>
      </c>
      <c r="CZ13" s="26">
        <v>5.5799951070273343E-2</v>
      </c>
      <c r="DA13" s="26">
        <v>4.6904914532679559E-3</v>
      </c>
      <c r="DB13" s="26">
        <v>-0.19841703137983821</v>
      </c>
      <c r="DC13" s="26">
        <v>-0.1481577816394834</v>
      </c>
      <c r="DD13" s="26">
        <v>-7.8448866350443819E-2</v>
      </c>
      <c r="DE13" s="26">
        <v>-3.4735830531551833E-2</v>
      </c>
      <c r="DF13" s="26">
        <v>0.23309856186511069</v>
      </c>
      <c r="DG13" s="26">
        <v>0.10547592327494661</v>
      </c>
      <c r="DH13" s="26">
        <v>0.26024560403747621</v>
      </c>
      <c r="DI13" s="26">
        <v>0.24342212166939201</v>
      </c>
      <c r="DJ13" s="26">
        <v>6.1619870633241258E-2</v>
      </c>
      <c r="DK13" s="26">
        <v>8.9139844165813373E-2</v>
      </c>
      <c r="DL13" s="26">
        <v>2.9253193961501531E-2</v>
      </c>
      <c r="DM13" s="26">
        <v>0.14236144307942539</v>
      </c>
      <c r="DN13" s="26">
        <v>0.14615257349174909</v>
      </c>
      <c r="DO13" s="26">
        <v>4.9079225670203321E-2</v>
      </c>
      <c r="DP13" s="26">
        <v>0.40322960152089549</v>
      </c>
      <c r="DQ13" s="26">
        <v>0.46524421937942317</v>
      </c>
      <c r="DR13" s="26">
        <v>0.25491522170831532</v>
      </c>
      <c r="DS13" s="26">
        <v>0.1449016436002509</v>
      </c>
      <c r="DT13" s="26">
        <v>0.1096478687616492</v>
      </c>
      <c r="DU13" s="26">
        <v>0.14664794338699069</v>
      </c>
      <c r="DV13" s="26">
        <v>-0.37515330256173463</v>
      </c>
      <c r="DW13" s="26">
        <v>-0.29741986054930047</v>
      </c>
      <c r="DX13" s="26">
        <v>-0.19544277976532101</v>
      </c>
      <c r="DY13" s="26">
        <v>-8.2428265894752814E-2</v>
      </c>
      <c r="DZ13" s="26">
        <v>5.866183339010559E-2</v>
      </c>
      <c r="EA13" s="26">
        <v>-4.6779077930829367E-2</v>
      </c>
      <c r="EB13" s="26">
        <v>0.1641432425225606</v>
      </c>
      <c r="EC13" s="26">
        <v>-3.8064247233434587E-2</v>
      </c>
      <c r="ED13" s="26">
        <v>5.5317446797800797E-2</v>
      </c>
      <c r="EE13" s="26">
        <v>4.5666052310806213E-2</v>
      </c>
      <c r="EF13" s="26">
        <v>-1.513055182908553E-2</v>
      </c>
      <c r="EG13" s="4"/>
    </row>
    <row r="14" spans="1:137" ht="16" customHeight="1">
      <c r="A14" s="4"/>
      <c r="B14" s="23" t="s">
        <v>139</v>
      </c>
      <c r="C14" s="26">
        <v>-5.5287602367965212E-2</v>
      </c>
      <c r="D14" s="26">
        <v>-0.14445298729163969</v>
      </c>
      <c r="E14" s="26">
        <v>-9.1431301014034599E-2</v>
      </c>
      <c r="F14" s="26">
        <v>0.35495179720125758</v>
      </c>
      <c r="G14" s="26">
        <v>0.21923638181908089</v>
      </c>
      <c r="H14" s="26">
        <v>0.283134197622957</v>
      </c>
      <c r="I14" s="26">
        <v>0.37143266638530409</v>
      </c>
      <c r="J14" s="26">
        <v>0.41062409023091229</v>
      </c>
      <c r="K14" s="26">
        <v>0.40769934121960488</v>
      </c>
      <c r="L14" s="26">
        <v>-7.159674146892725E-3</v>
      </c>
      <c r="M14" s="26">
        <v>-7.3648091051968512E-3</v>
      </c>
      <c r="N14" s="26">
        <v>-5.1515820152121562E-2</v>
      </c>
      <c r="O14" s="26">
        <v>0.2542620970860141</v>
      </c>
      <c r="P14" s="26">
        <v>0.25179107603585099</v>
      </c>
      <c r="Q14" s="26">
        <v>0.2218350215305622</v>
      </c>
      <c r="R14" s="26">
        <v>0.24564422754657189</v>
      </c>
      <c r="S14" s="26">
        <v>0.21802587035960269</v>
      </c>
      <c r="T14" s="26">
        <v>0.22885928116164689</v>
      </c>
      <c r="U14" s="26">
        <v>-3.8365895591860683E-2</v>
      </c>
      <c r="V14" s="26">
        <v>-2.4933565518348022E-4</v>
      </c>
      <c r="W14" s="26">
        <v>-6.9911431364622995E-2</v>
      </c>
      <c r="X14" s="26">
        <v>-6.456449127916436E-2</v>
      </c>
      <c r="Y14" s="26">
        <v>4.1605297186146813E-2</v>
      </c>
      <c r="Z14" s="26">
        <v>-1.9800016442501619E-2</v>
      </c>
      <c r="AA14" s="26">
        <v>-7.2143290991637576E-2</v>
      </c>
      <c r="AB14" s="26">
        <v>-6.8452120608651329E-2</v>
      </c>
      <c r="AC14" s="26">
        <v>3.2607263241921841E-2</v>
      </c>
      <c r="AD14" s="26">
        <v>1.7594645532416991E-2</v>
      </c>
      <c r="AE14" s="26">
        <v>-2.901928616329708E-3</v>
      </c>
      <c r="AF14" s="26">
        <v>-2.248356577507465E-3</v>
      </c>
      <c r="AG14" s="26">
        <v>-5.5811273092355174E-3</v>
      </c>
      <c r="AH14" s="26">
        <v>-6.6841359079102816E-3</v>
      </c>
      <c r="AI14" s="26">
        <v>-1.385499411618335E-3</v>
      </c>
      <c r="AJ14" s="26">
        <v>-8.6481173432073621E-4</v>
      </c>
      <c r="AK14" s="26">
        <v>5.6462115284851337E-2</v>
      </c>
      <c r="AL14" s="26">
        <v>7.8493009558184917E-2</v>
      </c>
      <c r="AM14" s="26">
        <v>-0.11226928615946841</v>
      </c>
      <c r="AN14" s="26">
        <v>-0.22946841655236611</v>
      </c>
      <c r="AO14" s="26">
        <v>-0.13981328564836121</v>
      </c>
      <c r="AP14" s="26">
        <v>-0.1103039313350698</v>
      </c>
      <c r="AQ14" s="26">
        <v>-0.16861413881368431</v>
      </c>
      <c r="AR14" s="26">
        <v>-0.1371830444209835</v>
      </c>
      <c r="AS14" s="26">
        <v>5.211904011802404E-2</v>
      </c>
      <c r="AT14" s="26">
        <v>0.14234804792068309</v>
      </c>
      <c r="AU14" s="26">
        <v>0.15576266032816749</v>
      </c>
      <c r="AV14" s="26">
        <v>0.1449166373776215</v>
      </c>
      <c r="AW14" s="26">
        <v>0.18538208810641141</v>
      </c>
      <c r="AX14" s="26">
        <v>0.1366523480003056</v>
      </c>
      <c r="AY14" s="26">
        <v>0.14596250886375589</v>
      </c>
      <c r="AZ14" s="26">
        <v>0.26503780407394811</v>
      </c>
      <c r="BA14" s="26">
        <v>0.14676561542020911</v>
      </c>
      <c r="BB14" s="26">
        <v>3.3428218400161358E-3</v>
      </c>
      <c r="BC14" s="26">
        <v>-7.0510317488028634E-2</v>
      </c>
      <c r="BD14" s="26">
        <v>-3.5291447065675441E-2</v>
      </c>
      <c r="BE14" s="26">
        <v>3.5257594922360899E-2</v>
      </c>
      <c r="BF14" s="26">
        <v>3.8800415177149161E-2</v>
      </c>
      <c r="BG14" s="26">
        <v>5.35267227270948E-2</v>
      </c>
      <c r="BH14" s="26">
        <v>0.17967627527126151</v>
      </c>
      <c r="BI14" s="26">
        <v>0.15487119135892979</v>
      </c>
      <c r="BJ14" s="26">
        <v>0.1190558145321248</v>
      </c>
      <c r="BK14" s="26">
        <v>0.13032726460855551</v>
      </c>
      <c r="BL14" s="26">
        <v>9.3330537871948963E-2</v>
      </c>
      <c r="BM14" s="26">
        <v>8.0284022008766234E-2</v>
      </c>
      <c r="BN14" s="26">
        <v>0.20761045318620699</v>
      </c>
      <c r="BO14" s="26">
        <v>0.18768666424061561</v>
      </c>
      <c r="BP14" s="26">
        <v>0.1299212136716856</v>
      </c>
      <c r="BQ14" s="26">
        <v>9.8717055186148456E-2</v>
      </c>
      <c r="BR14" s="26">
        <v>4.5233846544491793E-2</v>
      </c>
      <c r="BS14" s="26">
        <v>0.13778382026817171</v>
      </c>
      <c r="BT14" s="26">
        <v>4.6964995030642789E-2</v>
      </c>
      <c r="BU14" s="26">
        <v>7.8535809146009994E-2</v>
      </c>
      <c r="BV14" s="26">
        <v>0.12030054403500839</v>
      </c>
      <c r="BW14" s="26">
        <v>5.9755525305673893E-2</v>
      </c>
      <c r="BX14" s="26">
        <v>6.3549054774741306E-2</v>
      </c>
      <c r="BY14" s="26">
        <v>-6.5045110879808632E-3</v>
      </c>
      <c r="BZ14" s="26">
        <v>-5.1668341542727647E-2</v>
      </c>
      <c r="CA14" s="26">
        <v>-7.9185433944847061E-2</v>
      </c>
      <c r="CB14" s="26">
        <v>-0.1127810804912311</v>
      </c>
      <c r="CC14" s="26">
        <v>-6.7050409232242481E-2</v>
      </c>
      <c r="CD14" s="26">
        <v>-6.6787378150592241E-2</v>
      </c>
      <c r="CE14" s="26">
        <v>-4.6564912298377087E-2</v>
      </c>
      <c r="CF14" s="26">
        <v>-0.11929573414549299</v>
      </c>
      <c r="CG14" s="26">
        <v>-5.3152980450178272E-2</v>
      </c>
      <c r="CH14" s="26">
        <v>-9.2611607894625192E-2</v>
      </c>
      <c r="CI14" s="26">
        <v>-0.1090312706633422</v>
      </c>
      <c r="CJ14" s="26">
        <v>-6.5592489381071956E-2</v>
      </c>
      <c r="CK14" s="26">
        <v>-8.8696832578178758E-2</v>
      </c>
      <c r="CL14" s="26">
        <v>8.9572676996418077E-2</v>
      </c>
      <c r="CM14" s="26">
        <v>6.5466674673977043E-2</v>
      </c>
      <c r="CN14" s="26">
        <v>2.9778259770337628E-2</v>
      </c>
      <c r="CO14" s="26">
        <v>7.2508099539442067E-2</v>
      </c>
      <c r="CP14" s="26">
        <v>-1.303358147527731E-2</v>
      </c>
      <c r="CQ14" s="26">
        <v>9.569522182040463E-3</v>
      </c>
      <c r="CR14" s="26">
        <v>2.47953533363264E-2</v>
      </c>
      <c r="CS14" s="26">
        <v>4.8612117320788267E-2</v>
      </c>
      <c r="CT14" s="26">
        <v>6.0893021537142523E-2</v>
      </c>
      <c r="CU14" s="26">
        <v>3.4381618283240711E-2</v>
      </c>
      <c r="CV14" s="26">
        <v>0.16980040126902121</v>
      </c>
      <c r="CW14" s="26">
        <v>0.20445758339957451</v>
      </c>
      <c r="CX14" s="26">
        <v>0.1166793182346092</v>
      </c>
      <c r="CY14" s="26">
        <v>2.005814356519928E-2</v>
      </c>
      <c r="CZ14" s="26">
        <v>-1.4802745472687891E-3</v>
      </c>
      <c r="DA14" s="26">
        <v>-2.3150114921623641E-2</v>
      </c>
      <c r="DB14" s="26">
        <v>-0.19162965872882659</v>
      </c>
      <c r="DC14" s="26">
        <v>-0.27185177019325968</v>
      </c>
      <c r="DD14" s="26">
        <v>-0.21309613111010051</v>
      </c>
      <c r="DE14" s="26">
        <v>-0.16221912242286801</v>
      </c>
      <c r="DF14" s="26">
        <v>-0.2020125592365708</v>
      </c>
      <c r="DG14" s="26">
        <v>-0.17344116046680241</v>
      </c>
      <c r="DH14" s="26">
        <v>1.012974642923409E-3</v>
      </c>
      <c r="DI14" s="26">
        <v>7.6205462994728718E-2</v>
      </c>
      <c r="DJ14" s="26">
        <v>6.8038263628197981E-2</v>
      </c>
      <c r="DK14" s="26">
        <v>5.8032611963437293E-2</v>
      </c>
      <c r="DL14" s="26">
        <v>9.6719985419295995E-3</v>
      </c>
      <c r="DM14" s="26">
        <v>-0.13040706175590769</v>
      </c>
      <c r="DN14" s="26">
        <v>-0.29058270893517102</v>
      </c>
      <c r="DO14" s="26">
        <v>-0.37804696398510318</v>
      </c>
      <c r="DP14" s="26">
        <v>-0.38659982436733192</v>
      </c>
      <c r="DQ14" s="26">
        <v>-0.38856601893403331</v>
      </c>
      <c r="DR14" s="26">
        <v>-0.2225135809416024</v>
      </c>
      <c r="DS14" s="26">
        <v>-0.1787917296931768</v>
      </c>
      <c r="DT14" s="26">
        <v>-0.15458476004354091</v>
      </c>
      <c r="DU14" s="26">
        <v>-6.1360687164233867E-2</v>
      </c>
      <c r="DV14" s="26">
        <v>2.79779304551812E-2</v>
      </c>
      <c r="DW14" s="26">
        <v>-3.1911652435136412E-2</v>
      </c>
      <c r="DX14" s="26">
        <v>-9.9874593181686566E-2</v>
      </c>
      <c r="DY14" s="26">
        <v>3.4834303206100481E-3</v>
      </c>
      <c r="DZ14" s="26">
        <v>2.8079826854705309E-2</v>
      </c>
      <c r="EA14" s="26">
        <v>-1.7876846775940201E-3</v>
      </c>
      <c r="EB14" s="26">
        <v>-9.0286462263588552E-2</v>
      </c>
      <c r="EC14" s="26">
        <v>-5.335702626953312E-2</v>
      </c>
      <c r="ED14" s="26">
        <v>-6.5240630345267336E-2</v>
      </c>
      <c r="EE14" s="26">
        <v>-4.1521107351409209E-2</v>
      </c>
      <c r="EF14" s="26">
        <v>-3.5067920268846753E-2</v>
      </c>
      <c r="EG14" s="4"/>
    </row>
    <row r="15" spans="1:137" ht="16" customHeight="1">
      <c r="A15" s="4"/>
      <c r="B15" s="23" t="s">
        <v>140</v>
      </c>
      <c r="C15" s="26">
        <v>3.1791852321887817E-2</v>
      </c>
      <c r="D15" s="26">
        <v>-0.124113534659973</v>
      </c>
      <c r="E15" s="26">
        <v>-0.1855275041338216</v>
      </c>
      <c r="F15" s="26">
        <v>-0.51750513151026711</v>
      </c>
      <c r="G15" s="26">
        <v>-0.47668017407719437</v>
      </c>
      <c r="H15" s="26">
        <v>-0.45722757099455158</v>
      </c>
      <c r="I15" s="26">
        <v>-0.52844879570355097</v>
      </c>
      <c r="J15" s="26">
        <v>-0.42896715641499811</v>
      </c>
      <c r="K15" s="26">
        <v>-0.41261833988945718</v>
      </c>
      <c r="L15" s="26">
        <v>-4.1638076480459141E-3</v>
      </c>
      <c r="M15" s="26">
        <v>-2.6791835565263569E-2</v>
      </c>
      <c r="N15" s="26">
        <v>-0.1044832975710908</v>
      </c>
      <c r="O15" s="26">
        <v>4.4211548082371273E-2</v>
      </c>
      <c r="P15" s="26">
        <v>5.8306595935677913E-2</v>
      </c>
      <c r="Q15" s="26">
        <v>-6.8633318730227794E-2</v>
      </c>
      <c r="R15" s="26">
        <v>3.9118300564990882E-2</v>
      </c>
      <c r="S15" s="26">
        <v>1.430917631974769E-2</v>
      </c>
      <c r="T15" s="26">
        <v>4.7434316151017543E-2</v>
      </c>
      <c r="U15" s="26">
        <v>-5.8521476915807114E-3</v>
      </c>
      <c r="V15" s="26">
        <v>-8.4536822785316129E-2</v>
      </c>
      <c r="W15" s="26">
        <v>-0.21030818610927479</v>
      </c>
      <c r="X15" s="26">
        <v>-0.29890892520185208</v>
      </c>
      <c r="Y15" s="26">
        <v>-0.28699682154041978</v>
      </c>
      <c r="Z15" s="26">
        <v>-0.24392935892183371</v>
      </c>
      <c r="AA15" s="26">
        <v>-0.26669381309450008</v>
      </c>
      <c r="AB15" s="26">
        <v>-0.26649480062011849</v>
      </c>
      <c r="AC15" s="26">
        <v>-9.2233352434640453E-2</v>
      </c>
      <c r="AD15" s="26">
        <v>-0.1147951387733117</v>
      </c>
      <c r="AE15" s="26">
        <v>-0.1224079017715</v>
      </c>
      <c r="AF15" s="26">
        <v>-9.5242339474186588E-2</v>
      </c>
      <c r="AG15" s="26">
        <v>-7.8768448683095765E-2</v>
      </c>
      <c r="AH15" s="26">
        <v>-0.10231021540807481</v>
      </c>
      <c r="AI15" s="26">
        <v>-5.7262343839864033E-2</v>
      </c>
      <c r="AJ15" s="26">
        <v>1.375630556441051E-2</v>
      </c>
      <c r="AK15" s="26">
        <v>7.4954773180899756E-2</v>
      </c>
      <c r="AL15" s="26">
        <v>5.8691382352518973E-2</v>
      </c>
      <c r="AM15" s="26">
        <v>5.3574222808861066E-3</v>
      </c>
      <c r="AN15" s="26">
        <v>1.151120887247797E-2</v>
      </c>
      <c r="AO15" s="26">
        <v>4.3992852184543921E-2</v>
      </c>
      <c r="AP15" s="26">
        <v>1.386578512691944E-2</v>
      </c>
      <c r="AQ15" s="26">
        <v>-3.7826594379919122E-2</v>
      </c>
      <c r="AR15" s="26">
        <v>2.0397996471123452E-3</v>
      </c>
      <c r="AS15" s="26">
        <v>0.1357503039005247</v>
      </c>
      <c r="AT15" s="26">
        <v>9.6260025474145652E-2</v>
      </c>
      <c r="AU15" s="26">
        <v>0.1098524283726847</v>
      </c>
      <c r="AV15" s="26">
        <v>5.4049591826809518E-2</v>
      </c>
      <c r="AW15" s="26">
        <v>9.1063555575025282E-2</v>
      </c>
      <c r="AX15" s="26">
        <v>-3.3959984777302832E-3</v>
      </c>
      <c r="AY15" s="26">
        <v>-7.119897332728195E-2</v>
      </c>
      <c r="AZ15" s="26">
        <v>-7.4040978527148166E-2</v>
      </c>
      <c r="BA15" s="26">
        <v>-0.1347483501299408</v>
      </c>
      <c r="BB15" s="26">
        <v>-0.18483968000529249</v>
      </c>
      <c r="BC15" s="26">
        <v>-0.17191627264560791</v>
      </c>
      <c r="BD15" s="26">
        <v>-0.19026124746966269</v>
      </c>
      <c r="BE15" s="26">
        <v>-0.18314878620084191</v>
      </c>
      <c r="BF15" s="26">
        <v>-0.1169061503080033</v>
      </c>
      <c r="BG15" s="26">
        <v>0.12330030316125749</v>
      </c>
      <c r="BH15" s="26">
        <v>0.15359621989951699</v>
      </c>
      <c r="BI15" s="26">
        <v>0.14035134075417011</v>
      </c>
      <c r="BJ15" s="26">
        <v>0.23465690016734941</v>
      </c>
      <c r="BK15" s="26">
        <v>0.2729537543891194</v>
      </c>
      <c r="BL15" s="26">
        <v>0.28953704776009159</v>
      </c>
      <c r="BM15" s="26">
        <v>5.9430813207467729E-2</v>
      </c>
      <c r="BN15" s="26">
        <v>0.12537867289131549</v>
      </c>
      <c r="BO15" s="26">
        <v>9.4402297988768397E-2</v>
      </c>
      <c r="BP15" s="26">
        <v>2.2123087244387041E-2</v>
      </c>
      <c r="BQ15" s="26">
        <v>3.8988347669411047E-2</v>
      </c>
      <c r="BR15" s="26">
        <v>3.9930685000121452E-2</v>
      </c>
      <c r="BS15" s="26">
        <v>4.2655091353802167E-2</v>
      </c>
      <c r="BT15" s="26">
        <v>3.6797176926708558E-2</v>
      </c>
      <c r="BU15" s="26">
        <v>7.6853980936937072E-2</v>
      </c>
      <c r="BV15" s="26">
        <v>8.6874653055629289E-2</v>
      </c>
      <c r="BW15" s="26">
        <v>4.5363248455846543E-2</v>
      </c>
      <c r="BX15" s="26">
        <v>3.359059787487173E-2</v>
      </c>
      <c r="BY15" s="26">
        <v>5.0840617964594763E-2</v>
      </c>
      <c r="BZ15" s="26">
        <v>9.0275438321156073E-2</v>
      </c>
      <c r="CA15" s="26">
        <v>9.5704210681912413E-2</v>
      </c>
      <c r="CB15" s="26">
        <v>0.1004237191891803</v>
      </c>
      <c r="CC15" s="26">
        <v>0.1341684898244323</v>
      </c>
      <c r="CD15" s="26">
        <v>6.9815281522896414E-2</v>
      </c>
      <c r="CE15" s="26">
        <v>5.3519808238351417E-2</v>
      </c>
      <c r="CF15" s="26">
        <v>-0.13786759520854391</v>
      </c>
      <c r="CG15" s="26">
        <v>-0.19353121275137081</v>
      </c>
      <c r="CH15" s="26">
        <v>-0.26226848017204002</v>
      </c>
      <c r="CI15" s="26">
        <v>-0.3621599917846654</v>
      </c>
      <c r="CJ15" s="26">
        <v>-0.17238616741213869</v>
      </c>
      <c r="CK15" s="26">
        <v>-0.24049517149258881</v>
      </c>
      <c r="CL15" s="26">
        <v>-2.9835663042383141E-2</v>
      </c>
      <c r="CM15" s="26">
        <v>4.8473891845623951E-2</v>
      </c>
      <c r="CN15" s="26">
        <v>3.9346739118729157E-2</v>
      </c>
      <c r="CO15" s="26">
        <v>0.1164079590468295</v>
      </c>
      <c r="CP15" s="26">
        <v>2.7954671930253121E-2</v>
      </c>
      <c r="CQ15" s="26">
        <v>0.11747759455583209</v>
      </c>
      <c r="CR15" s="26">
        <v>2.9545899327482559E-2</v>
      </c>
      <c r="CS15" s="26">
        <v>1.0751643579328309E-2</v>
      </c>
      <c r="CT15" s="26">
        <v>5.1099373345264383E-2</v>
      </c>
      <c r="CU15" s="26">
        <v>0.1082341816412679</v>
      </c>
      <c r="CV15" s="26">
        <v>0.10010509493954881</v>
      </c>
      <c r="CW15" s="26">
        <v>8.243585879334471E-2</v>
      </c>
      <c r="CX15" s="26">
        <v>0.14446651107932301</v>
      </c>
      <c r="CY15" s="26">
        <v>1.543497282917974E-2</v>
      </c>
      <c r="CZ15" s="26">
        <v>-6.8435941888257273E-2</v>
      </c>
      <c r="DA15" s="26">
        <v>-4.0885147588147007E-2</v>
      </c>
      <c r="DB15" s="26">
        <v>-9.0240152606780755E-2</v>
      </c>
      <c r="DC15" s="26">
        <v>-7.2910137230503241E-2</v>
      </c>
      <c r="DD15" s="26">
        <v>-7.4101523922137175E-2</v>
      </c>
      <c r="DE15" s="26">
        <v>-3.8176172495442889E-2</v>
      </c>
      <c r="DF15" s="26">
        <v>-8.0366391316806784E-2</v>
      </c>
      <c r="DG15" s="26">
        <v>-8.476282179701658E-2</v>
      </c>
      <c r="DH15" s="26">
        <v>4.5561825761215147E-2</v>
      </c>
      <c r="DI15" s="26">
        <v>1.528392919064096E-2</v>
      </c>
      <c r="DJ15" s="26">
        <v>-8.6368002330220212E-2</v>
      </c>
      <c r="DK15" s="26">
        <v>-8.3284992535386043E-2</v>
      </c>
      <c r="DL15" s="26">
        <v>-0.31070789680062177</v>
      </c>
      <c r="DM15" s="26">
        <v>-0.48915583017430442</v>
      </c>
      <c r="DN15" s="26">
        <v>-0.61713752149518741</v>
      </c>
      <c r="DO15" s="26">
        <v>-0.64241868762619436</v>
      </c>
      <c r="DP15" s="26">
        <v>-0.51612725116185121</v>
      </c>
      <c r="DQ15" s="26">
        <v>-0.53531007584853307</v>
      </c>
      <c r="DR15" s="26">
        <v>-0.2064125755835888</v>
      </c>
      <c r="DS15" s="26">
        <v>-3.676563839448474E-2</v>
      </c>
      <c r="DT15" s="26">
        <v>-2.1176359815958671E-2</v>
      </c>
      <c r="DU15" s="26">
        <v>-0.10998908800017081</v>
      </c>
      <c r="DV15" s="26">
        <v>-8.386624293692993E-2</v>
      </c>
      <c r="DW15" s="26">
        <v>-0.1762242698023504</v>
      </c>
      <c r="DX15" s="26">
        <v>-0.2504373293811597</v>
      </c>
      <c r="DY15" s="26">
        <v>-0.1513928108760241</v>
      </c>
      <c r="DZ15" s="26">
        <v>-0.1158377971666855</v>
      </c>
      <c r="EA15" s="26">
        <v>-5.6648240929698529E-2</v>
      </c>
      <c r="EB15" s="26">
        <v>3.4255181880149747E-2</v>
      </c>
      <c r="EC15" s="26">
        <v>-1.7395651008662891E-2</v>
      </c>
      <c r="ED15" s="26">
        <v>4.0598599233819838E-2</v>
      </c>
      <c r="EE15" s="26">
        <v>4.9896273549653668E-2</v>
      </c>
      <c r="EF15" s="26">
        <v>4.1656706453052278E-2</v>
      </c>
    </row>
    <row r="16" spans="1:137" ht="16" customHeight="1">
      <c r="A16" s="4"/>
    </row>
    <row r="17" spans="1:137" ht="16" customHeight="1">
      <c r="A17" s="41" t="s">
        <v>169</v>
      </c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7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  <c r="AI17" s="25"/>
      <c r="AJ17" s="25"/>
      <c r="AK17" s="25"/>
      <c r="AL17" s="25"/>
      <c r="AM17" s="25"/>
      <c r="AN17" s="25"/>
      <c r="AO17" s="25"/>
      <c r="AP17" s="25"/>
      <c r="AQ17" s="25"/>
      <c r="AR17" s="25"/>
      <c r="AS17" s="25"/>
      <c r="AT17" s="25"/>
      <c r="AU17" s="25"/>
      <c r="AV17" s="25"/>
      <c r="AW17" s="25"/>
      <c r="AX17" s="25"/>
      <c r="AY17" s="25"/>
      <c r="AZ17" s="25"/>
      <c r="BA17" s="25"/>
      <c r="BB17" s="2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M17" s="25"/>
      <c r="BN17" s="25"/>
      <c r="BO17" s="25"/>
      <c r="BP17" s="25"/>
      <c r="BQ17" s="25"/>
      <c r="BR17" s="25"/>
      <c r="BS17" s="25"/>
      <c r="BT17" s="25"/>
      <c r="BU17" s="25"/>
      <c r="BV17" s="25"/>
      <c r="BW17" s="25"/>
      <c r="BX17" s="25"/>
      <c r="BY17" s="25"/>
      <c r="BZ17" s="25"/>
      <c r="CA17" s="25"/>
      <c r="CB17" s="25"/>
      <c r="CC17" s="25"/>
      <c r="CD17" s="25"/>
      <c r="CE17" s="25"/>
      <c r="CF17" s="25"/>
      <c r="CG17" s="25"/>
      <c r="CH17" s="25"/>
      <c r="CI17" s="25"/>
      <c r="CJ17" s="25"/>
      <c r="CK17" s="25"/>
      <c r="CL17" s="25"/>
      <c r="CM17" s="25"/>
      <c r="CN17" s="25"/>
      <c r="CO17" s="25"/>
      <c r="CP17" s="25"/>
      <c r="CQ17" s="25"/>
      <c r="CR17" s="25"/>
      <c r="CS17" s="25"/>
      <c r="CT17" s="25"/>
      <c r="CU17" s="25"/>
      <c r="CV17" s="25"/>
      <c r="CW17" s="25"/>
      <c r="CX17" s="25"/>
      <c r="CY17" s="25"/>
      <c r="CZ17" s="25"/>
      <c r="DA17" s="25"/>
      <c r="DB17" s="25"/>
      <c r="DC17" s="25"/>
      <c r="DD17" s="25"/>
      <c r="DE17" s="25"/>
      <c r="DF17" s="25"/>
      <c r="DG17" s="25"/>
      <c r="DH17" s="25"/>
      <c r="DI17" s="25"/>
      <c r="DJ17" s="25"/>
      <c r="DK17" s="25"/>
      <c r="DL17" s="25"/>
      <c r="DM17" s="25"/>
      <c r="DN17" s="25"/>
      <c r="DO17" s="25"/>
      <c r="DP17" s="25"/>
      <c r="DQ17" s="25"/>
      <c r="DR17" s="25"/>
      <c r="DS17" s="25"/>
      <c r="DT17" s="25"/>
      <c r="DU17" s="25"/>
      <c r="DV17" s="25"/>
      <c r="DW17" s="25"/>
      <c r="DX17" s="25"/>
      <c r="DY17" s="25"/>
      <c r="DZ17" s="25"/>
      <c r="EA17" s="25"/>
      <c r="EB17" s="25"/>
      <c r="EC17" s="25"/>
      <c r="ED17" s="25"/>
      <c r="EE17" s="25"/>
      <c r="EF17" s="25"/>
      <c r="EG17" s="4"/>
    </row>
    <row r="18" spans="1:137" ht="17" customHeight="1">
      <c r="A18" s="25"/>
      <c r="B18" s="6" t="s">
        <v>1</v>
      </c>
      <c r="C18" s="39" t="s">
        <v>2</v>
      </c>
      <c r="D18" s="39" t="s">
        <v>3</v>
      </c>
      <c r="E18" s="39" t="s">
        <v>4</v>
      </c>
      <c r="F18" s="39" t="s">
        <v>5</v>
      </c>
      <c r="G18" s="39" t="s">
        <v>6</v>
      </c>
      <c r="H18" s="39" t="s">
        <v>7</v>
      </c>
      <c r="I18" s="39" t="s">
        <v>8</v>
      </c>
      <c r="J18" s="39" t="s">
        <v>9</v>
      </c>
      <c r="K18" s="39" t="s">
        <v>10</v>
      </c>
      <c r="L18" s="39" t="s">
        <v>11</v>
      </c>
      <c r="M18" s="39" t="s">
        <v>12</v>
      </c>
      <c r="N18" s="39" t="s">
        <v>13</v>
      </c>
      <c r="O18" s="39" t="s">
        <v>14</v>
      </c>
      <c r="P18" s="39" t="s">
        <v>15</v>
      </c>
      <c r="Q18" s="39" t="s">
        <v>16</v>
      </c>
      <c r="R18" s="39" t="s">
        <v>17</v>
      </c>
      <c r="S18" s="39" t="s">
        <v>18</v>
      </c>
      <c r="T18" s="39" t="s">
        <v>19</v>
      </c>
      <c r="U18" s="39" t="s">
        <v>20</v>
      </c>
      <c r="V18" s="39" t="s">
        <v>21</v>
      </c>
      <c r="W18" s="39" t="s">
        <v>22</v>
      </c>
      <c r="X18" s="39" t="s">
        <v>23</v>
      </c>
      <c r="Y18" s="39" t="s">
        <v>24</v>
      </c>
      <c r="Z18" s="39" t="s">
        <v>25</v>
      </c>
      <c r="AA18" s="39" t="s">
        <v>26</v>
      </c>
      <c r="AB18" s="39" t="s">
        <v>27</v>
      </c>
      <c r="AC18" s="39" t="s">
        <v>28</v>
      </c>
      <c r="AD18" s="39" t="s">
        <v>29</v>
      </c>
      <c r="AE18" s="39" t="s">
        <v>30</v>
      </c>
      <c r="AF18" s="39" t="s">
        <v>31</v>
      </c>
      <c r="AG18" s="39" t="s">
        <v>32</v>
      </c>
      <c r="AH18" s="39" t="s">
        <v>33</v>
      </c>
      <c r="AI18" s="39" t="s">
        <v>34</v>
      </c>
      <c r="AJ18" s="39" t="s">
        <v>35</v>
      </c>
      <c r="AK18" s="39" t="s">
        <v>36</v>
      </c>
      <c r="AL18" s="39" t="s">
        <v>37</v>
      </c>
      <c r="AM18" s="39" t="s">
        <v>38</v>
      </c>
      <c r="AN18" s="39" t="s">
        <v>39</v>
      </c>
      <c r="AO18" s="39" t="s">
        <v>40</v>
      </c>
      <c r="AP18" s="39" t="s">
        <v>41</v>
      </c>
      <c r="AQ18" s="39" t="s">
        <v>42</v>
      </c>
      <c r="AR18" s="39" t="s">
        <v>43</v>
      </c>
      <c r="AS18" s="39" t="s">
        <v>44</v>
      </c>
      <c r="AT18" s="39" t="s">
        <v>45</v>
      </c>
      <c r="AU18" s="39" t="s">
        <v>46</v>
      </c>
      <c r="AV18" s="39" t="s">
        <v>47</v>
      </c>
      <c r="AW18" s="39" t="s">
        <v>48</v>
      </c>
      <c r="AX18" s="39" t="s">
        <v>49</v>
      </c>
      <c r="AY18" s="39" t="s">
        <v>50</v>
      </c>
      <c r="AZ18" s="39" t="s">
        <v>51</v>
      </c>
      <c r="BA18" s="39" t="s">
        <v>52</v>
      </c>
      <c r="BB18" s="39" t="s">
        <v>53</v>
      </c>
      <c r="BC18" s="39" t="s">
        <v>54</v>
      </c>
      <c r="BD18" s="39" t="s">
        <v>55</v>
      </c>
      <c r="BE18" s="39" t="s">
        <v>56</v>
      </c>
      <c r="BF18" s="39" t="s">
        <v>57</v>
      </c>
      <c r="BG18" s="39" t="s">
        <v>58</v>
      </c>
      <c r="BH18" s="39" t="s">
        <v>59</v>
      </c>
      <c r="BI18" s="39" t="s">
        <v>60</v>
      </c>
      <c r="BJ18" s="39" t="s">
        <v>61</v>
      </c>
      <c r="BK18" s="39" t="s">
        <v>62</v>
      </c>
      <c r="BL18" s="39" t="s">
        <v>63</v>
      </c>
      <c r="BM18" s="39" t="s">
        <v>64</v>
      </c>
      <c r="BN18" s="39" t="s">
        <v>65</v>
      </c>
      <c r="BO18" s="39" t="s">
        <v>66</v>
      </c>
      <c r="BP18" s="39" t="s">
        <v>67</v>
      </c>
      <c r="BQ18" s="39" t="s">
        <v>68</v>
      </c>
      <c r="BR18" s="39" t="s">
        <v>69</v>
      </c>
      <c r="BS18" s="39" t="s">
        <v>70</v>
      </c>
      <c r="BT18" s="39" t="s">
        <v>71</v>
      </c>
      <c r="BU18" s="39" t="s">
        <v>72</v>
      </c>
      <c r="BV18" s="39" t="s">
        <v>73</v>
      </c>
      <c r="BW18" s="39" t="s">
        <v>74</v>
      </c>
      <c r="BX18" s="39" t="s">
        <v>75</v>
      </c>
      <c r="BY18" s="39" t="s">
        <v>76</v>
      </c>
      <c r="BZ18" s="39" t="s">
        <v>77</v>
      </c>
      <c r="CA18" s="39" t="s">
        <v>78</v>
      </c>
      <c r="CB18" s="39" t="s">
        <v>79</v>
      </c>
      <c r="CC18" s="39" t="s">
        <v>80</v>
      </c>
      <c r="CD18" s="39" t="s">
        <v>81</v>
      </c>
      <c r="CE18" s="39" t="s">
        <v>82</v>
      </c>
      <c r="CF18" s="39" t="s">
        <v>83</v>
      </c>
      <c r="CG18" s="39" t="s">
        <v>84</v>
      </c>
      <c r="CH18" s="39" t="s">
        <v>85</v>
      </c>
      <c r="CI18" s="39" t="s">
        <v>86</v>
      </c>
      <c r="CJ18" s="39" t="s">
        <v>87</v>
      </c>
      <c r="CK18" s="39" t="s">
        <v>88</v>
      </c>
      <c r="CL18" s="39" t="s">
        <v>89</v>
      </c>
      <c r="CM18" s="39" t="s">
        <v>90</v>
      </c>
      <c r="CN18" s="39" t="s">
        <v>91</v>
      </c>
      <c r="CO18" s="39" t="s">
        <v>92</v>
      </c>
      <c r="CP18" s="39" t="s">
        <v>93</v>
      </c>
      <c r="CQ18" s="39" t="s">
        <v>94</v>
      </c>
      <c r="CR18" s="39" t="s">
        <v>95</v>
      </c>
      <c r="CS18" s="39" t="s">
        <v>96</v>
      </c>
      <c r="CT18" s="39" t="s">
        <v>97</v>
      </c>
      <c r="CU18" s="39" t="s">
        <v>98</v>
      </c>
      <c r="CV18" s="39" t="s">
        <v>99</v>
      </c>
      <c r="CW18" s="39" t="s">
        <v>100</v>
      </c>
      <c r="CX18" s="39" t="s">
        <v>101</v>
      </c>
      <c r="CY18" s="39" t="s">
        <v>102</v>
      </c>
      <c r="CZ18" s="39" t="s">
        <v>103</v>
      </c>
      <c r="DA18" s="39" t="s">
        <v>104</v>
      </c>
      <c r="DB18" s="39" t="s">
        <v>105</v>
      </c>
      <c r="DC18" s="39" t="s">
        <v>106</v>
      </c>
      <c r="DD18" s="39" t="s">
        <v>107</v>
      </c>
      <c r="DE18" s="39" t="s">
        <v>108</v>
      </c>
      <c r="DF18" s="39" t="s">
        <v>109</v>
      </c>
      <c r="DG18" s="39" t="s">
        <v>110</v>
      </c>
      <c r="DH18" s="39" t="s">
        <v>111</v>
      </c>
      <c r="DI18" s="39" t="s">
        <v>112</v>
      </c>
      <c r="DJ18" s="39" t="s">
        <v>113</v>
      </c>
      <c r="DK18" s="39" t="s">
        <v>114</v>
      </c>
      <c r="DL18" s="39" t="s">
        <v>115</v>
      </c>
      <c r="DM18" s="39" t="s">
        <v>116</v>
      </c>
      <c r="DN18" s="39" t="s">
        <v>117</v>
      </c>
      <c r="DO18" s="39" t="s">
        <v>118</v>
      </c>
      <c r="DP18" s="39" t="s">
        <v>119</v>
      </c>
      <c r="DQ18" s="39" t="s">
        <v>120</v>
      </c>
      <c r="DR18" s="39" t="s">
        <v>121</v>
      </c>
      <c r="DS18" s="39" t="s">
        <v>122</v>
      </c>
      <c r="DT18" s="39" t="s">
        <v>123</v>
      </c>
      <c r="DU18" s="39" t="s">
        <v>124</v>
      </c>
      <c r="DV18" s="39" t="s">
        <v>125</v>
      </c>
      <c r="DW18" s="39" t="s">
        <v>126</v>
      </c>
      <c r="DX18" s="39" t="s">
        <v>127</v>
      </c>
      <c r="DY18" s="39" t="s">
        <v>128</v>
      </c>
      <c r="DZ18" s="39" t="s">
        <v>129</v>
      </c>
      <c r="EA18" s="39" t="s">
        <v>130</v>
      </c>
      <c r="EB18" s="39" t="s">
        <v>131</v>
      </c>
      <c r="EC18" s="39" t="s">
        <v>132</v>
      </c>
      <c r="ED18" s="40" t="s">
        <v>133</v>
      </c>
      <c r="EE18" s="39" t="s">
        <v>134</v>
      </c>
      <c r="EF18" s="39" t="s">
        <v>135</v>
      </c>
      <c r="EG18" s="4"/>
    </row>
    <row r="19" spans="1:137" ht="16" customHeight="1">
      <c r="A19" s="25"/>
      <c r="B19" s="23" t="s">
        <v>136</v>
      </c>
      <c r="C19" s="26">
        <f t="shared" ref="C19:AH19" si="0">(C3-C11)^2</f>
        <v>1.5787697043011306E-2</v>
      </c>
      <c r="D19" s="26">
        <f t="shared" si="0"/>
        <v>3.4306132110105132E-3</v>
      </c>
      <c r="E19" s="26">
        <f t="shared" si="0"/>
        <v>3.1666352992471024E-2</v>
      </c>
      <c r="F19" s="26">
        <f t="shared" si="0"/>
        <v>4.1903755032521202E-3</v>
      </c>
      <c r="G19" s="26">
        <f t="shared" si="0"/>
        <v>7.0151609461899711E-4</v>
      </c>
      <c r="H19" s="26">
        <f t="shared" si="0"/>
        <v>2.0019569741254762E-4</v>
      </c>
      <c r="I19" s="26">
        <f t="shared" si="0"/>
        <v>1.3501269676068135E-2</v>
      </c>
      <c r="J19" s="26">
        <f t="shared" si="0"/>
        <v>1.6651825242121414E-6</v>
      </c>
      <c r="K19" s="26">
        <f t="shared" si="0"/>
        <v>5.0942577244850939E-3</v>
      </c>
      <c r="L19" s="26">
        <f t="shared" si="0"/>
        <v>2.1450443845947072E-3</v>
      </c>
      <c r="M19" s="26">
        <f t="shared" si="0"/>
        <v>1.5809945409140749E-3</v>
      </c>
      <c r="N19" s="26">
        <f t="shared" si="0"/>
        <v>2.2160131622107437E-3</v>
      </c>
      <c r="O19" s="26">
        <f t="shared" si="0"/>
        <v>2.182000801323514E-5</v>
      </c>
      <c r="P19" s="26">
        <f t="shared" si="0"/>
        <v>1.6040120002519978E-3</v>
      </c>
      <c r="Q19" s="26">
        <f t="shared" si="0"/>
        <v>5.0319238013477692E-3</v>
      </c>
      <c r="R19" s="26">
        <f t="shared" si="0"/>
        <v>1.6029833355716676E-3</v>
      </c>
      <c r="S19" s="26">
        <f t="shared" si="0"/>
        <v>5.0766010921165475E-4</v>
      </c>
      <c r="T19" s="26">
        <f t="shared" si="0"/>
        <v>9.9087649885346053E-3</v>
      </c>
      <c r="U19" s="26">
        <f t="shared" si="0"/>
        <v>2.2616298879994185E-4</v>
      </c>
      <c r="V19" s="26">
        <f t="shared" si="0"/>
        <v>6.4564684776788917E-5</v>
      </c>
      <c r="W19" s="26">
        <f t="shared" si="0"/>
        <v>7.3788326280520445E-3</v>
      </c>
      <c r="X19" s="26">
        <f t="shared" si="0"/>
        <v>9.9205384815486569E-4</v>
      </c>
      <c r="Y19" s="26">
        <f t="shared" si="0"/>
        <v>1.8933164622100909E-3</v>
      </c>
      <c r="Z19" s="26">
        <f t="shared" si="0"/>
        <v>3.3506746731554551E-4</v>
      </c>
      <c r="AA19" s="26">
        <f t="shared" si="0"/>
        <v>9.2996461055516854E-3</v>
      </c>
      <c r="AB19" s="26">
        <f t="shared" si="0"/>
        <v>7.595324190835113E-3</v>
      </c>
      <c r="AC19" s="26">
        <f t="shared" si="0"/>
        <v>1.0140351961411845E-4</v>
      </c>
      <c r="AD19" s="26">
        <f t="shared" si="0"/>
        <v>4.2813696666643168E-3</v>
      </c>
      <c r="AE19" s="26">
        <f t="shared" si="0"/>
        <v>3.8535618893839011E-4</v>
      </c>
      <c r="AF19" s="26">
        <f t="shared" si="0"/>
        <v>2.3833423210227536E-3</v>
      </c>
      <c r="AG19" s="26">
        <f t="shared" si="0"/>
        <v>3.6017802368659128E-8</v>
      </c>
      <c r="AH19" s="26">
        <f t="shared" si="0"/>
        <v>8.8702194724017908E-4</v>
      </c>
      <c r="AI19" s="26">
        <f t="shared" ref="AI19:BN19" si="1">(AI3-AI11)^2</f>
        <v>2.4306326118407823E-3</v>
      </c>
      <c r="AJ19" s="26">
        <f t="shared" si="1"/>
        <v>1.6770402990289991E-3</v>
      </c>
      <c r="AK19" s="26">
        <f t="shared" si="1"/>
        <v>2.0953707331389207E-3</v>
      </c>
      <c r="AL19" s="26">
        <f t="shared" si="1"/>
        <v>1.3122142348809553E-3</v>
      </c>
      <c r="AM19" s="26">
        <f t="shared" si="1"/>
        <v>7.4540994038196958E-5</v>
      </c>
      <c r="AN19" s="26">
        <f t="shared" si="1"/>
        <v>1.1819832296797046E-4</v>
      </c>
      <c r="AO19" s="26">
        <f t="shared" si="1"/>
        <v>6.8218146392744717E-3</v>
      </c>
      <c r="AP19" s="26">
        <f t="shared" si="1"/>
        <v>8.9552864116532576E-6</v>
      </c>
      <c r="AQ19" s="26">
        <f t="shared" si="1"/>
        <v>2.1161921148206198E-2</v>
      </c>
      <c r="AR19" s="26">
        <f t="shared" si="1"/>
        <v>6.300813188855562E-3</v>
      </c>
      <c r="AS19" s="26">
        <f t="shared" si="1"/>
        <v>2.1816261370699872E-3</v>
      </c>
      <c r="AT19" s="26">
        <f t="shared" si="1"/>
        <v>5.6304328586206254E-3</v>
      </c>
      <c r="AU19" s="26">
        <f t="shared" si="1"/>
        <v>2.3140888906985112E-3</v>
      </c>
      <c r="AV19" s="26">
        <f t="shared" si="1"/>
        <v>1.341610518961688E-4</v>
      </c>
      <c r="AW19" s="26">
        <f t="shared" si="1"/>
        <v>1.6730550326348624E-3</v>
      </c>
      <c r="AX19" s="26">
        <f t="shared" si="1"/>
        <v>7.195570950799487E-4</v>
      </c>
      <c r="AY19" s="26">
        <f t="shared" si="1"/>
        <v>4.5293210255766354E-7</v>
      </c>
      <c r="AZ19" s="26">
        <f t="shared" si="1"/>
        <v>4.0690759860972251E-5</v>
      </c>
      <c r="BA19" s="26">
        <f t="shared" si="1"/>
        <v>6.8375944441708094E-6</v>
      </c>
      <c r="BB19" s="26">
        <f t="shared" si="1"/>
        <v>2.5188350875892137E-7</v>
      </c>
      <c r="BC19" s="26">
        <f t="shared" si="1"/>
        <v>4.5119542043409763E-4</v>
      </c>
      <c r="BD19" s="26">
        <f t="shared" si="1"/>
        <v>3.7599301352252649E-3</v>
      </c>
      <c r="BE19" s="26">
        <f t="shared" si="1"/>
        <v>1.6863724633694864E-3</v>
      </c>
      <c r="BF19" s="26">
        <f t="shared" si="1"/>
        <v>3.0139463125182224E-5</v>
      </c>
      <c r="BG19" s="26">
        <f t="shared" si="1"/>
        <v>2.317510521316987E-3</v>
      </c>
      <c r="BH19" s="26">
        <f t="shared" si="1"/>
        <v>6.0791149617300966E-3</v>
      </c>
      <c r="BI19" s="26">
        <f t="shared" si="1"/>
        <v>4.7677487058072178E-3</v>
      </c>
      <c r="BJ19" s="26">
        <f t="shared" si="1"/>
        <v>3.2839346004396347E-5</v>
      </c>
      <c r="BK19" s="26">
        <f t="shared" si="1"/>
        <v>2.3259111452157812E-3</v>
      </c>
      <c r="BL19" s="26">
        <f t="shared" si="1"/>
        <v>5.1153588358246085E-5</v>
      </c>
      <c r="BM19" s="26">
        <f t="shared" si="1"/>
        <v>1.8146435240938856E-3</v>
      </c>
      <c r="BN19" s="26">
        <f t="shared" si="1"/>
        <v>2.8255274763359142E-5</v>
      </c>
      <c r="BO19" s="26">
        <f t="shared" ref="BO19:CT19" si="2">(BO3-BO11)^2</f>
        <v>1.7638661901900254E-4</v>
      </c>
      <c r="BP19" s="26">
        <f t="shared" si="2"/>
        <v>1.3985654499645663E-3</v>
      </c>
      <c r="BQ19" s="26">
        <f t="shared" si="2"/>
        <v>1.9528653028636784E-3</v>
      </c>
      <c r="BR19" s="26">
        <f t="shared" si="2"/>
        <v>3.3760385437349877E-4</v>
      </c>
      <c r="BS19" s="26">
        <f t="shared" si="2"/>
        <v>2.0310403114837303E-3</v>
      </c>
      <c r="BT19" s="26">
        <f t="shared" si="2"/>
        <v>9.7746605649606936E-7</v>
      </c>
      <c r="BU19" s="26">
        <f t="shared" si="2"/>
        <v>2.7892429055682415E-4</v>
      </c>
      <c r="BV19" s="26">
        <f t="shared" si="2"/>
        <v>1.5217474846553295E-6</v>
      </c>
      <c r="BW19" s="26">
        <f t="shared" si="2"/>
        <v>4.4514827413281574E-3</v>
      </c>
      <c r="BX19" s="26">
        <f t="shared" si="2"/>
        <v>1.5415263212872554E-3</v>
      </c>
      <c r="BY19" s="26">
        <f t="shared" si="2"/>
        <v>2.2245493232362348E-3</v>
      </c>
      <c r="BZ19" s="26">
        <f t="shared" si="2"/>
        <v>3.4678157626401139E-4</v>
      </c>
      <c r="CA19" s="26">
        <f t="shared" si="2"/>
        <v>1.3750359812769619E-2</v>
      </c>
      <c r="CB19" s="26">
        <f t="shared" si="2"/>
        <v>1.4690191394902329E-5</v>
      </c>
      <c r="CC19" s="26">
        <f t="shared" si="2"/>
        <v>2.0504565005012862E-3</v>
      </c>
      <c r="CD19" s="26">
        <f t="shared" si="2"/>
        <v>1.114798012326853E-3</v>
      </c>
      <c r="CE19" s="26">
        <f t="shared" si="2"/>
        <v>8.1455517795240122E-3</v>
      </c>
      <c r="CF19" s="26">
        <f t="shared" si="2"/>
        <v>2.3992895164288907E-4</v>
      </c>
      <c r="CG19" s="26">
        <f t="shared" si="2"/>
        <v>7.6241271238096354E-4</v>
      </c>
      <c r="CH19" s="26">
        <f t="shared" si="2"/>
        <v>2.3330235764844921E-3</v>
      </c>
      <c r="CI19" s="26">
        <f t="shared" si="2"/>
        <v>9.0568123628556824E-4</v>
      </c>
      <c r="CJ19" s="26">
        <f t="shared" si="2"/>
        <v>2.0064282478951594E-4</v>
      </c>
      <c r="CK19" s="26">
        <f t="shared" si="2"/>
        <v>3.112640571689564E-3</v>
      </c>
      <c r="CL19" s="26">
        <f t="shared" si="2"/>
        <v>3.0468552401132377E-4</v>
      </c>
      <c r="CM19" s="26">
        <f t="shared" si="2"/>
        <v>4.5092516926322081E-4</v>
      </c>
      <c r="CN19" s="26">
        <f t="shared" si="2"/>
        <v>1.4951554019724277E-5</v>
      </c>
      <c r="CO19" s="26">
        <f t="shared" si="2"/>
        <v>2.6516261109186624E-2</v>
      </c>
      <c r="CP19" s="26">
        <f t="shared" si="2"/>
        <v>2.9265794455495133E-4</v>
      </c>
      <c r="CQ19" s="26">
        <f t="shared" si="2"/>
        <v>6.0894114048323301E-4</v>
      </c>
      <c r="CR19" s="26">
        <f t="shared" si="2"/>
        <v>5.9598739613060518E-4</v>
      </c>
      <c r="CS19" s="26">
        <f t="shared" si="2"/>
        <v>4.909034978078829E-5</v>
      </c>
      <c r="CT19" s="26">
        <f t="shared" si="2"/>
        <v>1.6481044389146209E-3</v>
      </c>
      <c r="CU19" s="26">
        <f t="shared" ref="CU19:DZ19" si="3">(CU3-CU11)^2</f>
        <v>1.3973734966653741E-3</v>
      </c>
      <c r="CV19" s="26">
        <f t="shared" si="3"/>
        <v>1.5565239123791631E-3</v>
      </c>
      <c r="CW19" s="26">
        <f t="shared" si="3"/>
        <v>6.6459518820880323E-5</v>
      </c>
      <c r="CX19" s="26">
        <f t="shared" si="3"/>
        <v>6.0984306194849687E-3</v>
      </c>
      <c r="CY19" s="26">
        <f t="shared" si="3"/>
        <v>2.7529319293959113E-6</v>
      </c>
      <c r="CZ19" s="26">
        <f t="shared" si="3"/>
        <v>1.4523975517589276E-4</v>
      </c>
      <c r="DA19" s="26">
        <f t="shared" si="3"/>
        <v>1.0465406001422517E-3</v>
      </c>
      <c r="DB19" s="26">
        <f t="shared" si="3"/>
        <v>9.2542880202426027E-6</v>
      </c>
      <c r="DC19" s="26">
        <f t="shared" si="3"/>
        <v>1.7970266807969511E-3</v>
      </c>
      <c r="DD19" s="26">
        <f t="shared" si="3"/>
        <v>5.9084209752009323E-3</v>
      </c>
      <c r="DE19" s="26">
        <f t="shared" si="3"/>
        <v>5.9480721783272787E-3</v>
      </c>
      <c r="DF19" s="26">
        <f t="shared" si="3"/>
        <v>2.0032917912527247E-3</v>
      </c>
      <c r="DG19" s="26">
        <f t="shared" si="3"/>
        <v>1.9676611600368227E-4</v>
      </c>
      <c r="DH19" s="26">
        <f t="shared" si="3"/>
        <v>3.6084691589550096E-5</v>
      </c>
      <c r="DI19" s="26">
        <f t="shared" si="3"/>
        <v>1.1635533247547018E-2</v>
      </c>
      <c r="DJ19" s="26">
        <f t="shared" si="3"/>
        <v>3.2450670225429557E-3</v>
      </c>
      <c r="DK19" s="26">
        <f t="shared" si="3"/>
        <v>1.7394890675423954E-3</v>
      </c>
      <c r="DL19" s="26">
        <f t="shared" si="3"/>
        <v>1.9551436100011144E-5</v>
      </c>
      <c r="DM19" s="26">
        <f t="shared" si="3"/>
        <v>2.1740095654780968E-3</v>
      </c>
      <c r="DN19" s="26">
        <f t="shared" si="3"/>
        <v>3.58694595412231E-3</v>
      </c>
      <c r="DO19" s="26">
        <f t="shared" si="3"/>
        <v>6.8519700036792702E-3</v>
      </c>
      <c r="DP19" s="26">
        <f t="shared" si="3"/>
        <v>7.6575259240366919E-3</v>
      </c>
      <c r="DQ19" s="26">
        <f t="shared" si="3"/>
        <v>1.8769370731046728E-4</v>
      </c>
      <c r="DR19" s="26">
        <f t="shared" si="3"/>
        <v>7.7122685592983628E-5</v>
      </c>
      <c r="DS19" s="26">
        <f t="shared" si="3"/>
        <v>6.1317163423143454E-4</v>
      </c>
      <c r="DT19" s="26">
        <f t="shared" si="3"/>
        <v>1.3771224198774771E-3</v>
      </c>
      <c r="DU19" s="26">
        <f t="shared" si="3"/>
        <v>1.7211957692292396E-3</v>
      </c>
      <c r="DV19" s="26">
        <f t="shared" si="3"/>
        <v>4.007831584902256E-4</v>
      </c>
      <c r="DW19" s="26">
        <f t="shared" si="3"/>
        <v>3.481184931173944E-6</v>
      </c>
      <c r="DX19" s="26">
        <f t="shared" si="3"/>
        <v>4.2050683100798335E-3</v>
      </c>
      <c r="DY19" s="26">
        <f t="shared" si="3"/>
        <v>4.6750157182210246E-3</v>
      </c>
      <c r="DZ19" s="26">
        <f t="shared" si="3"/>
        <v>7.8934064922424031E-5</v>
      </c>
      <c r="EA19" s="26">
        <f t="shared" ref="EA19:EF19" si="4">(EA3-EA11)^2</f>
        <v>1.0714207527811018E-3</v>
      </c>
      <c r="EB19" s="26">
        <f t="shared" si="4"/>
        <v>1.4138306633531218E-3</v>
      </c>
      <c r="EC19" s="26">
        <f t="shared" si="4"/>
        <v>2.0272706310093158E-3</v>
      </c>
      <c r="ED19" s="26">
        <f t="shared" si="4"/>
        <v>3.6757802843643118E-4</v>
      </c>
      <c r="EE19" s="26">
        <f t="shared" si="4"/>
        <v>6.1327007532268512E-4</v>
      </c>
      <c r="EF19" s="26">
        <f t="shared" si="4"/>
        <v>5.4801203714641309E-3</v>
      </c>
      <c r="EG19" s="4"/>
    </row>
    <row r="20" spans="1:137" ht="16" customHeight="1">
      <c r="A20" s="25"/>
      <c r="B20" s="23" t="s">
        <v>137</v>
      </c>
      <c r="C20" s="26">
        <f t="shared" ref="C20:AH20" si="5">(C4-C12)^2</f>
        <v>4.6456839511037705E-2</v>
      </c>
      <c r="D20" s="26">
        <f t="shared" si="5"/>
        <v>6.5670074900027686E-2</v>
      </c>
      <c r="E20" s="26">
        <f t="shared" si="5"/>
        <v>7.4360079037947099E-2</v>
      </c>
      <c r="F20" s="26">
        <f t="shared" si="5"/>
        <v>0.11433411244931382</v>
      </c>
      <c r="G20" s="26">
        <f t="shared" si="5"/>
        <v>4.2820200961439847E-2</v>
      </c>
      <c r="H20" s="26">
        <f t="shared" si="5"/>
        <v>0.31893707751819461</v>
      </c>
      <c r="I20" s="26">
        <f t="shared" si="5"/>
        <v>0.42800463678905221</v>
      </c>
      <c r="J20" s="26">
        <f t="shared" si="5"/>
        <v>0.36342845714871758</v>
      </c>
      <c r="K20" s="26">
        <f t="shared" si="5"/>
        <v>0.75084056885962569</v>
      </c>
      <c r="L20" s="26">
        <f t="shared" si="5"/>
        <v>0.14600582144063068</v>
      </c>
      <c r="M20" s="26">
        <f t="shared" si="5"/>
        <v>0.3883885699467487</v>
      </c>
      <c r="N20" s="26">
        <f t="shared" si="5"/>
        <v>8.6725102690808492E-2</v>
      </c>
      <c r="O20" s="26">
        <f t="shared" si="5"/>
        <v>0.12081321863930433</v>
      </c>
      <c r="P20" s="26">
        <f t="shared" si="5"/>
        <v>2.9898428753242397E-2</v>
      </c>
      <c r="Q20" s="26">
        <f t="shared" si="5"/>
        <v>1.8051220655528447E-2</v>
      </c>
      <c r="R20" s="26">
        <f t="shared" si="5"/>
        <v>4.1097761014633388E-2</v>
      </c>
      <c r="S20" s="26">
        <f t="shared" si="5"/>
        <v>2.7005151321413189E-2</v>
      </c>
      <c r="T20" s="26">
        <f t="shared" si="5"/>
        <v>1.807535401953066E-2</v>
      </c>
      <c r="U20" s="26">
        <f t="shared" si="5"/>
        <v>5.1051875074514808E-2</v>
      </c>
      <c r="V20" s="26">
        <f t="shared" si="5"/>
        <v>9.6839765109792246E-3</v>
      </c>
      <c r="W20" s="26">
        <f t="shared" si="5"/>
        <v>2.630622491179525E-3</v>
      </c>
      <c r="X20" s="26">
        <f t="shared" si="5"/>
        <v>7.1621050473993364E-2</v>
      </c>
      <c r="Y20" s="26">
        <f t="shared" si="5"/>
        <v>0.15695689794531659</v>
      </c>
      <c r="Z20" s="26">
        <f t="shared" si="5"/>
        <v>0.14382413025523588</v>
      </c>
      <c r="AA20" s="26">
        <f t="shared" si="5"/>
        <v>0.18194151916035467</v>
      </c>
      <c r="AB20" s="26">
        <f t="shared" si="5"/>
        <v>0.18455535003047438</v>
      </c>
      <c r="AC20" s="26">
        <f t="shared" si="5"/>
        <v>0.10717468453909185</v>
      </c>
      <c r="AD20" s="26">
        <f t="shared" si="5"/>
        <v>4.6437650882588381E-2</v>
      </c>
      <c r="AE20" s="26">
        <f t="shared" si="5"/>
        <v>1.3907271754114605E-2</v>
      </c>
      <c r="AF20" s="26">
        <f t="shared" si="5"/>
        <v>2.2184030495803666E-2</v>
      </c>
      <c r="AG20" s="26">
        <f t="shared" si="5"/>
        <v>3.8565415792256155E-2</v>
      </c>
      <c r="AH20" s="26">
        <f t="shared" si="5"/>
        <v>6.1761604270127612E-2</v>
      </c>
      <c r="AI20" s="26">
        <f t="shared" ref="AI20:BN20" si="6">(AI4-AI12)^2</f>
        <v>2.2821865060193736E-2</v>
      </c>
      <c r="AJ20" s="26">
        <f t="shared" si="6"/>
        <v>2.3161780250441576E-3</v>
      </c>
      <c r="AK20" s="26">
        <f t="shared" si="6"/>
        <v>5.0989168477771612E-3</v>
      </c>
      <c r="AL20" s="26">
        <f t="shared" si="6"/>
        <v>8.7393774611267579E-3</v>
      </c>
      <c r="AM20" s="26">
        <f t="shared" si="6"/>
        <v>3.0324444467014211E-2</v>
      </c>
      <c r="AN20" s="26">
        <f t="shared" si="6"/>
        <v>0.11876717473758805</v>
      </c>
      <c r="AO20" s="26">
        <f t="shared" si="6"/>
        <v>0.14274070219431409</v>
      </c>
      <c r="AP20" s="26">
        <f t="shared" si="6"/>
        <v>8.2594170078777146E-2</v>
      </c>
      <c r="AQ20" s="26">
        <f t="shared" si="6"/>
        <v>9.4129152926656509E-2</v>
      </c>
      <c r="AR20" s="26">
        <f t="shared" si="6"/>
        <v>8.8706285283587996E-2</v>
      </c>
      <c r="AS20" s="26">
        <f t="shared" si="6"/>
        <v>9.4791018531674043E-2</v>
      </c>
      <c r="AT20" s="26">
        <f t="shared" si="6"/>
        <v>7.8760320299235353E-2</v>
      </c>
      <c r="AU20" s="26">
        <f t="shared" si="6"/>
        <v>3.3791617582146008E-2</v>
      </c>
      <c r="AV20" s="26">
        <f t="shared" si="6"/>
        <v>1.5871225888721672E-2</v>
      </c>
      <c r="AW20" s="26">
        <f t="shared" si="6"/>
        <v>2.6679890736492618E-2</v>
      </c>
      <c r="AX20" s="26">
        <f t="shared" si="6"/>
        <v>6.7459560065666942E-4</v>
      </c>
      <c r="AY20" s="26">
        <f t="shared" si="6"/>
        <v>9.8748776639191495E-3</v>
      </c>
      <c r="AZ20" s="26">
        <f t="shared" si="6"/>
        <v>3.7884917509694624E-2</v>
      </c>
      <c r="BA20" s="26">
        <f t="shared" si="6"/>
        <v>8.9851233409062002E-3</v>
      </c>
      <c r="BB20" s="26">
        <f t="shared" si="6"/>
        <v>8.3815808569536748E-5</v>
      </c>
      <c r="BC20" s="26">
        <f t="shared" si="6"/>
        <v>4.0313613049945185E-2</v>
      </c>
      <c r="BD20" s="26">
        <f t="shared" si="6"/>
        <v>3.1927950838823972E-2</v>
      </c>
      <c r="BE20" s="26">
        <f t="shared" si="6"/>
        <v>5.0971343123116103E-2</v>
      </c>
      <c r="BF20" s="26">
        <f t="shared" si="6"/>
        <v>3.2912929549442131E-2</v>
      </c>
      <c r="BG20" s="26">
        <f t="shared" si="6"/>
        <v>3.1116942863435745E-2</v>
      </c>
      <c r="BH20" s="26">
        <f t="shared" si="6"/>
        <v>5.7026224624713164E-2</v>
      </c>
      <c r="BI20" s="26">
        <f t="shared" si="6"/>
        <v>7.5282514922515434E-2</v>
      </c>
      <c r="BJ20" s="26">
        <f t="shared" si="6"/>
        <v>8.1574577811134627E-2</v>
      </c>
      <c r="BK20" s="26">
        <f t="shared" si="6"/>
        <v>3.8367646782079524E-2</v>
      </c>
      <c r="BL20" s="26">
        <f t="shared" si="6"/>
        <v>2.4058026857581025E-3</v>
      </c>
      <c r="BM20" s="26">
        <f t="shared" si="6"/>
        <v>7.5422048288138069E-3</v>
      </c>
      <c r="BN20" s="26">
        <f t="shared" si="6"/>
        <v>2.7377337370945227E-4</v>
      </c>
      <c r="BO20" s="26">
        <f t="shared" ref="BO20:CT20" si="7">(BO4-BO12)^2</f>
        <v>1.1292045617992063E-3</v>
      </c>
      <c r="BP20" s="26">
        <f t="shared" si="7"/>
        <v>4.5108573831605832E-3</v>
      </c>
      <c r="BQ20" s="26">
        <f t="shared" si="7"/>
        <v>5.9035691311694442E-3</v>
      </c>
      <c r="BR20" s="26">
        <f t="shared" si="7"/>
        <v>1.3544348656675651E-2</v>
      </c>
      <c r="BS20" s="26">
        <f t="shared" si="7"/>
        <v>2.7642299984403498E-2</v>
      </c>
      <c r="BT20" s="26">
        <f t="shared" si="7"/>
        <v>1.2986012548164569E-3</v>
      </c>
      <c r="BU20" s="26">
        <f t="shared" si="7"/>
        <v>2.3416215258253051E-4</v>
      </c>
      <c r="BV20" s="26">
        <f t="shared" si="7"/>
        <v>3.5599594297305408E-2</v>
      </c>
      <c r="BW20" s="26">
        <f t="shared" si="7"/>
        <v>3.4725545729508687E-3</v>
      </c>
      <c r="BX20" s="26">
        <f t="shared" si="7"/>
        <v>1.0451618239571941E-3</v>
      </c>
      <c r="BY20" s="26">
        <f t="shared" si="7"/>
        <v>2.4972728138208961E-3</v>
      </c>
      <c r="BZ20" s="26">
        <f t="shared" si="7"/>
        <v>5.2413387131792187E-3</v>
      </c>
      <c r="CA20" s="26">
        <f t="shared" si="7"/>
        <v>4.9690703881486008E-3</v>
      </c>
      <c r="CB20" s="26">
        <f t="shared" si="7"/>
        <v>3.5904840442026721E-2</v>
      </c>
      <c r="CC20" s="26">
        <f t="shared" si="7"/>
        <v>1.8841102514207075E-2</v>
      </c>
      <c r="CD20" s="26">
        <f t="shared" si="7"/>
        <v>1.260143453492331E-2</v>
      </c>
      <c r="CE20" s="26">
        <f t="shared" si="7"/>
        <v>5.5206404874766244E-3</v>
      </c>
      <c r="CF20" s="26">
        <f t="shared" si="7"/>
        <v>9.8799776919074539E-4</v>
      </c>
      <c r="CG20" s="26">
        <f t="shared" si="7"/>
        <v>2.5605699307388447E-2</v>
      </c>
      <c r="CH20" s="26">
        <f t="shared" si="7"/>
        <v>2.5118196825938924E-2</v>
      </c>
      <c r="CI20" s="26">
        <f t="shared" si="7"/>
        <v>3.1334396915610983E-2</v>
      </c>
      <c r="CJ20" s="26">
        <f t="shared" si="7"/>
        <v>3.2979883767894095E-3</v>
      </c>
      <c r="CK20" s="26">
        <f t="shared" si="7"/>
        <v>3.9423803104925902E-2</v>
      </c>
      <c r="CL20" s="26">
        <f t="shared" si="7"/>
        <v>1.8110215931153376E-2</v>
      </c>
      <c r="CM20" s="26">
        <f t="shared" si="7"/>
        <v>3.9017236695319764E-2</v>
      </c>
      <c r="CN20" s="26">
        <f t="shared" si="7"/>
        <v>1.1808324906717431E-2</v>
      </c>
      <c r="CO20" s="26">
        <f t="shared" si="7"/>
        <v>4.1312253066519228E-2</v>
      </c>
      <c r="CP20" s="26">
        <f t="shared" si="7"/>
        <v>4.3576371437583576E-2</v>
      </c>
      <c r="CQ20" s="26">
        <f t="shared" si="7"/>
        <v>6.0790243714699309E-3</v>
      </c>
      <c r="CR20" s="26">
        <f t="shared" si="7"/>
        <v>5.3895085963851466E-2</v>
      </c>
      <c r="CS20" s="26">
        <f t="shared" si="7"/>
        <v>1.3917049917389375E-2</v>
      </c>
      <c r="CT20" s="26">
        <f t="shared" si="7"/>
        <v>4.0607375976268026E-2</v>
      </c>
      <c r="CU20" s="26">
        <f t="shared" ref="CU20:DZ20" si="8">(CU4-CU12)^2</f>
        <v>7.963884772347378E-2</v>
      </c>
      <c r="CV20" s="26">
        <f t="shared" si="8"/>
        <v>2.5716472263008151E-2</v>
      </c>
      <c r="CW20" s="26">
        <f t="shared" si="8"/>
        <v>5.721138207392832E-2</v>
      </c>
      <c r="CX20" s="26">
        <f t="shared" si="8"/>
        <v>8.8827117641119863E-2</v>
      </c>
      <c r="CY20" s="26">
        <f t="shared" si="8"/>
        <v>8.3490778434423991E-3</v>
      </c>
      <c r="CZ20" s="26">
        <f t="shared" si="8"/>
        <v>7.7817144106307232E-2</v>
      </c>
      <c r="DA20" s="26">
        <f t="shared" si="8"/>
        <v>8.4991850312576028E-2</v>
      </c>
      <c r="DB20" s="26">
        <f t="shared" si="8"/>
        <v>0.19742340326994812</v>
      </c>
      <c r="DC20" s="26">
        <f t="shared" si="8"/>
        <v>6.9821644005327282E-2</v>
      </c>
      <c r="DD20" s="26">
        <f t="shared" si="8"/>
        <v>3.8853599608087847E-2</v>
      </c>
      <c r="DE20" s="26">
        <f t="shared" si="8"/>
        <v>1.0972964814904198E-2</v>
      </c>
      <c r="DF20" s="26">
        <f t="shared" si="8"/>
        <v>9.6534424200700932E-3</v>
      </c>
      <c r="DG20" s="26">
        <f t="shared" si="8"/>
        <v>1.259693567434395E-4</v>
      </c>
      <c r="DH20" s="26">
        <f t="shared" si="8"/>
        <v>2.479927556082228E-6</v>
      </c>
      <c r="DI20" s="26">
        <f t="shared" si="8"/>
        <v>8.5486879983179154E-3</v>
      </c>
      <c r="DJ20" s="26">
        <f t="shared" si="8"/>
        <v>3.6020232888864863E-2</v>
      </c>
      <c r="DK20" s="26">
        <f t="shared" si="8"/>
        <v>1.1599480022352171E-4</v>
      </c>
      <c r="DL20" s="26">
        <f t="shared" si="8"/>
        <v>4.0041907018873541E-3</v>
      </c>
      <c r="DM20" s="26">
        <f t="shared" si="8"/>
        <v>2.9703145730855609E-2</v>
      </c>
      <c r="DN20" s="26">
        <f t="shared" si="8"/>
        <v>2.553135628519197E-3</v>
      </c>
      <c r="DO20" s="26">
        <f t="shared" si="8"/>
        <v>9.426883480955385E-2</v>
      </c>
      <c r="DP20" s="26">
        <f t="shared" si="8"/>
        <v>0.16287961342040613</v>
      </c>
      <c r="DQ20" s="26">
        <f t="shared" si="8"/>
        <v>0.18061475165014204</v>
      </c>
      <c r="DR20" s="26">
        <f t="shared" si="8"/>
        <v>9.9447683526051212E-2</v>
      </c>
      <c r="DS20" s="26">
        <f t="shared" si="8"/>
        <v>6.5528653208269949E-2</v>
      </c>
      <c r="DT20" s="26">
        <f t="shared" si="8"/>
        <v>5.6355713151349587E-2</v>
      </c>
      <c r="DU20" s="26">
        <f t="shared" si="8"/>
        <v>3.1295238133061218E-2</v>
      </c>
      <c r="DV20" s="26">
        <f t="shared" si="8"/>
        <v>2.7099454726498114E-2</v>
      </c>
      <c r="DW20" s="26">
        <f t="shared" si="8"/>
        <v>4.7803522692108476E-2</v>
      </c>
      <c r="DX20" s="26">
        <f t="shared" si="8"/>
        <v>3.3296310450603619E-2</v>
      </c>
      <c r="DY20" s="26">
        <f t="shared" si="8"/>
        <v>1.9110798186012194E-2</v>
      </c>
      <c r="DZ20" s="26">
        <f t="shared" si="8"/>
        <v>1.0710613039387638E-2</v>
      </c>
      <c r="EA20" s="26">
        <f t="shared" ref="EA20:EF20" si="9">(EA4-EA12)^2</f>
        <v>7.3107923412328493E-3</v>
      </c>
      <c r="EB20" s="26">
        <f t="shared" si="9"/>
        <v>1.57950157174588E-2</v>
      </c>
      <c r="EC20" s="26">
        <f t="shared" si="9"/>
        <v>2.3645518017003046E-2</v>
      </c>
      <c r="ED20" s="26">
        <f t="shared" si="9"/>
        <v>0.13912018551857927</v>
      </c>
      <c r="EE20" s="26">
        <f t="shared" si="9"/>
        <v>0.22561724943889136</v>
      </c>
      <c r="EF20" s="26">
        <f t="shared" si="9"/>
        <v>0.55153861564912754</v>
      </c>
      <c r="EG20" s="4"/>
    </row>
    <row r="21" spans="1:137" ht="16" customHeight="1">
      <c r="A21" s="25"/>
      <c r="B21" s="23" t="s">
        <v>138</v>
      </c>
      <c r="C21" s="26">
        <f t="shared" ref="C21:AH21" si="10">(C5-C13)^2</f>
        <v>2.2759129938637827E-2</v>
      </c>
      <c r="D21" s="26">
        <f t="shared" si="10"/>
        <v>1.1118589192943881E-2</v>
      </c>
      <c r="E21" s="26">
        <f t="shared" si="10"/>
        <v>1.1751544515117595E-2</v>
      </c>
      <c r="F21" s="26">
        <f t="shared" si="10"/>
        <v>2.5513322661358461E-4</v>
      </c>
      <c r="G21" s="26">
        <f t="shared" si="10"/>
        <v>0.10493788003450627</v>
      </c>
      <c r="H21" s="26">
        <f t="shared" si="10"/>
        <v>0.18819253556388257</v>
      </c>
      <c r="I21" s="26">
        <f t="shared" si="10"/>
        <v>0.36675691188492299</v>
      </c>
      <c r="J21" s="26">
        <f t="shared" si="10"/>
        <v>0.18185904806433092</v>
      </c>
      <c r="K21" s="26">
        <f t="shared" si="10"/>
        <v>6.8548822994547745E-2</v>
      </c>
      <c r="L21" s="26">
        <f t="shared" si="10"/>
        <v>4.8940498834542732E-2</v>
      </c>
      <c r="M21" s="26">
        <f t="shared" si="10"/>
        <v>4.2749420696657221E-2</v>
      </c>
      <c r="N21" s="26">
        <f t="shared" si="10"/>
        <v>0.1092252460146691</v>
      </c>
      <c r="O21" s="26">
        <f t="shared" si="10"/>
        <v>4.3803836414220312E-4</v>
      </c>
      <c r="P21" s="26">
        <f t="shared" si="10"/>
        <v>5.2104647394524955E-3</v>
      </c>
      <c r="Q21" s="26">
        <f t="shared" si="10"/>
        <v>5.556848663376272E-3</v>
      </c>
      <c r="R21" s="26">
        <f t="shared" si="10"/>
        <v>4.8932295121200954E-5</v>
      </c>
      <c r="S21" s="26">
        <f t="shared" si="10"/>
        <v>1.8212885781442516E-3</v>
      </c>
      <c r="T21" s="26">
        <f t="shared" si="10"/>
        <v>4.8229480033678777E-3</v>
      </c>
      <c r="U21" s="26">
        <f t="shared" si="10"/>
        <v>0.28008480408661451</v>
      </c>
      <c r="V21" s="26">
        <f t="shared" si="10"/>
        <v>0.22571176355215866</v>
      </c>
      <c r="W21" s="26">
        <f t="shared" si="10"/>
        <v>0.13496073454098889</v>
      </c>
      <c r="X21" s="26">
        <f t="shared" si="10"/>
        <v>0.16124996890741372</v>
      </c>
      <c r="Y21" s="26">
        <f t="shared" si="10"/>
        <v>0.20528538561919762</v>
      </c>
      <c r="Z21" s="26">
        <f t="shared" si="10"/>
        <v>8.8174652212419005E-2</v>
      </c>
      <c r="AA21" s="26">
        <f t="shared" si="10"/>
        <v>5.6157285268579361E-2</v>
      </c>
      <c r="AB21" s="26">
        <f t="shared" si="10"/>
        <v>3.7707194374789779E-4</v>
      </c>
      <c r="AC21" s="26">
        <f t="shared" si="10"/>
        <v>6.1693996035146704E-3</v>
      </c>
      <c r="AD21" s="26">
        <f t="shared" si="10"/>
        <v>9.9740480102384673E-3</v>
      </c>
      <c r="AE21" s="26">
        <f t="shared" si="10"/>
        <v>2.4899309068422602E-2</v>
      </c>
      <c r="AF21" s="26">
        <f t="shared" si="10"/>
        <v>8.6583087046081635E-3</v>
      </c>
      <c r="AG21" s="26">
        <f t="shared" si="10"/>
        <v>2.8448272777962549E-2</v>
      </c>
      <c r="AH21" s="26">
        <f t="shared" si="10"/>
        <v>1.4059229396273566E-2</v>
      </c>
      <c r="AI21" s="26">
        <f t="shared" ref="AI21:BN21" si="11">(AI5-AI13)^2</f>
        <v>7.2818878523949332E-2</v>
      </c>
      <c r="AJ21" s="26">
        <f t="shared" si="11"/>
        <v>7.6130846819033871E-2</v>
      </c>
      <c r="AK21" s="26">
        <f t="shared" si="11"/>
        <v>3.2444488998627046E-4</v>
      </c>
      <c r="AL21" s="26">
        <f t="shared" si="11"/>
        <v>2.3650098397046586E-3</v>
      </c>
      <c r="AM21" s="26">
        <f t="shared" si="11"/>
        <v>3.1198860462360097E-2</v>
      </c>
      <c r="AN21" s="26">
        <f t="shared" si="11"/>
        <v>1.7606669287022963E-2</v>
      </c>
      <c r="AO21" s="26">
        <f t="shared" si="11"/>
        <v>3.7769720174971884E-2</v>
      </c>
      <c r="AP21" s="26">
        <f t="shared" si="11"/>
        <v>7.8340158688769059E-3</v>
      </c>
      <c r="AQ21" s="26">
        <f t="shared" si="11"/>
        <v>3.8327410578242564E-2</v>
      </c>
      <c r="AR21" s="26">
        <f t="shared" si="11"/>
        <v>1.7548074754244608E-2</v>
      </c>
      <c r="AS21" s="26">
        <f t="shared" si="11"/>
        <v>2.9589560844097876E-2</v>
      </c>
      <c r="AT21" s="26">
        <f t="shared" si="11"/>
        <v>5.9945375733229617E-4</v>
      </c>
      <c r="AU21" s="26">
        <f t="shared" si="11"/>
        <v>1.4605011997946975E-4</v>
      </c>
      <c r="AV21" s="26">
        <f t="shared" si="11"/>
        <v>8.0641317962793264E-5</v>
      </c>
      <c r="AW21" s="26">
        <f t="shared" si="11"/>
        <v>2.3602342235980754E-2</v>
      </c>
      <c r="AX21" s="26">
        <f t="shared" si="11"/>
        <v>7.1848532204073451E-4</v>
      </c>
      <c r="AY21" s="26">
        <f t="shared" si="11"/>
        <v>0.10006120680978034</v>
      </c>
      <c r="AZ21" s="26">
        <f t="shared" si="11"/>
        <v>5.8215371491506934E-2</v>
      </c>
      <c r="BA21" s="26">
        <f t="shared" si="11"/>
        <v>5.220248425795599E-2</v>
      </c>
      <c r="BB21" s="26">
        <f t="shared" si="11"/>
        <v>5.08276186972338E-3</v>
      </c>
      <c r="BC21" s="26">
        <f t="shared" si="11"/>
        <v>3.6310350426954678E-2</v>
      </c>
      <c r="BD21" s="26">
        <f t="shared" si="11"/>
        <v>1.2554248835758479E-2</v>
      </c>
      <c r="BE21" s="26">
        <f t="shared" si="11"/>
        <v>0.12496347727851478</v>
      </c>
      <c r="BF21" s="26">
        <f t="shared" si="11"/>
        <v>0.19620353630527396</v>
      </c>
      <c r="BG21" s="26">
        <f t="shared" si="11"/>
        <v>0.18581392194672783</v>
      </c>
      <c r="BH21" s="26">
        <f t="shared" si="11"/>
        <v>7.3850199371235839E-2</v>
      </c>
      <c r="BI21" s="26">
        <f t="shared" si="11"/>
        <v>7.8783470224610713E-2</v>
      </c>
      <c r="BJ21" s="26">
        <f t="shared" si="11"/>
        <v>1.039785375330337E-5</v>
      </c>
      <c r="BK21" s="26">
        <f t="shared" si="11"/>
        <v>1.0572588622194824E-2</v>
      </c>
      <c r="BL21" s="26">
        <f t="shared" si="11"/>
        <v>1.1657549837573401E-2</v>
      </c>
      <c r="BM21" s="26">
        <f t="shared" si="11"/>
        <v>5.1466397169170786E-2</v>
      </c>
      <c r="BN21" s="26">
        <f t="shared" si="11"/>
        <v>8.0886901236779857E-2</v>
      </c>
      <c r="BO21" s="26">
        <f t="shared" ref="BO21:CT21" si="12">(BO5-BO13)^2</f>
        <v>9.9017297123530756E-3</v>
      </c>
      <c r="BP21" s="26">
        <f t="shared" si="12"/>
        <v>0.12990249049368963</v>
      </c>
      <c r="BQ21" s="26">
        <f t="shared" si="12"/>
        <v>3.7166517900689075E-2</v>
      </c>
      <c r="BR21" s="26">
        <f t="shared" si="12"/>
        <v>5.3725281148032371E-2</v>
      </c>
      <c r="BS21" s="26">
        <f t="shared" si="12"/>
        <v>8.1016527069288635E-2</v>
      </c>
      <c r="BT21" s="26">
        <f t="shared" si="12"/>
        <v>6.6411541479528449E-2</v>
      </c>
      <c r="BU21" s="26">
        <f t="shared" si="12"/>
        <v>0.17378436369402736</v>
      </c>
      <c r="BV21" s="26">
        <f t="shared" si="12"/>
        <v>8.4352748573695346E-2</v>
      </c>
      <c r="BW21" s="26">
        <f t="shared" si="12"/>
        <v>0.18493686154885933</v>
      </c>
      <c r="BX21" s="26">
        <f t="shared" si="12"/>
        <v>5.1113985632512661E-2</v>
      </c>
      <c r="BY21" s="26">
        <f t="shared" si="12"/>
        <v>2.7362051813494496E-2</v>
      </c>
      <c r="BZ21" s="26">
        <f t="shared" si="12"/>
        <v>6.9062084815113306E-2</v>
      </c>
      <c r="CA21" s="26">
        <f t="shared" si="12"/>
        <v>9.4651024677271739E-2</v>
      </c>
      <c r="CB21" s="26">
        <f t="shared" si="12"/>
        <v>0.29581646164644632</v>
      </c>
      <c r="CC21" s="26">
        <f t="shared" si="12"/>
        <v>3.9791776963567976E-2</v>
      </c>
      <c r="CD21" s="26">
        <f t="shared" si="12"/>
        <v>1.6282593612927956E-2</v>
      </c>
      <c r="CE21" s="26">
        <f t="shared" si="12"/>
        <v>1.1474956415195496E-3</v>
      </c>
      <c r="CF21" s="26">
        <f t="shared" si="12"/>
        <v>2.1082300308144578E-3</v>
      </c>
      <c r="CG21" s="26">
        <f t="shared" si="12"/>
        <v>0.13663780619412866</v>
      </c>
      <c r="CH21" s="26">
        <f t="shared" si="12"/>
        <v>6.29612263426962E-2</v>
      </c>
      <c r="CI21" s="26">
        <f t="shared" si="12"/>
        <v>2.419837697765095E-2</v>
      </c>
      <c r="CJ21" s="26">
        <f t="shared" si="12"/>
        <v>7.458986061195734E-2</v>
      </c>
      <c r="CK21" s="26">
        <f t="shared" si="12"/>
        <v>5.5990538322339087E-6</v>
      </c>
      <c r="CL21" s="26">
        <f t="shared" si="12"/>
        <v>4.7744057440982181E-2</v>
      </c>
      <c r="CM21" s="26">
        <f t="shared" si="12"/>
        <v>6.1549614332466218E-6</v>
      </c>
      <c r="CN21" s="26">
        <f t="shared" si="12"/>
        <v>0.10664116285305683</v>
      </c>
      <c r="CO21" s="26">
        <f t="shared" si="12"/>
        <v>0.2503045059791203</v>
      </c>
      <c r="CP21" s="26">
        <f t="shared" si="12"/>
        <v>0.33485605258599299</v>
      </c>
      <c r="CQ21" s="26">
        <f t="shared" si="12"/>
        <v>4.493188666477483E-2</v>
      </c>
      <c r="CR21" s="26">
        <f t="shared" si="12"/>
        <v>2.635146294203208E-2</v>
      </c>
      <c r="CS21" s="26">
        <f t="shared" si="12"/>
        <v>2.2861690154257645E-2</v>
      </c>
      <c r="CT21" s="26">
        <f t="shared" si="12"/>
        <v>7.70198937887841E-2</v>
      </c>
      <c r="CU21" s="26">
        <f t="shared" ref="CU21:DZ21" si="13">(CU5-CU13)^2</f>
        <v>1.3489250327571055E-2</v>
      </c>
      <c r="CV21" s="26">
        <f t="shared" si="13"/>
        <v>1.8623208592783757E-3</v>
      </c>
      <c r="CW21" s="26">
        <f t="shared" si="13"/>
        <v>5.8729634425119196E-3</v>
      </c>
      <c r="CX21" s="26">
        <f t="shared" si="13"/>
        <v>1.0718576230844532E-5</v>
      </c>
      <c r="CY21" s="26">
        <f t="shared" si="13"/>
        <v>1.6639671913975721E-4</v>
      </c>
      <c r="CZ21" s="26">
        <f t="shared" si="13"/>
        <v>3.0472088350359675E-3</v>
      </c>
      <c r="DA21" s="26">
        <f t="shared" si="13"/>
        <v>2.2165635587385394E-4</v>
      </c>
      <c r="DB21" s="26">
        <f t="shared" si="13"/>
        <v>3.785861444811639E-2</v>
      </c>
      <c r="DC21" s="26">
        <f t="shared" si="13"/>
        <v>1.8303340447116272E-2</v>
      </c>
      <c r="DD21" s="26">
        <f t="shared" si="13"/>
        <v>4.3566710601848522E-3</v>
      </c>
      <c r="DE21" s="26">
        <f t="shared" si="13"/>
        <v>7.747220700977369E-3</v>
      </c>
      <c r="DF21" s="26">
        <f t="shared" si="13"/>
        <v>4.5916187993121443E-2</v>
      </c>
      <c r="DG21" s="26">
        <f t="shared" si="13"/>
        <v>1.7930532456773104E-2</v>
      </c>
      <c r="DH21" s="26">
        <f t="shared" si="13"/>
        <v>6.5338121952059597E-2</v>
      </c>
      <c r="DI21" s="26">
        <f t="shared" si="13"/>
        <v>6.0443291944753251E-2</v>
      </c>
      <c r="DJ21" s="26">
        <f t="shared" si="13"/>
        <v>4.4853413646934676E-3</v>
      </c>
      <c r="DK21" s="26">
        <f t="shared" si="13"/>
        <v>7.5858118580917006E-3</v>
      </c>
      <c r="DL21" s="26">
        <f t="shared" si="13"/>
        <v>9.2979834537976506E-4</v>
      </c>
      <c r="DM21" s="26">
        <f t="shared" si="13"/>
        <v>2.0726537058369559E-2</v>
      </c>
      <c r="DN21" s="26">
        <f t="shared" si="13"/>
        <v>2.3000208193839314E-2</v>
      </c>
      <c r="DO21" s="26">
        <f t="shared" si="13"/>
        <v>2.2632989397581228E-3</v>
      </c>
      <c r="DP21" s="26">
        <f t="shared" si="13"/>
        <v>0.16009962659654481</v>
      </c>
      <c r="DQ21" s="26">
        <f t="shared" si="13"/>
        <v>0.21440693837313843</v>
      </c>
      <c r="DR21" s="26">
        <f t="shared" si="13"/>
        <v>6.4518461464044455E-2</v>
      </c>
      <c r="DS21" s="26">
        <f t="shared" si="13"/>
        <v>2.5461430885150217E-2</v>
      </c>
      <c r="DT21" s="26">
        <f t="shared" si="13"/>
        <v>1.4548475415447551E-2</v>
      </c>
      <c r="DU21" s="26">
        <f t="shared" si="13"/>
        <v>2.3652604787259869E-2</v>
      </c>
      <c r="DV21" s="26">
        <f t="shared" si="13"/>
        <v>0.13859793124752132</v>
      </c>
      <c r="DW21" s="26">
        <f t="shared" si="13"/>
        <v>8.6210805018054545E-2</v>
      </c>
      <c r="DX21" s="26">
        <f t="shared" si="13"/>
        <v>3.4962405443787571E-2</v>
      </c>
      <c r="DY21" s="26">
        <f t="shared" si="13"/>
        <v>7.7643042166218347E-3</v>
      </c>
      <c r="DZ21" s="26">
        <f t="shared" si="13"/>
        <v>4.2450251437143481E-3</v>
      </c>
      <c r="EA21" s="26">
        <f t="shared" ref="EA21:EF21" si="14">(EA5-EA13)^2</f>
        <v>3.9625912260925263E-3</v>
      </c>
      <c r="EB21" s="26">
        <f t="shared" si="14"/>
        <v>2.6477517338477113E-2</v>
      </c>
      <c r="EC21" s="26">
        <f t="shared" si="14"/>
        <v>1.2461596707837104E-3</v>
      </c>
      <c r="ED21" s="26">
        <f t="shared" si="14"/>
        <v>2.0506070799169254E-3</v>
      </c>
      <c r="EE21" s="26">
        <f t="shared" si="14"/>
        <v>1.3443122513310669E-3</v>
      </c>
      <c r="EF21" s="26">
        <f t="shared" si="14"/>
        <v>9.0551395480775048E-4</v>
      </c>
      <c r="EG21" s="4"/>
    </row>
    <row r="22" spans="1:137" ht="16" customHeight="1">
      <c r="A22" s="4"/>
      <c r="B22" s="23" t="s">
        <v>139</v>
      </c>
      <c r="C22" s="26">
        <f t="shared" ref="C22:AH22" si="15">(C6-C14)^2</f>
        <v>3.1724114725582872E-3</v>
      </c>
      <c r="D22" s="26">
        <f t="shared" si="15"/>
        <v>2.2832750842309193E-2</v>
      </c>
      <c r="E22" s="26">
        <f t="shared" si="15"/>
        <v>8.7723580560384023E-3</v>
      </c>
      <c r="F22" s="26">
        <f t="shared" si="15"/>
        <v>0.12600331668849285</v>
      </c>
      <c r="G22" s="26">
        <f t="shared" si="15"/>
        <v>4.7939905341335506E-2</v>
      </c>
      <c r="H22" s="26">
        <f t="shared" si="15"/>
        <v>7.9068853626231672E-2</v>
      </c>
      <c r="I22" s="26">
        <f t="shared" si="15"/>
        <v>0.13555169336884917</v>
      </c>
      <c r="J22" s="26">
        <f t="shared" si="15"/>
        <v>0.16796846321888501</v>
      </c>
      <c r="K22" s="26">
        <f t="shared" si="15"/>
        <v>0.16252127946529379</v>
      </c>
      <c r="L22" s="26">
        <f t="shared" si="15"/>
        <v>1.008732734269005E-5</v>
      </c>
      <c r="M22" s="26">
        <f t="shared" si="15"/>
        <v>6.082184821417108E-5</v>
      </c>
      <c r="N22" s="26">
        <f t="shared" si="15"/>
        <v>2.5937971024169149E-3</v>
      </c>
      <c r="O22" s="26">
        <f t="shared" si="15"/>
        <v>6.1549772785759078E-2</v>
      </c>
      <c r="P22" s="26">
        <f t="shared" si="15"/>
        <v>5.9278624659806697E-2</v>
      </c>
      <c r="Q22" s="26">
        <f t="shared" si="15"/>
        <v>4.6370931657240821E-2</v>
      </c>
      <c r="R22" s="26">
        <f t="shared" si="15"/>
        <v>5.9415320194769659E-2</v>
      </c>
      <c r="S22" s="26">
        <f t="shared" si="15"/>
        <v>4.3943541908394668E-2</v>
      </c>
      <c r="T22" s="26">
        <f t="shared" si="15"/>
        <v>4.9728492274244272E-2</v>
      </c>
      <c r="U22" s="26">
        <f t="shared" si="15"/>
        <v>1.5927733877137118E-3</v>
      </c>
      <c r="V22" s="26">
        <f t="shared" si="15"/>
        <v>1.6212845699650817E-6</v>
      </c>
      <c r="W22" s="26">
        <f t="shared" si="15"/>
        <v>4.9261307389726972E-3</v>
      </c>
      <c r="X22" s="26">
        <f t="shared" si="15"/>
        <v>4.7052571325287181E-3</v>
      </c>
      <c r="Y22" s="26">
        <f t="shared" si="15"/>
        <v>9.2661994109627074E-4</v>
      </c>
      <c r="Z22" s="26">
        <f t="shared" si="15"/>
        <v>6.8998748100734667E-4</v>
      </c>
      <c r="AA22" s="26">
        <f t="shared" si="15"/>
        <v>4.6001266841095888E-3</v>
      </c>
      <c r="AB22" s="26">
        <f t="shared" si="15"/>
        <v>4.795136052261284E-3</v>
      </c>
      <c r="AC22" s="26">
        <f t="shared" si="15"/>
        <v>1.1170188375570157E-3</v>
      </c>
      <c r="AD22" s="26">
        <f t="shared" si="15"/>
        <v>1.622243171906332E-4</v>
      </c>
      <c r="AE22" s="26">
        <f t="shared" si="15"/>
        <v>7.6800682795077243E-5</v>
      </c>
      <c r="AF22" s="26">
        <f t="shared" si="15"/>
        <v>1.1021644436435437E-5</v>
      </c>
      <c r="AG22" s="26">
        <f t="shared" si="15"/>
        <v>1.6168916421443777E-4</v>
      </c>
      <c r="AH22" s="26">
        <f t="shared" si="15"/>
        <v>2.7128603655681582E-4</v>
      </c>
      <c r="AI22" s="26">
        <f t="shared" ref="AI22:BN22" si="16">(AI6-AI14)^2</f>
        <v>4.2055995206493634E-5</v>
      </c>
      <c r="AJ22" s="26">
        <f t="shared" si="16"/>
        <v>8.1085514636319847E-5</v>
      </c>
      <c r="AK22" s="26">
        <f t="shared" si="16"/>
        <v>2.3562985652376563E-3</v>
      </c>
      <c r="AL22" s="26">
        <f t="shared" si="16"/>
        <v>5.149780708596014E-3</v>
      </c>
      <c r="AM22" s="26">
        <f t="shared" si="16"/>
        <v>1.4719093051076923E-2</v>
      </c>
      <c r="AN22" s="26">
        <f t="shared" si="16"/>
        <v>5.7270400949618369E-2</v>
      </c>
      <c r="AO22" s="26">
        <f t="shared" si="16"/>
        <v>2.22509504232082E-2</v>
      </c>
      <c r="AP22" s="26">
        <f t="shared" si="16"/>
        <v>1.4135589017597001E-2</v>
      </c>
      <c r="AQ22" s="26">
        <f t="shared" si="16"/>
        <v>3.1804343783603542E-2</v>
      </c>
      <c r="AR22" s="26">
        <f t="shared" si="16"/>
        <v>2.1523088223517648E-2</v>
      </c>
      <c r="AS22" s="26">
        <f t="shared" si="16"/>
        <v>1.9076685309196632E-3</v>
      </c>
      <c r="AT22" s="26">
        <f t="shared" si="16"/>
        <v>1.8393912020881927E-2</v>
      </c>
      <c r="AU22" s="26">
        <f t="shared" si="16"/>
        <v>2.188327812095734E-2</v>
      </c>
      <c r="AV22" s="26">
        <f t="shared" si="16"/>
        <v>1.9390880200000918E-2</v>
      </c>
      <c r="AW22" s="26">
        <f t="shared" si="16"/>
        <v>3.2626802412207737E-2</v>
      </c>
      <c r="AX22" s="26">
        <f t="shared" si="16"/>
        <v>1.7638489330143135E-2</v>
      </c>
      <c r="AY22" s="26">
        <f t="shared" si="16"/>
        <v>2.0011534042296237E-2</v>
      </c>
      <c r="AZ22" s="26">
        <f t="shared" si="16"/>
        <v>6.9306209249999778E-2</v>
      </c>
      <c r="BA22" s="26">
        <f t="shared" si="16"/>
        <v>2.024337736818586E-2</v>
      </c>
      <c r="BB22" s="26">
        <f t="shared" si="16"/>
        <v>4.8100080898996325E-6</v>
      </c>
      <c r="BC22" s="26">
        <f t="shared" si="16"/>
        <v>5.5376237527162194E-3</v>
      </c>
      <c r="BD22" s="26">
        <f t="shared" si="16"/>
        <v>1.7763619783895787E-3</v>
      </c>
      <c r="BE22" s="26">
        <f t="shared" si="16"/>
        <v>6.9913517618208426E-4</v>
      </c>
      <c r="BF22" s="26">
        <f t="shared" si="16"/>
        <v>1.0226458091968954E-3</v>
      </c>
      <c r="BG22" s="26">
        <f t="shared" si="16"/>
        <v>1.6815005928839946E-3</v>
      </c>
      <c r="BH22" s="26">
        <f t="shared" si="16"/>
        <v>2.9468931464089184E-2</v>
      </c>
      <c r="BI22" s="26">
        <f t="shared" si="16"/>
        <v>2.2792993336571359E-2</v>
      </c>
      <c r="BJ22" s="26">
        <f t="shared" si="16"/>
        <v>1.5210377741075127E-2</v>
      </c>
      <c r="BK22" s="26">
        <f t="shared" si="16"/>
        <v>1.4895849133276913E-2</v>
      </c>
      <c r="BL22" s="26">
        <f t="shared" si="16"/>
        <v>7.538290114528199E-3</v>
      </c>
      <c r="BM22" s="26">
        <f t="shared" si="16"/>
        <v>6.4956548386054802E-3</v>
      </c>
      <c r="BN22" s="26">
        <f t="shared" si="16"/>
        <v>4.0816324261742594E-2</v>
      </c>
      <c r="BO22" s="26">
        <f t="shared" ref="BO22:CT22" si="17">(BO6-BO14)^2</f>
        <v>3.3527473179122851E-2</v>
      </c>
      <c r="BP22" s="26">
        <f t="shared" si="17"/>
        <v>1.6426019795922755E-2</v>
      </c>
      <c r="BQ22" s="26">
        <f t="shared" si="17"/>
        <v>9.7288767056934802E-3</v>
      </c>
      <c r="BR22" s="26">
        <f t="shared" si="17"/>
        <v>1.5494493025041394E-3</v>
      </c>
      <c r="BS22" s="26">
        <f t="shared" si="17"/>
        <v>1.7660802721508058E-2</v>
      </c>
      <c r="BT22" s="26">
        <f t="shared" si="17"/>
        <v>1.736633272181279E-3</v>
      </c>
      <c r="BU22" s="26">
        <f t="shared" si="17"/>
        <v>5.6803558772400816E-3</v>
      </c>
      <c r="BV22" s="26">
        <f t="shared" si="17"/>
        <v>1.4133730678374562E-2</v>
      </c>
      <c r="BW22" s="26">
        <f t="shared" si="17"/>
        <v>2.6267175938683531E-3</v>
      </c>
      <c r="BX22" s="26">
        <f t="shared" si="17"/>
        <v>2.9763572951316281E-3</v>
      </c>
      <c r="BY22" s="26">
        <f t="shared" si="17"/>
        <v>1.9385340337399083E-4</v>
      </c>
      <c r="BZ22" s="26">
        <f t="shared" si="17"/>
        <v>3.4674971412985414E-3</v>
      </c>
      <c r="CA22" s="26">
        <f t="shared" si="17"/>
        <v>6.9716487008091126E-3</v>
      </c>
      <c r="CB22" s="26">
        <f t="shared" si="17"/>
        <v>1.586622303861222E-2</v>
      </c>
      <c r="CC22" s="26">
        <f t="shared" si="17"/>
        <v>4.6804701191965172E-3</v>
      </c>
      <c r="CD22" s="26">
        <f t="shared" si="17"/>
        <v>4.3964957669120333E-3</v>
      </c>
      <c r="CE22" s="26">
        <f t="shared" si="17"/>
        <v>2.4094175689957768E-3</v>
      </c>
      <c r="CF22" s="26">
        <f t="shared" si="17"/>
        <v>1.4453077597277948E-2</v>
      </c>
      <c r="CG22" s="26">
        <f t="shared" si="17"/>
        <v>2.5160200328631366E-3</v>
      </c>
      <c r="CH22" s="26">
        <f t="shared" si="17"/>
        <v>8.8546456270448878E-3</v>
      </c>
      <c r="CI22" s="26">
        <f t="shared" si="17"/>
        <v>1.365320779972334E-2</v>
      </c>
      <c r="CJ22" s="26">
        <f t="shared" si="17"/>
        <v>4.7083362360616724E-3</v>
      </c>
      <c r="CK22" s="26">
        <f t="shared" si="17"/>
        <v>8.3420686086604426E-3</v>
      </c>
      <c r="CL22" s="26">
        <f t="shared" si="17"/>
        <v>6.5232719232332752E-3</v>
      </c>
      <c r="CM22" s="26">
        <f t="shared" si="17"/>
        <v>3.9453466242342049E-3</v>
      </c>
      <c r="CN22" s="26">
        <f t="shared" si="17"/>
        <v>6.7755077593825751E-4</v>
      </c>
      <c r="CO22" s="26">
        <f t="shared" si="17"/>
        <v>4.7359007363103984E-3</v>
      </c>
      <c r="CP22" s="26">
        <f t="shared" si="17"/>
        <v>4.3421118678837274E-4</v>
      </c>
      <c r="CQ22" s="26">
        <f t="shared" si="17"/>
        <v>2.868573718217495E-5</v>
      </c>
      <c r="CR22" s="26">
        <f t="shared" si="17"/>
        <v>1.7702029511474301E-4</v>
      </c>
      <c r="CS22" s="26">
        <f t="shared" si="17"/>
        <v>1.4415340706744701E-3</v>
      </c>
      <c r="CT22" s="26">
        <f t="shared" si="17"/>
        <v>3.3341705165355613E-3</v>
      </c>
      <c r="CU22" s="26">
        <f t="shared" ref="CU22:DZ22" si="18">(CU6-CU14)^2</f>
        <v>6.2555216111142263E-4</v>
      </c>
      <c r="CV22" s="26">
        <f t="shared" si="18"/>
        <v>2.5950245970525251E-2</v>
      </c>
      <c r="CW22" s="26">
        <f t="shared" si="18"/>
        <v>4.0150437565469425E-2</v>
      </c>
      <c r="CX22" s="26">
        <f t="shared" si="18"/>
        <v>1.1272315176242421E-2</v>
      </c>
      <c r="CY22" s="26">
        <f t="shared" si="18"/>
        <v>2.0393466636740734E-4</v>
      </c>
      <c r="CZ22" s="26">
        <f t="shared" si="18"/>
        <v>2.9997377012105638E-5</v>
      </c>
      <c r="DA22" s="26">
        <f t="shared" si="18"/>
        <v>6.9972317611622606E-4</v>
      </c>
      <c r="DB22" s="26">
        <f t="shared" si="18"/>
        <v>4.0902714479226471E-2</v>
      </c>
      <c r="DC22" s="26">
        <f t="shared" si="18"/>
        <v>7.5877735868903839E-2</v>
      </c>
      <c r="DD22" s="26">
        <f t="shared" si="18"/>
        <v>4.8882427995096511E-2</v>
      </c>
      <c r="DE22" s="26">
        <f t="shared" si="18"/>
        <v>3.025442869245144E-2</v>
      </c>
      <c r="DF22" s="26">
        <f t="shared" si="18"/>
        <v>4.1819811499341351E-2</v>
      </c>
      <c r="DG22" s="26">
        <f t="shared" si="18"/>
        <v>3.1913634379469681E-2</v>
      </c>
      <c r="DH22" s="26">
        <f t="shared" si="18"/>
        <v>2.8197147636861566E-6</v>
      </c>
      <c r="DI22" s="26">
        <f t="shared" si="18"/>
        <v>5.1821487033644423E-3</v>
      </c>
      <c r="DJ22" s="26">
        <f t="shared" si="18"/>
        <v>4.4165026725887947E-3</v>
      </c>
      <c r="DK22" s="26">
        <f t="shared" si="18"/>
        <v>2.8102130840302929E-3</v>
      </c>
      <c r="DL22" s="26">
        <f t="shared" si="18"/>
        <v>1.6683581040575245E-5</v>
      </c>
      <c r="DM22" s="26">
        <f t="shared" si="18"/>
        <v>1.9239837365084916E-2</v>
      </c>
      <c r="DN22" s="26">
        <f t="shared" si="18"/>
        <v>8.985585074840588E-2</v>
      </c>
      <c r="DO22" s="26">
        <f t="shared" si="18"/>
        <v>0.14682244249339815</v>
      </c>
      <c r="DP22" s="26">
        <f t="shared" si="18"/>
        <v>0.15362712726257932</v>
      </c>
      <c r="DQ22" s="26">
        <f t="shared" si="18"/>
        <v>0.15517143917987858</v>
      </c>
      <c r="DR22" s="26">
        <f t="shared" si="18"/>
        <v>5.0134552906038375E-2</v>
      </c>
      <c r="DS22" s="26">
        <f t="shared" si="18"/>
        <v>3.509961790872685E-2</v>
      </c>
      <c r="DT22" s="26">
        <f t="shared" si="18"/>
        <v>2.5877633788666234E-2</v>
      </c>
      <c r="DU22" s="26">
        <f t="shared" si="18"/>
        <v>4.322530537280842E-3</v>
      </c>
      <c r="DV22" s="26">
        <f t="shared" si="18"/>
        <v>7.1998817617948915E-4</v>
      </c>
      <c r="DW22" s="26">
        <f t="shared" si="18"/>
        <v>1.1835345504963774E-3</v>
      </c>
      <c r="DX22" s="26">
        <f t="shared" si="18"/>
        <v>1.1153958435544771E-2</v>
      </c>
      <c r="DY22" s="26">
        <f t="shared" si="18"/>
        <v>1.9920125894572019E-8</v>
      </c>
      <c r="DZ22" s="26">
        <f t="shared" si="18"/>
        <v>3.8675612316711174E-4</v>
      </c>
      <c r="EA22" s="26">
        <f t="shared" ref="EA22:EF22" si="19">(EA6-EA14)^2</f>
        <v>2.3324039875384318E-5</v>
      </c>
      <c r="EB22" s="26">
        <f t="shared" si="19"/>
        <v>9.2350991131085348E-3</v>
      </c>
      <c r="EC22" s="26">
        <f t="shared" si="19"/>
        <v>3.4001253731675094E-3</v>
      </c>
      <c r="ED22" s="26">
        <f t="shared" si="19"/>
        <v>4.9589297529033646E-3</v>
      </c>
      <c r="EE22" s="26">
        <f t="shared" si="19"/>
        <v>2.1548253267699349E-3</v>
      </c>
      <c r="EF22" s="26">
        <f t="shared" si="19"/>
        <v>1.5263573915120106E-3</v>
      </c>
      <c r="EG22" s="4"/>
    </row>
    <row r="23" spans="1:137" ht="16" customHeight="1">
      <c r="A23" s="4"/>
      <c r="B23" s="23" t="s">
        <v>140</v>
      </c>
      <c r="C23" s="26">
        <f t="shared" ref="C23:AH23" si="20">(C7-C15)^2</f>
        <v>9.1809409478801343E-4</v>
      </c>
      <c r="D23" s="26">
        <f t="shared" si="20"/>
        <v>1.745389952333062E-2</v>
      </c>
      <c r="E23" s="26">
        <f t="shared" si="20"/>
        <v>3.5601617440906293E-2</v>
      </c>
      <c r="F23" s="26">
        <f t="shared" si="20"/>
        <v>0.267951657982055</v>
      </c>
      <c r="G23" s="26">
        <f t="shared" si="20"/>
        <v>0.22872580730868011</v>
      </c>
      <c r="H23" s="26">
        <f t="shared" si="20"/>
        <v>0.21155849290236711</v>
      </c>
      <c r="I23" s="26">
        <f t="shared" si="20"/>
        <v>0.28267346984335795</v>
      </c>
      <c r="J23" s="26">
        <f t="shared" si="20"/>
        <v>0.1848426076828214</v>
      </c>
      <c r="K23" s="26">
        <f t="shared" si="20"/>
        <v>0.17510426758877429</v>
      </c>
      <c r="L23" s="26">
        <f t="shared" si="20"/>
        <v>6.4522929938751861E-6</v>
      </c>
      <c r="M23" s="26">
        <f t="shared" si="20"/>
        <v>7.5855016686578603E-4</v>
      </c>
      <c r="N23" s="26">
        <f t="shared" si="20"/>
        <v>1.1579206784430038E-2</v>
      </c>
      <c r="O23" s="26">
        <f t="shared" si="20"/>
        <v>1.3249431103740574E-3</v>
      </c>
      <c r="P23" s="26">
        <f t="shared" si="20"/>
        <v>2.4094023934520528E-3</v>
      </c>
      <c r="Q23" s="26">
        <f t="shared" si="20"/>
        <v>5.7711923759370285E-3</v>
      </c>
      <c r="R23" s="26">
        <f t="shared" si="20"/>
        <v>1.3665616005746376E-3</v>
      </c>
      <c r="S23" s="26">
        <f t="shared" si="20"/>
        <v>3.5104004496143442E-5</v>
      </c>
      <c r="T23" s="26">
        <f t="shared" si="20"/>
        <v>1.7083596431686642E-3</v>
      </c>
      <c r="U23" s="26">
        <f t="shared" si="20"/>
        <v>5.2748601726672636E-5</v>
      </c>
      <c r="V23" s="26">
        <f t="shared" si="20"/>
        <v>7.5097397752029345E-3</v>
      </c>
      <c r="W23" s="26">
        <f t="shared" si="20"/>
        <v>4.5703290697253721E-2</v>
      </c>
      <c r="X23" s="26">
        <f t="shared" si="20"/>
        <v>9.3918312995905903E-2</v>
      </c>
      <c r="Y23" s="26">
        <f t="shared" si="20"/>
        <v>9.3011025442352346E-2</v>
      </c>
      <c r="Z23" s="26">
        <f t="shared" si="20"/>
        <v>6.2773845793550179E-2</v>
      </c>
      <c r="AA23" s="26">
        <f t="shared" si="20"/>
        <v>7.045202115683788E-2</v>
      </c>
      <c r="AB23" s="26">
        <f t="shared" si="20"/>
        <v>7.4092183489701743E-2</v>
      </c>
      <c r="AC23" s="26">
        <f t="shared" si="20"/>
        <v>8.9713695101063251E-3</v>
      </c>
      <c r="AD23" s="26">
        <f t="shared" si="20"/>
        <v>1.4676822524000115E-2</v>
      </c>
      <c r="AE23" s="26">
        <f t="shared" si="20"/>
        <v>1.6900106579316083E-2</v>
      </c>
      <c r="AF23" s="26">
        <f t="shared" si="20"/>
        <v>9.3114550967356314E-3</v>
      </c>
      <c r="AG23" s="26">
        <f t="shared" si="20"/>
        <v>7.587092056363225E-3</v>
      </c>
      <c r="AH23" s="26">
        <f t="shared" si="20"/>
        <v>1.3100630223590096E-2</v>
      </c>
      <c r="AI23" s="26">
        <f t="shared" ref="AI23:BN23" si="21">(AI7-AI15)^2</f>
        <v>3.9105158942145399E-3</v>
      </c>
      <c r="AJ23" s="26">
        <f t="shared" si="21"/>
        <v>3.4692068191539633E-5</v>
      </c>
      <c r="AK23" s="26">
        <f t="shared" si="21"/>
        <v>4.4463295295545666E-3</v>
      </c>
      <c r="AL23" s="26">
        <f t="shared" si="21"/>
        <v>2.6877493895823058E-3</v>
      </c>
      <c r="AM23" s="26">
        <f t="shared" si="21"/>
        <v>1.6487662790172212E-5</v>
      </c>
      <c r="AN23" s="26">
        <f t="shared" si="21"/>
        <v>3.5450853528490645E-6</v>
      </c>
      <c r="AO23" s="26">
        <f t="shared" si="21"/>
        <v>1.1686495265217423E-3</v>
      </c>
      <c r="AP23" s="26">
        <f t="shared" si="21"/>
        <v>2.1902758278718819E-5</v>
      </c>
      <c r="AQ23" s="26">
        <f t="shared" si="21"/>
        <v>2.3738500511901557E-3</v>
      </c>
      <c r="AR23" s="26">
        <f t="shared" si="21"/>
        <v>7.6380799380787676E-5</v>
      </c>
      <c r="AS23" s="26">
        <f t="shared" si="21"/>
        <v>1.6297472739771314E-2</v>
      </c>
      <c r="AT23" s="26">
        <f t="shared" si="21"/>
        <v>8.3069944209713028E-3</v>
      </c>
      <c r="AU23" s="26">
        <f t="shared" si="21"/>
        <v>1.0533348516914294E-2</v>
      </c>
      <c r="AV23" s="26">
        <f t="shared" si="21"/>
        <v>2.2272066735864906E-3</v>
      </c>
      <c r="AW23" s="26">
        <f t="shared" si="21"/>
        <v>7.520179581284165E-3</v>
      </c>
      <c r="AX23" s="26">
        <f t="shared" si="21"/>
        <v>5.6609453678834212E-5</v>
      </c>
      <c r="AY23" s="26">
        <f t="shared" si="21"/>
        <v>5.5580926637971949E-3</v>
      </c>
      <c r="AZ23" s="26">
        <f t="shared" si="21"/>
        <v>5.4612985868817167E-3</v>
      </c>
      <c r="BA23" s="26">
        <f t="shared" si="21"/>
        <v>1.9183501754755063E-2</v>
      </c>
      <c r="BB23" s="26">
        <f t="shared" si="21"/>
        <v>3.4624239071539768E-2</v>
      </c>
      <c r="BC23" s="26">
        <f t="shared" si="21"/>
        <v>3.0068008680829972E-2</v>
      </c>
      <c r="BD23" s="26">
        <f t="shared" si="21"/>
        <v>3.844894256010542E-2</v>
      </c>
      <c r="BE23" s="26">
        <f t="shared" si="21"/>
        <v>3.7214633881172854E-2</v>
      </c>
      <c r="BF23" s="26">
        <f t="shared" si="21"/>
        <v>1.5839258000042072E-2</v>
      </c>
      <c r="BG23" s="26">
        <f t="shared" si="21"/>
        <v>1.2248600192525043E-2</v>
      </c>
      <c r="BH23" s="26">
        <f t="shared" si="21"/>
        <v>2.0740948995774951E-2</v>
      </c>
      <c r="BI23" s="26">
        <f t="shared" si="21"/>
        <v>1.8254168716506231E-2</v>
      </c>
      <c r="BJ23" s="26">
        <f t="shared" si="21"/>
        <v>5.358392228377426E-2</v>
      </c>
      <c r="BK23" s="26">
        <f t="shared" si="21"/>
        <v>6.8296242823254694E-2</v>
      </c>
      <c r="BL23" s="26">
        <f t="shared" si="21"/>
        <v>7.9805901302364632E-2</v>
      </c>
      <c r="BM23" s="26">
        <f t="shared" si="21"/>
        <v>3.2096095547879829E-3</v>
      </c>
      <c r="BN23" s="26">
        <f t="shared" si="21"/>
        <v>1.3653878157112444E-2</v>
      </c>
      <c r="BO23" s="26">
        <f t="shared" ref="BO23:CT23" si="22">(BO7-BO15)^2</f>
        <v>7.672196423163003E-3</v>
      </c>
      <c r="BP23" s="26">
        <f t="shared" si="22"/>
        <v>4.1733346060336441E-4</v>
      </c>
      <c r="BQ23" s="26">
        <f t="shared" si="22"/>
        <v>1.282286101687432E-3</v>
      </c>
      <c r="BR23" s="26">
        <f t="shared" si="22"/>
        <v>1.2682890093211221E-3</v>
      </c>
      <c r="BS23" s="26">
        <f t="shared" si="22"/>
        <v>1.3967174980599405E-3</v>
      </c>
      <c r="BT23" s="26">
        <f t="shared" si="22"/>
        <v>8.6422030073325803E-4</v>
      </c>
      <c r="BU23" s="26">
        <f t="shared" si="22"/>
        <v>5.3422560287863883E-3</v>
      </c>
      <c r="BV23" s="26">
        <f t="shared" si="22"/>
        <v>7.2740346072700064E-3</v>
      </c>
      <c r="BW23" s="26">
        <f t="shared" si="22"/>
        <v>1.3152315835091555E-3</v>
      </c>
      <c r="BX23" s="26">
        <f t="shared" si="22"/>
        <v>6.2120930680237491E-4</v>
      </c>
      <c r="BY23" s="26">
        <f t="shared" si="22"/>
        <v>1.7892249002136498E-3</v>
      </c>
      <c r="BZ23" s="26">
        <f t="shared" si="22"/>
        <v>6.6692822769231835E-3</v>
      </c>
      <c r="CA23" s="26">
        <f t="shared" si="22"/>
        <v>7.1511415049570828E-3</v>
      </c>
      <c r="CB23" s="26">
        <f t="shared" si="22"/>
        <v>7.4376207550243675E-3</v>
      </c>
      <c r="CC23" s="26">
        <f t="shared" si="22"/>
        <v>1.6917530651263422E-2</v>
      </c>
      <c r="CD23" s="26">
        <f t="shared" si="22"/>
        <v>4.6439858104879985E-3</v>
      </c>
      <c r="CE23" s="26">
        <f t="shared" si="22"/>
        <v>2.3359228370016956E-3</v>
      </c>
      <c r="CF23" s="26">
        <f t="shared" si="22"/>
        <v>2.0153147539924345E-2</v>
      </c>
      <c r="CG23" s="26">
        <f t="shared" si="22"/>
        <v>3.676984267438399E-2</v>
      </c>
      <c r="CH23" s="26">
        <f t="shared" si="22"/>
        <v>6.9670890393161627E-2</v>
      </c>
      <c r="CI23" s="26">
        <f t="shared" si="22"/>
        <v>0.13665667186216296</v>
      </c>
      <c r="CJ23" s="26">
        <f t="shared" si="22"/>
        <v>3.0785395240977783E-2</v>
      </c>
      <c r="CK23" s="26">
        <f t="shared" si="22"/>
        <v>5.9303837589008306E-2</v>
      </c>
      <c r="CL23" s="26">
        <f t="shared" si="22"/>
        <v>1.6144194323855989E-3</v>
      </c>
      <c r="CM23" s="26">
        <f t="shared" si="22"/>
        <v>2.027219581174551E-3</v>
      </c>
      <c r="CN23" s="26">
        <f t="shared" si="22"/>
        <v>1.1529372995441548E-3</v>
      </c>
      <c r="CO23" s="26">
        <f t="shared" si="22"/>
        <v>1.239599054680424E-2</v>
      </c>
      <c r="CP23" s="26">
        <f t="shared" si="22"/>
        <v>3.0085013083410648E-4</v>
      </c>
      <c r="CQ23" s="26">
        <f t="shared" si="22"/>
        <v>1.2486128345214379E-2</v>
      </c>
      <c r="CR23" s="26">
        <f t="shared" si="22"/>
        <v>2.5609248648749913E-4</v>
      </c>
      <c r="CS23" s="26">
        <f t="shared" si="22"/>
        <v>5.3922010106224488E-6</v>
      </c>
      <c r="CT23" s="26">
        <f t="shared" si="22"/>
        <v>1.8534857863553268E-3</v>
      </c>
      <c r="CU23" s="26">
        <f t="shared" ref="CU23:DZ23" si="23">(CU7-CU15)^2</f>
        <v>9.2042856671996701E-3</v>
      </c>
      <c r="CV23" s="26">
        <f t="shared" si="23"/>
        <v>8.1014530391127527E-3</v>
      </c>
      <c r="CW23" s="26">
        <f t="shared" si="23"/>
        <v>5.6899929641266037E-3</v>
      </c>
      <c r="CX23" s="26">
        <f t="shared" si="23"/>
        <v>1.7643734471406353E-2</v>
      </c>
      <c r="CY23" s="26">
        <f t="shared" si="23"/>
        <v>8.4674591443519034E-5</v>
      </c>
      <c r="CZ23" s="26">
        <f t="shared" si="23"/>
        <v>5.7770401269009349E-3</v>
      </c>
      <c r="DA23" s="26">
        <f t="shared" si="23"/>
        <v>2.0802053294637188E-3</v>
      </c>
      <c r="DB23" s="26">
        <f t="shared" si="23"/>
        <v>1.0583046517818381E-2</v>
      </c>
      <c r="DC23" s="26">
        <f t="shared" si="23"/>
        <v>6.6577903266581339E-3</v>
      </c>
      <c r="DD23" s="26">
        <f t="shared" si="23"/>
        <v>6.7971749256661336E-3</v>
      </c>
      <c r="DE23" s="26">
        <f t="shared" si="23"/>
        <v>2.1781595500317014E-3</v>
      </c>
      <c r="DF23" s="26">
        <f t="shared" si="23"/>
        <v>7.4054753314429476E-3</v>
      </c>
      <c r="DG23" s="26">
        <f t="shared" si="23"/>
        <v>9.0626897867710898E-3</v>
      </c>
      <c r="DH23" s="26">
        <f t="shared" si="23"/>
        <v>1.9456251438218057E-3</v>
      </c>
      <c r="DI23" s="26">
        <f t="shared" si="23"/>
        <v>8.3651891941439072E-5</v>
      </c>
      <c r="DJ23" s="26">
        <f t="shared" si="23"/>
        <v>8.2248577580815874E-3</v>
      </c>
      <c r="DK23" s="26">
        <f t="shared" si="23"/>
        <v>7.9107471338093534E-3</v>
      </c>
      <c r="DL23" s="26">
        <f t="shared" si="23"/>
        <v>9.9373917775056039E-2</v>
      </c>
      <c r="DM23" s="26">
        <f t="shared" si="23"/>
        <v>0.24843402350567859</v>
      </c>
      <c r="DN23" s="26">
        <f t="shared" si="23"/>
        <v>0.392855196916924</v>
      </c>
      <c r="DO23" s="26">
        <f t="shared" si="23"/>
        <v>0.42090087284748068</v>
      </c>
      <c r="DP23" s="26">
        <f t="shared" si="23"/>
        <v>0.27271817371974666</v>
      </c>
      <c r="DQ23" s="26">
        <f t="shared" si="23"/>
        <v>0.29335104902110626</v>
      </c>
      <c r="DR23" s="26">
        <f t="shared" si="23"/>
        <v>4.392476401267368E-2</v>
      </c>
      <c r="DS23" s="26">
        <f t="shared" si="23"/>
        <v>2.0589802943546281E-3</v>
      </c>
      <c r="DT23" s="26">
        <f t="shared" si="23"/>
        <v>8.8405203243730965E-4</v>
      </c>
      <c r="DU23" s="26">
        <f t="shared" si="23"/>
        <v>1.3332247938700281E-2</v>
      </c>
      <c r="DV23" s="26">
        <f t="shared" si="23"/>
        <v>7.4720703285577035E-3</v>
      </c>
      <c r="DW23" s="26">
        <f t="shared" si="23"/>
        <v>3.2325475212909072E-2</v>
      </c>
      <c r="DX23" s="26">
        <f t="shared" si="23"/>
        <v>6.6395247859469042E-2</v>
      </c>
      <c r="DY23" s="26">
        <f t="shared" si="23"/>
        <v>2.4611799742222107E-2</v>
      </c>
      <c r="DZ23" s="26">
        <f t="shared" si="23"/>
        <v>1.5836030461844567E-2</v>
      </c>
      <c r="EA23" s="26">
        <f t="shared" ref="EA23:EF23" si="24">(EA7-EA15)^2</f>
        <v>3.5868043089584082E-3</v>
      </c>
      <c r="EB23" s="26">
        <f t="shared" si="24"/>
        <v>7.1023836705128474E-4</v>
      </c>
      <c r="EC23" s="26">
        <f t="shared" si="24"/>
        <v>5.6992330714428685E-4</v>
      </c>
      <c r="ED23" s="26">
        <f t="shared" si="24"/>
        <v>1.1915448811986714E-3</v>
      </c>
      <c r="EE23" s="26">
        <f t="shared" si="24"/>
        <v>1.7632669560111779E-3</v>
      </c>
      <c r="EF23" s="26">
        <f t="shared" si="24"/>
        <v>1.1318364012401967E-3</v>
      </c>
    </row>
    <row r="24" spans="1:137" ht="16" customHeight="1">
      <c r="A24" s="4"/>
    </row>
    <row r="25" spans="1:137" ht="16" customHeight="1">
      <c r="A25" s="41" t="s">
        <v>170</v>
      </c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7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  <c r="AI25" s="25"/>
      <c r="AJ25" s="25"/>
      <c r="AK25" s="25"/>
      <c r="AL25" s="25"/>
      <c r="AM25" s="25"/>
      <c r="AN25" s="25"/>
      <c r="AO25" s="25"/>
      <c r="AP25" s="25"/>
      <c r="AQ25" s="25"/>
      <c r="AR25" s="25"/>
      <c r="AS25" s="25"/>
      <c r="AT25" s="25"/>
      <c r="AU25" s="25"/>
      <c r="AV25" s="25"/>
      <c r="AW25" s="25"/>
      <c r="AX25" s="25"/>
      <c r="AY25" s="25"/>
      <c r="AZ25" s="25"/>
      <c r="BA25" s="25"/>
      <c r="BB25" s="25"/>
      <c r="BC25" s="25"/>
      <c r="BD25" s="25"/>
      <c r="BE25" s="25"/>
      <c r="BF25" s="25"/>
      <c r="BG25" s="25"/>
      <c r="BH25" s="25"/>
      <c r="BI25" s="25"/>
      <c r="BJ25" s="25"/>
      <c r="BK25" s="25"/>
      <c r="BL25" s="25"/>
      <c r="BM25" s="25"/>
      <c r="BN25" s="25"/>
      <c r="BO25" s="25"/>
      <c r="BP25" s="25"/>
      <c r="BQ25" s="25"/>
      <c r="BR25" s="25"/>
      <c r="BS25" s="25"/>
      <c r="BT25" s="25"/>
      <c r="BU25" s="25"/>
      <c r="BV25" s="25"/>
      <c r="BW25" s="25"/>
      <c r="BX25" s="25"/>
      <c r="BY25" s="25"/>
      <c r="BZ25" s="25"/>
      <c r="CA25" s="25"/>
      <c r="CB25" s="25"/>
      <c r="CC25" s="25"/>
      <c r="CD25" s="25"/>
      <c r="CE25" s="25"/>
      <c r="CF25" s="25"/>
      <c r="CG25" s="25"/>
      <c r="CH25" s="25"/>
      <c r="CI25" s="25"/>
      <c r="CJ25" s="25"/>
      <c r="CK25" s="25"/>
      <c r="CL25" s="25"/>
      <c r="CM25" s="25"/>
      <c r="CN25" s="25"/>
      <c r="CO25" s="25"/>
      <c r="CP25" s="25"/>
      <c r="CQ25" s="25"/>
      <c r="CR25" s="25"/>
      <c r="CS25" s="25"/>
      <c r="CT25" s="25"/>
      <c r="CU25" s="25"/>
      <c r="CV25" s="25"/>
      <c r="CW25" s="25"/>
      <c r="CX25" s="25"/>
      <c r="CY25" s="25"/>
      <c r="CZ25" s="25"/>
      <c r="DA25" s="25"/>
      <c r="DB25" s="25"/>
      <c r="DC25" s="25"/>
      <c r="DD25" s="25"/>
      <c r="DE25" s="25"/>
      <c r="DF25" s="25"/>
      <c r="DG25" s="25"/>
      <c r="DH25" s="25"/>
      <c r="DI25" s="25"/>
      <c r="DJ25" s="25"/>
      <c r="DK25" s="25"/>
      <c r="DL25" s="25"/>
      <c r="DM25" s="25"/>
      <c r="DN25" s="25"/>
      <c r="DO25" s="25"/>
      <c r="DP25" s="25"/>
      <c r="DQ25" s="25"/>
      <c r="DR25" s="25"/>
      <c r="DS25" s="25"/>
      <c r="DT25" s="25"/>
      <c r="DU25" s="25"/>
      <c r="DV25" s="25"/>
      <c r="DW25" s="25"/>
      <c r="DX25" s="25"/>
      <c r="DY25" s="25"/>
      <c r="DZ25" s="25"/>
      <c r="EA25" s="25"/>
      <c r="EB25" s="25"/>
      <c r="EC25" s="25"/>
      <c r="ED25" s="25"/>
      <c r="EE25" s="25"/>
      <c r="EF25" s="25"/>
      <c r="EG25" s="4"/>
    </row>
    <row r="26" spans="1:137" ht="17" customHeight="1">
      <c r="A26" s="25"/>
      <c r="B26" s="6" t="s">
        <v>1</v>
      </c>
      <c r="C26" s="39" t="s">
        <v>2</v>
      </c>
      <c r="D26" s="39" t="s">
        <v>3</v>
      </c>
      <c r="E26" s="39" t="s">
        <v>4</v>
      </c>
      <c r="F26" s="39" t="s">
        <v>5</v>
      </c>
      <c r="G26" s="39" t="s">
        <v>6</v>
      </c>
      <c r="H26" s="39" t="s">
        <v>7</v>
      </c>
      <c r="I26" s="39" t="s">
        <v>8</v>
      </c>
      <c r="J26" s="39" t="s">
        <v>9</v>
      </c>
      <c r="K26" s="39" t="s">
        <v>10</v>
      </c>
      <c r="L26" s="39" t="s">
        <v>11</v>
      </c>
      <c r="M26" s="39" t="s">
        <v>12</v>
      </c>
      <c r="N26" s="39" t="s">
        <v>13</v>
      </c>
      <c r="O26" s="39" t="s">
        <v>14</v>
      </c>
      <c r="P26" s="39" t="s">
        <v>15</v>
      </c>
      <c r="Q26" s="39" t="s">
        <v>16</v>
      </c>
      <c r="R26" s="39" t="s">
        <v>17</v>
      </c>
      <c r="S26" s="39" t="s">
        <v>18</v>
      </c>
      <c r="T26" s="39" t="s">
        <v>19</v>
      </c>
      <c r="U26" s="39" t="s">
        <v>20</v>
      </c>
      <c r="V26" s="39" t="s">
        <v>21</v>
      </c>
      <c r="W26" s="39" t="s">
        <v>22</v>
      </c>
      <c r="X26" s="39" t="s">
        <v>23</v>
      </c>
      <c r="Y26" s="39" t="s">
        <v>24</v>
      </c>
      <c r="Z26" s="39" t="s">
        <v>25</v>
      </c>
      <c r="AA26" s="39" t="s">
        <v>26</v>
      </c>
      <c r="AB26" s="39" t="s">
        <v>27</v>
      </c>
      <c r="AC26" s="39" t="s">
        <v>28</v>
      </c>
      <c r="AD26" s="39" t="s">
        <v>29</v>
      </c>
      <c r="AE26" s="39" t="s">
        <v>30</v>
      </c>
      <c r="AF26" s="39" t="s">
        <v>31</v>
      </c>
      <c r="AG26" s="39" t="s">
        <v>32</v>
      </c>
      <c r="AH26" s="39" t="s">
        <v>33</v>
      </c>
      <c r="AI26" s="39" t="s">
        <v>34</v>
      </c>
      <c r="AJ26" s="39" t="s">
        <v>35</v>
      </c>
      <c r="AK26" s="39" t="s">
        <v>36</v>
      </c>
      <c r="AL26" s="39" t="s">
        <v>37</v>
      </c>
      <c r="AM26" s="39" t="s">
        <v>38</v>
      </c>
      <c r="AN26" s="39" t="s">
        <v>39</v>
      </c>
      <c r="AO26" s="39" t="s">
        <v>40</v>
      </c>
      <c r="AP26" s="39" t="s">
        <v>41</v>
      </c>
      <c r="AQ26" s="39" t="s">
        <v>42</v>
      </c>
      <c r="AR26" s="39" t="s">
        <v>43</v>
      </c>
      <c r="AS26" s="39" t="s">
        <v>44</v>
      </c>
      <c r="AT26" s="39" t="s">
        <v>45</v>
      </c>
      <c r="AU26" s="39" t="s">
        <v>46</v>
      </c>
      <c r="AV26" s="39" t="s">
        <v>47</v>
      </c>
      <c r="AW26" s="39" t="s">
        <v>48</v>
      </c>
      <c r="AX26" s="39" t="s">
        <v>49</v>
      </c>
      <c r="AY26" s="39" t="s">
        <v>50</v>
      </c>
      <c r="AZ26" s="39" t="s">
        <v>51</v>
      </c>
      <c r="BA26" s="39" t="s">
        <v>52</v>
      </c>
      <c r="BB26" s="39" t="s">
        <v>53</v>
      </c>
      <c r="BC26" s="39" t="s">
        <v>54</v>
      </c>
      <c r="BD26" s="39" t="s">
        <v>55</v>
      </c>
      <c r="BE26" s="39" t="s">
        <v>56</v>
      </c>
      <c r="BF26" s="39" t="s">
        <v>57</v>
      </c>
      <c r="BG26" s="39" t="s">
        <v>58</v>
      </c>
      <c r="BH26" s="39" t="s">
        <v>59</v>
      </c>
      <c r="BI26" s="39" t="s">
        <v>60</v>
      </c>
      <c r="BJ26" s="39" t="s">
        <v>61</v>
      </c>
      <c r="BK26" s="39" t="s">
        <v>62</v>
      </c>
      <c r="BL26" s="39" t="s">
        <v>63</v>
      </c>
      <c r="BM26" s="39" t="s">
        <v>64</v>
      </c>
      <c r="BN26" s="39" t="s">
        <v>65</v>
      </c>
      <c r="BO26" s="39" t="s">
        <v>66</v>
      </c>
      <c r="BP26" s="39" t="s">
        <v>67</v>
      </c>
      <c r="BQ26" s="39" t="s">
        <v>68</v>
      </c>
      <c r="BR26" s="39" t="s">
        <v>69</v>
      </c>
      <c r="BS26" s="39" t="s">
        <v>70</v>
      </c>
      <c r="BT26" s="39" t="s">
        <v>71</v>
      </c>
      <c r="BU26" s="39" t="s">
        <v>72</v>
      </c>
      <c r="BV26" s="39" t="s">
        <v>73</v>
      </c>
      <c r="BW26" s="39" t="s">
        <v>74</v>
      </c>
      <c r="BX26" s="39" t="s">
        <v>75</v>
      </c>
      <c r="BY26" s="39" t="s">
        <v>76</v>
      </c>
      <c r="BZ26" s="39" t="s">
        <v>77</v>
      </c>
      <c r="CA26" s="39" t="s">
        <v>78</v>
      </c>
      <c r="CB26" s="39" t="s">
        <v>79</v>
      </c>
      <c r="CC26" s="39" t="s">
        <v>80</v>
      </c>
      <c r="CD26" s="39" t="s">
        <v>81</v>
      </c>
      <c r="CE26" s="39" t="s">
        <v>82</v>
      </c>
      <c r="CF26" s="39" t="s">
        <v>83</v>
      </c>
      <c r="CG26" s="39" t="s">
        <v>84</v>
      </c>
      <c r="CH26" s="39" t="s">
        <v>85</v>
      </c>
      <c r="CI26" s="39" t="s">
        <v>86</v>
      </c>
      <c r="CJ26" s="39" t="s">
        <v>87</v>
      </c>
      <c r="CK26" s="39" t="s">
        <v>88</v>
      </c>
      <c r="CL26" s="39" t="s">
        <v>89</v>
      </c>
      <c r="CM26" s="39" t="s">
        <v>90</v>
      </c>
      <c r="CN26" s="39" t="s">
        <v>91</v>
      </c>
      <c r="CO26" s="39" t="s">
        <v>92</v>
      </c>
      <c r="CP26" s="39" t="s">
        <v>93</v>
      </c>
      <c r="CQ26" s="39" t="s">
        <v>94</v>
      </c>
      <c r="CR26" s="39" t="s">
        <v>95</v>
      </c>
      <c r="CS26" s="39" t="s">
        <v>96</v>
      </c>
      <c r="CT26" s="39" t="s">
        <v>97</v>
      </c>
      <c r="CU26" s="39" t="s">
        <v>98</v>
      </c>
      <c r="CV26" s="39" t="s">
        <v>99</v>
      </c>
      <c r="CW26" s="39" t="s">
        <v>100</v>
      </c>
      <c r="CX26" s="39" t="s">
        <v>101</v>
      </c>
      <c r="CY26" s="39" t="s">
        <v>102</v>
      </c>
      <c r="CZ26" s="39" t="s">
        <v>103</v>
      </c>
      <c r="DA26" s="39" t="s">
        <v>104</v>
      </c>
      <c r="DB26" s="39" t="s">
        <v>105</v>
      </c>
      <c r="DC26" s="39" t="s">
        <v>106</v>
      </c>
      <c r="DD26" s="39" t="s">
        <v>107</v>
      </c>
      <c r="DE26" s="39" t="s">
        <v>108</v>
      </c>
      <c r="DF26" s="39" t="s">
        <v>109</v>
      </c>
      <c r="DG26" s="39" t="s">
        <v>110</v>
      </c>
      <c r="DH26" s="39" t="s">
        <v>111</v>
      </c>
      <c r="DI26" s="39" t="s">
        <v>112</v>
      </c>
      <c r="DJ26" s="39" t="s">
        <v>113</v>
      </c>
      <c r="DK26" s="39" t="s">
        <v>114</v>
      </c>
      <c r="DL26" s="39" t="s">
        <v>115</v>
      </c>
      <c r="DM26" s="39" t="s">
        <v>116</v>
      </c>
      <c r="DN26" s="39" t="s">
        <v>117</v>
      </c>
      <c r="DO26" s="39" t="s">
        <v>118</v>
      </c>
      <c r="DP26" s="39" t="s">
        <v>119</v>
      </c>
      <c r="DQ26" s="39" t="s">
        <v>120</v>
      </c>
      <c r="DR26" s="39" t="s">
        <v>121</v>
      </c>
      <c r="DS26" s="39" t="s">
        <v>122</v>
      </c>
      <c r="DT26" s="39" t="s">
        <v>123</v>
      </c>
      <c r="DU26" s="39" t="s">
        <v>124</v>
      </c>
      <c r="DV26" s="39" t="s">
        <v>125</v>
      </c>
      <c r="DW26" s="39" t="s">
        <v>126</v>
      </c>
      <c r="DX26" s="39" t="s">
        <v>127</v>
      </c>
      <c r="DY26" s="39" t="s">
        <v>128</v>
      </c>
      <c r="DZ26" s="39" t="s">
        <v>129</v>
      </c>
      <c r="EA26" s="39" t="s">
        <v>130</v>
      </c>
      <c r="EB26" s="39" t="s">
        <v>131</v>
      </c>
      <c r="EC26" s="39" t="s">
        <v>132</v>
      </c>
      <c r="ED26" s="40" t="s">
        <v>133</v>
      </c>
      <c r="EE26" s="39" t="s">
        <v>134</v>
      </c>
      <c r="EF26" s="39" t="s">
        <v>135</v>
      </c>
      <c r="EG26" s="4"/>
    </row>
    <row r="27" spans="1:137" ht="16" customHeight="1">
      <c r="A27" s="25"/>
      <c r="B27" s="23" t="s">
        <v>136</v>
      </c>
      <c r="C27" s="26">
        <f t="shared" ref="C27:AH27" si="25">C11^2</f>
        <v>1.4546941553060746E-2</v>
      </c>
      <c r="D27" s="26">
        <f t="shared" si="25"/>
        <v>2.0783224103101891E-3</v>
      </c>
      <c r="E27" s="26">
        <f t="shared" si="25"/>
        <v>2.7904049153052446E-2</v>
      </c>
      <c r="F27" s="26">
        <f t="shared" si="25"/>
        <v>5.4389132733367778E-3</v>
      </c>
      <c r="G27" s="26">
        <f t="shared" si="25"/>
        <v>1.0566781966776994E-3</v>
      </c>
      <c r="H27" s="26">
        <f t="shared" si="25"/>
        <v>1.0789332020358306E-3</v>
      </c>
      <c r="I27" s="26">
        <f t="shared" si="25"/>
        <v>1.4665592341637463E-2</v>
      </c>
      <c r="J27" s="26">
        <f t="shared" si="25"/>
        <v>6.667930891517048E-6</v>
      </c>
      <c r="K27" s="26">
        <f t="shared" si="25"/>
        <v>5.1794829850867136E-3</v>
      </c>
      <c r="L27" s="26">
        <f t="shared" si="25"/>
        <v>1.1794218884633857E-3</v>
      </c>
      <c r="M27" s="26">
        <f t="shared" si="25"/>
        <v>1.6067753709816334E-3</v>
      </c>
      <c r="N27" s="26">
        <f t="shared" si="25"/>
        <v>1.7275217604557664E-3</v>
      </c>
      <c r="O27" s="26">
        <f t="shared" si="25"/>
        <v>4.7613865504638851E-5</v>
      </c>
      <c r="P27" s="26">
        <f t="shared" si="25"/>
        <v>1.2801639685446422E-3</v>
      </c>
      <c r="Q27" s="26">
        <f t="shared" si="25"/>
        <v>4.6718094894194085E-3</v>
      </c>
      <c r="R27" s="26">
        <f t="shared" si="25"/>
        <v>2.0623478958674162E-3</v>
      </c>
      <c r="S27" s="26">
        <f t="shared" si="25"/>
        <v>3.8706550378058856E-4</v>
      </c>
      <c r="T27" s="26">
        <f t="shared" si="25"/>
        <v>1.1331798132323292E-2</v>
      </c>
      <c r="U27" s="26">
        <f t="shared" si="25"/>
        <v>1.0274068999818326E-3</v>
      </c>
      <c r="V27" s="26">
        <f t="shared" si="25"/>
        <v>2.209865254204212E-4</v>
      </c>
      <c r="W27" s="26">
        <f t="shared" si="25"/>
        <v>8.7245073042044007E-3</v>
      </c>
      <c r="X27" s="26">
        <f t="shared" si="25"/>
        <v>1.3729897055253691E-3</v>
      </c>
      <c r="Y27" s="26">
        <f t="shared" si="25"/>
        <v>2.2448308059105264E-3</v>
      </c>
      <c r="Z27" s="26">
        <f t="shared" si="25"/>
        <v>1.276845571821618E-3</v>
      </c>
      <c r="AA27" s="26">
        <f t="shared" si="25"/>
        <v>5.5814967545114143E-3</v>
      </c>
      <c r="AB27" s="26">
        <f t="shared" si="25"/>
        <v>1.0300559933415927E-2</v>
      </c>
      <c r="AC27" s="26">
        <f t="shared" si="25"/>
        <v>8.7550991227910581E-8</v>
      </c>
      <c r="AD27" s="26">
        <f t="shared" si="25"/>
        <v>4.7401569145407449E-3</v>
      </c>
      <c r="AE27" s="26">
        <f t="shared" si="25"/>
        <v>4.9577618903744007E-4</v>
      </c>
      <c r="AF27" s="26">
        <f t="shared" si="25"/>
        <v>1.7326798789216898E-3</v>
      </c>
      <c r="AG27" s="26">
        <f t="shared" si="25"/>
        <v>6.4815810717736903E-5</v>
      </c>
      <c r="AH27" s="26">
        <f t="shared" si="25"/>
        <v>1.4641836287280217E-3</v>
      </c>
      <c r="AI27" s="26">
        <f t="shared" ref="AI27:BN27" si="26">AI11^2</f>
        <v>2.0416160929393706E-3</v>
      </c>
      <c r="AJ27" s="26">
        <f t="shared" si="26"/>
        <v>1.1707089979531781E-3</v>
      </c>
      <c r="AK27" s="26">
        <f t="shared" si="26"/>
        <v>1.9481826911203113E-3</v>
      </c>
      <c r="AL27" s="26">
        <f t="shared" si="26"/>
        <v>1.266474915537371E-3</v>
      </c>
      <c r="AM27" s="26">
        <f t="shared" si="26"/>
        <v>1.7102176743532169E-4</v>
      </c>
      <c r="AN27" s="26">
        <f t="shared" si="26"/>
        <v>1.7210583520656951E-5</v>
      </c>
      <c r="AO27" s="26">
        <f t="shared" si="26"/>
        <v>6.0349700617423905E-3</v>
      </c>
      <c r="AP27" s="26">
        <f t="shared" si="26"/>
        <v>4.8977517008283308E-5</v>
      </c>
      <c r="AQ27" s="26">
        <f t="shared" si="26"/>
        <v>1.7147336612869088E-2</v>
      </c>
      <c r="AR27" s="26">
        <f t="shared" si="26"/>
        <v>7.5329742495129385E-3</v>
      </c>
      <c r="AS27" s="26">
        <f t="shared" si="26"/>
        <v>2.7776044691565603E-3</v>
      </c>
      <c r="AT27" s="26">
        <f t="shared" si="26"/>
        <v>4.2547534102817912E-3</v>
      </c>
      <c r="AU27" s="26">
        <f t="shared" si="26"/>
        <v>4.2502345660876805E-3</v>
      </c>
      <c r="AV27" s="26">
        <f t="shared" si="26"/>
        <v>7.3436487400388122E-5</v>
      </c>
      <c r="AW27" s="26">
        <f t="shared" si="26"/>
        <v>1.60194481917085E-3</v>
      </c>
      <c r="AX27" s="26">
        <f t="shared" si="26"/>
        <v>9.8863219592693887E-4</v>
      </c>
      <c r="AY27" s="26">
        <f t="shared" si="26"/>
        <v>1.6041610488780382E-5</v>
      </c>
      <c r="AZ27" s="26">
        <f t="shared" si="26"/>
        <v>6.2092602647907178E-5</v>
      </c>
      <c r="BA27" s="26">
        <f t="shared" si="26"/>
        <v>3.6874353934753392E-5</v>
      </c>
      <c r="BB27" s="26">
        <f t="shared" si="26"/>
        <v>1.2101704175533322E-4</v>
      </c>
      <c r="BC27" s="26">
        <f t="shared" si="26"/>
        <v>6.9588179927682428E-4</v>
      </c>
      <c r="BD27" s="26">
        <f t="shared" si="26"/>
        <v>1.5586344955206557E-3</v>
      </c>
      <c r="BE27" s="26">
        <f t="shared" si="26"/>
        <v>9.7833278969118435E-4</v>
      </c>
      <c r="BF27" s="26">
        <f t="shared" si="26"/>
        <v>3.6853574048309485E-5</v>
      </c>
      <c r="BG27" s="26">
        <f t="shared" si="26"/>
        <v>3.6647665014566434E-3</v>
      </c>
      <c r="BH27" s="26">
        <f t="shared" si="26"/>
        <v>7.289989238267805E-3</v>
      </c>
      <c r="BI27" s="26">
        <f t="shared" si="26"/>
        <v>4.1593669894173435E-3</v>
      </c>
      <c r="BJ27" s="26">
        <f t="shared" si="26"/>
        <v>3.8783127622290148E-5</v>
      </c>
      <c r="BK27" s="26">
        <f t="shared" si="26"/>
        <v>2.1521354971514193E-3</v>
      </c>
      <c r="BL27" s="26">
        <f t="shared" si="26"/>
        <v>1.336525963820349E-4</v>
      </c>
      <c r="BM27" s="26">
        <f t="shared" si="26"/>
        <v>1.985454762331907E-3</v>
      </c>
      <c r="BN27" s="26">
        <f t="shared" si="26"/>
        <v>7.629465686892122E-6</v>
      </c>
      <c r="BO27" s="26">
        <f t="shared" ref="BO27:CT27" si="27">BO11^2</f>
        <v>6.9091713822011137E-5</v>
      </c>
      <c r="BP27" s="26">
        <f t="shared" si="27"/>
        <v>3.1203785670462585E-3</v>
      </c>
      <c r="BQ27" s="26">
        <f t="shared" si="27"/>
        <v>1.2749634153512547E-3</v>
      </c>
      <c r="BR27" s="26">
        <f t="shared" si="27"/>
        <v>4.8456551158879905E-4</v>
      </c>
      <c r="BS27" s="26">
        <f t="shared" si="27"/>
        <v>1.5716090347935056E-3</v>
      </c>
      <c r="BT27" s="26">
        <f t="shared" si="27"/>
        <v>1.281820711813912E-5</v>
      </c>
      <c r="BU27" s="26">
        <f t="shared" si="27"/>
        <v>8.0657469502776226E-5</v>
      </c>
      <c r="BV27" s="26">
        <f t="shared" si="27"/>
        <v>7.9975160928309909E-5</v>
      </c>
      <c r="BW27" s="26">
        <f t="shared" si="27"/>
        <v>5.7857348809490965E-3</v>
      </c>
      <c r="BX27" s="26">
        <f t="shared" si="27"/>
        <v>1.6534804605481364E-3</v>
      </c>
      <c r="BY27" s="26">
        <f t="shared" si="27"/>
        <v>3.4908406432154694E-3</v>
      </c>
      <c r="BZ27" s="26">
        <f t="shared" si="27"/>
        <v>7.2805942721398899E-4</v>
      </c>
      <c r="CA27" s="26">
        <f t="shared" si="27"/>
        <v>1.6008563931749445E-2</v>
      </c>
      <c r="CB27" s="26">
        <f t="shared" si="27"/>
        <v>1.445347601830995E-4</v>
      </c>
      <c r="CC27" s="26">
        <f t="shared" si="27"/>
        <v>2.5889200398882791E-3</v>
      </c>
      <c r="CD27" s="26">
        <f t="shared" si="27"/>
        <v>6.3887822895437581E-4</v>
      </c>
      <c r="CE27" s="26">
        <f t="shared" si="27"/>
        <v>7.5737829574161275E-3</v>
      </c>
      <c r="CF27" s="26">
        <f t="shared" si="27"/>
        <v>6.0643826814938361E-4</v>
      </c>
      <c r="CG27" s="26">
        <f t="shared" si="27"/>
        <v>3.5145983982815942E-4</v>
      </c>
      <c r="CH27" s="26">
        <f t="shared" si="27"/>
        <v>1.7232859795444449E-3</v>
      </c>
      <c r="CI27" s="26">
        <f t="shared" si="27"/>
        <v>8.8924887500002386E-4</v>
      </c>
      <c r="CJ27" s="26">
        <f t="shared" si="27"/>
        <v>1.6041465397323526E-4</v>
      </c>
      <c r="CK27" s="26">
        <f t="shared" si="27"/>
        <v>2.3028024574732412E-3</v>
      </c>
      <c r="CL27" s="26">
        <f t="shared" si="27"/>
        <v>4.4642725780217762E-5</v>
      </c>
      <c r="CM27" s="26">
        <f t="shared" si="27"/>
        <v>5.4630386341820839E-4</v>
      </c>
      <c r="CN27" s="26">
        <f t="shared" si="27"/>
        <v>1.1859583288463893E-4</v>
      </c>
      <c r="CO27" s="26">
        <f t="shared" si="27"/>
        <v>2.1451538507071776E-2</v>
      </c>
      <c r="CP27" s="26">
        <f t="shared" si="27"/>
        <v>3.9079536734685274E-4</v>
      </c>
      <c r="CQ27" s="26">
        <f t="shared" si="27"/>
        <v>3.1503536084517906E-4</v>
      </c>
      <c r="CR27" s="26">
        <f t="shared" si="27"/>
        <v>8.4050830551802463E-4</v>
      </c>
      <c r="CS27" s="26">
        <f t="shared" si="27"/>
        <v>8.4834108893111048E-5</v>
      </c>
      <c r="CT27" s="26">
        <f t="shared" si="27"/>
        <v>1.357785655578251E-3</v>
      </c>
      <c r="CU27" s="26">
        <f t="shared" ref="CU27:DZ27" si="28">CU11^2</f>
        <v>9.3050106960842897E-4</v>
      </c>
      <c r="CV27" s="26">
        <f t="shared" si="28"/>
        <v>1.6308150330167385E-3</v>
      </c>
      <c r="CW27" s="26">
        <f t="shared" si="28"/>
        <v>8.809623770114191E-5</v>
      </c>
      <c r="CX27" s="26">
        <f t="shared" si="28"/>
        <v>5.9673905700761143E-3</v>
      </c>
      <c r="CY27" s="26">
        <f t="shared" si="28"/>
        <v>6.4934285102214676E-6</v>
      </c>
      <c r="CZ27" s="26">
        <f t="shared" si="28"/>
        <v>5.4553958679762855E-4</v>
      </c>
      <c r="DA27" s="26">
        <f t="shared" si="28"/>
        <v>1.2679764368676608E-3</v>
      </c>
      <c r="DB27" s="26">
        <f t="shared" si="28"/>
        <v>2.0249957666726433E-5</v>
      </c>
      <c r="DC27" s="26">
        <f t="shared" si="28"/>
        <v>1.8851158771020619E-3</v>
      </c>
      <c r="DD27" s="26">
        <f t="shared" si="28"/>
        <v>6.019507847381921E-3</v>
      </c>
      <c r="DE27" s="26">
        <f t="shared" si="28"/>
        <v>2.0746948170583621E-3</v>
      </c>
      <c r="DF27" s="26">
        <f t="shared" si="28"/>
        <v>5.4406906442556616E-3</v>
      </c>
      <c r="DG27" s="26">
        <f t="shared" si="28"/>
        <v>1.9143570377321042E-4</v>
      </c>
      <c r="DH27" s="26">
        <f t="shared" si="28"/>
        <v>1.7283277364271178E-4</v>
      </c>
      <c r="DI27" s="26">
        <f t="shared" si="28"/>
        <v>1.4029015510613837E-2</v>
      </c>
      <c r="DJ27" s="26">
        <f t="shared" si="28"/>
        <v>2.4716568256932104E-3</v>
      </c>
      <c r="DK27" s="26">
        <f t="shared" si="28"/>
        <v>8.3387640549511242E-4</v>
      </c>
      <c r="DL27" s="26">
        <f t="shared" si="28"/>
        <v>1.737526121331807E-4</v>
      </c>
      <c r="DM27" s="26">
        <f t="shared" si="28"/>
        <v>1.89403573255491E-3</v>
      </c>
      <c r="DN27" s="26">
        <f t="shared" si="28"/>
        <v>3.6799363519197273E-3</v>
      </c>
      <c r="DO27" s="26">
        <f t="shared" si="28"/>
        <v>6.8168388978050286E-3</v>
      </c>
      <c r="DP27" s="26">
        <f t="shared" si="28"/>
        <v>9.2190700121279213E-3</v>
      </c>
      <c r="DQ27" s="26">
        <f t="shared" si="28"/>
        <v>3.9384274152525655E-4</v>
      </c>
      <c r="DR27" s="26">
        <f t="shared" si="28"/>
        <v>3.4520279947047156E-4</v>
      </c>
      <c r="DS27" s="26">
        <f t="shared" si="28"/>
        <v>6.6484865577402666E-4</v>
      </c>
      <c r="DT27" s="26">
        <f t="shared" si="28"/>
        <v>1.4131273299836419E-3</v>
      </c>
      <c r="DU27" s="26">
        <f t="shared" si="28"/>
        <v>2.0513579604175191E-3</v>
      </c>
      <c r="DV27" s="26">
        <f t="shared" si="28"/>
        <v>5.0438077988086629E-4</v>
      </c>
      <c r="DW27" s="26">
        <f t="shared" si="28"/>
        <v>7.3792142143569996E-8</v>
      </c>
      <c r="DX27" s="26">
        <f t="shared" si="28"/>
        <v>4.1607646394616529E-3</v>
      </c>
      <c r="DY27" s="26">
        <f t="shared" si="28"/>
        <v>3.6150469403375229E-3</v>
      </c>
      <c r="DZ27" s="26">
        <f t="shared" si="28"/>
        <v>3.3925055356370317E-5</v>
      </c>
      <c r="EA27" s="26">
        <f t="shared" ref="EA27:EF27" si="29">EA11^2</f>
        <v>2.4037075920316242E-4</v>
      </c>
      <c r="EB27" s="26">
        <f t="shared" si="29"/>
        <v>9.5511362034907718E-4</v>
      </c>
      <c r="EC27" s="26">
        <f t="shared" si="29"/>
        <v>1.5850809145450105E-3</v>
      </c>
      <c r="ED27" s="26">
        <f t="shared" si="29"/>
        <v>3.6224111358421139E-5</v>
      </c>
      <c r="EE27" s="26">
        <f t="shared" si="29"/>
        <v>1.591113750128701E-3</v>
      </c>
      <c r="EF27" s="26">
        <f t="shared" si="29"/>
        <v>9.2316261048452156E-3</v>
      </c>
      <c r="EG27" s="4"/>
    </row>
    <row r="28" spans="1:137" ht="16" customHeight="1">
      <c r="A28" s="25"/>
      <c r="B28" s="23" t="s">
        <v>137</v>
      </c>
      <c r="C28" s="26">
        <f t="shared" ref="C28:AH28" si="30">C12^2</f>
        <v>4.3830739180631434E-2</v>
      </c>
      <c r="D28" s="26">
        <f t="shared" si="30"/>
        <v>5.8301099036782662E-2</v>
      </c>
      <c r="E28" s="26">
        <f t="shared" si="30"/>
        <v>7.095082717439341E-2</v>
      </c>
      <c r="F28" s="26">
        <f t="shared" si="30"/>
        <v>0.10905171683529688</v>
      </c>
      <c r="G28" s="26">
        <f t="shared" si="30"/>
        <v>4.1447412921159846E-2</v>
      </c>
      <c r="H28" s="26">
        <f t="shared" si="30"/>
        <v>0.30662153574633394</v>
      </c>
      <c r="I28" s="26">
        <f t="shared" si="30"/>
        <v>0.44862468715901888</v>
      </c>
      <c r="J28" s="26">
        <f t="shared" si="30"/>
        <v>0.37249771464554532</v>
      </c>
      <c r="K28" s="26">
        <f t="shared" si="30"/>
        <v>0.743172367419633</v>
      </c>
      <c r="L28" s="26">
        <f t="shared" si="30"/>
        <v>0.13954555250085254</v>
      </c>
      <c r="M28" s="26">
        <f t="shared" si="30"/>
        <v>0.38715788019824043</v>
      </c>
      <c r="N28" s="26">
        <f t="shared" si="30"/>
        <v>8.6148423679951708E-2</v>
      </c>
      <c r="O28" s="26">
        <f t="shared" si="30"/>
        <v>0.12694035248712693</v>
      </c>
      <c r="P28" s="26">
        <f t="shared" si="30"/>
        <v>3.1708544027118792E-2</v>
      </c>
      <c r="Q28" s="26">
        <f t="shared" si="30"/>
        <v>2.4447673977298121E-2</v>
      </c>
      <c r="R28" s="26">
        <f t="shared" si="30"/>
        <v>5.0548710826470368E-2</v>
      </c>
      <c r="S28" s="26">
        <f t="shared" si="30"/>
        <v>3.335905702910956E-2</v>
      </c>
      <c r="T28" s="26">
        <f t="shared" si="30"/>
        <v>2.3431552375031854E-2</v>
      </c>
      <c r="U28" s="26">
        <f t="shared" si="30"/>
        <v>5.0885044725258448E-2</v>
      </c>
      <c r="V28" s="26">
        <f t="shared" si="30"/>
        <v>8.3869495384565479E-3</v>
      </c>
      <c r="W28" s="26">
        <f t="shared" si="30"/>
        <v>2.4498374202481382E-3</v>
      </c>
      <c r="X28" s="26">
        <f t="shared" si="30"/>
        <v>7.1767765320458587E-2</v>
      </c>
      <c r="Y28" s="26">
        <f t="shared" si="30"/>
        <v>0.13307049851712519</v>
      </c>
      <c r="Z28" s="26">
        <f t="shared" si="30"/>
        <v>0.14281295511624217</v>
      </c>
      <c r="AA28" s="26">
        <f t="shared" si="30"/>
        <v>0.19320846596826294</v>
      </c>
      <c r="AB28" s="26">
        <f t="shared" si="30"/>
        <v>0.17522107810753829</v>
      </c>
      <c r="AC28" s="26">
        <f t="shared" si="30"/>
        <v>0.10122906471344194</v>
      </c>
      <c r="AD28" s="26">
        <f t="shared" si="30"/>
        <v>4.349951307703423E-2</v>
      </c>
      <c r="AE28" s="26">
        <f t="shared" si="30"/>
        <v>1.0478590051857991E-2</v>
      </c>
      <c r="AF28" s="26">
        <f t="shared" si="30"/>
        <v>2.2161861582718628E-2</v>
      </c>
      <c r="AG28" s="26">
        <f t="shared" si="30"/>
        <v>3.48532407548637E-2</v>
      </c>
      <c r="AH28" s="26">
        <f t="shared" si="30"/>
        <v>6.4481843573684958E-2</v>
      </c>
      <c r="AI28" s="26">
        <f t="shared" ref="AI28:BN28" si="31">AI12^2</f>
        <v>2.1826878929646673E-2</v>
      </c>
      <c r="AJ28" s="26">
        <f t="shared" si="31"/>
        <v>1.9814522363226735E-3</v>
      </c>
      <c r="AK28" s="26">
        <f t="shared" si="31"/>
        <v>3.3820763078832865E-3</v>
      </c>
      <c r="AL28" s="26">
        <f t="shared" si="31"/>
        <v>8.4392218871139468E-3</v>
      </c>
      <c r="AM28" s="26">
        <f t="shared" si="31"/>
        <v>2.8312335196841936E-2</v>
      </c>
      <c r="AN28" s="26">
        <f t="shared" si="31"/>
        <v>0.1138637327158907</v>
      </c>
      <c r="AO28" s="26">
        <f t="shared" si="31"/>
        <v>0.13592606952782832</v>
      </c>
      <c r="AP28" s="26">
        <f t="shared" si="31"/>
        <v>8.2322852414103337E-2</v>
      </c>
      <c r="AQ28" s="26">
        <f t="shared" si="31"/>
        <v>9.3170679998561309E-2</v>
      </c>
      <c r="AR28" s="26">
        <f t="shared" si="31"/>
        <v>8.6032984752392933E-2</v>
      </c>
      <c r="AS28" s="26">
        <f t="shared" si="31"/>
        <v>9.1609308617207744E-2</v>
      </c>
      <c r="AT28" s="26">
        <f t="shared" si="31"/>
        <v>7.8655989499887141E-2</v>
      </c>
      <c r="AU28" s="26">
        <f t="shared" si="31"/>
        <v>3.335368834728835E-2</v>
      </c>
      <c r="AV28" s="26">
        <f t="shared" si="31"/>
        <v>1.4716064571650107E-2</v>
      </c>
      <c r="AW28" s="26">
        <f t="shared" si="31"/>
        <v>2.3630217629516722E-2</v>
      </c>
      <c r="AX28" s="26">
        <f t="shared" si="31"/>
        <v>4.6792436902858405E-4</v>
      </c>
      <c r="AY28" s="26">
        <f t="shared" si="31"/>
        <v>1.024586410891495E-2</v>
      </c>
      <c r="AZ28" s="26">
        <f t="shared" si="31"/>
        <v>3.5925983334454098E-2</v>
      </c>
      <c r="BA28" s="26">
        <f t="shared" si="31"/>
        <v>9.0782228273149253E-3</v>
      </c>
      <c r="BB28" s="26">
        <f t="shared" si="31"/>
        <v>1.2388743240652662E-4</v>
      </c>
      <c r="BC28" s="26">
        <f t="shared" si="31"/>
        <v>3.8495669849968377E-2</v>
      </c>
      <c r="BD28" s="26">
        <f t="shared" si="31"/>
        <v>2.3179190007777614E-2</v>
      </c>
      <c r="BE28" s="26">
        <f t="shared" si="31"/>
        <v>4.3824908459607299E-2</v>
      </c>
      <c r="BF28" s="26">
        <f t="shared" si="31"/>
        <v>2.8063797777468584E-2</v>
      </c>
      <c r="BG28" s="26">
        <f t="shared" si="31"/>
        <v>2.8411507265062915E-2</v>
      </c>
      <c r="BH28" s="26">
        <f t="shared" si="31"/>
        <v>5.5111120133917592E-2</v>
      </c>
      <c r="BI28" s="26">
        <f t="shared" si="31"/>
        <v>7.6167039583153323E-2</v>
      </c>
      <c r="BJ28" s="26">
        <f t="shared" si="31"/>
        <v>6.8407855887226643E-2</v>
      </c>
      <c r="BK28" s="26">
        <f t="shared" si="31"/>
        <v>3.7251163512853964E-2</v>
      </c>
      <c r="BL28" s="26">
        <f t="shared" si="31"/>
        <v>1.0404047201649799E-3</v>
      </c>
      <c r="BM28" s="26">
        <f t="shared" si="31"/>
        <v>7.1655714833368349E-3</v>
      </c>
      <c r="BN28" s="26">
        <f t="shared" si="31"/>
        <v>2.46560415965623E-4</v>
      </c>
      <c r="BO28" s="26">
        <f t="shared" ref="BO28:CT28" si="32">BO12^2</f>
        <v>8.7667897977662819E-4</v>
      </c>
      <c r="BP28" s="26">
        <f t="shared" si="32"/>
        <v>6.8269805330622903E-3</v>
      </c>
      <c r="BQ28" s="26">
        <f t="shared" si="32"/>
        <v>6.2933205170866251E-3</v>
      </c>
      <c r="BR28" s="26">
        <f t="shared" si="32"/>
        <v>1.288999960124957E-2</v>
      </c>
      <c r="BS28" s="26">
        <f t="shared" si="32"/>
        <v>2.5744399073911749E-2</v>
      </c>
      <c r="BT28" s="26">
        <f t="shared" si="32"/>
        <v>8.4040000719904587E-4</v>
      </c>
      <c r="BU28" s="26">
        <f t="shared" si="32"/>
        <v>1.4758763412936199E-5</v>
      </c>
      <c r="BV28" s="26">
        <f t="shared" si="32"/>
        <v>3.0327833299653061E-2</v>
      </c>
      <c r="BW28" s="26">
        <f t="shared" si="32"/>
        <v>2.5659758966569968E-3</v>
      </c>
      <c r="BX28" s="26">
        <f t="shared" si="32"/>
        <v>9.4989002193701975E-5</v>
      </c>
      <c r="BY28" s="26">
        <f t="shared" si="32"/>
        <v>1.859223801270272E-3</v>
      </c>
      <c r="BZ28" s="26">
        <f t="shared" si="32"/>
        <v>6.9880755309103329E-3</v>
      </c>
      <c r="CA28" s="26">
        <f t="shared" si="32"/>
        <v>3.5710833571697244E-3</v>
      </c>
      <c r="CB28" s="26">
        <f t="shared" si="32"/>
        <v>5.1323474085624377E-2</v>
      </c>
      <c r="CC28" s="26">
        <f t="shared" si="32"/>
        <v>2.579095458316508E-2</v>
      </c>
      <c r="CD28" s="26">
        <f t="shared" si="32"/>
        <v>1.5570601948634978E-2</v>
      </c>
      <c r="CE28" s="26">
        <f t="shared" si="32"/>
        <v>4.944458976607175E-3</v>
      </c>
      <c r="CF28" s="26">
        <f t="shared" si="32"/>
        <v>1.4278336664955138E-3</v>
      </c>
      <c r="CG28" s="26">
        <f t="shared" si="32"/>
        <v>2.1854106949066456E-2</v>
      </c>
      <c r="CH28" s="26">
        <f t="shared" si="32"/>
        <v>2.607039406642328E-2</v>
      </c>
      <c r="CI28" s="26">
        <f t="shared" si="32"/>
        <v>3.6291694223710542E-2</v>
      </c>
      <c r="CJ28" s="26">
        <f t="shared" si="32"/>
        <v>3.3419970564953151E-3</v>
      </c>
      <c r="CK28" s="26">
        <f t="shared" si="32"/>
        <v>3.2977018381864724E-2</v>
      </c>
      <c r="CL28" s="26">
        <f t="shared" si="32"/>
        <v>2.5586851304034028E-2</v>
      </c>
      <c r="CM28" s="26">
        <f t="shared" si="32"/>
        <v>3.7422473170267402E-2</v>
      </c>
      <c r="CN28" s="26">
        <f t="shared" si="32"/>
        <v>8.5861814548839673E-3</v>
      </c>
      <c r="CO28" s="26">
        <f t="shared" si="32"/>
        <v>3.3930914548665383E-2</v>
      </c>
      <c r="CP28" s="26">
        <f t="shared" si="32"/>
        <v>4.6267743265665781E-2</v>
      </c>
      <c r="CQ28" s="26">
        <f t="shared" si="32"/>
        <v>6.1187063347694672E-3</v>
      </c>
      <c r="CR28" s="26">
        <f t="shared" si="32"/>
        <v>5.4113485026226302E-2</v>
      </c>
      <c r="CS28" s="26">
        <f t="shared" si="32"/>
        <v>1.5529550020481946E-2</v>
      </c>
      <c r="CT28" s="26">
        <f t="shared" si="32"/>
        <v>4.6067794897640686E-2</v>
      </c>
      <c r="CU28" s="26">
        <f t="shared" ref="CU28:DZ28" si="33">CU12^2</f>
        <v>8.6320336778984097E-2</v>
      </c>
      <c r="CV28" s="26">
        <f t="shared" si="33"/>
        <v>2.7088680246026325E-2</v>
      </c>
      <c r="CW28" s="26">
        <f t="shared" si="33"/>
        <v>5.17969954915449E-2</v>
      </c>
      <c r="CX28" s="26">
        <f t="shared" si="33"/>
        <v>9.590117112974722E-2</v>
      </c>
      <c r="CY28" s="26">
        <f t="shared" si="33"/>
        <v>1.0166072869105328E-2</v>
      </c>
      <c r="CZ28" s="26">
        <f t="shared" si="33"/>
        <v>7.5071562941328246E-2</v>
      </c>
      <c r="DA28" s="26">
        <f t="shared" si="33"/>
        <v>8.7696720831575203E-2</v>
      </c>
      <c r="DB28" s="26">
        <f t="shared" si="33"/>
        <v>0.19721928790948032</v>
      </c>
      <c r="DC28" s="26">
        <f t="shared" si="33"/>
        <v>7.6950480734462257E-2</v>
      </c>
      <c r="DD28" s="26">
        <f t="shared" si="33"/>
        <v>4.3456381981692792E-2</v>
      </c>
      <c r="DE28" s="26">
        <f t="shared" si="33"/>
        <v>2.5065668503263094E-3</v>
      </c>
      <c r="DF28" s="26">
        <f t="shared" si="33"/>
        <v>6.2952387726760818E-3</v>
      </c>
      <c r="DG28" s="26">
        <f t="shared" si="33"/>
        <v>1.7026700885505253E-3</v>
      </c>
      <c r="DH28" s="26">
        <f t="shared" si="33"/>
        <v>5.4780783790936472E-5</v>
      </c>
      <c r="DI28" s="26">
        <f t="shared" si="33"/>
        <v>8.4462861727841003E-3</v>
      </c>
      <c r="DJ28" s="26">
        <f t="shared" si="33"/>
        <v>3.5649370526165548E-2</v>
      </c>
      <c r="DK28" s="26">
        <f t="shared" si="33"/>
        <v>2.5347403084230663E-5</v>
      </c>
      <c r="DL28" s="26">
        <f t="shared" si="33"/>
        <v>4.2644472977082211E-3</v>
      </c>
      <c r="DM28" s="26">
        <f t="shared" si="33"/>
        <v>2.8872612876189942E-2</v>
      </c>
      <c r="DN28" s="26">
        <f t="shared" si="33"/>
        <v>2.3382578771409526E-3</v>
      </c>
      <c r="DO28" s="26">
        <f t="shared" si="33"/>
        <v>9.1440525189191324E-2</v>
      </c>
      <c r="DP28" s="26">
        <f t="shared" si="33"/>
        <v>0.16200317095160946</v>
      </c>
      <c r="DQ28" s="26">
        <f t="shared" si="33"/>
        <v>0.17925021078535808</v>
      </c>
      <c r="DR28" s="26">
        <f t="shared" si="33"/>
        <v>0.10213605613425659</v>
      </c>
      <c r="DS28" s="26">
        <f t="shared" si="33"/>
        <v>7.2939221272757579E-2</v>
      </c>
      <c r="DT28" s="26">
        <f t="shared" si="33"/>
        <v>6.029929408725699E-2</v>
      </c>
      <c r="DU28" s="26">
        <f t="shared" si="33"/>
        <v>3.3762304837791704E-2</v>
      </c>
      <c r="DV28" s="26">
        <f t="shared" si="33"/>
        <v>2.8501672818344675E-2</v>
      </c>
      <c r="DW28" s="26">
        <f t="shared" si="33"/>
        <v>4.72440328919424E-2</v>
      </c>
      <c r="DX28" s="26">
        <f t="shared" si="33"/>
        <v>3.502962313735733E-2</v>
      </c>
      <c r="DY28" s="26">
        <f t="shared" si="33"/>
        <v>1.6546393274128331E-2</v>
      </c>
      <c r="DZ28" s="26">
        <f t="shared" si="33"/>
        <v>1.2972212627663376E-2</v>
      </c>
      <c r="EA28" s="26">
        <f t="shared" ref="EA28:EF28" si="34">EA12^2</f>
        <v>4.8842058770262806E-3</v>
      </c>
      <c r="EB28" s="26">
        <f t="shared" si="34"/>
        <v>1.6082579262487864E-2</v>
      </c>
      <c r="EC28" s="26">
        <f t="shared" si="34"/>
        <v>2.4423916648603029E-2</v>
      </c>
      <c r="ED28" s="26">
        <f t="shared" si="34"/>
        <v>0.13446028687101075</v>
      </c>
      <c r="EE28" s="26">
        <f t="shared" si="34"/>
        <v>0.22325700516581848</v>
      </c>
      <c r="EF28" s="26">
        <f t="shared" si="34"/>
        <v>0.53249604053321642</v>
      </c>
      <c r="EG28" s="4"/>
    </row>
    <row r="29" spans="1:137" ht="16" customHeight="1">
      <c r="A29" s="25"/>
      <c r="B29" s="23" t="s">
        <v>138</v>
      </c>
      <c r="C29" s="26">
        <f t="shared" ref="C29:AH29" si="35">C13^2</f>
        <v>2.0047505006893902E-2</v>
      </c>
      <c r="D29" s="26">
        <f t="shared" si="35"/>
        <v>8.5723423958154864E-3</v>
      </c>
      <c r="E29" s="26">
        <f t="shared" si="35"/>
        <v>1.288197568545346E-2</v>
      </c>
      <c r="F29" s="26">
        <f t="shared" si="35"/>
        <v>5.4419799360286685E-5</v>
      </c>
      <c r="G29" s="26">
        <f t="shared" si="35"/>
        <v>0.10153123791112391</v>
      </c>
      <c r="H29" s="26">
        <f t="shared" si="35"/>
        <v>0.17690350998720145</v>
      </c>
      <c r="I29" s="26">
        <f t="shared" si="35"/>
        <v>0.38120220747773892</v>
      </c>
      <c r="J29" s="26">
        <f t="shared" si="35"/>
        <v>0.18802637837535</v>
      </c>
      <c r="K29" s="26">
        <f t="shared" si="35"/>
        <v>6.5673146029726751E-2</v>
      </c>
      <c r="L29" s="26">
        <f t="shared" si="35"/>
        <v>4.4652128555955045E-2</v>
      </c>
      <c r="M29" s="26">
        <f t="shared" si="35"/>
        <v>4.2632346896467263E-2</v>
      </c>
      <c r="N29" s="26">
        <f t="shared" si="35"/>
        <v>0.10752652552803434</v>
      </c>
      <c r="O29" s="26">
        <f t="shared" si="35"/>
        <v>2.4742695736495269E-4</v>
      </c>
      <c r="P29" s="26">
        <f t="shared" si="35"/>
        <v>4.6844024506117075E-3</v>
      </c>
      <c r="Q29" s="26">
        <f t="shared" si="35"/>
        <v>2.7719020230516519E-3</v>
      </c>
      <c r="R29" s="26">
        <f t="shared" si="35"/>
        <v>4.2826701197276612E-4</v>
      </c>
      <c r="S29" s="26">
        <f t="shared" si="35"/>
        <v>6.2296614720390605E-4</v>
      </c>
      <c r="T29" s="26">
        <f t="shared" si="35"/>
        <v>7.5418190557369862E-3</v>
      </c>
      <c r="U29" s="26">
        <f t="shared" si="35"/>
        <v>0.27518914368808794</v>
      </c>
      <c r="V29" s="26">
        <f t="shared" si="35"/>
        <v>0.22964638596160719</v>
      </c>
      <c r="W29" s="26">
        <f t="shared" si="35"/>
        <v>0.13212376872723772</v>
      </c>
      <c r="X29" s="26">
        <f t="shared" si="35"/>
        <v>0.15812272676319264</v>
      </c>
      <c r="Y29" s="26">
        <f t="shared" si="35"/>
        <v>0.22621542849001347</v>
      </c>
      <c r="Z29" s="26">
        <f t="shared" si="35"/>
        <v>8.6436818628566822E-2</v>
      </c>
      <c r="AA29" s="26">
        <f t="shared" si="35"/>
        <v>4.8358010224950593E-2</v>
      </c>
      <c r="AB29" s="26">
        <f t="shared" si="35"/>
        <v>3.3039651081531962E-4</v>
      </c>
      <c r="AC29" s="26">
        <f t="shared" si="35"/>
        <v>6.3984103000309734E-3</v>
      </c>
      <c r="AD29" s="26">
        <f t="shared" si="35"/>
        <v>1.0586965025736412E-2</v>
      </c>
      <c r="AE29" s="26">
        <f t="shared" si="35"/>
        <v>2.0879311696932058E-2</v>
      </c>
      <c r="AF29" s="26">
        <f t="shared" si="35"/>
        <v>8.9528585773376787E-3</v>
      </c>
      <c r="AG29" s="26">
        <f t="shared" si="35"/>
        <v>2.5245423682067017E-2</v>
      </c>
      <c r="AH29" s="26">
        <f t="shared" si="35"/>
        <v>1.4308507100670633E-2</v>
      </c>
      <c r="AI29" s="26">
        <f t="shared" ref="AI29:BN29" si="36">AI13^2</f>
        <v>7.1554771304579406E-2</v>
      </c>
      <c r="AJ29" s="26">
        <f t="shared" si="36"/>
        <v>7.8635478240737147E-2</v>
      </c>
      <c r="AK29" s="26">
        <f t="shared" si="36"/>
        <v>9.4249297676503448E-4</v>
      </c>
      <c r="AL29" s="26">
        <f t="shared" si="36"/>
        <v>2.107601885420753E-3</v>
      </c>
      <c r="AM29" s="26">
        <f t="shared" si="36"/>
        <v>3.0619014152663025E-2</v>
      </c>
      <c r="AN29" s="26">
        <f t="shared" si="36"/>
        <v>1.6167437958556286E-2</v>
      </c>
      <c r="AO29" s="26">
        <f t="shared" si="36"/>
        <v>3.410486311302266E-2</v>
      </c>
      <c r="AP29" s="26">
        <f t="shared" si="36"/>
        <v>7.0920613174141126E-3</v>
      </c>
      <c r="AQ29" s="26">
        <f t="shared" si="36"/>
        <v>3.8394156838161914E-2</v>
      </c>
      <c r="AR29" s="26">
        <f t="shared" si="36"/>
        <v>1.7751174381442095E-2</v>
      </c>
      <c r="AS29" s="26">
        <f t="shared" si="36"/>
        <v>2.7534628608526335E-2</v>
      </c>
      <c r="AT29" s="26">
        <f t="shared" si="36"/>
        <v>4.3252538354924186E-4</v>
      </c>
      <c r="AU29" s="26">
        <f t="shared" si="36"/>
        <v>1.5018775721544988E-4</v>
      </c>
      <c r="AV29" s="26">
        <f t="shared" si="36"/>
        <v>1.7833634936318863E-4</v>
      </c>
      <c r="AW29" s="26">
        <f t="shared" si="36"/>
        <v>2.654171782076872E-2</v>
      </c>
      <c r="AX29" s="26">
        <f t="shared" si="36"/>
        <v>4.5787753559754335E-4</v>
      </c>
      <c r="AY29" s="26">
        <f t="shared" si="36"/>
        <v>0.10139060991702965</v>
      </c>
      <c r="AZ29" s="26">
        <f t="shared" si="36"/>
        <v>5.709246010767096E-2</v>
      </c>
      <c r="BA29" s="26">
        <f t="shared" si="36"/>
        <v>5.2897888479895808E-2</v>
      </c>
      <c r="BB29" s="26">
        <f t="shared" si="36"/>
        <v>5.1156161821735184E-3</v>
      </c>
      <c r="BC29" s="26">
        <f t="shared" si="36"/>
        <v>3.8116342827615196E-2</v>
      </c>
      <c r="BD29" s="26">
        <f t="shared" si="36"/>
        <v>1.8058441659227657E-2</v>
      </c>
      <c r="BE29" s="26">
        <f t="shared" si="36"/>
        <v>0.13285043218373843</v>
      </c>
      <c r="BF29" s="26">
        <f t="shared" si="36"/>
        <v>0.2011365929747925</v>
      </c>
      <c r="BG29" s="26">
        <f t="shared" si="36"/>
        <v>0.18680808550654529</v>
      </c>
      <c r="BH29" s="26">
        <f t="shared" si="36"/>
        <v>7.548864590492281E-2</v>
      </c>
      <c r="BI29" s="26">
        <f t="shared" si="36"/>
        <v>7.6314096561538286E-2</v>
      </c>
      <c r="BJ29" s="26">
        <f t="shared" si="36"/>
        <v>2.4288270582949144E-4</v>
      </c>
      <c r="BK29" s="26">
        <f t="shared" si="36"/>
        <v>1.1194726873527957E-2</v>
      </c>
      <c r="BL29" s="26">
        <f t="shared" si="36"/>
        <v>1.6015156231823788E-2</v>
      </c>
      <c r="BM29" s="26">
        <f t="shared" si="36"/>
        <v>5.220352318453586E-2</v>
      </c>
      <c r="BN29" s="26">
        <f t="shared" si="36"/>
        <v>8.1221992792134767E-2</v>
      </c>
      <c r="BO29" s="26">
        <f t="shared" ref="BO29:CT29" si="37">BO13^2</f>
        <v>1.069904960419674E-2</v>
      </c>
      <c r="BP29" s="26">
        <f t="shared" si="37"/>
        <v>0.14239661114031066</v>
      </c>
      <c r="BQ29" s="26">
        <f t="shared" si="37"/>
        <v>4.0149162361662855E-2</v>
      </c>
      <c r="BR29" s="26">
        <f t="shared" si="37"/>
        <v>5.17001338832224E-2</v>
      </c>
      <c r="BS29" s="26">
        <f t="shared" si="37"/>
        <v>7.840319181133551E-2</v>
      </c>
      <c r="BT29" s="26">
        <f t="shared" si="37"/>
        <v>6.2744449082208914E-2</v>
      </c>
      <c r="BU29" s="26">
        <f t="shared" si="37"/>
        <v>0.16769519350492512</v>
      </c>
      <c r="BV29" s="26">
        <f t="shared" si="37"/>
        <v>7.7921036791955459E-2</v>
      </c>
      <c r="BW29" s="26">
        <f t="shared" si="37"/>
        <v>0.17925639751099526</v>
      </c>
      <c r="BX29" s="26">
        <f t="shared" si="37"/>
        <v>4.277201965344242E-2</v>
      </c>
      <c r="BY29" s="26">
        <f t="shared" si="37"/>
        <v>2.8885233844942328E-2</v>
      </c>
      <c r="BZ29" s="26">
        <f t="shared" si="37"/>
        <v>6.3651005885166062E-2</v>
      </c>
      <c r="CA29" s="26">
        <f t="shared" si="37"/>
        <v>0.10256834409168052</v>
      </c>
      <c r="CB29" s="26">
        <f t="shared" si="37"/>
        <v>0.26485003821099157</v>
      </c>
      <c r="CC29" s="26">
        <f t="shared" si="37"/>
        <v>3.2953167800824516E-2</v>
      </c>
      <c r="CD29" s="26">
        <f t="shared" si="37"/>
        <v>1.4408090259037309E-2</v>
      </c>
      <c r="CE29" s="26">
        <f t="shared" si="37"/>
        <v>6.7305444564119633E-4</v>
      </c>
      <c r="CF29" s="26">
        <f t="shared" si="37"/>
        <v>2.028927335632189E-3</v>
      </c>
      <c r="CG29" s="26">
        <f t="shared" si="37"/>
        <v>0.12563781634920676</v>
      </c>
      <c r="CH29" s="26">
        <f t="shared" si="37"/>
        <v>6.3807994754656677E-2</v>
      </c>
      <c r="CI29" s="26">
        <f t="shared" si="37"/>
        <v>2.072214110580279E-2</v>
      </c>
      <c r="CJ29" s="26">
        <f t="shared" si="37"/>
        <v>7.4565975192821279E-2</v>
      </c>
      <c r="CK29" s="26">
        <f t="shared" si="37"/>
        <v>2.9039042533688818E-4</v>
      </c>
      <c r="CL29" s="26">
        <f t="shared" si="37"/>
        <v>5.8968453509929616E-2</v>
      </c>
      <c r="CM29" s="26">
        <f t="shared" si="37"/>
        <v>3.9169875738940184E-5</v>
      </c>
      <c r="CN29" s="26">
        <f t="shared" si="37"/>
        <v>9.6146573337663618E-2</v>
      </c>
      <c r="CO29" s="26">
        <f t="shared" si="37"/>
        <v>0.23679846411196204</v>
      </c>
      <c r="CP29" s="26">
        <f t="shared" si="37"/>
        <v>0.34295869303310317</v>
      </c>
      <c r="CQ29" s="26">
        <f t="shared" si="37"/>
        <v>4.5593924338772143E-2</v>
      </c>
      <c r="CR29" s="26">
        <f t="shared" si="37"/>
        <v>2.7286455064725736E-2</v>
      </c>
      <c r="CS29" s="26">
        <f t="shared" si="37"/>
        <v>2.5144296091216427E-2</v>
      </c>
      <c r="CT29" s="26">
        <f t="shared" si="37"/>
        <v>8.720403778779684E-2</v>
      </c>
      <c r="CU29" s="26">
        <f t="shared" ref="CU29:DZ29" si="38">CU13^2</f>
        <v>1.5745701708606254E-2</v>
      </c>
      <c r="CV29" s="26">
        <f t="shared" si="38"/>
        <v>2.2747457032733761E-3</v>
      </c>
      <c r="CW29" s="26">
        <f t="shared" si="38"/>
        <v>4.893735438933876E-3</v>
      </c>
      <c r="CX29" s="26">
        <f t="shared" si="38"/>
        <v>8.5484735475938801E-5</v>
      </c>
      <c r="CY29" s="26">
        <f t="shared" si="38"/>
        <v>4.8997171997379788E-4</v>
      </c>
      <c r="CZ29" s="26">
        <f t="shared" si="38"/>
        <v>3.113634539444899E-3</v>
      </c>
      <c r="DA29" s="26">
        <f t="shared" si="38"/>
        <v>2.2000710073179742E-5</v>
      </c>
      <c r="DB29" s="26">
        <f t="shared" si="38"/>
        <v>3.9369318341587703E-2</v>
      </c>
      <c r="DC29" s="26">
        <f t="shared" si="38"/>
        <v>2.1950728260332845E-2</v>
      </c>
      <c r="DD29" s="26">
        <f t="shared" si="38"/>
        <v>6.1542246316697961E-3</v>
      </c>
      <c r="DE29" s="26">
        <f t="shared" si="38"/>
        <v>1.2065779227166886E-3</v>
      </c>
      <c r="DF29" s="26">
        <f t="shared" si="38"/>
        <v>5.4334939543582837E-2</v>
      </c>
      <c r="DG29" s="26">
        <f t="shared" si="38"/>
        <v>1.1125170390702424E-2</v>
      </c>
      <c r="DH29" s="26">
        <f t="shared" si="38"/>
        <v>6.7727774420830847E-2</v>
      </c>
      <c r="DI29" s="26">
        <f t="shared" si="38"/>
        <v>5.9254329318028286E-2</v>
      </c>
      <c r="DJ29" s="26">
        <f t="shared" si="38"/>
        <v>3.7970084568573884E-3</v>
      </c>
      <c r="DK29" s="26">
        <f t="shared" si="38"/>
        <v>7.9459118179054915E-3</v>
      </c>
      <c r="DL29" s="26">
        <f t="shared" si="38"/>
        <v>8.5574935694922966E-4</v>
      </c>
      <c r="DM29" s="26">
        <f t="shared" si="38"/>
        <v>2.0266780475656474E-2</v>
      </c>
      <c r="DN29" s="26">
        <f t="shared" si="38"/>
        <v>2.1360574738261119E-2</v>
      </c>
      <c r="DO29" s="26">
        <f t="shared" si="38"/>
        <v>2.4087703923867444E-3</v>
      </c>
      <c r="DP29" s="26">
        <f t="shared" si="38"/>
        <v>0.16259411154270015</v>
      </c>
      <c r="DQ29" s="26">
        <f t="shared" si="38"/>
        <v>0.21645218366596883</v>
      </c>
      <c r="DR29" s="26">
        <f t="shared" si="38"/>
        <v>6.4981770258599553E-2</v>
      </c>
      <c r="DS29" s="26">
        <f t="shared" si="38"/>
        <v>2.0996486318054133E-2</v>
      </c>
      <c r="DT29" s="26">
        <f t="shared" si="38"/>
        <v>1.2022655123971845E-2</v>
      </c>
      <c r="DU29" s="26">
        <f t="shared" si="38"/>
        <v>2.1505619299634026E-2</v>
      </c>
      <c r="DV29" s="26">
        <f t="shared" si="38"/>
        <v>0.14074000042297641</v>
      </c>
      <c r="DW29" s="26">
        <f t="shared" si="38"/>
        <v>8.8458573449165342E-2</v>
      </c>
      <c r="DX29" s="26">
        <f t="shared" si="38"/>
        <v>3.8197880162395774E-2</v>
      </c>
      <c r="DY29" s="26">
        <f t="shared" si="38"/>
        <v>6.7944190184160702E-3</v>
      </c>
      <c r="DZ29" s="26">
        <f t="shared" si="38"/>
        <v>3.4412106966885073E-3</v>
      </c>
      <c r="EA29" s="26">
        <f t="shared" ref="EA29:EF29" si="39">EA13^2</f>
        <v>2.1882821320586073E-3</v>
      </c>
      <c r="EB29" s="26">
        <f t="shared" si="39"/>
        <v>2.6943004065820148E-2</v>
      </c>
      <c r="EC29" s="26">
        <f t="shared" si="39"/>
        <v>1.4488869174480326E-3</v>
      </c>
      <c r="ED29" s="26">
        <f t="shared" si="39"/>
        <v>3.0600199202275215E-3</v>
      </c>
      <c r="EE29" s="26">
        <f t="shared" si="39"/>
        <v>2.0853883336532895E-3</v>
      </c>
      <c r="EF29" s="26">
        <f t="shared" si="39"/>
        <v>2.2893359865264347E-4</v>
      </c>
      <c r="EG29" s="4"/>
    </row>
    <row r="30" spans="1:137" ht="16" customHeight="1">
      <c r="A30" s="4"/>
      <c r="B30" s="23" t="s">
        <v>139</v>
      </c>
      <c r="C30" s="26">
        <f t="shared" ref="C30:AH30" si="40">C14^2</f>
        <v>3.0567189755982323E-3</v>
      </c>
      <c r="D30" s="26">
        <f t="shared" si="40"/>
        <v>2.0866665537478617E-2</v>
      </c>
      <c r="E30" s="26">
        <f t="shared" si="40"/>
        <v>8.3596828051190047E-3</v>
      </c>
      <c r="F30" s="26">
        <f t="shared" si="40"/>
        <v>0.12599077833640268</v>
      </c>
      <c r="G30" s="26">
        <f t="shared" si="40"/>
        <v>4.8064591113121821E-2</v>
      </c>
      <c r="H30" s="26">
        <f t="shared" si="40"/>
        <v>8.0164973863595668E-2</v>
      </c>
      <c r="I30" s="26">
        <f t="shared" si="40"/>
        <v>0.1379622256580966</v>
      </c>
      <c r="J30" s="26">
        <f t="shared" si="40"/>
        <v>0.16861214347796438</v>
      </c>
      <c r="K30" s="26">
        <f t="shared" si="40"/>
        <v>0.16621875283089982</v>
      </c>
      <c r="L30" s="26">
        <f t="shared" si="40"/>
        <v>5.1260933889684071E-5</v>
      </c>
      <c r="M30" s="26">
        <f t="shared" si="40"/>
        <v>5.424041315599044E-5</v>
      </c>
      <c r="N30" s="26">
        <f t="shared" si="40"/>
        <v>2.6538797259457341E-3</v>
      </c>
      <c r="O30" s="26">
        <f t="shared" si="40"/>
        <v>6.4649214014577669E-2</v>
      </c>
      <c r="P30" s="26">
        <f t="shared" si="40"/>
        <v>6.3398745971291692E-2</v>
      </c>
      <c r="Q30" s="26">
        <f t="shared" si="40"/>
        <v>4.9210776777464993E-2</v>
      </c>
      <c r="R30" s="26">
        <f t="shared" si="40"/>
        <v>6.0341086526951991E-2</v>
      </c>
      <c r="S30" s="26">
        <f t="shared" si="40"/>
        <v>4.753528014606228E-2</v>
      </c>
      <c r="T30" s="26">
        <f t="shared" si="40"/>
        <v>5.2376570573825741E-2</v>
      </c>
      <c r="U30" s="26">
        <f t="shared" si="40"/>
        <v>1.4719419445655549E-3</v>
      </c>
      <c r="V30" s="26">
        <f t="shared" si="40"/>
        <v>6.2168268945775347E-8</v>
      </c>
      <c r="W30" s="26">
        <f t="shared" si="40"/>
        <v>4.8876082354503917E-3</v>
      </c>
      <c r="X30" s="26">
        <f t="shared" si="40"/>
        <v>4.1685735341372909E-3</v>
      </c>
      <c r="Y30" s="26">
        <f t="shared" si="40"/>
        <v>1.7310007539475959E-3</v>
      </c>
      <c r="Z30" s="26">
        <f t="shared" si="40"/>
        <v>3.9204065112333447E-4</v>
      </c>
      <c r="AA30" s="26">
        <f t="shared" si="40"/>
        <v>5.2046544351040955E-3</v>
      </c>
      <c r="AB30" s="26">
        <f t="shared" si="40"/>
        <v>4.685692815821348E-3</v>
      </c>
      <c r="AC30" s="26">
        <f t="shared" si="40"/>
        <v>1.0632336161279872E-3</v>
      </c>
      <c r="AD30" s="26">
        <f t="shared" si="40"/>
        <v>3.0957155141140121E-4</v>
      </c>
      <c r="AE30" s="26">
        <f t="shared" si="40"/>
        <v>8.4211896942732537E-6</v>
      </c>
      <c r="AF30" s="26">
        <f t="shared" si="40"/>
        <v>5.0551072996210814E-6</v>
      </c>
      <c r="AG30" s="26">
        <f t="shared" si="40"/>
        <v>3.1148982041894487E-5</v>
      </c>
      <c r="AH30" s="26">
        <f t="shared" si="40"/>
        <v>4.4677672835415603E-5</v>
      </c>
      <c r="AI30" s="26">
        <f t="shared" ref="AI30:BN30" si="41">AI14^2</f>
        <v>1.9196086195947525E-6</v>
      </c>
      <c r="AJ30" s="26">
        <f t="shared" si="41"/>
        <v>7.4789933581883966E-7</v>
      </c>
      <c r="AK30" s="26">
        <f t="shared" si="41"/>
        <v>3.187970462439843E-3</v>
      </c>
      <c r="AL30" s="26">
        <f t="shared" si="41"/>
        <v>6.1611525495013086E-3</v>
      </c>
      <c r="AM30" s="26">
        <f t="shared" si="41"/>
        <v>1.2604392614756604E-2</v>
      </c>
      <c r="AN30" s="26">
        <f t="shared" si="41"/>
        <v>5.2655754195050204E-2</v>
      </c>
      <c r="AO30" s="26">
        <f t="shared" si="41"/>
        <v>1.9547754843790247E-2</v>
      </c>
      <c r="AP30" s="26">
        <f t="shared" si="41"/>
        <v>1.2166957267971793E-2</v>
      </c>
      <c r="AQ30" s="26">
        <f t="shared" si="41"/>
        <v>2.8430727807880401E-2</v>
      </c>
      <c r="AR30" s="26">
        <f t="shared" si="41"/>
        <v>1.8819187676609533E-2</v>
      </c>
      <c r="AS30" s="26">
        <f t="shared" si="41"/>
        <v>2.7163943428241992E-3</v>
      </c>
      <c r="AT30" s="26">
        <f t="shared" si="41"/>
        <v>2.0262966746829088E-2</v>
      </c>
      <c r="AU30" s="26">
        <f t="shared" si="41"/>
        <v>2.4262006352508081E-2</v>
      </c>
      <c r="AV30" s="26">
        <f t="shared" si="41"/>
        <v>2.1000831788837045E-2</v>
      </c>
      <c r="AW30" s="26">
        <f t="shared" si="41"/>
        <v>3.4366518590693285E-2</v>
      </c>
      <c r="AX30" s="26">
        <f t="shared" si="41"/>
        <v>1.8673864213996624E-2</v>
      </c>
      <c r="AY30" s="26">
        <f t="shared" si="41"/>
        <v>2.1305053993802017E-2</v>
      </c>
      <c r="AZ30" s="26">
        <f t="shared" si="41"/>
        <v>7.0245037588340511E-2</v>
      </c>
      <c r="BA30" s="26">
        <f t="shared" si="41"/>
        <v>2.1540145869672719E-2</v>
      </c>
      <c r="BB30" s="26">
        <f t="shared" si="41"/>
        <v>1.1174457854088864E-5</v>
      </c>
      <c r="BC30" s="26">
        <f t="shared" si="41"/>
        <v>4.9717048722625968E-3</v>
      </c>
      <c r="BD30" s="26">
        <f t="shared" si="41"/>
        <v>1.2454862359893718E-3</v>
      </c>
      <c r="BE30" s="26">
        <f t="shared" si="41"/>
        <v>1.243097999709289E-3</v>
      </c>
      <c r="BF30" s="26">
        <f t="shared" si="41"/>
        <v>1.505472217919147E-3</v>
      </c>
      <c r="BG30" s="26">
        <f t="shared" si="41"/>
        <v>2.865110045903287E-3</v>
      </c>
      <c r="BH30" s="26">
        <f t="shared" si="41"/>
        <v>3.2283563895354139E-2</v>
      </c>
      <c r="BI30" s="26">
        <f t="shared" si="41"/>
        <v>2.3985085912934249E-2</v>
      </c>
      <c r="BJ30" s="26">
        <f t="shared" si="41"/>
        <v>1.4174286973907699E-2</v>
      </c>
      <c r="BK30" s="26">
        <f t="shared" si="41"/>
        <v>1.6985195900348447E-2</v>
      </c>
      <c r="BL30" s="26">
        <f t="shared" si="41"/>
        <v>8.7105892994672994E-3</v>
      </c>
      <c r="BM30" s="26">
        <f t="shared" si="41"/>
        <v>6.4455241899040614E-3</v>
      </c>
      <c r="BN30" s="26">
        <f t="shared" si="41"/>
        <v>4.3102100272182246E-2</v>
      </c>
      <c r="BO30" s="26">
        <f t="shared" ref="BO30:CT30" si="42">BO14^2</f>
        <v>3.522628393376958E-2</v>
      </c>
      <c r="BP30" s="26">
        <f t="shared" si="42"/>
        <v>1.6879521761923786E-2</v>
      </c>
      <c r="BQ30" s="26">
        <f t="shared" si="42"/>
        <v>9.7450569846250796E-3</v>
      </c>
      <c r="BR30" s="26">
        <f t="shared" si="42"/>
        <v>2.0461008732106322E-3</v>
      </c>
      <c r="BS30" s="26">
        <f t="shared" si="42"/>
        <v>1.8984381127691845E-2</v>
      </c>
      <c r="BT30" s="26">
        <f t="shared" si="42"/>
        <v>2.2057107582283018E-3</v>
      </c>
      <c r="BU30" s="26">
        <f t="shared" si="42"/>
        <v>6.167873318218507E-3</v>
      </c>
      <c r="BV30" s="26">
        <f t="shared" si="42"/>
        <v>1.4472220895118994E-2</v>
      </c>
      <c r="BW30" s="26">
        <f t="shared" si="42"/>
        <v>3.5707228045570331E-3</v>
      </c>
      <c r="BX30" s="26">
        <f t="shared" si="42"/>
        <v>4.0384823627630708E-3</v>
      </c>
      <c r="BY30" s="26">
        <f t="shared" si="42"/>
        <v>4.2308664493665993E-5</v>
      </c>
      <c r="BZ30" s="26">
        <f t="shared" si="42"/>
        <v>2.6696175177759558E-3</v>
      </c>
      <c r="CA30" s="26">
        <f t="shared" si="42"/>
        <v>6.270332949033737E-3</v>
      </c>
      <c r="CB30" s="26">
        <f t="shared" si="42"/>
        <v>1.2719572116769549E-2</v>
      </c>
      <c r="CC30" s="26">
        <f t="shared" si="42"/>
        <v>4.4957573782111876E-3</v>
      </c>
      <c r="CD30" s="26">
        <f t="shared" si="42"/>
        <v>4.4605538802302063E-3</v>
      </c>
      <c r="CE30" s="26">
        <f t="shared" si="42"/>
        <v>2.1682910573555497E-3</v>
      </c>
      <c r="CF30" s="26">
        <f t="shared" si="42"/>
        <v>1.4231472185312143E-2</v>
      </c>
      <c r="CG30" s="26">
        <f t="shared" si="42"/>
        <v>2.8252393307370335E-3</v>
      </c>
      <c r="CH30" s="26">
        <f t="shared" si="42"/>
        <v>8.5769099168278035E-3</v>
      </c>
      <c r="CI30" s="26">
        <f t="shared" si="42"/>
        <v>1.1887817982462986E-2</v>
      </c>
      <c r="CJ30" s="26">
        <f t="shared" si="42"/>
        <v>4.3023746632060373E-3</v>
      </c>
      <c r="CK30" s="26">
        <f t="shared" si="42"/>
        <v>7.8671281094014733E-3</v>
      </c>
      <c r="CL30" s="26">
        <f t="shared" si="42"/>
        <v>8.0232644643046438E-3</v>
      </c>
      <c r="CM30" s="26">
        <f t="shared" si="42"/>
        <v>4.2858854928683474E-3</v>
      </c>
      <c r="CN30" s="26">
        <f t="shared" si="42"/>
        <v>8.867447549497084E-4</v>
      </c>
      <c r="CO30" s="26">
        <f t="shared" si="42"/>
        <v>5.2574244988216386E-3</v>
      </c>
      <c r="CP30" s="26">
        <f t="shared" si="42"/>
        <v>1.6987424607269185E-4</v>
      </c>
      <c r="CQ30" s="26">
        <f t="shared" si="42"/>
        <v>9.1575754792564459E-5</v>
      </c>
      <c r="CR30" s="26">
        <f t="shared" si="42"/>
        <v>6.1480954707327277E-4</v>
      </c>
      <c r="CS30" s="26">
        <f t="shared" si="42"/>
        <v>2.3631379504100826E-3</v>
      </c>
      <c r="CT30" s="26">
        <f t="shared" si="42"/>
        <v>3.7079600719229031E-3</v>
      </c>
      <c r="CU30" s="26">
        <f t="shared" ref="CU30:DZ30" si="43">CU14^2</f>
        <v>1.1820956757744719E-3</v>
      </c>
      <c r="CV30" s="26">
        <f t="shared" si="43"/>
        <v>2.883217627112062E-2</v>
      </c>
      <c r="CW30" s="26">
        <f t="shared" si="43"/>
        <v>4.1802903409593965E-2</v>
      </c>
      <c r="CX30" s="26">
        <f t="shared" si="43"/>
        <v>1.3614063303693207E-2</v>
      </c>
      <c r="CY30" s="26">
        <f t="shared" si="43"/>
        <v>4.0232912328214528E-4</v>
      </c>
      <c r="CZ30" s="26">
        <f t="shared" si="43"/>
        <v>2.1912127352918185E-6</v>
      </c>
      <c r="DA30" s="26">
        <f t="shared" si="43"/>
        <v>5.3592782088438158E-4</v>
      </c>
      <c r="DB30" s="26">
        <f t="shared" si="43"/>
        <v>3.6721926104526542E-2</v>
      </c>
      <c r="DC30" s="26">
        <f t="shared" si="43"/>
        <v>7.390338495720887E-2</v>
      </c>
      <c r="DD30" s="26">
        <f t="shared" si="43"/>
        <v>4.5409961094093142E-2</v>
      </c>
      <c r="DE30" s="26">
        <f t="shared" si="43"/>
        <v>2.631504367964544E-2</v>
      </c>
      <c r="DF30" s="26">
        <f t="shared" si="43"/>
        <v>4.0809074089309026E-2</v>
      </c>
      <c r="DG30" s="26">
        <f t="shared" si="43"/>
        <v>3.0081836144071103E-2</v>
      </c>
      <c r="DH30" s="26">
        <f t="shared" si="43"/>
        <v>1.0261176272058079E-6</v>
      </c>
      <c r="DI30" s="26">
        <f t="shared" si="43"/>
        <v>5.8072725902409677E-3</v>
      </c>
      <c r="DJ30" s="26">
        <f t="shared" si="43"/>
        <v>4.6292053175401686E-3</v>
      </c>
      <c r="DK30" s="26">
        <f t="shared" si="43"/>
        <v>3.3677840512988852E-3</v>
      </c>
      <c r="DL30" s="26">
        <f t="shared" si="43"/>
        <v>9.3547555795088302E-5</v>
      </c>
      <c r="DM30" s="26">
        <f t="shared" si="43"/>
        <v>1.700600175580912E-2</v>
      </c>
      <c r="DN30" s="26">
        <f t="shared" si="43"/>
        <v>8.4438310732102326E-2</v>
      </c>
      <c r="DO30" s="26">
        <f t="shared" si="43"/>
        <v>0.1429195069783539</v>
      </c>
      <c r="DP30" s="26">
        <f t="shared" si="43"/>
        <v>0.1494594242008519</v>
      </c>
      <c r="DQ30" s="26">
        <f t="shared" si="43"/>
        <v>0.15098355107024353</v>
      </c>
      <c r="DR30" s="26">
        <f t="shared" si="43"/>
        <v>4.9512293703455043E-2</v>
      </c>
      <c r="DS30" s="26">
        <f t="shared" si="43"/>
        <v>3.1966482606677997E-2</v>
      </c>
      <c r="DT30" s="26">
        <f t="shared" si="43"/>
        <v>2.389644803771912E-2</v>
      </c>
      <c r="DU30" s="26">
        <f t="shared" si="43"/>
        <v>3.7651339292669749E-3</v>
      </c>
      <c r="DV30" s="26">
        <f t="shared" si="43"/>
        <v>7.8276459255495565E-4</v>
      </c>
      <c r="DW30" s="26">
        <f t="shared" si="43"/>
        <v>1.0183535611409478E-3</v>
      </c>
      <c r="DX30" s="26">
        <f t="shared" si="43"/>
        <v>9.9749343632073925E-3</v>
      </c>
      <c r="DY30" s="26">
        <f t="shared" si="43"/>
        <v>1.2134286798545422E-5</v>
      </c>
      <c r="DZ30" s="26">
        <f t="shared" si="43"/>
        <v>7.8847667619022944E-4</v>
      </c>
      <c r="EA30" s="26">
        <f t="shared" ref="EA30:EF30" si="44">EA14^2</f>
        <v>3.1958165065044356E-6</v>
      </c>
      <c r="EB30" s="26">
        <f t="shared" si="44"/>
        <v>8.1516452680744002E-3</v>
      </c>
      <c r="EC30" s="26">
        <f t="shared" si="44"/>
        <v>2.8469722523276476E-3</v>
      </c>
      <c r="ED30" s="26">
        <f t="shared" si="44"/>
        <v>4.2563398478478176E-3</v>
      </c>
      <c r="EE30" s="26">
        <f t="shared" si="44"/>
        <v>1.7240023556872478E-3</v>
      </c>
      <c r="EF30" s="26">
        <f t="shared" si="44"/>
        <v>1.2297590319821929E-3</v>
      </c>
      <c r="EG30" s="4"/>
    </row>
    <row r="31" spans="1:137" ht="16" customHeight="1">
      <c r="B31" s="23" t="s">
        <v>140</v>
      </c>
      <c r="C31" s="26">
        <f t="shared" ref="C31:AH31" si="45">C15^2</f>
        <v>1.0107218740567237E-3</v>
      </c>
      <c r="D31" s="26">
        <f t="shared" si="45"/>
        <v>1.540416948579232E-2</v>
      </c>
      <c r="E31" s="26">
        <f t="shared" si="45"/>
        <v>3.4420454790125191E-2</v>
      </c>
      <c r="F31" s="26">
        <f t="shared" si="45"/>
        <v>0.26781156113945886</v>
      </c>
      <c r="G31" s="26">
        <f t="shared" si="45"/>
        <v>0.22722398835826432</v>
      </c>
      <c r="H31" s="26">
        <f t="shared" si="45"/>
        <v>0.20905705167757771</v>
      </c>
      <c r="I31" s="26">
        <f t="shared" si="45"/>
        <v>0.27925812968053337</v>
      </c>
      <c r="J31" s="26">
        <f t="shared" si="45"/>
        <v>0.18401282128276944</v>
      </c>
      <c r="K31" s="26">
        <f t="shared" si="45"/>
        <v>0.1702538944131316</v>
      </c>
      <c r="L31" s="26">
        <f t="shared" si="45"/>
        <v>1.7337294129925646E-5</v>
      </c>
      <c r="M31" s="26">
        <f t="shared" si="45"/>
        <v>7.1780245295612185E-4</v>
      </c>
      <c r="N31" s="26">
        <f t="shared" si="45"/>
        <v>1.0916759471329109E-2</v>
      </c>
      <c r="O31" s="26">
        <f t="shared" si="45"/>
        <v>1.9546609838398269E-3</v>
      </c>
      <c r="P31" s="26">
        <f t="shared" si="45"/>
        <v>3.3996591296064122E-3</v>
      </c>
      <c r="Q31" s="26">
        <f t="shared" si="45"/>
        <v>4.7105324399250373E-3</v>
      </c>
      <c r="R31" s="26">
        <f t="shared" si="45"/>
        <v>1.5302414390929659E-3</v>
      </c>
      <c r="S31" s="26">
        <f t="shared" si="45"/>
        <v>2.0475252694962805E-4</v>
      </c>
      <c r="T31" s="26">
        <f t="shared" si="45"/>
        <v>2.2500143487146837E-3</v>
      </c>
      <c r="U31" s="26">
        <f t="shared" si="45"/>
        <v>3.4247632604073447E-5</v>
      </c>
      <c r="V31" s="26">
        <f t="shared" si="45"/>
        <v>7.1464744066359444E-3</v>
      </c>
      <c r="W31" s="26">
        <f t="shared" si="45"/>
        <v>4.4229533144573362E-2</v>
      </c>
      <c r="X31" s="26">
        <f t="shared" si="45"/>
        <v>8.9346545565326396E-2</v>
      </c>
      <c r="Y31" s="26">
        <f t="shared" si="45"/>
        <v>8.2367175574303564E-2</v>
      </c>
      <c r="Z31" s="26">
        <f t="shared" si="45"/>
        <v>5.9501532144016774E-2</v>
      </c>
      <c r="AA31" s="26">
        <f t="shared" si="45"/>
        <v>7.1125589942884135E-2</v>
      </c>
      <c r="AB31" s="26">
        <f t="shared" si="45"/>
        <v>7.1019478757556709E-2</v>
      </c>
      <c r="AC31" s="26">
        <f t="shared" si="45"/>
        <v>8.5069913013325962E-3</v>
      </c>
      <c r="AD31" s="26">
        <f t="shared" si="45"/>
        <v>1.317792388598389E-2</v>
      </c>
      <c r="AE31" s="26">
        <f t="shared" si="45"/>
        <v>1.4983694416101194E-2</v>
      </c>
      <c r="AF31" s="26">
        <f t="shared" si="45"/>
        <v>9.0711032285162013E-3</v>
      </c>
      <c r="AG31" s="26">
        <f t="shared" si="45"/>
        <v>6.2044685079414913E-3</v>
      </c>
      <c r="AH31" s="26">
        <f t="shared" si="45"/>
        <v>1.0467380176846668E-2</v>
      </c>
      <c r="AI31" s="26">
        <f t="shared" ref="AI31:BN31" si="46">AI15^2</f>
        <v>3.2789760220348144E-3</v>
      </c>
      <c r="AJ31" s="26">
        <f t="shared" si="46"/>
        <v>1.8923594278143154E-4</v>
      </c>
      <c r="AK31" s="26">
        <f t="shared" si="46"/>
        <v>5.6182180226001296E-3</v>
      </c>
      <c r="AL31" s="26">
        <f t="shared" si="46"/>
        <v>3.4446783624495756E-3</v>
      </c>
      <c r="AM31" s="26">
        <f t="shared" si="46"/>
        <v>2.8701973495734892E-5</v>
      </c>
      <c r="AN31" s="26">
        <f t="shared" si="46"/>
        <v>1.3250792970581553E-4</v>
      </c>
      <c r="AO31" s="26">
        <f t="shared" si="46"/>
        <v>1.9353710433311308E-3</v>
      </c>
      <c r="AP31" s="26">
        <f t="shared" si="46"/>
        <v>1.9225999718590036E-4</v>
      </c>
      <c r="AQ31" s="26">
        <f t="shared" si="46"/>
        <v>1.430851242382929E-3</v>
      </c>
      <c r="AR31" s="26">
        <f t="shared" si="46"/>
        <v>4.1607826003596481E-6</v>
      </c>
      <c r="AS31" s="26">
        <f t="shared" si="46"/>
        <v>1.8428145009084813E-2</v>
      </c>
      <c r="AT31" s="26">
        <f t="shared" si="46"/>
        <v>9.2659925042831697E-3</v>
      </c>
      <c r="AU31" s="26">
        <f t="shared" si="46"/>
        <v>1.2067556019375824E-2</v>
      </c>
      <c r="AV31" s="26">
        <f t="shared" si="46"/>
        <v>2.9213583766447143E-3</v>
      </c>
      <c r="AW31" s="26">
        <f t="shared" si="46"/>
        <v>8.2925711539657172E-3</v>
      </c>
      <c r="AX31" s="26">
        <f t="shared" si="46"/>
        <v>1.15328056607464E-5</v>
      </c>
      <c r="AY31" s="26">
        <f t="shared" si="46"/>
        <v>5.0692938028590066E-3</v>
      </c>
      <c r="AZ31" s="26">
        <f t="shared" si="46"/>
        <v>5.482066501257616E-3</v>
      </c>
      <c r="BA31" s="26">
        <f t="shared" si="46"/>
        <v>1.8157117862741115E-2</v>
      </c>
      <c r="BB31" s="26">
        <f t="shared" si="46"/>
        <v>3.4165707304458927E-2</v>
      </c>
      <c r="BC31" s="26">
        <f t="shared" si="46"/>
        <v>2.9555204800358996E-2</v>
      </c>
      <c r="BD31" s="26">
        <f t="shared" si="46"/>
        <v>3.619934228871223E-2</v>
      </c>
      <c r="BE31" s="26">
        <f t="shared" si="46"/>
        <v>3.3543477886841699E-2</v>
      </c>
      <c r="BF31" s="26">
        <f t="shared" si="46"/>
        <v>1.3667047979837461E-2</v>
      </c>
      <c r="BG31" s="26">
        <f t="shared" si="46"/>
        <v>1.5202964759658004E-2</v>
      </c>
      <c r="BH31" s="26">
        <f t="shared" si="46"/>
        <v>2.359179876742078E-2</v>
      </c>
      <c r="BI31" s="26">
        <f t="shared" si="46"/>
        <v>1.9698498851493169E-2</v>
      </c>
      <c r="BJ31" s="26">
        <f t="shared" si="46"/>
        <v>5.5063860796149389E-2</v>
      </c>
      <c r="BK31" s="26">
        <f t="shared" si="46"/>
        <v>7.4503752035115722E-2</v>
      </c>
      <c r="BL31" s="26">
        <f t="shared" si="46"/>
        <v>8.3831702025629562E-2</v>
      </c>
      <c r="BM31" s="26">
        <f t="shared" si="46"/>
        <v>3.5320215585009206E-3</v>
      </c>
      <c r="BN31" s="26">
        <f t="shared" si="46"/>
        <v>1.571981161598749E-2</v>
      </c>
      <c r="BO31" s="26">
        <f t="shared" ref="BO31:CT31" si="47">BO15^2</f>
        <v>8.9117938655602254E-3</v>
      </c>
      <c r="BP31" s="26">
        <f t="shared" si="47"/>
        <v>4.8943098922276057E-4</v>
      </c>
      <c r="BQ31" s="26">
        <f t="shared" si="47"/>
        <v>1.5200912539908699E-3</v>
      </c>
      <c r="BR31" s="26">
        <f t="shared" si="47"/>
        <v>1.5944596045789244E-3</v>
      </c>
      <c r="BS31" s="26">
        <f t="shared" si="47"/>
        <v>1.8194568184012085E-3</v>
      </c>
      <c r="BT31" s="26">
        <f t="shared" si="47"/>
        <v>1.3540322297754927E-3</v>
      </c>
      <c r="BU31" s="26">
        <f t="shared" si="47"/>
        <v>5.9065343858550872E-3</v>
      </c>
      <c r="BV31" s="26">
        <f t="shared" si="47"/>
        <v>7.5472053435359596E-3</v>
      </c>
      <c r="BW31" s="26">
        <f t="shared" si="47"/>
        <v>2.0578243104668638E-3</v>
      </c>
      <c r="BX31" s="26">
        <f t="shared" si="47"/>
        <v>1.1283282655913372E-3</v>
      </c>
      <c r="BY31" s="26">
        <f t="shared" si="47"/>
        <v>2.5847684350218756E-3</v>
      </c>
      <c r="BZ31" s="26">
        <f t="shared" si="47"/>
        <v>8.1496547640768548E-3</v>
      </c>
      <c r="CA31" s="26">
        <f t="shared" si="47"/>
        <v>9.1592959422478783E-3</v>
      </c>
      <c r="CB31" s="26">
        <f t="shared" si="47"/>
        <v>1.0084923375787341E-2</v>
      </c>
      <c r="CC31" s="26">
        <f t="shared" si="47"/>
        <v>1.8001183661768793E-2</v>
      </c>
      <c r="CD31" s="26">
        <f t="shared" si="47"/>
        <v>4.8741735341212809E-3</v>
      </c>
      <c r="CE31" s="26">
        <f t="shared" si="47"/>
        <v>2.8643698738699081E-3</v>
      </c>
      <c r="CF31" s="26">
        <f t="shared" si="47"/>
        <v>1.900747380858692E-2</v>
      </c>
      <c r="CG31" s="26">
        <f t="shared" si="47"/>
        <v>3.7454330309016348E-2</v>
      </c>
      <c r="CH31" s="26">
        <f t="shared" si="47"/>
        <v>6.8784755691751742E-2</v>
      </c>
      <c r="CI31" s="26">
        <f t="shared" si="47"/>
        <v>0.13115985964946891</v>
      </c>
      <c r="CJ31" s="26">
        <f t="shared" si="47"/>
        <v>2.9716990715045907E-2</v>
      </c>
      <c r="CK31" s="26">
        <f t="shared" si="47"/>
        <v>5.78379275112497E-2</v>
      </c>
      <c r="CL31" s="26">
        <f t="shared" si="47"/>
        <v>8.9016678917862725E-4</v>
      </c>
      <c r="CM31" s="26">
        <f t="shared" si="47"/>
        <v>2.3497181906612483E-3</v>
      </c>
      <c r="CN31" s="26">
        <f t="shared" si="47"/>
        <v>1.5481658792773313E-3</v>
      </c>
      <c r="CO31" s="26">
        <f t="shared" si="47"/>
        <v>1.3550812929448335E-2</v>
      </c>
      <c r="CP31" s="26">
        <f t="shared" si="47"/>
        <v>7.8146368272808179E-4</v>
      </c>
      <c r="CQ31" s="26">
        <f t="shared" si="47"/>
        <v>1.3800985222624471E-2</v>
      </c>
      <c r="CR31" s="26">
        <f t="shared" si="47"/>
        <v>8.7296016706973434E-4</v>
      </c>
      <c r="CS31" s="26">
        <f t="shared" si="47"/>
        <v>1.1559783965691165E-4</v>
      </c>
      <c r="CT31" s="26">
        <f t="shared" si="47"/>
        <v>2.611145956278716E-3</v>
      </c>
      <c r="CU31" s="26">
        <f t="shared" ref="CU31:DZ31" si="48">CU15^2</f>
        <v>1.1714638075554973E-2</v>
      </c>
      <c r="CV31" s="26">
        <f t="shared" si="48"/>
        <v>1.0021030032856079E-2</v>
      </c>
      <c r="CW31" s="26">
        <f t="shared" si="48"/>
        <v>6.7956708149962686E-3</v>
      </c>
      <c r="CX31" s="26">
        <f t="shared" si="48"/>
        <v>2.087057282343216E-2</v>
      </c>
      <c r="CY31" s="26">
        <f t="shared" si="48"/>
        <v>2.3823838623751684E-4</v>
      </c>
      <c r="CZ31" s="26">
        <f t="shared" si="48"/>
        <v>4.6834781421329266E-3</v>
      </c>
      <c r="DA31" s="26">
        <f t="shared" si="48"/>
        <v>1.671595293304563E-3</v>
      </c>
      <c r="DB31" s="26">
        <f t="shared" si="48"/>
        <v>8.1432851424950801E-3</v>
      </c>
      <c r="DC31" s="26">
        <f t="shared" si="48"/>
        <v>5.3158881109708145E-3</v>
      </c>
      <c r="DD31" s="26">
        <f t="shared" si="48"/>
        <v>5.491035847583068E-3</v>
      </c>
      <c r="DE31" s="26">
        <f t="shared" si="48"/>
        <v>1.4574201464018102E-3</v>
      </c>
      <c r="DF31" s="26">
        <f t="shared" si="48"/>
        <v>6.4587568532861166E-3</v>
      </c>
      <c r="DG31" s="26">
        <f t="shared" si="48"/>
        <v>7.1847359589927891E-3</v>
      </c>
      <c r="DH31" s="26">
        <f t="shared" si="48"/>
        <v>2.075879966695328E-3</v>
      </c>
      <c r="DI31" s="26">
        <f t="shared" si="48"/>
        <v>2.3359849150452681E-4</v>
      </c>
      <c r="DJ31" s="26">
        <f t="shared" si="48"/>
        <v>7.4594318265129239E-3</v>
      </c>
      <c r="DK31" s="26">
        <f t="shared" si="48"/>
        <v>6.9363899816193087E-3</v>
      </c>
      <c r="DL31" s="26">
        <f t="shared" si="48"/>
        <v>9.6539397134265834E-2</v>
      </c>
      <c r="DM31" s="26">
        <f t="shared" si="48"/>
        <v>0.23927342619351294</v>
      </c>
      <c r="DN31" s="26">
        <f t="shared" si="48"/>
        <v>0.38085872043722291</v>
      </c>
      <c r="DO31" s="26">
        <f t="shared" si="48"/>
        <v>0.4127017702113619</v>
      </c>
      <c r="DP31" s="26">
        <f t="shared" si="48"/>
        <v>0.26638733939188863</v>
      </c>
      <c r="DQ31" s="26">
        <f t="shared" si="48"/>
        <v>0.28655687730496221</v>
      </c>
      <c r="DR31" s="26">
        <f t="shared" si="48"/>
        <v>4.2606151359050763E-2</v>
      </c>
      <c r="DS31" s="26">
        <f t="shared" si="48"/>
        <v>1.3517121665540105E-3</v>
      </c>
      <c r="DT31" s="26">
        <f t="shared" si="48"/>
        <v>4.4843821505494917E-4</v>
      </c>
      <c r="DU31" s="26">
        <f t="shared" si="48"/>
        <v>1.2097599479109317E-2</v>
      </c>
      <c r="DV31" s="26">
        <f t="shared" si="48"/>
        <v>7.0335467043561497E-3</v>
      </c>
      <c r="DW31" s="26">
        <f t="shared" si="48"/>
        <v>3.1054993267371586E-2</v>
      </c>
      <c r="DX31" s="26">
        <f t="shared" si="48"/>
        <v>6.2718855947567473E-2</v>
      </c>
      <c r="DY31" s="26">
        <f t="shared" si="48"/>
        <v>2.2919783184943601E-2</v>
      </c>
      <c r="DZ31" s="26">
        <f t="shared" si="48"/>
        <v>1.3418395252430172E-2</v>
      </c>
      <c r="EA31" s="26">
        <f t="shared" ref="EA31:EF31" si="49">EA15^2</f>
        <v>3.2090232004291716E-3</v>
      </c>
      <c r="EB31" s="26">
        <f t="shared" si="49"/>
        <v>1.1734174856421395E-3</v>
      </c>
      <c r="EC31" s="26">
        <f t="shared" si="49"/>
        <v>3.026086740151943E-4</v>
      </c>
      <c r="ED31" s="26">
        <f t="shared" si="49"/>
        <v>1.6482462597483167E-3</v>
      </c>
      <c r="EE31" s="26">
        <f t="shared" si="49"/>
        <v>2.489638114141868E-3</v>
      </c>
      <c r="EF31" s="26">
        <f t="shared" si="49"/>
        <v>1.7352811925157672E-3</v>
      </c>
      <c r="EG31" s="4"/>
    </row>
    <row r="32" spans="1:137" ht="16" customHeight="1">
      <c r="A32" s="4"/>
    </row>
    <row r="33" spans="1:2" ht="20" customHeight="1">
      <c r="A33" s="46"/>
      <c r="B33" s="28">
        <f>1-SUM(C15:EF17)/SUM(C21:EF23)</f>
        <v>1.560250021811687</v>
      </c>
    </row>
  </sheetData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預測IC</vt:lpstr>
      <vt:lpstr>RF勝率</vt:lpstr>
      <vt:lpstr>RF累積報酬</vt:lpstr>
      <vt:lpstr>RF再投資累積報酬</vt:lpstr>
      <vt:lpstr>RF夏普比率</vt:lpstr>
      <vt:lpstr>RF樣本外R2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柏郡 黃</dc:creator>
  <cp:lastModifiedBy>黃柏郡</cp:lastModifiedBy>
  <dcterms:created xsi:type="dcterms:W3CDTF">2025-03-19T13:51:22Z</dcterms:created>
  <dcterms:modified xsi:type="dcterms:W3CDTF">2025-09-25T09:53:42Z</dcterms:modified>
</cp:coreProperties>
</file>